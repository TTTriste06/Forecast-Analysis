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7-08\"/>
    </mc:Choice>
  </mc:AlternateContent>
  <xr:revisionPtr revIDLastSave="0" documentId="13_ncr:1_{1F327302-7CB0-4FB1-8F2C-9EB5E7B2AC85}" xr6:coauthVersionLast="47" xr6:coauthVersionMax="47" xr10:uidLastSave="{00000000-0000-0000-0000-000000000000}"/>
  <bookViews>
    <workbookView xWindow="-108" yWindow="-108" windowWidth="30936" windowHeight="16896" activeTab="1" xr2:uid="{00000000-000D-0000-FFFF-FFFF00000000}"/>
  </bookViews>
  <sheets>
    <sheet name="Sheet3" sheetId="12" r:id="rId1"/>
    <sheet name="预测" sheetId="9" r:id="rId2"/>
  </sheets>
  <externalReferences>
    <externalReference r:id="rId3"/>
  </externalReferences>
  <definedNames>
    <definedName name="_xlnm._FilterDatabase" localSheetId="1" hidden="1">预测!$A$1:$BT$642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41" i="9" l="1"/>
  <c r="R641" i="9" s="1"/>
  <c r="T628" i="9" l="1"/>
  <c r="R628" i="9" s="1"/>
  <c r="T629" i="9"/>
  <c r="R629" i="9" s="1"/>
  <c r="AG552" i="9" l="1"/>
  <c r="AG541" i="9"/>
  <c r="AG537" i="9"/>
  <c r="AG523" i="9"/>
  <c r="AG517" i="9"/>
  <c r="AG479" i="9"/>
  <c r="AG468" i="9"/>
  <c r="AG462" i="9"/>
  <c r="AG459" i="9"/>
  <c r="AG458" i="9"/>
  <c r="AG454" i="9"/>
  <c r="AG448" i="9"/>
  <c r="AG446" i="9"/>
  <c r="AG445" i="9"/>
  <c r="AG444" i="9"/>
  <c r="AG442" i="9"/>
  <c r="AG440" i="9"/>
  <c r="AG437" i="9"/>
  <c r="AG432" i="9"/>
  <c r="AG431" i="9"/>
  <c r="AG429" i="9"/>
  <c r="AG427" i="9"/>
  <c r="AG424" i="9"/>
  <c r="AG422" i="9"/>
  <c r="AG421" i="9"/>
  <c r="AG410" i="9"/>
  <c r="AG408" i="9"/>
  <c r="AG407" i="9"/>
  <c r="AG405" i="9"/>
  <c r="AG404" i="9"/>
  <c r="AG403" i="9"/>
  <c r="AG394" i="9"/>
  <c r="AG392" i="9"/>
  <c r="AG391" i="9"/>
  <c r="AG387" i="9"/>
  <c r="AG385" i="9"/>
  <c r="AG384" i="9"/>
  <c r="AG380" i="9"/>
  <c r="AG286" i="9"/>
  <c r="AG285" i="9"/>
  <c r="AG284" i="9"/>
  <c r="AG280" i="9"/>
  <c r="AG279" i="9"/>
  <c r="AG277" i="9"/>
  <c r="AG276" i="9"/>
  <c r="AG273" i="9"/>
  <c r="AG272" i="9"/>
  <c r="AG269" i="9"/>
  <c r="AG268" i="9"/>
  <c r="AG267" i="9"/>
  <c r="AG266" i="9"/>
  <c r="AG265" i="9"/>
  <c r="AG263" i="9"/>
  <c r="AG260" i="9"/>
  <c r="AG259" i="9"/>
  <c r="AG258" i="9"/>
  <c r="AG257" i="9"/>
  <c r="AG256" i="9"/>
  <c r="AG255" i="9"/>
  <c r="AG252" i="9"/>
  <c r="AG251" i="9"/>
  <c r="AG250" i="9"/>
  <c r="AG249" i="9"/>
  <c r="AG248" i="9"/>
  <c r="AG247" i="9"/>
  <c r="AG244" i="9"/>
  <c r="AG243" i="9"/>
  <c r="AG242" i="9"/>
  <c r="AG241" i="9"/>
  <c r="AG240" i="9"/>
  <c r="AG238" i="9"/>
  <c r="AG237" i="9"/>
  <c r="AG234" i="9"/>
  <c r="AG230" i="9"/>
  <c r="AG228" i="9"/>
  <c r="AG227" i="9"/>
  <c r="AG226" i="9"/>
  <c r="AG95" i="9"/>
  <c r="AG93" i="9"/>
  <c r="AG87" i="9"/>
  <c r="AG86" i="9"/>
  <c r="AG85" i="9"/>
  <c r="AG76" i="9"/>
  <c r="AG74" i="9"/>
  <c r="AG73" i="9"/>
  <c r="AG70" i="9"/>
  <c r="AG68" i="9"/>
  <c r="AG66" i="9"/>
  <c r="AG65" i="9"/>
  <c r="AG63" i="9"/>
  <c r="AG57" i="9"/>
  <c r="AG55" i="9"/>
  <c r="AG54" i="9"/>
  <c r="AG53" i="9"/>
  <c r="AG52" i="9"/>
  <c r="AG47" i="9"/>
  <c r="AG45" i="9"/>
  <c r="AG44" i="9"/>
  <c r="AG43" i="9"/>
  <c r="AG40" i="9"/>
  <c r="AG38" i="9"/>
  <c r="AG35" i="9"/>
  <c r="AG34" i="9"/>
  <c r="AG33" i="9"/>
  <c r="AG32" i="9"/>
  <c r="AG29" i="9"/>
  <c r="AG22" i="9"/>
  <c r="AG21" i="9"/>
  <c r="AG20" i="9"/>
  <c r="AG19" i="9"/>
  <c r="AG18" i="9"/>
  <c r="AG11" i="9"/>
  <c r="AG4" i="9"/>
  <c r="AV627" i="9" l="1"/>
  <c r="AV626" i="9"/>
  <c r="AV625" i="9"/>
  <c r="AV624" i="9"/>
  <c r="AV623" i="9"/>
  <c r="AV622" i="9"/>
  <c r="AV621" i="9"/>
  <c r="AV619" i="9"/>
  <c r="AV618" i="9"/>
  <c r="AV616" i="9"/>
  <c r="AV615" i="9"/>
  <c r="AV614" i="9"/>
  <c r="AV613" i="9"/>
  <c r="AV612" i="9"/>
  <c r="AV611" i="9"/>
  <c r="AV610" i="9"/>
  <c r="AV495" i="9"/>
  <c r="BP3" i="9" l="1"/>
  <c r="BQ3" i="9"/>
  <c r="BR3" i="9"/>
  <c r="BS3" i="9"/>
  <c r="BT3" i="9"/>
  <c r="BP4" i="9"/>
  <c r="BQ4" i="9"/>
  <c r="BR4" i="9"/>
  <c r="BS4" i="9"/>
  <c r="BT4" i="9"/>
  <c r="BP5" i="9"/>
  <c r="BQ5" i="9"/>
  <c r="BR5" i="9"/>
  <c r="BS5" i="9"/>
  <c r="BT5" i="9"/>
  <c r="BP6" i="9"/>
  <c r="BQ6" i="9"/>
  <c r="BR6" i="9"/>
  <c r="BS6" i="9"/>
  <c r="BT6" i="9"/>
  <c r="BP7" i="9"/>
  <c r="BQ7" i="9"/>
  <c r="BR7" i="9"/>
  <c r="BS7" i="9"/>
  <c r="BT7" i="9"/>
  <c r="BP8" i="9"/>
  <c r="BQ8" i="9"/>
  <c r="BR8" i="9"/>
  <c r="BS8" i="9"/>
  <c r="BT8" i="9"/>
  <c r="BP9" i="9"/>
  <c r="BQ9" i="9"/>
  <c r="BR9" i="9"/>
  <c r="BS9" i="9"/>
  <c r="BT9" i="9"/>
  <c r="BP10" i="9"/>
  <c r="BQ10" i="9"/>
  <c r="BR10" i="9"/>
  <c r="BS10" i="9"/>
  <c r="BT10" i="9"/>
  <c r="BP11" i="9"/>
  <c r="BQ11" i="9"/>
  <c r="BR11" i="9"/>
  <c r="BS11" i="9"/>
  <c r="BT11" i="9"/>
  <c r="BP12" i="9"/>
  <c r="BQ12" i="9"/>
  <c r="BR12" i="9"/>
  <c r="BS12" i="9"/>
  <c r="BT12" i="9"/>
  <c r="BP13" i="9"/>
  <c r="BQ13" i="9"/>
  <c r="BR13" i="9"/>
  <c r="BS13" i="9"/>
  <c r="BT13" i="9"/>
  <c r="BP14" i="9"/>
  <c r="BQ14" i="9"/>
  <c r="BR14" i="9"/>
  <c r="BS14" i="9"/>
  <c r="BT14" i="9"/>
  <c r="BP15" i="9"/>
  <c r="BQ15" i="9"/>
  <c r="BR15" i="9"/>
  <c r="BS15" i="9"/>
  <c r="BT15" i="9"/>
  <c r="BP16" i="9"/>
  <c r="BQ16" i="9"/>
  <c r="BR16" i="9"/>
  <c r="BS16" i="9"/>
  <c r="BT16" i="9"/>
  <c r="BP17" i="9"/>
  <c r="BQ17" i="9"/>
  <c r="BR17" i="9"/>
  <c r="BS17" i="9"/>
  <c r="BT17" i="9"/>
  <c r="BP18" i="9"/>
  <c r="BQ18" i="9"/>
  <c r="BR18" i="9"/>
  <c r="BS18" i="9"/>
  <c r="BT18" i="9"/>
  <c r="BP19" i="9"/>
  <c r="BQ19" i="9"/>
  <c r="BR19" i="9"/>
  <c r="BS19" i="9"/>
  <c r="BT19" i="9"/>
  <c r="BP20" i="9"/>
  <c r="BQ20" i="9"/>
  <c r="BR20" i="9"/>
  <c r="BS20" i="9"/>
  <c r="BT20" i="9"/>
  <c r="BP21" i="9"/>
  <c r="BQ21" i="9"/>
  <c r="BR21" i="9"/>
  <c r="BS21" i="9"/>
  <c r="BT21" i="9"/>
  <c r="BP22" i="9"/>
  <c r="BQ22" i="9"/>
  <c r="BR22" i="9"/>
  <c r="BS22" i="9"/>
  <c r="BT22" i="9"/>
  <c r="BP23" i="9"/>
  <c r="BQ23" i="9"/>
  <c r="BR23" i="9"/>
  <c r="BS23" i="9"/>
  <c r="BT23" i="9"/>
  <c r="BP24" i="9"/>
  <c r="BQ24" i="9"/>
  <c r="BR24" i="9"/>
  <c r="BS24" i="9"/>
  <c r="BT24" i="9"/>
  <c r="BP25" i="9"/>
  <c r="BQ25" i="9"/>
  <c r="BR25" i="9"/>
  <c r="BS25" i="9"/>
  <c r="BT25" i="9"/>
  <c r="BP26" i="9"/>
  <c r="BQ26" i="9"/>
  <c r="BR26" i="9"/>
  <c r="BS26" i="9"/>
  <c r="BT26" i="9"/>
  <c r="BP27" i="9"/>
  <c r="BQ27" i="9"/>
  <c r="BR27" i="9"/>
  <c r="BS27" i="9"/>
  <c r="BT27" i="9"/>
  <c r="BP28" i="9"/>
  <c r="BQ28" i="9"/>
  <c r="BR28" i="9"/>
  <c r="BS28" i="9"/>
  <c r="BT28" i="9"/>
  <c r="BP29" i="9"/>
  <c r="BQ29" i="9"/>
  <c r="BR29" i="9"/>
  <c r="BS29" i="9"/>
  <c r="BT29" i="9"/>
  <c r="BP30" i="9"/>
  <c r="BQ30" i="9"/>
  <c r="BR30" i="9"/>
  <c r="BS30" i="9"/>
  <c r="BT30" i="9"/>
  <c r="BP31" i="9"/>
  <c r="BQ31" i="9"/>
  <c r="BR31" i="9"/>
  <c r="BS31" i="9"/>
  <c r="BT31" i="9"/>
  <c r="BP32" i="9"/>
  <c r="BQ32" i="9"/>
  <c r="BR32" i="9"/>
  <c r="BS32" i="9"/>
  <c r="BT32" i="9"/>
  <c r="BP33" i="9"/>
  <c r="BQ33" i="9"/>
  <c r="BR33" i="9"/>
  <c r="BS33" i="9"/>
  <c r="BT33" i="9"/>
  <c r="BP34" i="9"/>
  <c r="BQ34" i="9"/>
  <c r="BR34" i="9"/>
  <c r="BS34" i="9"/>
  <c r="BT34" i="9"/>
  <c r="BP35" i="9"/>
  <c r="BQ35" i="9"/>
  <c r="BR35" i="9"/>
  <c r="BS35" i="9"/>
  <c r="BT35" i="9"/>
  <c r="BP36" i="9"/>
  <c r="BQ36" i="9"/>
  <c r="BR36" i="9"/>
  <c r="BS36" i="9"/>
  <c r="BT36" i="9"/>
  <c r="BP37" i="9"/>
  <c r="BQ37" i="9"/>
  <c r="BR37" i="9"/>
  <c r="BS37" i="9"/>
  <c r="BT37" i="9"/>
  <c r="BP38" i="9"/>
  <c r="BQ38" i="9"/>
  <c r="BR38" i="9"/>
  <c r="BS38" i="9"/>
  <c r="BT38" i="9"/>
  <c r="BP39" i="9"/>
  <c r="BQ39" i="9"/>
  <c r="BR39" i="9"/>
  <c r="BS39" i="9"/>
  <c r="BT39" i="9"/>
  <c r="BP40" i="9"/>
  <c r="BQ40" i="9"/>
  <c r="BR40" i="9"/>
  <c r="BS40" i="9"/>
  <c r="BT40" i="9"/>
  <c r="BP41" i="9"/>
  <c r="BQ41" i="9"/>
  <c r="BR41" i="9"/>
  <c r="BS41" i="9"/>
  <c r="BT41" i="9"/>
  <c r="BP42" i="9"/>
  <c r="BQ42" i="9"/>
  <c r="BR42" i="9"/>
  <c r="BS42" i="9"/>
  <c r="BT42" i="9"/>
  <c r="BP43" i="9"/>
  <c r="BQ43" i="9"/>
  <c r="BR43" i="9"/>
  <c r="BS43" i="9"/>
  <c r="BT43" i="9"/>
  <c r="BP44" i="9"/>
  <c r="BQ44" i="9"/>
  <c r="BR44" i="9"/>
  <c r="BS44" i="9"/>
  <c r="BT44" i="9"/>
  <c r="BP45" i="9"/>
  <c r="BQ45" i="9"/>
  <c r="BR45" i="9"/>
  <c r="BS45" i="9"/>
  <c r="BT45" i="9"/>
  <c r="BP46" i="9"/>
  <c r="BQ46" i="9"/>
  <c r="BR46" i="9"/>
  <c r="BS46" i="9"/>
  <c r="BT46" i="9"/>
  <c r="BP47" i="9"/>
  <c r="BQ47" i="9"/>
  <c r="BR47" i="9"/>
  <c r="BS47" i="9"/>
  <c r="BT47" i="9"/>
  <c r="BP48" i="9"/>
  <c r="BQ48" i="9"/>
  <c r="BR48" i="9"/>
  <c r="BS48" i="9"/>
  <c r="BT48" i="9"/>
  <c r="BP49" i="9"/>
  <c r="BQ49" i="9"/>
  <c r="BR49" i="9"/>
  <c r="BS49" i="9"/>
  <c r="BT49" i="9"/>
  <c r="BP50" i="9"/>
  <c r="BQ50" i="9"/>
  <c r="BR50" i="9"/>
  <c r="BS50" i="9"/>
  <c r="BT50" i="9"/>
  <c r="BP51" i="9"/>
  <c r="BQ51" i="9"/>
  <c r="BR51" i="9"/>
  <c r="BS51" i="9"/>
  <c r="BT51" i="9"/>
  <c r="BP52" i="9"/>
  <c r="BQ52" i="9"/>
  <c r="BR52" i="9"/>
  <c r="BS52" i="9"/>
  <c r="BT52" i="9"/>
  <c r="BP53" i="9"/>
  <c r="BQ53" i="9"/>
  <c r="BR53" i="9"/>
  <c r="BS53" i="9"/>
  <c r="BT53" i="9"/>
  <c r="BP54" i="9"/>
  <c r="BQ54" i="9"/>
  <c r="BR54" i="9"/>
  <c r="BS54" i="9"/>
  <c r="BT54" i="9"/>
  <c r="BP55" i="9"/>
  <c r="BQ55" i="9"/>
  <c r="BR55" i="9"/>
  <c r="BS55" i="9"/>
  <c r="BT55" i="9"/>
  <c r="BP56" i="9"/>
  <c r="BQ56" i="9"/>
  <c r="BR56" i="9"/>
  <c r="BS56" i="9"/>
  <c r="BT56" i="9"/>
  <c r="BP57" i="9"/>
  <c r="BQ57" i="9"/>
  <c r="BR57" i="9"/>
  <c r="BS57" i="9"/>
  <c r="BT57" i="9"/>
  <c r="BP58" i="9"/>
  <c r="BQ58" i="9"/>
  <c r="BR58" i="9"/>
  <c r="BS58" i="9"/>
  <c r="BT58" i="9"/>
  <c r="BP59" i="9"/>
  <c r="BQ59" i="9"/>
  <c r="BR59" i="9"/>
  <c r="BS59" i="9"/>
  <c r="BT59" i="9"/>
  <c r="BP60" i="9"/>
  <c r="BQ60" i="9"/>
  <c r="BR60" i="9"/>
  <c r="BS60" i="9"/>
  <c r="BT60" i="9"/>
  <c r="BP61" i="9"/>
  <c r="BQ61" i="9"/>
  <c r="BR61" i="9"/>
  <c r="BS61" i="9"/>
  <c r="BT61" i="9"/>
  <c r="BP62" i="9"/>
  <c r="BQ62" i="9"/>
  <c r="BR62" i="9"/>
  <c r="BS62" i="9"/>
  <c r="BT62" i="9"/>
  <c r="BP63" i="9"/>
  <c r="BQ63" i="9"/>
  <c r="BR63" i="9"/>
  <c r="BS63" i="9"/>
  <c r="BT63" i="9"/>
  <c r="BP64" i="9"/>
  <c r="BQ64" i="9"/>
  <c r="BR64" i="9"/>
  <c r="BS64" i="9"/>
  <c r="BT64" i="9"/>
  <c r="BP65" i="9"/>
  <c r="BQ65" i="9"/>
  <c r="BR65" i="9"/>
  <c r="BS65" i="9"/>
  <c r="BT65" i="9"/>
  <c r="BP66" i="9"/>
  <c r="BQ66" i="9"/>
  <c r="BR66" i="9"/>
  <c r="BS66" i="9"/>
  <c r="BT66" i="9"/>
  <c r="BP67" i="9"/>
  <c r="BQ67" i="9"/>
  <c r="BR67" i="9"/>
  <c r="BS67" i="9"/>
  <c r="BT67" i="9"/>
  <c r="BP68" i="9"/>
  <c r="BQ68" i="9"/>
  <c r="BR68" i="9"/>
  <c r="BS68" i="9"/>
  <c r="BT68" i="9"/>
  <c r="BP69" i="9"/>
  <c r="BQ69" i="9"/>
  <c r="BR69" i="9"/>
  <c r="BS69" i="9"/>
  <c r="BT69" i="9"/>
  <c r="BP70" i="9"/>
  <c r="BQ70" i="9"/>
  <c r="BR70" i="9"/>
  <c r="BS70" i="9"/>
  <c r="BT70" i="9"/>
  <c r="BP71" i="9"/>
  <c r="BQ71" i="9"/>
  <c r="BR71" i="9"/>
  <c r="BS71" i="9"/>
  <c r="BT71" i="9"/>
  <c r="BP72" i="9"/>
  <c r="BQ72" i="9"/>
  <c r="BR72" i="9"/>
  <c r="BS72" i="9"/>
  <c r="BT72" i="9"/>
  <c r="BP73" i="9"/>
  <c r="BQ73" i="9"/>
  <c r="BR73" i="9"/>
  <c r="BS73" i="9"/>
  <c r="BT73" i="9"/>
  <c r="BP74" i="9"/>
  <c r="BQ74" i="9"/>
  <c r="BR74" i="9"/>
  <c r="BS74" i="9"/>
  <c r="BT74" i="9"/>
  <c r="BP75" i="9"/>
  <c r="BQ75" i="9"/>
  <c r="BR75" i="9"/>
  <c r="BS75" i="9"/>
  <c r="BT75" i="9"/>
  <c r="BP76" i="9"/>
  <c r="BQ76" i="9"/>
  <c r="BR76" i="9"/>
  <c r="BS76" i="9"/>
  <c r="BT76" i="9"/>
  <c r="BP77" i="9"/>
  <c r="BQ77" i="9"/>
  <c r="BR77" i="9"/>
  <c r="BS77" i="9"/>
  <c r="BT77" i="9"/>
  <c r="BP78" i="9"/>
  <c r="BQ78" i="9"/>
  <c r="BR78" i="9"/>
  <c r="BS78" i="9"/>
  <c r="BT78" i="9"/>
  <c r="BP79" i="9"/>
  <c r="BQ79" i="9"/>
  <c r="BR79" i="9"/>
  <c r="BS79" i="9"/>
  <c r="BT79" i="9"/>
  <c r="BP80" i="9"/>
  <c r="BQ80" i="9"/>
  <c r="BR80" i="9"/>
  <c r="BS80" i="9"/>
  <c r="BT80" i="9"/>
  <c r="BP81" i="9"/>
  <c r="BQ81" i="9"/>
  <c r="BR81" i="9"/>
  <c r="BS81" i="9"/>
  <c r="BT81" i="9"/>
  <c r="BP82" i="9"/>
  <c r="BQ82" i="9"/>
  <c r="BR82" i="9"/>
  <c r="BS82" i="9"/>
  <c r="BT82" i="9"/>
  <c r="BP83" i="9"/>
  <c r="BQ83" i="9"/>
  <c r="BR83" i="9"/>
  <c r="BS83" i="9"/>
  <c r="BT83" i="9"/>
  <c r="BP84" i="9"/>
  <c r="BQ84" i="9"/>
  <c r="BR84" i="9"/>
  <c r="BS84" i="9"/>
  <c r="BT84" i="9"/>
  <c r="BP85" i="9"/>
  <c r="BQ85" i="9"/>
  <c r="BR85" i="9"/>
  <c r="BS85" i="9"/>
  <c r="BT85" i="9"/>
  <c r="BP86" i="9"/>
  <c r="BQ86" i="9"/>
  <c r="BR86" i="9"/>
  <c r="BS86" i="9"/>
  <c r="BT86" i="9"/>
  <c r="BP87" i="9"/>
  <c r="BQ87" i="9"/>
  <c r="BR87" i="9"/>
  <c r="BS87" i="9"/>
  <c r="BT87" i="9"/>
  <c r="BP88" i="9"/>
  <c r="BQ88" i="9"/>
  <c r="BR88" i="9"/>
  <c r="BS88" i="9"/>
  <c r="BT88" i="9"/>
  <c r="BP89" i="9"/>
  <c r="BQ89" i="9"/>
  <c r="BR89" i="9"/>
  <c r="BS89" i="9"/>
  <c r="BT89" i="9"/>
  <c r="BP90" i="9"/>
  <c r="BQ90" i="9"/>
  <c r="BR90" i="9"/>
  <c r="BS90" i="9"/>
  <c r="BT90" i="9"/>
  <c r="BP91" i="9"/>
  <c r="BQ91" i="9"/>
  <c r="BR91" i="9"/>
  <c r="BS91" i="9"/>
  <c r="BT91" i="9"/>
  <c r="BP92" i="9"/>
  <c r="BQ92" i="9"/>
  <c r="BR92" i="9"/>
  <c r="BS92" i="9"/>
  <c r="BT92" i="9"/>
  <c r="BP93" i="9"/>
  <c r="BQ93" i="9"/>
  <c r="BR93" i="9"/>
  <c r="BS93" i="9"/>
  <c r="BT93" i="9"/>
  <c r="BP94" i="9"/>
  <c r="BQ94" i="9"/>
  <c r="BR94" i="9"/>
  <c r="BS94" i="9"/>
  <c r="BT94" i="9"/>
  <c r="BP95" i="9"/>
  <c r="BQ95" i="9"/>
  <c r="BR95" i="9"/>
  <c r="BS95" i="9"/>
  <c r="BT95" i="9"/>
  <c r="BP96" i="9"/>
  <c r="BQ96" i="9"/>
  <c r="BR96" i="9"/>
  <c r="BS96" i="9"/>
  <c r="BT96" i="9"/>
  <c r="BP97" i="9"/>
  <c r="BQ97" i="9"/>
  <c r="BR97" i="9"/>
  <c r="BS97" i="9"/>
  <c r="BT97" i="9"/>
  <c r="BP98" i="9"/>
  <c r="BQ98" i="9"/>
  <c r="BR98" i="9"/>
  <c r="BS98" i="9"/>
  <c r="BT98" i="9"/>
  <c r="BP99" i="9"/>
  <c r="BQ99" i="9"/>
  <c r="BR99" i="9"/>
  <c r="BS99" i="9"/>
  <c r="BT99" i="9"/>
  <c r="BP100" i="9"/>
  <c r="BQ100" i="9"/>
  <c r="BR100" i="9"/>
  <c r="BS100" i="9"/>
  <c r="BT100" i="9"/>
  <c r="BP101" i="9"/>
  <c r="BQ101" i="9"/>
  <c r="BR101" i="9"/>
  <c r="BS101" i="9"/>
  <c r="BT101" i="9"/>
  <c r="BP102" i="9"/>
  <c r="BQ102" i="9"/>
  <c r="BR102" i="9"/>
  <c r="BS102" i="9"/>
  <c r="BT102" i="9"/>
  <c r="BP103" i="9"/>
  <c r="BQ103" i="9"/>
  <c r="BR103" i="9"/>
  <c r="BS103" i="9"/>
  <c r="BT103" i="9"/>
  <c r="BP104" i="9"/>
  <c r="BQ104" i="9"/>
  <c r="BR104" i="9"/>
  <c r="BS104" i="9"/>
  <c r="BT104" i="9"/>
  <c r="BP105" i="9"/>
  <c r="BQ105" i="9"/>
  <c r="BR105" i="9"/>
  <c r="BS105" i="9"/>
  <c r="BT105" i="9"/>
  <c r="BP106" i="9"/>
  <c r="BQ106" i="9"/>
  <c r="BR106" i="9"/>
  <c r="BS106" i="9"/>
  <c r="BT106" i="9"/>
  <c r="BP107" i="9"/>
  <c r="BQ107" i="9"/>
  <c r="BR107" i="9"/>
  <c r="BS107" i="9"/>
  <c r="BT107" i="9"/>
  <c r="BP108" i="9"/>
  <c r="BQ108" i="9"/>
  <c r="BR108" i="9"/>
  <c r="BS108" i="9"/>
  <c r="BT108" i="9"/>
  <c r="BP109" i="9"/>
  <c r="BQ109" i="9"/>
  <c r="BR109" i="9"/>
  <c r="BS109" i="9"/>
  <c r="BT109" i="9"/>
  <c r="BP110" i="9"/>
  <c r="BQ110" i="9"/>
  <c r="BR110" i="9"/>
  <c r="BS110" i="9"/>
  <c r="BT110" i="9"/>
  <c r="BP111" i="9"/>
  <c r="BQ111" i="9"/>
  <c r="BR111" i="9"/>
  <c r="BS111" i="9"/>
  <c r="BT111" i="9"/>
  <c r="BP112" i="9"/>
  <c r="BQ112" i="9"/>
  <c r="BR112" i="9"/>
  <c r="BS112" i="9"/>
  <c r="BT112" i="9"/>
  <c r="BP113" i="9"/>
  <c r="BQ113" i="9"/>
  <c r="BR113" i="9"/>
  <c r="BS113" i="9"/>
  <c r="BT113" i="9"/>
  <c r="BP114" i="9"/>
  <c r="BQ114" i="9"/>
  <c r="BR114" i="9"/>
  <c r="BS114" i="9"/>
  <c r="BT114" i="9"/>
  <c r="BP115" i="9"/>
  <c r="BQ115" i="9"/>
  <c r="BR115" i="9"/>
  <c r="BS115" i="9"/>
  <c r="BT115" i="9"/>
  <c r="BP116" i="9"/>
  <c r="BQ116" i="9"/>
  <c r="BR116" i="9"/>
  <c r="BS116" i="9"/>
  <c r="BT116" i="9"/>
  <c r="BP117" i="9"/>
  <c r="BQ117" i="9"/>
  <c r="BR117" i="9"/>
  <c r="BS117" i="9"/>
  <c r="BT117" i="9"/>
  <c r="BP118" i="9"/>
  <c r="BQ118" i="9"/>
  <c r="BR118" i="9"/>
  <c r="BS118" i="9"/>
  <c r="BT118" i="9"/>
  <c r="BP119" i="9"/>
  <c r="BQ119" i="9"/>
  <c r="BR119" i="9"/>
  <c r="BS119" i="9"/>
  <c r="BT119" i="9"/>
  <c r="BP120" i="9"/>
  <c r="BQ120" i="9"/>
  <c r="BR120" i="9"/>
  <c r="BS120" i="9"/>
  <c r="BT120" i="9"/>
  <c r="BP121" i="9"/>
  <c r="BQ121" i="9"/>
  <c r="BR121" i="9"/>
  <c r="BS121" i="9"/>
  <c r="BT121" i="9"/>
  <c r="BP122" i="9"/>
  <c r="BQ122" i="9"/>
  <c r="BR122" i="9"/>
  <c r="BS122" i="9"/>
  <c r="BT122" i="9"/>
  <c r="BP123" i="9"/>
  <c r="BQ123" i="9"/>
  <c r="BR123" i="9"/>
  <c r="BS123" i="9"/>
  <c r="BT123" i="9"/>
  <c r="BP124" i="9"/>
  <c r="BQ124" i="9"/>
  <c r="BR124" i="9"/>
  <c r="BS124" i="9"/>
  <c r="BT124" i="9"/>
  <c r="BP125" i="9"/>
  <c r="BQ125" i="9"/>
  <c r="BR125" i="9"/>
  <c r="BS125" i="9"/>
  <c r="BT125" i="9"/>
  <c r="BP126" i="9"/>
  <c r="BQ126" i="9"/>
  <c r="BR126" i="9"/>
  <c r="BS126" i="9"/>
  <c r="BT126" i="9"/>
  <c r="BP127" i="9"/>
  <c r="BQ127" i="9"/>
  <c r="BR127" i="9"/>
  <c r="BS127" i="9"/>
  <c r="BT127" i="9"/>
  <c r="BP128" i="9"/>
  <c r="BQ128" i="9"/>
  <c r="BR128" i="9"/>
  <c r="BS128" i="9"/>
  <c r="BT128" i="9"/>
  <c r="BP129" i="9"/>
  <c r="BQ129" i="9"/>
  <c r="BR129" i="9"/>
  <c r="BS129" i="9"/>
  <c r="BT129" i="9"/>
  <c r="BP130" i="9"/>
  <c r="BQ130" i="9"/>
  <c r="BR130" i="9"/>
  <c r="BS130" i="9"/>
  <c r="BT130" i="9"/>
  <c r="BP131" i="9"/>
  <c r="BQ131" i="9"/>
  <c r="BR131" i="9"/>
  <c r="BS131" i="9"/>
  <c r="BT131" i="9"/>
  <c r="BP132" i="9"/>
  <c r="BQ132" i="9"/>
  <c r="BR132" i="9"/>
  <c r="BS132" i="9"/>
  <c r="BT132" i="9"/>
  <c r="BP133" i="9"/>
  <c r="BQ133" i="9"/>
  <c r="BR133" i="9"/>
  <c r="BS133" i="9"/>
  <c r="BT133" i="9"/>
  <c r="BP134" i="9"/>
  <c r="BQ134" i="9"/>
  <c r="BR134" i="9"/>
  <c r="BS134" i="9"/>
  <c r="BT134" i="9"/>
  <c r="BP135" i="9"/>
  <c r="BQ135" i="9"/>
  <c r="BR135" i="9"/>
  <c r="BS135" i="9"/>
  <c r="BT135" i="9"/>
  <c r="BP136" i="9"/>
  <c r="BQ136" i="9"/>
  <c r="BR136" i="9"/>
  <c r="BS136" i="9"/>
  <c r="BT136" i="9"/>
  <c r="BP137" i="9"/>
  <c r="BQ137" i="9"/>
  <c r="BR137" i="9"/>
  <c r="BS137" i="9"/>
  <c r="BT137" i="9"/>
  <c r="BP138" i="9"/>
  <c r="BQ138" i="9"/>
  <c r="BR138" i="9"/>
  <c r="BS138" i="9"/>
  <c r="BT138" i="9"/>
  <c r="BP139" i="9"/>
  <c r="BQ139" i="9"/>
  <c r="BR139" i="9"/>
  <c r="BS139" i="9"/>
  <c r="BT139" i="9"/>
  <c r="BP140" i="9"/>
  <c r="BQ140" i="9"/>
  <c r="BR140" i="9"/>
  <c r="BS140" i="9"/>
  <c r="BT140" i="9"/>
  <c r="BP141" i="9"/>
  <c r="BQ141" i="9"/>
  <c r="BR141" i="9"/>
  <c r="BS141" i="9"/>
  <c r="BT141" i="9"/>
  <c r="BP142" i="9"/>
  <c r="BQ142" i="9"/>
  <c r="BR142" i="9"/>
  <c r="BS142" i="9"/>
  <c r="BT142" i="9"/>
  <c r="BP143" i="9"/>
  <c r="BQ143" i="9"/>
  <c r="BR143" i="9"/>
  <c r="BS143" i="9"/>
  <c r="BT143" i="9"/>
  <c r="BP144" i="9"/>
  <c r="BQ144" i="9"/>
  <c r="BR144" i="9"/>
  <c r="BS144" i="9"/>
  <c r="BT144" i="9"/>
  <c r="BP145" i="9"/>
  <c r="BQ145" i="9"/>
  <c r="BR145" i="9"/>
  <c r="BS145" i="9"/>
  <c r="BT145" i="9"/>
  <c r="BP146" i="9"/>
  <c r="BQ146" i="9"/>
  <c r="BR146" i="9"/>
  <c r="BS146" i="9"/>
  <c r="BT146" i="9"/>
  <c r="BP147" i="9"/>
  <c r="BQ147" i="9"/>
  <c r="BR147" i="9"/>
  <c r="BS147" i="9"/>
  <c r="BT147" i="9"/>
  <c r="BP148" i="9"/>
  <c r="BQ148" i="9"/>
  <c r="BR148" i="9"/>
  <c r="BS148" i="9"/>
  <c r="BT148" i="9"/>
  <c r="BP149" i="9"/>
  <c r="BQ149" i="9"/>
  <c r="BR149" i="9"/>
  <c r="BS149" i="9"/>
  <c r="BT149" i="9"/>
  <c r="BP150" i="9"/>
  <c r="BQ150" i="9"/>
  <c r="BR150" i="9"/>
  <c r="BS150" i="9"/>
  <c r="BT150" i="9"/>
  <c r="BP151" i="9"/>
  <c r="BQ151" i="9"/>
  <c r="BR151" i="9"/>
  <c r="BS151" i="9"/>
  <c r="BT151" i="9"/>
  <c r="BP152" i="9"/>
  <c r="BQ152" i="9"/>
  <c r="BR152" i="9"/>
  <c r="BS152" i="9"/>
  <c r="BT152" i="9"/>
  <c r="BP153" i="9"/>
  <c r="BQ153" i="9"/>
  <c r="BR153" i="9"/>
  <c r="BS153" i="9"/>
  <c r="BT153" i="9"/>
  <c r="BP154" i="9"/>
  <c r="BQ154" i="9"/>
  <c r="BR154" i="9"/>
  <c r="BS154" i="9"/>
  <c r="BT154" i="9"/>
  <c r="BP155" i="9"/>
  <c r="BQ155" i="9"/>
  <c r="BR155" i="9"/>
  <c r="BS155" i="9"/>
  <c r="BT155" i="9"/>
  <c r="BP156" i="9"/>
  <c r="BQ156" i="9"/>
  <c r="BR156" i="9"/>
  <c r="BS156" i="9"/>
  <c r="BT156" i="9"/>
  <c r="BP157" i="9"/>
  <c r="BQ157" i="9"/>
  <c r="BR157" i="9"/>
  <c r="BS157" i="9"/>
  <c r="BT157" i="9"/>
  <c r="BP158" i="9"/>
  <c r="BQ158" i="9"/>
  <c r="BR158" i="9"/>
  <c r="BS158" i="9"/>
  <c r="BT158" i="9"/>
  <c r="BP159" i="9"/>
  <c r="BQ159" i="9"/>
  <c r="BR159" i="9"/>
  <c r="BS159" i="9"/>
  <c r="BT159" i="9"/>
  <c r="BP160" i="9"/>
  <c r="BQ160" i="9"/>
  <c r="BR160" i="9"/>
  <c r="BS160" i="9"/>
  <c r="BT160" i="9"/>
  <c r="BP161" i="9"/>
  <c r="BQ161" i="9"/>
  <c r="BR161" i="9"/>
  <c r="BS161" i="9"/>
  <c r="BT161" i="9"/>
  <c r="BP162" i="9"/>
  <c r="BQ162" i="9"/>
  <c r="BR162" i="9"/>
  <c r="BS162" i="9"/>
  <c r="BT162" i="9"/>
  <c r="BP163" i="9"/>
  <c r="BQ163" i="9"/>
  <c r="BR163" i="9"/>
  <c r="BS163" i="9"/>
  <c r="BT163" i="9"/>
  <c r="BP164" i="9"/>
  <c r="BQ164" i="9"/>
  <c r="BR164" i="9"/>
  <c r="BS164" i="9"/>
  <c r="BT164" i="9"/>
  <c r="BP165" i="9"/>
  <c r="BQ165" i="9"/>
  <c r="BR165" i="9"/>
  <c r="BS165" i="9"/>
  <c r="BT165" i="9"/>
  <c r="BP166" i="9"/>
  <c r="BQ166" i="9"/>
  <c r="BR166" i="9"/>
  <c r="BS166" i="9"/>
  <c r="BT166" i="9"/>
  <c r="BP167" i="9"/>
  <c r="BQ167" i="9"/>
  <c r="BR167" i="9"/>
  <c r="BS167" i="9"/>
  <c r="BT167" i="9"/>
  <c r="BP168" i="9"/>
  <c r="BQ168" i="9"/>
  <c r="BR168" i="9"/>
  <c r="BS168" i="9"/>
  <c r="BT168" i="9"/>
  <c r="BP169" i="9"/>
  <c r="BQ169" i="9"/>
  <c r="BR169" i="9"/>
  <c r="BS169" i="9"/>
  <c r="BT169" i="9"/>
  <c r="BP170" i="9"/>
  <c r="BQ170" i="9"/>
  <c r="BR170" i="9"/>
  <c r="BS170" i="9"/>
  <c r="BT170" i="9"/>
  <c r="BP171" i="9"/>
  <c r="BQ171" i="9"/>
  <c r="BR171" i="9"/>
  <c r="BS171" i="9"/>
  <c r="BT171" i="9"/>
  <c r="BP172" i="9"/>
  <c r="BQ172" i="9"/>
  <c r="BR172" i="9"/>
  <c r="BS172" i="9"/>
  <c r="BT172" i="9"/>
  <c r="BP173" i="9"/>
  <c r="BQ173" i="9"/>
  <c r="BR173" i="9"/>
  <c r="BS173" i="9"/>
  <c r="BT173" i="9"/>
  <c r="BP174" i="9"/>
  <c r="BQ174" i="9"/>
  <c r="BR174" i="9"/>
  <c r="BS174" i="9"/>
  <c r="BT174" i="9"/>
  <c r="BP175" i="9"/>
  <c r="BQ175" i="9"/>
  <c r="BR175" i="9"/>
  <c r="BS175" i="9"/>
  <c r="BT175" i="9"/>
  <c r="BP176" i="9"/>
  <c r="BQ176" i="9"/>
  <c r="BR176" i="9"/>
  <c r="BS176" i="9"/>
  <c r="BT176" i="9"/>
  <c r="BP177" i="9"/>
  <c r="BQ177" i="9"/>
  <c r="BR177" i="9"/>
  <c r="BS177" i="9"/>
  <c r="BT177" i="9"/>
  <c r="BP178" i="9"/>
  <c r="BQ178" i="9"/>
  <c r="BR178" i="9"/>
  <c r="BS178" i="9"/>
  <c r="BT178" i="9"/>
  <c r="BP179" i="9"/>
  <c r="BQ179" i="9"/>
  <c r="BR179" i="9"/>
  <c r="BS179" i="9"/>
  <c r="BT179" i="9"/>
  <c r="BP180" i="9"/>
  <c r="BQ180" i="9"/>
  <c r="BR180" i="9"/>
  <c r="BS180" i="9"/>
  <c r="BT180" i="9"/>
  <c r="BP181" i="9"/>
  <c r="BQ181" i="9"/>
  <c r="BR181" i="9"/>
  <c r="BS181" i="9"/>
  <c r="BT181" i="9"/>
  <c r="BP182" i="9"/>
  <c r="BQ182" i="9"/>
  <c r="BR182" i="9"/>
  <c r="BS182" i="9"/>
  <c r="BT182" i="9"/>
  <c r="BP183" i="9"/>
  <c r="BQ183" i="9"/>
  <c r="BR183" i="9"/>
  <c r="BS183" i="9"/>
  <c r="BT183" i="9"/>
  <c r="BP184" i="9"/>
  <c r="BQ184" i="9"/>
  <c r="BR184" i="9"/>
  <c r="BS184" i="9"/>
  <c r="BT184" i="9"/>
  <c r="BP185" i="9"/>
  <c r="BQ185" i="9"/>
  <c r="BR185" i="9"/>
  <c r="BS185" i="9"/>
  <c r="BT185" i="9"/>
  <c r="BP186" i="9"/>
  <c r="BQ186" i="9"/>
  <c r="BR186" i="9"/>
  <c r="BS186" i="9"/>
  <c r="BT186" i="9"/>
  <c r="BP187" i="9"/>
  <c r="BQ187" i="9"/>
  <c r="BR187" i="9"/>
  <c r="BS187" i="9"/>
  <c r="BT187" i="9"/>
  <c r="BP188" i="9"/>
  <c r="BQ188" i="9"/>
  <c r="BR188" i="9"/>
  <c r="BS188" i="9"/>
  <c r="BT188" i="9"/>
  <c r="BP189" i="9"/>
  <c r="BQ189" i="9"/>
  <c r="BR189" i="9"/>
  <c r="BS189" i="9"/>
  <c r="BT189" i="9"/>
  <c r="BP190" i="9"/>
  <c r="BQ190" i="9"/>
  <c r="BR190" i="9"/>
  <c r="BS190" i="9"/>
  <c r="BT190" i="9"/>
  <c r="BP191" i="9"/>
  <c r="BQ191" i="9"/>
  <c r="BR191" i="9"/>
  <c r="BS191" i="9"/>
  <c r="BT191" i="9"/>
  <c r="BP192" i="9"/>
  <c r="BQ192" i="9"/>
  <c r="BR192" i="9"/>
  <c r="BS192" i="9"/>
  <c r="BT192" i="9"/>
  <c r="BP193" i="9"/>
  <c r="BQ193" i="9"/>
  <c r="BR193" i="9"/>
  <c r="BS193" i="9"/>
  <c r="BT193" i="9"/>
  <c r="BP194" i="9"/>
  <c r="BQ194" i="9"/>
  <c r="BR194" i="9"/>
  <c r="BS194" i="9"/>
  <c r="BT194" i="9"/>
  <c r="BP195" i="9"/>
  <c r="BQ195" i="9"/>
  <c r="BR195" i="9"/>
  <c r="BS195" i="9"/>
  <c r="BT195" i="9"/>
  <c r="BP196" i="9"/>
  <c r="BQ196" i="9"/>
  <c r="BR196" i="9"/>
  <c r="BS196" i="9"/>
  <c r="BT196" i="9"/>
  <c r="BP197" i="9"/>
  <c r="BQ197" i="9"/>
  <c r="BR197" i="9"/>
  <c r="BS197" i="9"/>
  <c r="BT197" i="9"/>
  <c r="BP198" i="9"/>
  <c r="BQ198" i="9"/>
  <c r="BR198" i="9"/>
  <c r="BS198" i="9"/>
  <c r="BT198" i="9"/>
  <c r="BP199" i="9"/>
  <c r="BQ199" i="9"/>
  <c r="BR199" i="9"/>
  <c r="BS199" i="9"/>
  <c r="BT199" i="9"/>
  <c r="BP200" i="9"/>
  <c r="BQ200" i="9"/>
  <c r="BR200" i="9"/>
  <c r="BS200" i="9"/>
  <c r="BT200" i="9"/>
  <c r="BP201" i="9"/>
  <c r="BQ201" i="9"/>
  <c r="BR201" i="9"/>
  <c r="BS201" i="9"/>
  <c r="BT201" i="9"/>
  <c r="BP202" i="9"/>
  <c r="BQ202" i="9"/>
  <c r="BR202" i="9"/>
  <c r="BS202" i="9"/>
  <c r="BT202" i="9"/>
  <c r="BP203" i="9"/>
  <c r="BQ203" i="9"/>
  <c r="BR203" i="9"/>
  <c r="BS203" i="9"/>
  <c r="BT203" i="9"/>
  <c r="BP204" i="9"/>
  <c r="BQ204" i="9"/>
  <c r="BR204" i="9"/>
  <c r="BS204" i="9"/>
  <c r="BT204" i="9"/>
  <c r="BP205" i="9"/>
  <c r="BQ205" i="9"/>
  <c r="BR205" i="9"/>
  <c r="BS205" i="9"/>
  <c r="BT205" i="9"/>
  <c r="BP206" i="9"/>
  <c r="BQ206" i="9"/>
  <c r="BR206" i="9"/>
  <c r="BS206" i="9"/>
  <c r="BT206" i="9"/>
  <c r="BP207" i="9"/>
  <c r="BQ207" i="9"/>
  <c r="BR207" i="9"/>
  <c r="BS207" i="9"/>
  <c r="BT207" i="9"/>
  <c r="BP208" i="9"/>
  <c r="BQ208" i="9"/>
  <c r="BR208" i="9"/>
  <c r="BS208" i="9"/>
  <c r="BT208" i="9"/>
  <c r="BP209" i="9"/>
  <c r="BQ209" i="9"/>
  <c r="BR209" i="9"/>
  <c r="BS209" i="9"/>
  <c r="BT209" i="9"/>
  <c r="BP210" i="9"/>
  <c r="BQ210" i="9"/>
  <c r="BR210" i="9"/>
  <c r="BS210" i="9"/>
  <c r="BT210" i="9"/>
  <c r="BP211" i="9"/>
  <c r="BQ211" i="9"/>
  <c r="BR211" i="9"/>
  <c r="BS211" i="9"/>
  <c r="BT211" i="9"/>
  <c r="BP212" i="9"/>
  <c r="BQ212" i="9"/>
  <c r="BR212" i="9"/>
  <c r="BS212" i="9"/>
  <c r="BT212" i="9"/>
  <c r="BP213" i="9"/>
  <c r="BQ213" i="9"/>
  <c r="BR213" i="9"/>
  <c r="BS213" i="9"/>
  <c r="BT213" i="9"/>
  <c r="BP214" i="9"/>
  <c r="BQ214" i="9"/>
  <c r="BR214" i="9"/>
  <c r="BS214" i="9"/>
  <c r="BT214" i="9"/>
  <c r="BP215" i="9"/>
  <c r="BQ215" i="9"/>
  <c r="BR215" i="9"/>
  <c r="BS215" i="9"/>
  <c r="BT215" i="9"/>
  <c r="BP216" i="9"/>
  <c r="BQ216" i="9"/>
  <c r="BR216" i="9"/>
  <c r="BS216" i="9"/>
  <c r="BT216" i="9"/>
  <c r="BP217" i="9"/>
  <c r="BQ217" i="9"/>
  <c r="BR217" i="9"/>
  <c r="BS217" i="9"/>
  <c r="BT217" i="9"/>
  <c r="BP218" i="9"/>
  <c r="BQ218" i="9"/>
  <c r="BR218" i="9"/>
  <c r="BS218" i="9"/>
  <c r="BT218" i="9"/>
  <c r="BP219" i="9"/>
  <c r="BQ219" i="9"/>
  <c r="BR219" i="9"/>
  <c r="BS219" i="9"/>
  <c r="BT219" i="9"/>
  <c r="BP220" i="9"/>
  <c r="BQ220" i="9"/>
  <c r="BR220" i="9"/>
  <c r="BS220" i="9"/>
  <c r="BT220" i="9"/>
  <c r="BP221" i="9"/>
  <c r="BQ221" i="9"/>
  <c r="BR221" i="9"/>
  <c r="BS221" i="9"/>
  <c r="BT221" i="9"/>
  <c r="BP222" i="9"/>
  <c r="BQ222" i="9"/>
  <c r="BR222" i="9"/>
  <c r="BS222" i="9"/>
  <c r="BT222" i="9"/>
  <c r="BP223" i="9"/>
  <c r="BQ223" i="9"/>
  <c r="BR223" i="9"/>
  <c r="BS223" i="9"/>
  <c r="BT223" i="9"/>
  <c r="BP224" i="9"/>
  <c r="BQ224" i="9"/>
  <c r="BR224" i="9"/>
  <c r="BS224" i="9"/>
  <c r="BT224" i="9"/>
  <c r="BP225" i="9"/>
  <c r="BQ225" i="9"/>
  <c r="BR225" i="9"/>
  <c r="BS225" i="9"/>
  <c r="BT225" i="9"/>
  <c r="BP226" i="9"/>
  <c r="BQ226" i="9"/>
  <c r="BR226" i="9"/>
  <c r="BS226" i="9"/>
  <c r="BT226" i="9"/>
  <c r="BP227" i="9"/>
  <c r="BQ227" i="9"/>
  <c r="BR227" i="9"/>
  <c r="BS227" i="9"/>
  <c r="BT227" i="9"/>
  <c r="BP228" i="9"/>
  <c r="BQ228" i="9"/>
  <c r="BR228" i="9"/>
  <c r="BS228" i="9"/>
  <c r="BT228" i="9"/>
  <c r="BP229" i="9"/>
  <c r="BQ229" i="9"/>
  <c r="BR229" i="9"/>
  <c r="BS229" i="9"/>
  <c r="BT229" i="9"/>
  <c r="BP230" i="9"/>
  <c r="BQ230" i="9"/>
  <c r="BR230" i="9"/>
  <c r="BS230" i="9"/>
  <c r="BT230" i="9"/>
  <c r="BP231" i="9"/>
  <c r="BQ231" i="9"/>
  <c r="BR231" i="9"/>
  <c r="BS231" i="9"/>
  <c r="BT231" i="9"/>
  <c r="BP232" i="9"/>
  <c r="BQ232" i="9"/>
  <c r="BR232" i="9"/>
  <c r="BS232" i="9"/>
  <c r="BT232" i="9"/>
  <c r="BP233" i="9"/>
  <c r="BQ233" i="9"/>
  <c r="BR233" i="9"/>
  <c r="BS233" i="9"/>
  <c r="BT233" i="9"/>
  <c r="BP234" i="9"/>
  <c r="BQ234" i="9"/>
  <c r="BR234" i="9"/>
  <c r="BS234" i="9"/>
  <c r="BT234" i="9"/>
  <c r="BP235" i="9"/>
  <c r="BQ235" i="9"/>
  <c r="BR235" i="9"/>
  <c r="BS235" i="9"/>
  <c r="BT235" i="9"/>
  <c r="BP236" i="9"/>
  <c r="BQ236" i="9"/>
  <c r="BR236" i="9"/>
  <c r="BS236" i="9"/>
  <c r="BT236" i="9"/>
  <c r="BP237" i="9"/>
  <c r="BQ237" i="9"/>
  <c r="BR237" i="9"/>
  <c r="BS237" i="9"/>
  <c r="BT237" i="9"/>
  <c r="BP238" i="9"/>
  <c r="BQ238" i="9"/>
  <c r="BR238" i="9"/>
  <c r="BS238" i="9"/>
  <c r="BT238" i="9"/>
  <c r="BP239" i="9"/>
  <c r="BQ239" i="9"/>
  <c r="BR239" i="9"/>
  <c r="BS239" i="9"/>
  <c r="BT239" i="9"/>
  <c r="BP240" i="9"/>
  <c r="BQ240" i="9"/>
  <c r="BR240" i="9"/>
  <c r="BS240" i="9"/>
  <c r="BT240" i="9"/>
  <c r="BP241" i="9"/>
  <c r="BQ241" i="9"/>
  <c r="BR241" i="9"/>
  <c r="BS241" i="9"/>
  <c r="BT241" i="9"/>
  <c r="BP242" i="9"/>
  <c r="BQ242" i="9"/>
  <c r="BR242" i="9"/>
  <c r="BS242" i="9"/>
  <c r="BT242" i="9"/>
  <c r="BP243" i="9"/>
  <c r="BQ243" i="9"/>
  <c r="BR243" i="9"/>
  <c r="BS243" i="9"/>
  <c r="BT243" i="9"/>
  <c r="BP244" i="9"/>
  <c r="BQ244" i="9"/>
  <c r="BR244" i="9"/>
  <c r="BS244" i="9"/>
  <c r="BT244" i="9"/>
  <c r="BP245" i="9"/>
  <c r="BQ245" i="9"/>
  <c r="BR245" i="9"/>
  <c r="BS245" i="9"/>
  <c r="BT245" i="9"/>
  <c r="BP246" i="9"/>
  <c r="BQ246" i="9"/>
  <c r="BR246" i="9"/>
  <c r="BS246" i="9"/>
  <c r="BT246" i="9"/>
  <c r="BP247" i="9"/>
  <c r="BQ247" i="9"/>
  <c r="BR247" i="9"/>
  <c r="BS247" i="9"/>
  <c r="BT247" i="9"/>
  <c r="BP248" i="9"/>
  <c r="BQ248" i="9"/>
  <c r="BR248" i="9"/>
  <c r="BS248" i="9"/>
  <c r="BT248" i="9"/>
  <c r="BP249" i="9"/>
  <c r="BQ249" i="9"/>
  <c r="BR249" i="9"/>
  <c r="BS249" i="9"/>
  <c r="BT249" i="9"/>
  <c r="BP250" i="9"/>
  <c r="BQ250" i="9"/>
  <c r="BR250" i="9"/>
  <c r="BS250" i="9"/>
  <c r="BT250" i="9"/>
  <c r="BP251" i="9"/>
  <c r="BQ251" i="9"/>
  <c r="BR251" i="9"/>
  <c r="BS251" i="9"/>
  <c r="BT251" i="9"/>
  <c r="BP252" i="9"/>
  <c r="BQ252" i="9"/>
  <c r="BR252" i="9"/>
  <c r="BS252" i="9"/>
  <c r="BT252" i="9"/>
  <c r="BP253" i="9"/>
  <c r="BQ253" i="9"/>
  <c r="BR253" i="9"/>
  <c r="BS253" i="9"/>
  <c r="BT253" i="9"/>
  <c r="BP254" i="9"/>
  <c r="BQ254" i="9"/>
  <c r="BR254" i="9"/>
  <c r="BS254" i="9"/>
  <c r="BT254" i="9"/>
  <c r="BP255" i="9"/>
  <c r="BQ255" i="9"/>
  <c r="BR255" i="9"/>
  <c r="BS255" i="9"/>
  <c r="BT255" i="9"/>
  <c r="BP256" i="9"/>
  <c r="BQ256" i="9"/>
  <c r="BR256" i="9"/>
  <c r="BS256" i="9"/>
  <c r="BT256" i="9"/>
  <c r="BP257" i="9"/>
  <c r="BQ257" i="9"/>
  <c r="BR257" i="9"/>
  <c r="BS257" i="9"/>
  <c r="BT257" i="9"/>
  <c r="BP258" i="9"/>
  <c r="BQ258" i="9"/>
  <c r="BR258" i="9"/>
  <c r="BS258" i="9"/>
  <c r="BT258" i="9"/>
  <c r="BP259" i="9"/>
  <c r="BQ259" i="9"/>
  <c r="BR259" i="9"/>
  <c r="BS259" i="9"/>
  <c r="BT259" i="9"/>
  <c r="BP260" i="9"/>
  <c r="BQ260" i="9"/>
  <c r="BR260" i="9"/>
  <c r="BS260" i="9"/>
  <c r="BT260" i="9"/>
  <c r="BP261" i="9"/>
  <c r="BQ261" i="9"/>
  <c r="BR261" i="9"/>
  <c r="BS261" i="9"/>
  <c r="BT261" i="9"/>
  <c r="BP262" i="9"/>
  <c r="BQ262" i="9"/>
  <c r="BR262" i="9"/>
  <c r="BS262" i="9"/>
  <c r="BT262" i="9"/>
  <c r="BP263" i="9"/>
  <c r="BQ263" i="9"/>
  <c r="BR263" i="9"/>
  <c r="BS263" i="9"/>
  <c r="BT263" i="9"/>
  <c r="BP264" i="9"/>
  <c r="BQ264" i="9"/>
  <c r="BR264" i="9"/>
  <c r="BS264" i="9"/>
  <c r="BT264" i="9"/>
  <c r="BP265" i="9"/>
  <c r="BQ265" i="9"/>
  <c r="BR265" i="9"/>
  <c r="BS265" i="9"/>
  <c r="BT265" i="9"/>
  <c r="BP266" i="9"/>
  <c r="BQ266" i="9"/>
  <c r="BR266" i="9"/>
  <c r="BS266" i="9"/>
  <c r="BT266" i="9"/>
  <c r="BP267" i="9"/>
  <c r="BQ267" i="9"/>
  <c r="BR267" i="9"/>
  <c r="BS267" i="9"/>
  <c r="BT267" i="9"/>
  <c r="BP268" i="9"/>
  <c r="BQ268" i="9"/>
  <c r="BR268" i="9"/>
  <c r="BS268" i="9"/>
  <c r="BT268" i="9"/>
  <c r="BP269" i="9"/>
  <c r="BQ269" i="9"/>
  <c r="BR269" i="9"/>
  <c r="BS269" i="9"/>
  <c r="BT269" i="9"/>
  <c r="BP270" i="9"/>
  <c r="BQ270" i="9"/>
  <c r="BR270" i="9"/>
  <c r="BS270" i="9"/>
  <c r="BT270" i="9"/>
  <c r="BP271" i="9"/>
  <c r="BQ271" i="9"/>
  <c r="BR271" i="9"/>
  <c r="BS271" i="9"/>
  <c r="BT271" i="9"/>
  <c r="BP272" i="9"/>
  <c r="BQ272" i="9"/>
  <c r="BR272" i="9"/>
  <c r="BS272" i="9"/>
  <c r="BT272" i="9"/>
  <c r="BP273" i="9"/>
  <c r="BQ273" i="9"/>
  <c r="BR273" i="9"/>
  <c r="BS273" i="9"/>
  <c r="BT273" i="9"/>
  <c r="BP274" i="9"/>
  <c r="BQ274" i="9"/>
  <c r="BR274" i="9"/>
  <c r="BS274" i="9"/>
  <c r="BT274" i="9"/>
  <c r="BP275" i="9"/>
  <c r="BQ275" i="9"/>
  <c r="BR275" i="9"/>
  <c r="BS275" i="9"/>
  <c r="BT275" i="9"/>
  <c r="BP276" i="9"/>
  <c r="BQ276" i="9"/>
  <c r="BR276" i="9"/>
  <c r="BS276" i="9"/>
  <c r="BT276" i="9"/>
  <c r="BP277" i="9"/>
  <c r="BQ277" i="9"/>
  <c r="BR277" i="9"/>
  <c r="BS277" i="9"/>
  <c r="BT277" i="9"/>
  <c r="BP278" i="9"/>
  <c r="BQ278" i="9"/>
  <c r="BR278" i="9"/>
  <c r="BS278" i="9"/>
  <c r="BT278" i="9"/>
  <c r="BP279" i="9"/>
  <c r="BQ279" i="9"/>
  <c r="BR279" i="9"/>
  <c r="BS279" i="9"/>
  <c r="BT279" i="9"/>
  <c r="BP280" i="9"/>
  <c r="BQ280" i="9"/>
  <c r="BR280" i="9"/>
  <c r="BS280" i="9"/>
  <c r="BT280" i="9"/>
  <c r="BP281" i="9"/>
  <c r="BQ281" i="9"/>
  <c r="BR281" i="9"/>
  <c r="BS281" i="9"/>
  <c r="BT281" i="9"/>
  <c r="BP282" i="9"/>
  <c r="BQ282" i="9"/>
  <c r="BR282" i="9"/>
  <c r="BS282" i="9"/>
  <c r="BT282" i="9"/>
  <c r="BP283" i="9"/>
  <c r="BQ283" i="9"/>
  <c r="BR283" i="9"/>
  <c r="BS283" i="9"/>
  <c r="BT283" i="9"/>
  <c r="BP284" i="9"/>
  <c r="BQ284" i="9"/>
  <c r="BR284" i="9"/>
  <c r="BS284" i="9"/>
  <c r="BT284" i="9"/>
  <c r="BP285" i="9"/>
  <c r="BQ285" i="9"/>
  <c r="BR285" i="9"/>
  <c r="BS285" i="9"/>
  <c r="BT285" i="9"/>
  <c r="BP286" i="9"/>
  <c r="BQ286" i="9"/>
  <c r="BR286" i="9"/>
  <c r="BS286" i="9"/>
  <c r="BT286" i="9"/>
  <c r="BP287" i="9"/>
  <c r="BQ287" i="9"/>
  <c r="BR287" i="9"/>
  <c r="BS287" i="9"/>
  <c r="BT287" i="9"/>
  <c r="BP288" i="9"/>
  <c r="BQ288" i="9"/>
  <c r="BR288" i="9"/>
  <c r="BS288" i="9"/>
  <c r="BT288" i="9"/>
  <c r="BP289" i="9"/>
  <c r="BQ289" i="9"/>
  <c r="BR289" i="9"/>
  <c r="BS289" i="9"/>
  <c r="BT289" i="9"/>
  <c r="BP290" i="9"/>
  <c r="BQ290" i="9"/>
  <c r="BR290" i="9"/>
  <c r="BS290" i="9"/>
  <c r="BT290" i="9"/>
  <c r="BP291" i="9"/>
  <c r="BQ291" i="9"/>
  <c r="BR291" i="9"/>
  <c r="BS291" i="9"/>
  <c r="BT291" i="9"/>
  <c r="BP292" i="9"/>
  <c r="BQ292" i="9"/>
  <c r="BR292" i="9"/>
  <c r="BS292" i="9"/>
  <c r="BT292" i="9"/>
  <c r="BP293" i="9"/>
  <c r="BQ293" i="9"/>
  <c r="BR293" i="9"/>
  <c r="BS293" i="9"/>
  <c r="BT293" i="9"/>
  <c r="BP294" i="9"/>
  <c r="BQ294" i="9"/>
  <c r="BR294" i="9"/>
  <c r="BS294" i="9"/>
  <c r="BT294" i="9"/>
  <c r="BP295" i="9"/>
  <c r="BQ295" i="9"/>
  <c r="BR295" i="9"/>
  <c r="BS295" i="9"/>
  <c r="BT295" i="9"/>
  <c r="BP296" i="9"/>
  <c r="BQ296" i="9"/>
  <c r="BR296" i="9"/>
  <c r="BS296" i="9"/>
  <c r="BT296" i="9"/>
  <c r="BP297" i="9"/>
  <c r="BQ297" i="9"/>
  <c r="BR297" i="9"/>
  <c r="BS297" i="9"/>
  <c r="BT297" i="9"/>
  <c r="BP298" i="9"/>
  <c r="BQ298" i="9"/>
  <c r="BR298" i="9"/>
  <c r="BS298" i="9"/>
  <c r="BT298" i="9"/>
  <c r="BP299" i="9"/>
  <c r="BQ299" i="9"/>
  <c r="BR299" i="9"/>
  <c r="BS299" i="9"/>
  <c r="BT299" i="9"/>
  <c r="BP300" i="9"/>
  <c r="BQ300" i="9"/>
  <c r="BR300" i="9"/>
  <c r="BS300" i="9"/>
  <c r="BT300" i="9"/>
  <c r="BP301" i="9"/>
  <c r="BQ301" i="9"/>
  <c r="BR301" i="9"/>
  <c r="BS301" i="9"/>
  <c r="BT301" i="9"/>
  <c r="BP302" i="9"/>
  <c r="BQ302" i="9"/>
  <c r="BR302" i="9"/>
  <c r="BS302" i="9"/>
  <c r="BT302" i="9"/>
  <c r="BP303" i="9"/>
  <c r="BQ303" i="9"/>
  <c r="BR303" i="9"/>
  <c r="BS303" i="9"/>
  <c r="BT303" i="9"/>
  <c r="BP304" i="9"/>
  <c r="BQ304" i="9"/>
  <c r="BR304" i="9"/>
  <c r="BS304" i="9"/>
  <c r="BT304" i="9"/>
  <c r="BP305" i="9"/>
  <c r="BQ305" i="9"/>
  <c r="BR305" i="9"/>
  <c r="BS305" i="9"/>
  <c r="BT305" i="9"/>
  <c r="BP306" i="9"/>
  <c r="BQ306" i="9"/>
  <c r="BR306" i="9"/>
  <c r="BS306" i="9"/>
  <c r="BT306" i="9"/>
  <c r="BP307" i="9"/>
  <c r="BQ307" i="9"/>
  <c r="BR307" i="9"/>
  <c r="BS307" i="9"/>
  <c r="BT307" i="9"/>
  <c r="BP308" i="9"/>
  <c r="BQ308" i="9"/>
  <c r="BR308" i="9"/>
  <c r="BS308" i="9"/>
  <c r="BT308" i="9"/>
  <c r="BP309" i="9"/>
  <c r="BQ309" i="9"/>
  <c r="BR309" i="9"/>
  <c r="BS309" i="9"/>
  <c r="BT309" i="9"/>
  <c r="BP310" i="9"/>
  <c r="BQ310" i="9"/>
  <c r="BR310" i="9"/>
  <c r="BS310" i="9"/>
  <c r="BT310" i="9"/>
  <c r="BP311" i="9"/>
  <c r="BQ311" i="9"/>
  <c r="BR311" i="9"/>
  <c r="BS311" i="9"/>
  <c r="BT311" i="9"/>
  <c r="BP312" i="9"/>
  <c r="BQ312" i="9"/>
  <c r="BR312" i="9"/>
  <c r="BS312" i="9"/>
  <c r="BT312" i="9"/>
  <c r="BP313" i="9"/>
  <c r="BQ313" i="9"/>
  <c r="BR313" i="9"/>
  <c r="BS313" i="9"/>
  <c r="BT313" i="9"/>
  <c r="BP314" i="9"/>
  <c r="BQ314" i="9"/>
  <c r="BR314" i="9"/>
  <c r="BS314" i="9"/>
  <c r="BT314" i="9"/>
  <c r="BP315" i="9"/>
  <c r="BQ315" i="9"/>
  <c r="BR315" i="9"/>
  <c r="BS315" i="9"/>
  <c r="BT315" i="9"/>
  <c r="BP316" i="9"/>
  <c r="BQ316" i="9"/>
  <c r="BR316" i="9"/>
  <c r="BS316" i="9"/>
  <c r="BT316" i="9"/>
  <c r="BP317" i="9"/>
  <c r="BQ317" i="9"/>
  <c r="BR317" i="9"/>
  <c r="BS317" i="9"/>
  <c r="BT317" i="9"/>
  <c r="BP318" i="9"/>
  <c r="BQ318" i="9"/>
  <c r="BR318" i="9"/>
  <c r="BS318" i="9"/>
  <c r="BT318" i="9"/>
  <c r="BP319" i="9"/>
  <c r="BQ319" i="9"/>
  <c r="BR319" i="9"/>
  <c r="BS319" i="9"/>
  <c r="BT319" i="9"/>
  <c r="BP320" i="9"/>
  <c r="BQ320" i="9"/>
  <c r="BR320" i="9"/>
  <c r="BS320" i="9"/>
  <c r="BT320" i="9"/>
  <c r="BP321" i="9"/>
  <c r="BQ321" i="9"/>
  <c r="BR321" i="9"/>
  <c r="BS321" i="9"/>
  <c r="BT321" i="9"/>
  <c r="BP322" i="9"/>
  <c r="BQ322" i="9"/>
  <c r="BR322" i="9"/>
  <c r="BS322" i="9"/>
  <c r="BT322" i="9"/>
  <c r="BP323" i="9"/>
  <c r="BQ323" i="9"/>
  <c r="BR323" i="9"/>
  <c r="BS323" i="9"/>
  <c r="BT323" i="9"/>
  <c r="BP324" i="9"/>
  <c r="BQ324" i="9"/>
  <c r="BR324" i="9"/>
  <c r="BS324" i="9"/>
  <c r="BT324" i="9"/>
  <c r="BP325" i="9"/>
  <c r="BQ325" i="9"/>
  <c r="BR325" i="9"/>
  <c r="BS325" i="9"/>
  <c r="BT325" i="9"/>
  <c r="BP326" i="9"/>
  <c r="BQ326" i="9"/>
  <c r="BR326" i="9"/>
  <c r="BS326" i="9"/>
  <c r="BT326" i="9"/>
  <c r="BP327" i="9"/>
  <c r="BQ327" i="9"/>
  <c r="BR327" i="9"/>
  <c r="BS327" i="9"/>
  <c r="BT327" i="9"/>
  <c r="BP328" i="9"/>
  <c r="BQ328" i="9"/>
  <c r="BR328" i="9"/>
  <c r="BS328" i="9"/>
  <c r="BT328" i="9"/>
  <c r="BP329" i="9"/>
  <c r="BQ329" i="9"/>
  <c r="BR329" i="9"/>
  <c r="BS329" i="9"/>
  <c r="BT329" i="9"/>
  <c r="BP330" i="9"/>
  <c r="BQ330" i="9"/>
  <c r="BR330" i="9"/>
  <c r="BS330" i="9"/>
  <c r="BT330" i="9"/>
  <c r="BP331" i="9"/>
  <c r="BQ331" i="9"/>
  <c r="BR331" i="9"/>
  <c r="BS331" i="9"/>
  <c r="BT331" i="9"/>
  <c r="BP332" i="9"/>
  <c r="BQ332" i="9"/>
  <c r="BR332" i="9"/>
  <c r="BS332" i="9"/>
  <c r="BT332" i="9"/>
  <c r="BP333" i="9"/>
  <c r="BQ333" i="9"/>
  <c r="BR333" i="9"/>
  <c r="BS333" i="9"/>
  <c r="BT333" i="9"/>
  <c r="BP334" i="9"/>
  <c r="BQ334" i="9"/>
  <c r="BR334" i="9"/>
  <c r="BS334" i="9"/>
  <c r="BT334" i="9"/>
  <c r="BP335" i="9"/>
  <c r="BQ335" i="9"/>
  <c r="BR335" i="9"/>
  <c r="BS335" i="9"/>
  <c r="BT335" i="9"/>
  <c r="BP336" i="9"/>
  <c r="BQ336" i="9"/>
  <c r="BR336" i="9"/>
  <c r="BS336" i="9"/>
  <c r="BT336" i="9"/>
  <c r="BP337" i="9"/>
  <c r="BQ337" i="9"/>
  <c r="BR337" i="9"/>
  <c r="BS337" i="9"/>
  <c r="BT337" i="9"/>
  <c r="BP338" i="9"/>
  <c r="BQ338" i="9"/>
  <c r="BR338" i="9"/>
  <c r="BS338" i="9"/>
  <c r="BT338" i="9"/>
  <c r="BP339" i="9"/>
  <c r="BQ339" i="9"/>
  <c r="BR339" i="9"/>
  <c r="BS339" i="9"/>
  <c r="BT339" i="9"/>
  <c r="BP340" i="9"/>
  <c r="BQ340" i="9"/>
  <c r="BR340" i="9"/>
  <c r="BS340" i="9"/>
  <c r="BT340" i="9"/>
  <c r="BP341" i="9"/>
  <c r="BQ341" i="9"/>
  <c r="BR341" i="9"/>
  <c r="BS341" i="9"/>
  <c r="BT341" i="9"/>
  <c r="BP342" i="9"/>
  <c r="BQ342" i="9"/>
  <c r="BR342" i="9"/>
  <c r="BS342" i="9"/>
  <c r="BT342" i="9"/>
  <c r="BP343" i="9"/>
  <c r="BQ343" i="9"/>
  <c r="BR343" i="9"/>
  <c r="BS343" i="9"/>
  <c r="BT343" i="9"/>
  <c r="BP344" i="9"/>
  <c r="BQ344" i="9"/>
  <c r="BR344" i="9"/>
  <c r="BS344" i="9"/>
  <c r="BT344" i="9"/>
  <c r="BP345" i="9"/>
  <c r="BQ345" i="9"/>
  <c r="BR345" i="9"/>
  <c r="BS345" i="9"/>
  <c r="BT345" i="9"/>
  <c r="BP346" i="9"/>
  <c r="BQ346" i="9"/>
  <c r="BR346" i="9"/>
  <c r="BS346" i="9"/>
  <c r="BT346" i="9"/>
  <c r="BP347" i="9"/>
  <c r="BQ347" i="9"/>
  <c r="BR347" i="9"/>
  <c r="BS347" i="9"/>
  <c r="BT347" i="9"/>
  <c r="BP348" i="9"/>
  <c r="BQ348" i="9"/>
  <c r="BR348" i="9"/>
  <c r="BS348" i="9"/>
  <c r="BT348" i="9"/>
  <c r="BP349" i="9"/>
  <c r="BQ349" i="9"/>
  <c r="BR349" i="9"/>
  <c r="BS349" i="9"/>
  <c r="BT349" i="9"/>
  <c r="BP350" i="9"/>
  <c r="BQ350" i="9"/>
  <c r="BR350" i="9"/>
  <c r="BS350" i="9"/>
  <c r="BT350" i="9"/>
  <c r="BP351" i="9"/>
  <c r="BQ351" i="9"/>
  <c r="BR351" i="9"/>
  <c r="BS351" i="9"/>
  <c r="BT351" i="9"/>
  <c r="BP352" i="9"/>
  <c r="BQ352" i="9"/>
  <c r="BR352" i="9"/>
  <c r="BS352" i="9"/>
  <c r="BT352" i="9"/>
  <c r="BP353" i="9"/>
  <c r="BQ353" i="9"/>
  <c r="BR353" i="9"/>
  <c r="BS353" i="9"/>
  <c r="BT353" i="9"/>
  <c r="BP354" i="9"/>
  <c r="BQ354" i="9"/>
  <c r="BR354" i="9"/>
  <c r="BS354" i="9"/>
  <c r="BT354" i="9"/>
  <c r="BP355" i="9"/>
  <c r="BQ355" i="9"/>
  <c r="BR355" i="9"/>
  <c r="BS355" i="9"/>
  <c r="BT355" i="9"/>
  <c r="BP356" i="9"/>
  <c r="BQ356" i="9"/>
  <c r="BR356" i="9"/>
  <c r="BS356" i="9"/>
  <c r="BT356" i="9"/>
  <c r="BP357" i="9"/>
  <c r="BQ357" i="9"/>
  <c r="BR357" i="9"/>
  <c r="BS357" i="9"/>
  <c r="BT357" i="9"/>
  <c r="BP358" i="9"/>
  <c r="BQ358" i="9"/>
  <c r="BR358" i="9"/>
  <c r="BS358" i="9"/>
  <c r="BT358" i="9"/>
  <c r="BP359" i="9"/>
  <c r="BQ359" i="9"/>
  <c r="BR359" i="9"/>
  <c r="BS359" i="9"/>
  <c r="BT359" i="9"/>
  <c r="BP360" i="9"/>
  <c r="BQ360" i="9"/>
  <c r="BR360" i="9"/>
  <c r="BS360" i="9"/>
  <c r="BT360" i="9"/>
  <c r="BP361" i="9"/>
  <c r="BQ361" i="9"/>
  <c r="BR361" i="9"/>
  <c r="BS361" i="9"/>
  <c r="BT361" i="9"/>
  <c r="BP362" i="9"/>
  <c r="BQ362" i="9"/>
  <c r="BR362" i="9"/>
  <c r="BS362" i="9"/>
  <c r="BT362" i="9"/>
  <c r="BP363" i="9"/>
  <c r="BQ363" i="9"/>
  <c r="BR363" i="9"/>
  <c r="BS363" i="9"/>
  <c r="BT363" i="9"/>
  <c r="BP364" i="9"/>
  <c r="BQ364" i="9"/>
  <c r="BR364" i="9"/>
  <c r="BS364" i="9"/>
  <c r="BT364" i="9"/>
  <c r="BP365" i="9"/>
  <c r="BQ365" i="9"/>
  <c r="BR365" i="9"/>
  <c r="BS365" i="9"/>
  <c r="BT365" i="9"/>
  <c r="BP366" i="9"/>
  <c r="BQ366" i="9"/>
  <c r="BR366" i="9"/>
  <c r="BS366" i="9"/>
  <c r="BT366" i="9"/>
  <c r="BP367" i="9"/>
  <c r="BQ367" i="9"/>
  <c r="BR367" i="9"/>
  <c r="BS367" i="9"/>
  <c r="BT367" i="9"/>
  <c r="BP368" i="9"/>
  <c r="BQ368" i="9"/>
  <c r="BR368" i="9"/>
  <c r="BS368" i="9"/>
  <c r="BT368" i="9"/>
  <c r="BP369" i="9"/>
  <c r="BQ369" i="9"/>
  <c r="BR369" i="9"/>
  <c r="BS369" i="9"/>
  <c r="BT369" i="9"/>
  <c r="BP370" i="9"/>
  <c r="BQ370" i="9"/>
  <c r="BR370" i="9"/>
  <c r="BS370" i="9"/>
  <c r="BT370" i="9"/>
  <c r="BP371" i="9"/>
  <c r="BQ371" i="9"/>
  <c r="BR371" i="9"/>
  <c r="BS371" i="9"/>
  <c r="BT371" i="9"/>
  <c r="BP372" i="9"/>
  <c r="BQ372" i="9"/>
  <c r="BR372" i="9"/>
  <c r="BS372" i="9"/>
  <c r="BT372" i="9"/>
  <c r="BP373" i="9"/>
  <c r="BQ373" i="9"/>
  <c r="BR373" i="9"/>
  <c r="BS373" i="9"/>
  <c r="BT373" i="9"/>
  <c r="BP374" i="9"/>
  <c r="BQ374" i="9"/>
  <c r="BR374" i="9"/>
  <c r="BS374" i="9"/>
  <c r="BT374" i="9"/>
  <c r="BP375" i="9"/>
  <c r="BQ375" i="9"/>
  <c r="BR375" i="9"/>
  <c r="BS375" i="9"/>
  <c r="BT375" i="9"/>
  <c r="BP376" i="9"/>
  <c r="BQ376" i="9"/>
  <c r="BR376" i="9"/>
  <c r="BS376" i="9"/>
  <c r="BT376" i="9"/>
  <c r="BP377" i="9"/>
  <c r="BQ377" i="9"/>
  <c r="BR377" i="9"/>
  <c r="BS377" i="9"/>
  <c r="BT377" i="9"/>
  <c r="BP378" i="9"/>
  <c r="BQ378" i="9"/>
  <c r="BR378" i="9"/>
  <c r="BS378" i="9"/>
  <c r="BT378" i="9"/>
  <c r="BP379" i="9"/>
  <c r="BQ379" i="9"/>
  <c r="BR379" i="9"/>
  <c r="BS379" i="9"/>
  <c r="BT379" i="9"/>
  <c r="BP380" i="9"/>
  <c r="BQ380" i="9"/>
  <c r="BR380" i="9"/>
  <c r="BS380" i="9"/>
  <c r="BT380" i="9"/>
  <c r="BP381" i="9"/>
  <c r="BQ381" i="9"/>
  <c r="BR381" i="9"/>
  <c r="BS381" i="9"/>
  <c r="BT381" i="9"/>
  <c r="BP382" i="9"/>
  <c r="BQ382" i="9"/>
  <c r="BR382" i="9"/>
  <c r="BS382" i="9"/>
  <c r="BT382" i="9"/>
  <c r="BP383" i="9"/>
  <c r="BQ383" i="9"/>
  <c r="BR383" i="9"/>
  <c r="BS383" i="9"/>
  <c r="BT383" i="9"/>
  <c r="BP384" i="9"/>
  <c r="BQ384" i="9"/>
  <c r="BR384" i="9"/>
  <c r="BS384" i="9"/>
  <c r="BT384" i="9"/>
  <c r="BP385" i="9"/>
  <c r="BQ385" i="9"/>
  <c r="BR385" i="9"/>
  <c r="BS385" i="9"/>
  <c r="BT385" i="9"/>
  <c r="BP386" i="9"/>
  <c r="BQ386" i="9"/>
  <c r="BR386" i="9"/>
  <c r="BS386" i="9"/>
  <c r="BT386" i="9"/>
  <c r="BP387" i="9"/>
  <c r="BQ387" i="9"/>
  <c r="BR387" i="9"/>
  <c r="BS387" i="9"/>
  <c r="BT387" i="9"/>
  <c r="BP388" i="9"/>
  <c r="BQ388" i="9"/>
  <c r="BR388" i="9"/>
  <c r="BS388" i="9"/>
  <c r="BT388" i="9"/>
  <c r="BP389" i="9"/>
  <c r="BQ389" i="9"/>
  <c r="BR389" i="9"/>
  <c r="BS389" i="9"/>
  <c r="BT389" i="9"/>
  <c r="BP390" i="9"/>
  <c r="BQ390" i="9"/>
  <c r="BR390" i="9"/>
  <c r="BS390" i="9"/>
  <c r="BT390" i="9"/>
  <c r="BP391" i="9"/>
  <c r="BQ391" i="9"/>
  <c r="BR391" i="9"/>
  <c r="BS391" i="9"/>
  <c r="BT391" i="9"/>
  <c r="BP392" i="9"/>
  <c r="BQ392" i="9"/>
  <c r="BR392" i="9"/>
  <c r="BS392" i="9"/>
  <c r="BT392" i="9"/>
  <c r="BP393" i="9"/>
  <c r="BQ393" i="9"/>
  <c r="BR393" i="9"/>
  <c r="BS393" i="9"/>
  <c r="BT393" i="9"/>
  <c r="BP394" i="9"/>
  <c r="BQ394" i="9"/>
  <c r="BR394" i="9"/>
  <c r="BS394" i="9"/>
  <c r="BT394" i="9"/>
  <c r="BP395" i="9"/>
  <c r="BQ395" i="9"/>
  <c r="BR395" i="9"/>
  <c r="BS395" i="9"/>
  <c r="BT395" i="9"/>
  <c r="BP396" i="9"/>
  <c r="BQ396" i="9"/>
  <c r="BR396" i="9"/>
  <c r="BS396" i="9"/>
  <c r="BT396" i="9"/>
  <c r="BP397" i="9"/>
  <c r="BQ397" i="9"/>
  <c r="BR397" i="9"/>
  <c r="BS397" i="9"/>
  <c r="BT397" i="9"/>
  <c r="BP398" i="9"/>
  <c r="BQ398" i="9"/>
  <c r="BR398" i="9"/>
  <c r="BS398" i="9"/>
  <c r="BT398" i="9"/>
  <c r="BP399" i="9"/>
  <c r="BQ399" i="9"/>
  <c r="BR399" i="9"/>
  <c r="BS399" i="9"/>
  <c r="BT399" i="9"/>
  <c r="BP400" i="9"/>
  <c r="BQ400" i="9"/>
  <c r="BR400" i="9"/>
  <c r="BS400" i="9"/>
  <c r="BT400" i="9"/>
  <c r="BP401" i="9"/>
  <c r="BQ401" i="9"/>
  <c r="BR401" i="9"/>
  <c r="BS401" i="9"/>
  <c r="BT401" i="9"/>
  <c r="BP402" i="9"/>
  <c r="BQ402" i="9"/>
  <c r="BR402" i="9"/>
  <c r="BS402" i="9"/>
  <c r="BT402" i="9"/>
  <c r="BP403" i="9"/>
  <c r="BQ403" i="9"/>
  <c r="BR403" i="9"/>
  <c r="BS403" i="9"/>
  <c r="BT403" i="9"/>
  <c r="BP404" i="9"/>
  <c r="BQ404" i="9"/>
  <c r="BR404" i="9"/>
  <c r="BS404" i="9"/>
  <c r="BT404" i="9"/>
  <c r="BP405" i="9"/>
  <c r="BQ405" i="9"/>
  <c r="BR405" i="9"/>
  <c r="BS405" i="9"/>
  <c r="BT405" i="9"/>
  <c r="BP406" i="9"/>
  <c r="BQ406" i="9"/>
  <c r="BR406" i="9"/>
  <c r="BS406" i="9"/>
  <c r="BT406" i="9"/>
  <c r="BP407" i="9"/>
  <c r="BQ407" i="9"/>
  <c r="BR407" i="9"/>
  <c r="BS407" i="9"/>
  <c r="BT407" i="9"/>
  <c r="BP408" i="9"/>
  <c r="BQ408" i="9"/>
  <c r="BR408" i="9"/>
  <c r="BS408" i="9"/>
  <c r="BT408" i="9"/>
  <c r="BP409" i="9"/>
  <c r="BQ409" i="9"/>
  <c r="BR409" i="9"/>
  <c r="BS409" i="9"/>
  <c r="BT409" i="9"/>
  <c r="BP410" i="9"/>
  <c r="BQ410" i="9"/>
  <c r="BR410" i="9"/>
  <c r="BS410" i="9"/>
  <c r="BT410" i="9"/>
  <c r="BP411" i="9"/>
  <c r="BQ411" i="9"/>
  <c r="BR411" i="9"/>
  <c r="BS411" i="9"/>
  <c r="BT411" i="9"/>
  <c r="BP412" i="9"/>
  <c r="BQ412" i="9"/>
  <c r="BR412" i="9"/>
  <c r="BS412" i="9"/>
  <c r="BT412" i="9"/>
  <c r="BP413" i="9"/>
  <c r="BQ413" i="9"/>
  <c r="BR413" i="9"/>
  <c r="BS413" i="9"/>
  <c r="BT413" i="9"/>
  <c r="BP414" i="9"/>
  <c r="BQ414" i="9"/>
  <c r="BR414" i="9"/>
  <c r="BS414" i="9"/>
  <c r="BT414" i="9"/>
  <c r="BP415" i="9"/>
  <c r="BQ415" i="9"/>
  <c r="BR415" i="9"/>
  <c r="BS415" i="9"/>
  <c r="BT415" i="9"/>
  <c r="BP416" i="9"/>
  <c r="BQ416" i="9"/>
  <c r="BR416" i="9"/>
  <c r="BS416" i="9"/>
  <c r="BT416" i="9"/>
  <c r="BP417" i="9"/>
  <c r="BQ417" i="9"/>
  <c r="BR417" i="9"/>
  <c r="BS417" i="9"/>
  <c r="BT417" i="9"/>
  <c r="BP418" i="9"/>
  <c r="BQ418" i="9"/>
  <c r="BR418" i="9"/>
  <c r="BS418" i="9"/>
  <c r="BT418" i="9"/>
  <c r="BP419" i="9"/>
  <c r="BQ419" i="9"/>
  <c r="BR419" i="9"/>
  <c r="BS419" i="9"/>
  <c r="BT419" i="9"/>
  <c r="BP420" i="9"/>
  <c r="BQ420" i="9"/>
  <c r="BR420" i="9"/>
  <c r="BS420" i="9"/>
  <c r="BT420" i="9"/>
  <c r="BP421" i="9"/>
  <c r="BQ421" i="9"/>
  <c r="BR421" i="9"/>
  <c r="BS421" i="9"/>
  <c r="BT421" i="9"/>
  <c r="BP422" i="9"/>
  <c r="BQ422" i="9"/>
  <c r="BR422" i="9"/>
  <c r="BS422" i="9"/>
  <c r="BT422" i="9"/>
  <c r="BP423" i="9"/>
  <c r="BQ423" i="9"/>
  <c r="BR423" i="9"/>
  <c r="BS423" i="9"/>
  <c r="BT423" i="9"/>
  <c r="BP424" i="9"/>
  <c r="BQ424" i="9"/>
  <c r="BR424" i="9"/>
  <c r="BS424" i="9"/>
  <c r="BT424" i="9"/>
  <c r="BP425" i="9"/>
  <c r="BQ425" i="9"/>
  <c r="BR425" i="9"/>
  <c r="BS425" i="9"/>
  <c r="BT425" i="9"/>
  <c r="BP426" i="9"/>
  <c r="BQ426" i="9"/>
  <c r="BR426" i="9"/>
  <c r="BS426" i="9"/>
  <c r="BT426" i="9"/>
  <c r="BP427" i="9"/>
  <c r="BQ427" i="9"/>
  <c r="BR427" i="9"/>
  <c r="BS427" i="9"/>
  <c r="BT427" i="9"/>
  <c r="BP428" i="9"/>
  <c r="BQ428" i="9"/>
  <c r="BR428" i="9"/>
  <c r="BS428" i="9"/>
  <c r="BT428" i="9"/>
  <c r="BP429" i="9"/>
  <c r="BQ429" i="9"/>
  <c r="BR429" i="9"/>
  <c r="BS429" i="9"/>
  <c r="BT429" i="9"/>
  <c r="BP430" i="9"/>
  <c r="BQ430" i="9"/>
  <c r="BR430" i="9"/>
  <c r="BS430" i="9"/>
  <c r="BT430" i="9"/>
  <c r="BP431" i="9"/>
  <c r="BQ431" i="9"/>
  <c r="BR431" i="9"/>
  <c r="BS431" i="9"/>
  <c r="BT431" i="9"/>
  <c r="BP432" i="9"/>
  <c r="BQ432" i="9"/>
  <c r="BR432" i="9"/>
  <c r="BS432" i="9"/>
  <c r="BT432" i="9"/>
  <c r="BP433" i="9"/>
  <c r="BQ433" i="9"/>
  <c r="BR433" i="9"/>
  <c r="BS433" i="9"/>
  <c r="BT433" i="9"/>
  <c r="BP434" i="9"/>
  <c r="BQ434" i="9"/>
  <c r="BR434" i="9"/>
  <c r="BS434" i="9"/>
  <c r="BT434" i="9"/>
  <c r="BP435" i="9"/>
  <c r="BQ435" i="9"/>
  <c r="BR435" i="9"/>
  <c r="BS435" i="9"/>
  <c r="BT435" i="9"/>
  <c r="BP436" i="9"/>
  <c r="BQ436" i="9"/>
  <c r="BR436" i="9"/>
  <c r="BS436" i="9"/>
  <c r="BT436" i="9"/>
  <c r="BP437" i="9"/>
  <c r="BQ437" i="9"/>
  <c r="BR437" i="9"/>
  <c r="BS437" i="9"/>
  <c r="BT437" i="9"/>
  <c r="BP438" i="9"/>
  <c r="BQ438" i="9"/>
  <c r="BR438" i="9"/>
  <c r="BS438" i="9"/>
  <c r="BT438" i="9"/>
  <c r="BP439" i="9"/>
  <c r="BQ439" i="9"/>
  <c r="BR439" i="9"/>
  <c r="BS439" i="9"/>
  <c r="BT439" i="9"/>
  <c r="BP440" i="9"/>
  <c r="BQ440" i="9"/>
  <c r="BR440" i="9"/>
  <c r="BS440" i="9"/>
  <c r="BT440" i="9"/>
  <c r="BP441" i="9"/>
  <c r="BQ441" i="9"/>
  <c r="BR441" i="9"/>
  <c r="BS441" i="9"/>
  <c r="BT441" i="9"/>
  <c r="BP442" i="9"/>
  <c r="BQ442" i="9"/>
  <c r="BR442" i="9"/>
  <c r="BS442" i="9"/>
  <c r="BT442" i="9"/>
  <c r="BP443" i="9"/>
  <c r="BQ443" i="9"/>
  <c r="BR443" i="9"/>
  <c r="BS443" i="9"/>
  <c r="BT443" i="9"/>
  <c r="BP444" i="9"/>
  <c r="BQ444" i="9"/>
  <c r="BR444" i="9"/>
  <c r="BS444" i="9"/>
  <c r="BT444" i="9"/>
  <c r="BP445" i="9"/>
  <c r="BQ445" i="9"/>
  <c r="BR445" i="9"/>
  <c r="BS445" i="9"/>
  <c r="BT445" i="9"/>
  <c r="BP446" i="9"/>
  <c r="BQ446" i="9"/>
  <c r="BR446" i="9"/>
  <c r="BS446" i="9"/>
  <c r="BT446" i="9"/>
  <c r="BP447" i="9"/>
  <c r="BQ447" i="9"/>
  <c r="BR447" i="9"/>
  <c r="BS447" i="9"/>
  <c r="BT447" i="9"/>
  <c r="BP448" i="9"/>
  <c r="BQ448" i="9"/>
  <c r="BR448" i="9"/>
  <c r="BS448" i="9"/>
  <c r="BT448" i="9"/>
  <c r="BP449" i="9"/>
  <c r="BQ449" i="9"/>
  <c r="BR449" i="9"/>
  <c r="BS449" i="9"/>
  <c r="BT449" i="9"/>
  <c r="BP450" i="9"/>
  <c r="BQ450" i="9"/>
  <c r="BR450" i="9"/>
  <c r="BS450" i="9"/>
  <c r="BT450" i="9"/>
  <c r="BP451" i="9"/>
  <c r="BQ451" i="9"/>
  <c r="BR451" i="9"/>
  <c r="BS451" i="9"/>
  <c r="BT451" i="9"/>
  <c r="BP452" i="9"/>
  <c r="BQ452" i="9"/>
  <c r="BR452" i="9"/>
  <c r="BS452" i="9"/>
  <c r="BT452" i="9"/>
  <c r="BP453" i="9"/>
  <c r="BQ453" i="9"/>
  <c r="BR453" i="9"/>
  <c r="BS453" i="9"/>
  <c r="BT453" i="9"/>
  <c r="BP454" i="9"/>
  <c r="BQ454" i="9"/>
  <c r="BR454" i="9"/>
  <c r="BS454" i="9"/>
  <c r="BT454" i="9"/>
  <c r="BP455" i="9"/>
  <c r="BQ455" i="9"/>
  <c r="BR455" i="9"/>
  <c r="BS455" i="9"/>
  <c r="BT455" i="9"/>
  <c r="BP456" i="9"/>
  <c r="BQ456" i="9"/>
  <c r="BR456" i="9"/>
  <c r="BS456" i="9"/>
  <c r="BT456" i="9"/>
  <c r="BP457" i="9"/>
  <c r="BQ457" i="9"/>
  <c r="BR457" i="9"/>
  <c r="BS457" i="9"/>
  <c r="BT457" i="9"/>
  <c r="BP458" i="9"/>
  <c r="BQ458" i="9"/>
  <c r="BR458" i="9"/>
  <c r="BS458" i="9"/>
  <c r="BT458" i="9"/>
  <c r="BP459" i="9"/>
  <c r="BQ459" i="9"/>
  <c r="BR459" i="9"/>
  <c r="BS459" i="9"/>
  <c r="BT459" i="9"/>
  <c r="BP460" i="9"/>
  <c r="BQ460" i="9"/>
  <c r="BR460" i="9"/>
  <c r="BS460" i="9"/>
  <c r="BT460" i="9"/>
  <c r="BP461" i="9"/>
  <c r="BQ461" i="9"/>
  <c r="BR461" i="9"/>
  <c r="BS461" i="9"/>
  <c r="BT461" i="9"/>
  <c r="BP462" i="9"/>
  <c r="BQ462" i="9"/>
  <c r="BR462" i="9"/>
  <c r="BS462" i="9"/>
  <c r="BT462" i="9"/>
  <c r="BP463" i="9"/>
  <c r="BQ463" i="9"/>
  <c r="BR463" i="9"/>
  <c r="BS463" i="9"/>
  <c r="BT463" i="9"/>
  <c r="BP464" i="9"/>
  <c r="BQ464" i="9"/>
  <c r="BR464" i="9"/>
  <c r="BS464" i="9"/>
  <c r="BT464" i="9"/>
  <c r="BP465" i="9"/>
  <c r="BQ465" i="9"/>
  <c r="BR465" i="9"/>
  <c r="BS465" i="9"/>
  <c r="BT465" i="9"/>
  <c r="BP466" i="9"/>
  <c r="BQ466" i="9"/>
  <c r="BR466" i="9"/>
  <c r="BS466" i="9"/>
  <c r="BT466" i="9"/>
  <c r="BP467" i="9"/>
  <c r="BQ467" i="9"/>
  <c r="BR467" i="9"/>
  <c r="BS467" i="9"/>
  <c r="BT467" i="9"/>
  <c r="BP468" i="9"/>
  <c r="BQ468" i="9"/>
  <c r="BR468" i="9"/>
  <c r="BS468" i="9"/>
  <c r="BT468" i="9"/>
  <c r="BP469" i="9"/>
  <c r="BQ469" i="9"/>
  <c r="BR469" i="9"/>
  <c r="BS469" i="9"/>
  <c r="BT469" i="9"/>
  <c r="BP470" i="9"/>
  <c r="BQ470" i="9"/>
  <c r="BR470" i="9"/>
  <c r="BS470" i="9"/>
  <c r="BT470" i="9"/>
  <c r="BP471" i="9"/>
  <c r="BQ471" i="9"/>
  <c r="BR471" i="9"/>
  <c r="BS471" i="9"/>
  <c r="BT471" i="9"/>
  <c r="BP472" i="9"/>
  <c r="BQ472" i="9"/>
  <c r="BR472" i="9"/>
  <c r="BS472" i="9"/>
  <c r="BT472" i="9"/>
  <c r="BP473" i="9"/>
  <c r="BQ473" i="9"/>
  <c r="BR473" i="9"/>
  <c r="BS473" i="9"/>
  <c r="BT473" i="9"/>
  <c r="BP474" i="9"/>
  <c r="BQ474" i="9"/>
  <c r="BR474" i="9"/>
  <c r="BS474" i="9"/>
  <c r="BT474" i="9"/>
  <c r="BP475" i="9"/>
  <c r="BQ475" i="9"/>
  <c r="BR475" i="9"/>
  <c r="BS475" i="9"/>
  <c r="BT475" i="9"/>
  <c r="BP476" i="9"/>
  <c r="BQ476" i="9"/>
  <c r="BR476" i="9"/>
  <c r="BS476" i="9"/>
  <c r="BT476" i="9"/>
  <c r="BP477" i="9"/>
  <c r="BQ477" i="9"/>
  <c r="BR477" i="9"/>
  <c r="BS477" i="9"/>
  <c r="BT477" i="9"/>
  <c r="BP478" i="9"/>
  <c r="BQ478" i="9"/>
  <c r="BR478" i="9"/>
  <c r="BS478" i="9"/>
  <c r="BT478" i="9"/>
  <c r="BP479" i="9"/>
  <c r="BQ479" i="9"/>
  <c r="BR479" i="9"/>
  <c r="BS479" i="9"/>
  <c r="BT479" i="9"/>
  <c r="BP480" i="9"/>
  <c r="BQ480" i="9"/>
  <c r="BR480" i="9"/>
  <c r="BS480" i="9"/>
  <c r="BT480" i="9"/>
  <c r="BP481" i="9"/>
  <c r="BQ481" i="9"/>
  <c r="BR481" i="9"/>
  <c r="BS481" i="9"/>
  <c r="BT481" i="9"/>
  <c r="BP482" i="9"/>
  <c r="BQ482" i="9"/>
  <c r="BR482" i="9"/>
  <c r="BS482" i="9"/>
  <c r="BT482" i="9"/>
  <c r="BP483" i="9"/>
  <c r="BQ483" i="9"/>
  <c r="BR483" i="9"/>
  <c r="BS483" i="9"/>
  <c r="BT483" i="9"/>
  <c r="BP484" i="9"/>
  <c r="BQ484" i="9"/>
  <c r="BR484" i="9"/>
  <c r="BS484" i="9"/>
  <c r="BT484" i="9"/>
  <c r="BP485" i="9"/>
  <c r="BQ485" i="9"/>
  <c r="BR485" i="9"/>
  <c r="BS485" i="9"/>
  <c r="BT485" i="9"/>
  <c r="BP486" i="9"/>
  <c r="BQ486" i="9"/>
  <c r="BR486" i="9"/>
  <c r="BS486" i="9"/>
  <c r="BT486" i="9"/>
  <c r="BP487" i="9"/>
  <c r="BQ487" i="9"/>
  <c r="BR487" i="9"/>
  <c r="BS487" i="9"/>
  <c r="BT487" i="9"/>
  <c r="BP488" i="9"/>
  <c r="BQ488" i="9"/>
  <c r="BR488" i="9"/>
  <c r="BS488" i="9"/>
  <c r="BT488" i="9"/>
  <c r="BP489" i="9"/>
  <c r="BQ489" i="9"/>
  <c r="BR489" i="9"/>
  <c r="BS489" i="9"/>
  <c r="BT489" i="9"/>
  <c r="BP490" i="9"/>
  <c r="BQ490" i="9"/>
  <c r="BR490" i="9"/>
  <c r="BS490" i="9"/>
  <c r="BT490" i="9"/>
  <c r="BP491" i="9"/>
  <c r="BQ491" i="9"/>
  <c r="BR491" i="9"/>
  <c r="BS491" i="9"/>
  <c r="BT491" i="9"/>
  <c r="BP492" i="9"/>
  <c r="BQ492" i="9"/>
  <c r="BR492" i="9"/>
  <c r="BS492" i="9"/>
  <c r="BT492" i="9"/>
  <c r="BP493" i="9"/>
  <c r="BQ493" i="9"/>
  <c r="BR493" i="9"/>
  <c r="BS493" i="9"/>
  <c r="BT493" i="9"/>
  <c r="BP494" i="9"/>
  <c r="BQ494" i="9"/>
  <c r="BR494" i="9"/>
  <c r="BS494" i="9"/>
  <c r="BT494" i="9"/>
  <c r="BP495" i="9"/>
  <c r="BQ495" i="9"/>
  <c r="BR495" i="9"/>
  <c r="BS495" i="9"/>
  <c r="BT495" i="9"/>
  <c r="BP496" i="9"/>
  <c r="BQ496" i="9"/>
  <c r="BR496" i="9"/>
  <c r="BS496" i="9"/>
  <c r="BT496" i="9"/>
  <c r="BP497" i="9"/>
  <c r="BQ497" i="9"/>
  <c r="BR497" i="9"/>
  <c r="BS497" i="9"/>
  <c r="BT497" i="9"/>
  <c r="BP498" i="9"/>
  <c r="BQ498" i="9"/>
  <c r="BR498" i="9"/>
  <c r="BS498" i="9"/>
  <c r="BT498" i="9"/>
  <c r="BP499" i="9"/>
  <c r="BQ499" i="9"/>
  <c r="BR499" i="9"/>
  <c r="BS499" i="9"/>
  <c r="BT499" i="9"/>
  <c r="BP500" i="9"/>
  <c r="BQ500" i="9"/>
  <c r="BR500" i="9"/>
  <c r="BS500" i="9"/>
  <c r="BT500" i="9"/>
  <c r="BP501" i="9"/>
  <c r="BQ501" i="9"/>
  <c r="BR501" i="9"/>
  <c r="BS501" i="9"/>
  <c r="BT501" i="9"/>
  <c r="BP502" i="9"/>
  <c r="BQ502" i="9"/>
  <c r="BR502" i="9"/>
  <c r="BS502" i="9"/>
  <c r="BT502" i="9"/>
  <c r="BP503" i="9"/>
  <c r="BQ503" i="9"/>
  <c r="BR503" i="9"/>
  <c r="BS503" i="9"/>
  <c r="BT503" i="9"/>
  <c r="BP504" i="9"/>
  <c r="BQ504" i="9"/>
  <c r="BR504" i="9"/>
  <c r="BS504" i="9"/>
  <c r="BT504" i="9"/>
  <c r="BP505" i="9"/>
  <c r="BQ505" i="9"/>
  <c r="BR505" i="9"/>
  <c r="BS505" i="9"/>
  <c r="BT505" i="9"/>
  <c r="BP506" i="9"/>
  <c r="BQ506" i="9"/>
  <c r="BR506" i="9"/>
  <c r="BS506" i="9"/>
  <c r="BT506" i="9"/>
  <c r="BP507" i="9"/>
  <c r="BQ507" i="9"/>
  <c r="BR507" i="9"/>
  <c r="BS507" i="9"/>
  <c r="BT507" i="9"/>
  <c r="BP508" i="9"/>
  <c r="BQ508" i="9"/>
  <c r="BR508" i="9"/>
  <c r="BS508" i="9"/>
  <c r="BT508" i="9"/>
  <c r="BP509" i="9"/>
  <c r="BQ509" i="9"/>
  <c r="BR509" i="9"/>
  <c r="BS509" i="9"/>
  <c r="BT509" i="9"/>
  <c r="BP510" i="9"/>
  <c r="BQ510" i="9"/>
  <c r="BR510" i="9"/>
  <c r="BS510" i="9"/>
  <c r="BT510" i="9"/>
  <c r="BP511" i="9"/>
  <c r="BQ511" i="9"/>
  <c r="BR511" i="9"/>
  <c r="BS511" i="9"/>
  <c r="BT511" i="9"/>
  <c r="BP512" i="9"/>
  <c r="BQ512" i="9"/>
  <c r="BR512" i="9"/>
  <c r="BS512" i="9"/>
  <c r="BT512" i="9"/>
  <c r="BP513" i="9"/>
  <c r="BQ513" i="9"/>
  <c r="BR513" i="9"/>
  <c r="BS513" i="9"/>
  <c r="BT513" i="9"/>
  <c r="BP514" i="9"/>
  <c r="BQ514" i="9"/>
  <c r="BR514" i="9"/>
  <c r="BS514" i="9"/>
  <c r="BT514" i="9"/>
  <c r="BP515" i="9"/>
  <c r="BQ515" i="9"/>
  <c r="BR515" i="9"/>
  <c r="BS515" i="9"/>
  <c r="BT515" i="9"/>
  <c r="BP516" i="9"/>
  <c r="BQ516" i="9"/>
  <c r="BR516" i="9"/>
  <c r="BS516" i="9"/>
  <c r="BT516" i="9"/>
  <c r="BP517" i="9"/>
  <c r="BQ517" i="9"/>
  <c r="BR517" i="9"/>
  <c r="BS517" i="9"/>
  <c r="BT517" i="9"/>
  <c r="BP518" i="9"/>
  <c r="BQ518" i="9"/>
  <c r="BR518" i="9"/>
  <c r="BS518" i="9"/>
  <c r="BT518" i="9"/>
  <c r="BP519" i="9"/>
  <c r="BQ519" i="9"/>
  <c r="BR519" i="9"/>
  <c r="BS519" i="9"/>
  <c r="BT519" i="9"/>
  <c r="BP520" i="9"/>
  <c r="BQ520" i="9"/>
  <c r="BR520" i="9"/>
  <c r="BS520" i="9"/>
  <c r="BT520" i="9"/>
  <c r="BP521" i="9"/>
  <c r="BQ521" i="9"/>
  <c r="BR521" i="9"/>
  <c r="BS521" i="9"/>
  <c r="BT521" i="9"/>
  <c r="BP522" i="9"/>
  <c r="BQ522" i="9"/>
  <c r="BR522" i="9"/>
  <c r="BS522" i="9"/>
  <c r="BT522" i="9"/>
  <c r="BP523" i="9"/>
  <c r="BQ523" i="9"/>
  <c r="BR523" i="9"/>
  <c r="BS523" i="9"/>
  <c r="BT523" i="9"/>
  <c r="BP524" i="9"/>
  <c r="BQ524" i="9"/>
  <c r="BR524" i="9"/>
  <c r="BS524" i="9"/>
  <c r="BT524" i="9"/>
  <c r="BP525" i="9"/>
  <c r="BQ525" i="9"/>
  <c r="BR525" i="9"/>
  <c r="BS525" i="9"/>
  <c r="BT525" i="9"/>
  <c r="BP526" i="9"/>
  <c r="BQ526" i="9"/>
  <c r="BR526" i="9"/>
  <c r="BS526" i="9"/>
  <c r="BT526" i="9"/>
  <c r="BP527" i="9"/>
  <c r="BQ527" i="9"/>
  <c r="BR527" i="9"/>
  <c r="BS527" i="9"/>
  <c r="BT527" i="9"/>
  <c r="BP528" i="9"/>
  <c r="BQ528" i="9"/>
  <c r="BR528" i="9"/>
  <c r="BS528" i="9"/>
  <c r="BT528" i="9"/>
  <c r="BP529" i="9"/>
  <c r="BQ529" i="9"/>
  <c r="BR529" i="9"/>
  <c r="BS529" i="9"/>
  <c r="BT529" i="9"/>
  <c r="BP530" i="9"/>
  <c r="BQ530" i="9"/>
  <c r="BR530" i="9"/>
  <c r="BS530" i="9"/>
  <c r="BT530" i="9"/>
  <c r="BP531" i="9"/>
  <c r="BQ531" i="9"/>
  <c r="BR531" i="9"/>
  <c r="BS531" i="9"/>
  <c r="BT531" i="9"/>
  <c r="BP532" i="9"/>
  <c r="BQ532" i="9"/>
  <c r="BR532" i="9"/>
  <c r="BS532" i="9"/>
  <c r="BT532" i="9"/>
  <c r="BP533" i="9"/>
  <c r="BQ533" i="9"/>
  <c r="BR533" i="9"/>
  <c r="BS533" i="9"/>
  <c r="BT533" i="9"/>
  <c r="BP534" i="9"/>
  <c r="BQ534" i="9"/>
  <c r="BR534" i="9"/>
  <c r="BS534" i="9"/>
  <c r="BT534" i="9"/>
  <c r="BP535" i="9"/>
  <c r="BQ535" i="9"/>
  <c r="BR535" i="9"/>
  <c r="BS535" i="9"/>
  <c r="BT535" i="9"/>
  <c r="BP536" i="9"/>
  <c r="BQ536" i="9"/>
  <c r="BR536" i="9"/>
  <c r="BS536" i="9"/>
  <c r="BT536" i="9"/>
  <c r="BP537" i="9"/>
  <c r="BQ537" i="9"/>
  <c r="BR537" i="9"/>
  <c r="BS537" i="9"/>
  <c r="BT537" i="9"/>
  <c r="BP538" i="9"/>
  <c r="BQ538" i="9"/>
  <c r="BR538" i="9"/>
  <c r="BS538" i="9"/>
  <c r="BT538" i="9"/>
  <c r="BP539" i="9"/>
  <c r="BQ539" i="9"/>
  <c r="BR539" i="9"/>
  <c r="BS539" i="9"/>
  <c r="BT539" i="9"/>
  <c r="BP540" i="9"/>
  <c r="BQ540" i="9"/>
  <c r="BR540" i="9"/>
  <c r="BS540" i="9"/>
  <c r="BT540" i="9"/>
  <c r="BP541" i="9"/>
  <c r="BQ541" i="9"/>
  <c r="BR541" i="9"/>
  <c r="BS541" i="9"/>
  <c r="BT541" i="9"/>
  <c r="BP542" i="9"/>
  <c r="BQ542" i="9"/>
  <c r="BR542" i="9"/>
  <c r="BS542" i="9"/>
  <c r="BT542" i="9"/>
  <c r="BP543" i="9"/>
  <c r="BQ543" i="9"/>
  <c r="BR543" i="9"/>
  <c r="BS543" i="9"/>
  <c r="BT543" i="9"/>
  <c r="BP544" i="9"/>
  <c r="BQ544" i="9"/>
  <c r="BR544" i="9"/>
  <c r="BS544" i="9"/>
  <c r="BT544" i="9"/>
  <c r="BP545" i="9"/>
  <c r="BQ545" i="9"/>
  <c r="BR545" i="9"/>
  <c r="BS545" i="9"/>
  <c r="BT545" i="9"/>
  <c r="BP546" i="9"/>
  <c r="BQ546" i="9"/>
  <c r="BR546" i="9"/>
  <c r="BS546" i="9"/>
  <c r="BT546" i="9"/>
  <c r="BP547" i="9"/>
  <c r="BQ547" i="9"/>
  <c r="BR547" i="9"/>
  <c r="BS547" i="9"/>
  <c r="BT547" i="9"/>
  <c r="BP548" i="9"/>
  <c r="BQ548" i="9"/>
  <c r="BR548" i="9"/>
  <c r="BS548" i="9"/>
  <c r="BT548" i="9"/>
  <c r="BP549" i="9"/>
  <c r="BQ549" i="9"/>
  <c r="BR549" i="9"/>
  <c r="BS549" i="9"/>
  <c r="BT549" i="9"/>
  <c r="BP550" i="9"/>
  <c r="BQ550" i="9"/>
  <c r="BR550" i="9"/>
  <c r="BS550" i="9"/>
  <c r="BT550" i="9"/>
  <c r="BP551" i="9"/>
  <c r="BQ551" i="9"/>
  <c r="BR551" i="9"/>
  <c r="BS551" i="9"/>
  <c r="BT551" i="9"/>
  <c r="BP552" i="9"/>
  <c r="BQ552" i="9"/>
  <c r="BR552" i="9"/>
  <c r="BS552" i="9"/>
  <c r="BT552" i="9"/>
  <c r="BP553" i="9"/>
  <c r="BQ553" i="9"/>
  <c r="BR553" i="9"/>
  <c r="BS553" i="9"/>
  <c r="BT553" i="9"/>
  <c r="BP554" i="9"/>
  <c r="BQ554" i="9"/>
  <c r="BR554" i="9"/>
  <c r="BS554" i="9"/>
  <c r="BT554" i="9"/>
  <c r="BP555" i="9"/>
  <c r="BQ555" i="9"/>
  <c r="BR555" i="9"/>
  <c r="BS555" i="9"/>
  <c r="BT555" i="9"/>
  <c r="BP556" i="9"/>
  <c r="BQ556" i="9"/>
  <c r="BR556" i="9"/>
  <c r="BS556" i="9"/>
  <c r="BT556" i="9"/>
  <c r="BP557" i="9"/>
  <c r="BQ557" i="9"/>
  <c r="BR557" i="9"/>
  <c r="BS557" i="9"/>
  <c r="BT557" i="9"/>
  <c r="BP558" i="9"/>
  <c r="BQ558" i="9"/>
  <c r="BR558" i="9"/>
  <c r="BS558" i="9"/>
  <c r="BT558" i="9"/>
  <c r="BP559" i="9"/>
  <c r="BQ559" i="9"/>
  <c r="BR559" i="9"/>
  <c r="BS559" i="9"/>
  <c r="BT559" i="9"/>
  <c r="BP560" i="9"/>
  <c r="BQ560" i="9"/>
  <c r="BR560" i="9"/>
  <c r="BS560" i="9"/>
  <c r="BT560" i="9"/>
  <c r="BP561" i="9"/>
  <c r="BQ561" i="9"/>
  <c r="BR561" i="9"/>
  <c r="BS561" i="9"/>
  <c r="BT561" i="9"/>
  <c r="BP562" i="9"/>
  <c r="BQ562" i="9"/>
  <c r="BR562" i="9"/>
  <c r="BS562" i="9"/>
  <c r="BT562" i="9"/>
  <c r="BP563" i="9"/>
  <c r="BQ563" i="9"/>
  <c r="BR563" i="9"/>
  <c r="BS563" i="9"/>
  <c r="BT563" i="9"/>
  <c r="BP564" i="9"/>
  <c r="BQ564" i="9"/>
  <c r="BR564" i="9"/>
  <c r="BS564" i="9"/>
  <c r="BT564" i="9"/>
  <c r="BP565" i="9"/>
  <c r="BQ565" i="9"/>
  <c r="BR565" i="9"/>
  <c r="BS565" i="9"/>
  <c r="BT565" i="9"/>
  <c r="BP566" i="9"/>
  <c r="BQ566" i="9"/>
  <c r="BR566" i="9"/>
  <c r="BS566" i="9"/>
  <c r="BT566" i="9"/>
  <c r="BP567" i="9"/>
  <c r="BQ567" i="9"/>
  <c r="BR567" i="9"/>
  <c r="BS567" i="9"/>
  <c r="BT567" i="9"/>
  <c r="BP568" i="9"/>
  <c r="BQ568" i="9"/>
  <c r="BR568" i="9"/>
  <c r="BS568" i="9"/>
  <c r="BT568" i="9"/>
  <c r="BP569" i="9"/>
  <c r="BQ569" i="9"/>
  <c r="BR569" i="9"/>
  <c r="BS569" i="9"/>
  <c r="BT569" i="9"/>
  <c r="BP570" i="9"/>
  <c r="BQ570" i="9"/>
  <c r="BR570" i="9"/>
  <c r="BS570" i="9"/>
  <c r="BT570" i="9"/>
  <c r="BP571" i="9"/>
  <c r="BQ571" i="9"/>
  <c r="BR571" i="9"/>
  <c r="BS571" i="9"/>
  <c r="BT571" i="9"/>
  <c r="BP572" i="9"/>
  <c r="BQ572" i="9"/>
  <c r="BR572" i="9"/>
  <c r="BS572" i="9"/>
  <c r="BT572" i="9"/>
  <c r="BP573" i="9"/>
  <c r="BQ573" i="9"/>
  <c r="BR573" i="9"/>
  <c r="BS573" i="9"/>
  <c r="BT573" i="9"/>
  <c r="BP574" i="9"/>
  <c r="BQ574" i="9"/>
  <c r="BR574" i="9"/>
  <c r="BS574" i="9"/>
  <c r="BT574" i="9"/>
  <c r="BP575" i="9"/>
  <c r="BQ575" i="9"/>
  <c r="BR575" i="9"/>
  <c r="BS575" i="9"/>
  <c r="BT575" i="9"/>
  <c r="BP576" i="9"/>
  <c r="BQ576" i="9"/>
  <c r="BR576" i="9"/>
  <c r="BS576" i="9"/>
  <c r="BT576" i="9"/>
  <c r="BP577" i="9"/>
  <c r="BQ577" i="9"/>
  <c r="BR577" i="9"/>
  <c r="BS577" i="9"/>
  <c r="BT577" i="9"/>
  <c r="BP578" i="9"/>
  <c r="BQ578" i="9"/>
  <c r="BR578" i="9"/>
  <c r="BS578" i="9"/>
  <c r="BT578" i="9"/>
  <c r="BP579" i="9"/>
  <c r="BQ579" i="9"/>
  <c r="BR579" i="9"/>
  <c r="BS579" i="9"/>
  <c r="BT579" i="9"/>
  <c r="BP580" i="9"/>
  <c r="BQ580" i="9"/>
  <c r="BR580" i="9"/>
  <c r="BS580" i="9"/>
  <c r="BT580" i="9"/>
  <c r="BP581" i="9"/>
  <c r="BQ581" i="9"/>
  <c r="BR581" i="9"/>
  <c r="BS581" i="9"/>
  <c r="BT581" i="9"/>
  <c r="BP582" i="9"/>
  <c r="BQ582" i="9"/>
  <c r="BR582" i="9"/>
  <c r="BS582" i="9"/>
  <c r="BT582" i="9"/>
  <c r="BP583" i="9"/>
  <c r="BQ583" i="9"/>
  <c r="BR583" i="9"/>
  <c r="BS583" i="9"/>
  <c r="BT583" i="9"/>
  <c r="BP584" i="9"/>
  <c r="BQ584" i="9"/>
  <c r="BR584" i="9"/>
  <c r="BS584" i="9"/>
  <c r="BT584" i="9"/>
  <c r="BP585" i="9"/>
  <c r="BQ585" i="9"/>
  <c r="BR585" i="9"/>
  <c r="BS585" i="9"/>
  <c r="BT585" i="9"/>
  <c r="BP586" i="9"/>
  <c r="BQ586" i="9"/>
  <c r="BR586" i="9"/>
  <c r="BS586" i="9"/>
  <c r="BT586" i="9"/>
  <c r="BP587" i="9"/>
  <c r="BQ587" i="9"/>
  <c r="BR587" i="9"/>
  <c r="BS587" i="9"/>
  <c r="BT587" i="9"/>
  <c r="BP588" i="9"/>
  <c r="BQ588" i="9"/>
  <c r="BR588" i="9"/>
  <c r="BS588" i="9"/>
  <c r="BT588" i="9"/>
  <c r="BP589" i="9"/>
  <c r="BQ589" i="9"/>
  <c r="BR589" i="9"/>
  <c r="BS589" i="9"/>
  <c r="BT589" i="9"/>
  <c r="BP590" i="9"/>
  <c r="BQ590" i="9"/>
  <c r="BR590" i="9"/>
  <c r="BS590" i="9"/>
  <c r="BT590" i="9"/>
  <c r="BP591" i="9"/>
  <c r="BQ591" i="9"/>
  <c r="BR591" i="9"/>
  <c r="BS591" i="9"/>
  <c r="BT591" i="9"/>
  <c r="BP592" i="9"/>
  <c r="BQ592" i="9"/>
  <c r="BR592" i="9"/>
  <c r="BS592" i="9"/>
  <c r="BT592" i="9"/>
  <c r="BP593" i="9"/>
  <c r="BQ593" i="9"/>
  <c r="BR593" i="9"/>
  <c r="BS593" i="9"/>
  <c r="BT593" i="9"/>
  <c r="BP594" i="9"/>
  <c r="BQ594" i="9"/>
  <c r="BR594" i="9"/>
  <c r="BS594" i="9"/>
  <c r="BT594" i="9"/>
  <c r="BP595" i="9"/>
  <c r="BQ595" i="9"/>
  <c r="BR595" i="9"/>
  <c r="BS595" i="9"/>
  <c r="BT595" i="9"/>
  <c r="BP596" i="9"/>
  <c r="BQ596" i="9"/>
  <c r="BR596" i="9"/>
  <c r="BS596" i="9"/>
  <c r="BT596" i="9"/>
  <c r="BP597" i="9"/>
  <c r="BQ597" i="9"/>
  <c r="BR597" i="9"/>
  <c r="BS597" i="9"/>
  <c r="BT597" i="9"/>
  <c r="BP598" i="9"/>
  <c r="BQ598" i="9"/>
  <c r="BR598" i="9"/>
  <c r="BS598" i="9"/>
  <c r="BT598" i="9"/>
  <c r="BP599" i="9"/>
  <c r="BQ599" i="9"/>
  <c r="BR599" i="9"/>
  <c r="BS599" i="9"/>
  <c r="BT599" i="9"/>
  <c r="BP600" i="9"/>
  <c r="BQ600" i="9"/>
  <c r="BR600" i="9"/>
  <c r="BS600" i="9"/>
  <c r="BT600" i="9"/>
  <c r="BP601" i="9"/>
  <c r="BQ601" i="9"/>
  <c r="BR601" i="9"/>
  <c r="BS601" i="9"/>
  <c r="BT601" i="9"/>
  <c r="BP602" i="9"/>
  <c r="BQ602" i="9"/>
  <c r="BR602" i="9"/>
  <c r="BS602" i="9"/>
  <c r="BT602" i="9"/>
  <c r="BP603" i="9"/>
  <c r="BQ603" i="9"/>
  <c r="BR603" i="9"/>
  <c r="BS603" i="9"/>
  <c r="BT603" i="9"/>
  <c r="BP604" i="9"/>
  <c r="BQ604" i="9"/>
  <c r="BR604" i="9"/>
  <c r="BS604" i="9"/>
  <c r="BT604" i="9"/>
  <c r="BP605" i="9"/>
  <c r="BQ605" i="9"/>
  <c r="BR605" i="9"/>
  <c r="BS605" i="9"/>
  <c r="BT605" i="9"/>
  <c r="BP606" i="9"/>
  <c r="BQ606" i="9"/>
  <c r="BR606" i="9"/>
  <c r="BS606" i="9"/>
  <c r="BT606" i="9"/>
  <c r="BP607" i="9"/>
  <c r="BQ607" i="9"/>
  <c r="BR607" i="9"/>
  <c r="BS607" i="9"/>
  <c r="BT607" i="9"/>
  <c r="BP608" i="9"/>
  <c r="BQ608" i="9"/>
  <c r="BR608" i="9"/>
  <c r="BS608" i="9"/>
  <c r="BT608" i="9"/>
  <c r="BP609" i="9"/>
  <c r="BQ609" i="9"/>
  <c r="BR609" i="9"/>
  <c r="BS609" i="9"/>
  <c r="BT609" i="9"/>
  <c r="BP610" i="9"/>
  <c r="BQ610" i="9"/>
  <c r="BR610" i="9"/>
  <c r="BS610" i="9"/>
  <c r="BT610" i="9"/>
  <c r="BP611" i="9"/>
  <c r="BQ611" i="9"/>
  <c r="BR611" i="9"/>
  <c r="BS611" i="9"/>
  <c r="BT611" i="9"/>
  <c r="BP612" i="9"/>
  <c r="BQ612" i="9"/>
  <c r="BR612" i="9"/>
  <c r="BS612" i="9"/>
  <c r="BT612" i="9"/>
  <c r="BP613" i="9"/>
  <c r="BQ613" i="9"/>
  <c r="BR613" i="9"/>
  <c r="BS613" i="9"/>
  <c r="BT613" i="9"/>
  <c r="BP614" i="9"/>
  <c r="BQ614" i="9"/>
  <c r="BR614" i="9"/>
  <c r="BS614" i="9"/>
  <c r="BT614" i="9"/>
  <c r="BP615" i="9"/>
  <c r="BQ615" i="9"/>
  <c r="BR615" i="9"/>
  <c r="BS615" i="9"/>
  <c r="BT615" i="9"/>
  <c r="BP616" i="9"/>
  <c r="BQ616" i="9"/>
  <c r="BR616" i="9"/>
  <c r="BS616" i="9"/>
  <c r="BT616" i="9"/>
  <c r="BP617" i="9"/>
  <c r="BQ617" i="9"/>
  <c r="BR617" i="9"/>
  <c r="BS617" i="9"/>
  <c r="BT617" i="9"/>
  <c r="BP618" i="9"/>
  <c r="BQ618" i="9"/>
  <c r="BR618" i="9"/>
  <c r="BS618" i="9"/>
  <c r="BT618" i="9"/>
  <c r="BP619" i="9"/>
  <c r="BQ619" i="9"/>
  <c r="BR619" i="9"/>
  <c r="BS619" i="9"/>
  <c r="BT619" i="9"/>
  <c r="BP620" i="9"/>
  <c r="BQ620" i="9"/>
  <c r="BR620" i="9"/>
  <c r="BS620" i="9"/>
  <c r="BT620" i="9"/>
  <c r="BP621" i="9"/>
  <c r="BQ621" i="9"/>
  <c r="BR621" i="9"/>
  <c r="BS621" i="9"/>
  <c r="BT621" i="9"/>
  <c r="BP622" i="9"/>
  <c r="BQ622" i="9"/>
  <c r="BR622" i="9"/>
  <c r="BS622" i="9"/>
  <c r="BT622" i="9"/>
  <c r="BP623" i="9"/>
  <c r="BQ623" i="9"/>
  <c r="BR623" i="9"/>
  <c r="BS623" i="9"/>
  <c r="BT623" i="9"/>
  <c r="BP624" i="9"/>
  <c r="BQ624" i="9"/>
  <c r="BR624" i="9"/>
  <c r="BS624" i="9"/>
  <c r="BT624" i="9"/>
  <c r="BP625" i="9"/>
  <c r="BQ625" i="9"/>
  <c r="BR625" i="9"/>
  <c r="BS625" i="9"/>
  <c r="BT625" i="9"/>
  <c r="BP626" i="9"/>
  <c r="BQ626" i="9"/>
  <c r="BR626" i="9"/>
  <c r="BS626" i="9"/>
  <c r="BT626" i="9"/>
  <c r="BP627" i="9"/>
  <c r="BQ627" i="9"/>
  <c r="BR627" i="9"/>
  <c r="BS627" i="9"/>
  <c r="BT627" i="9"/>
  <c r="A622" i="9"/>
  <c r="A623" i="9"/>
  <c r="A624" i="9"/>
  <c r="A625" i="9"/>
  <c r="A626" i="9"/>
  <c r="A627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R599" i="9" s="1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T620" i="9"/>
  <c r="T621" i="9"/>
  <c r="T622" i="9"/>
  <c r="R622" i="9" s="1"/>
  <c r="T623" i="9"/>
  <c r="R623" i="9" s="1"/>
  <c r="T624" i="9"/>
  <c r="R624" i="9" s="1"/>
  <c r="T625" i="9"/>
  <c r="R625" i="9" s="1"/>
  <c r="T626" i="9"/>
  <c r="R626" i="9" s="1"/>
  <c r="T627" i="9"/>
  <c r="R627" i="9" s="1"/>
  <c r="AG622" i="9"/>
  <c r="AG621" i="9"/>
  <c r="AG619" i="9"/>
  <c r="AG618" i="9"/>
  <c r="AG617" i="9"/>
  <c r="AG615" i="9"/>
  <c r="AG612" i="9"/>
  <c r="AG611" i="9"/>
  <c r="AG608" i="9"/>
  <c r="AG607" i="9"/>
  <c r="AG606" i="9"/>
  <c r="AG605" i="9"/>
  <c r="AG604" i="9"/>
  <c r="AG603" i="9"/>
  <c r="AG602" i="9"/>
  <c r="AG601" i="9"/>
  <c r="AG599" i="9"/>
  <c r="AG598" i="9"/>
  <c r="AG597" i="9"/>
  <c r="AG596" i="9"/>
  <c r="AG593" i="9"/>
  <c r="AG590" i="9"/>
  <c r="AG589" i="9"/>
  <c r="AG588" i="9"/>
  <c r="AG585" i="9"/>
  <c r="AG584" i="9"/>
  <c r="AG583" i="9"/>
  <c r="AG582" i="9"/>
  <c r="AG581" i="9"/>
  <c r="AG580" i="9"/>
  <c r="AG579" i="9"/>
  <c r="AG578" i="9"/>
  <c r="AG577" i="9"/>
  <c r="AG576" i="9"/>
  <c r="AG575" i="9"/>
  <c r="AG574" i="9"/>
  <c r="AG573" i="9"/>
  <c r="AG572" i="9"/>
  <c r="AG571" i="9"/>
  <c r="AG570" i="9"/>
  <c r="AG569" i="9"/>
  <c r="AG568" i="9"/>
  <c r="AG567" i="9"/>
  <c r="AG566" i="9"/>
  <c r="AG565" i="9"/>
  <c r="AG564" i="9"/>
  <c r="AG563" i="9"/>
  <c r="AG562" i="9"/>
  <c r="AG561" i="9"/>
  <c r="AG560" i="9"/>
  <c r="AG559" i="9"/>
  <c r="AG558" i="9"/>
  <c r="AG557" i="9"/>
  <c r="AG556" i="9"/>
  <c r="AG555" i="9"/>
  <c r="AG554" i="9"/>
  <c r="AG553" i="9"/>
  <c r="AG551" i="9"/>
  <c r="AG550" i="9"/>
  <c r="AG549" i="9"/>
  <c r="AG548" i="9"/>
  <c r="AG547" i="9"/>
  <c r="AG546" i="9"/>
  <c r="AG545" i="9"/>
  <c r="AG544" i="9"/>
  <c r="AG543" i="9"/>
  <c r="AG542" i="9"/>
  <c r="AG540" i="9"/>
  <c r="AG539" i="9"/>
  <c r="AG538" i="9"/>
  <c r="AG536" i="9"/>
  <c r="AG535" i="9"/>
  <c r="AG534" i="9"/>
  <c r="AG533" i="9"/>
  <c r="AG532" i="9"/>
  <c r="AG531" i="9"/>
  <c r="AG530" i="9"/>
  <c r="AG529" i="9"/>
  <c r="AG528" i="9"/>
  <c r="AG527" i="9"/>
  <c r="AG526" i="9"/>
  <c r="AG525" i="9"/>
  <c r="AG524" i="9"/>
  <c r="AG522" i="9"/>
  <c r="AG521" i="9"/>
  <c r="AG520" i="9"/>
  <c r="AG519" i="9"/>
  <c r="AG518" i="9"/>
  <c r="AG516" i="9"/>
  <c r="AG515" i="9"/>
  <c r="AG514" i="9"/>
  <c r="AG513" i="9"/>
  <c r="AG512" i="9"/>
  <c r="AG511" i="9"/>
  <c r="AG510" i="9"/>
  <c r="AG509" i="9"/>
  <c r="AG508" i="9"/>
  <c r="AG507" i="9"/>
  <c r="AG506" i="9"/>
  <c r="AG505" i="9"/>
  <c r="AG504" i="9"/>
  <c r="AG503" i="9"/>
  <c r="AG502" i="9"/>
  <c r="AG501" i="9"/>
  <c r="AG500" i="9"/>
  <c r="AG499" i="9"/>
  <c r="AG498" i="9"/>
  <c r="AG497" i="9"/>
  <c r="AG496" i="9"/>
  <c r="AG495" i="9"/>
  <c r="AG494" i="9"/>
  <c r="AG493" i="9"/>
  <c r="AG492" i="9"/>
  <c r="AG491" i="9"/>
  <c r="AG490" i="9"/>
  <c r="AG489" i="9"/>
  <c r="AG488" i="9"/>
  <c r="AG487" i="9"/>
  <c r="AG486" i="9"/>
  <c r="AG485" i="9"/>
  <c r="AG484" i="9"/>
  <c r="AG483" i="9"/>
  <c r="AG482" i="9"/>
  <c r="AG481" i="9"/>
  <c r="AG480" i="9"/>
  <c r="AG478" i="9"/>
  <c r="AG477" i="9"/>
  <c r="AG476" i="9"/>
  <c r="AG475" i="9"/>
  <c r="AG474" i="9"/>
  <c r="AG473" i="9"/>
  <c r="AG472" i="9"/>
  <c r="AG471" i="9"/>
  <c r="AG470" i="9"/>
  <c r="AG469" i="9"/>
  <c r="AG467" i="9"/>
  <c r="AG466" i="9"/>
  <c r="AG465" i="9"/>
  <c r="AG464" i="9"/>
  <c r="AG463" i="9"/>
  <c r="AG461" i="9"/>
  <c r="AG460" i="9"/>
  <c r="AG457" i="9"/>
  <c r="AG456" i="9"/>
  <c r="AG455" i="9"/>
  <c r="AG453" i="9"/>
  <c r="AG452" i="9"/>
  <c r="AG451" i="9"/>
  <c r="AG450" i="9"/>
  <c r="AG449" i="9"/>
  <c r="AG447" i="9"/>
  <c r="AG443" i="9"/>
  <c r="AG441" i="9"/>
  <c r="AG439" i="9"/>
  <c r="AG438" i="9"/>
  <c r="AG436" i="9"/>
  <c r="AG435" i="9"/>
  <c r="AG434" i="9"/>
  <c r="AG433" i="9"/>
  <c r="AG430" i="9"/>
  <c r="AG428" i="9"/>
  <c r="AG423" i="9"/>
  <c r="AG419" i="9"/>
  <c r="AG418" i="9"/>
  <c r="AG417" i="9"/>
  <c r="AG416" i="9"/>
  <c r="AG415" i="9"/>
  <c r="AG414" i="9"/>
  <c r="AG413" i="9"/>
  <c r="AG412" i="9"/>
  <c r="AG411" i="9"/>
  <c r="AG409" i="9"/>
  <c r="AG406" i="9"/>
  <c r="AG402" i="9"/>
  <c r="AG401" i="9"/>
  <c r="AG400" i="9"/>
  <c r="AG399" i="9"/>
  <c r="AG398" i="9"/>
  <c r="AG397" i="9"/>
  <c r="AG396" i="9"/>
  <c r="AG395" i="9"/>
  <c r="AG393" i="9"/>
  <c r="AG388" i="9"/>
  <c r="AG386" i="9"/>
  <c r="AG383" i="9"/>
  <c r="AG382" i="9"/>
  <c r="AG381" i="9"/>
  <c r="AG379" i="9"/>
  <c r="AG377" i="9"/>
  <c r="AG376" i="9"/>
  <c r="AG375" i="9"/>
  <c r="AG372" i="9"/>
  <c r="AG371" i="9"/>
  <c r="AG370" i="9"/>
  <c r="AG369" i="9"/>
  <c r="AG368" i="9"/>
  <c r="AG367" i="9"/>
  <c r="AG366" i="9"/>
  <c r="AG365" i="9"/>
  <c r="AG364" i="9"/>
  <c r="AG363" i="9"/>
  <c r="AG362" i="9"/>
  <c r="AG361" i="9"/>
  <c r="AG360" i="9"/>
  <c r="AG359" i="9"/>
  <c r="AG358" i="9"/>
  <c r="AG357" i="9"/>
  <c r="AG356" i="9"/>
  <c r="AG355" i="9"/>
  <c r="AG354" i="9"/>
  <c r="AG353" i="9"/>
  <c r="AG352" i="9"/>
  <c r="AG351" i="9"/>
  <c r="AG350" i="9"/>
  <c r="AG349" i="9"/>
  <c r="AG348" i="9"/>
  <c r="AG344" i="9"/>
  <c r="AG343" i="9"/>
  <c r="AG342" i="9"/>
  <c r="AG341" i="9"/>
  <c r="AG340" i="9"/>
  <c r="AG339" i="9"/>
  <c r="AG338" i="9"/>
  <c r="AG336" i="9"/>
  <c r="AG335" i="9"/>
  <c r="AG334" i="9"/>
  <c r="AG333" i="9"/>
  <c r="AG332" i="9"/>
  <c r="AG331" i="9"/>
  <c r="AG330" i="9"/>
  <c r="AG329" i="9"/>
  <c r="AG328" i="9"/>
  <c r="AG327" i="9"/>
  <c r="AG326" i="9"/>
  <c r="AG324" i="9"/>
  <c r="AG322" i="9"/>
  <c r="AG321" i="9"/>
  <c r="AG320" i="9"/>
  <c r="AG319" i="9"/>
  <c r="AG318" i="9"/>
  <c r="AG317" i="9"/>
  <c r="AG316" i="9"/>
  <c r="AG315" i="9"/>
  <c r="AG314" i="9"/>
  <c r="AG313" i="9"/>
  <c r="AG312" i="9"/>
  <c r="AG311" i="9"/>
  <c r="AG310" i="9"/>
  <c r="AG309" i="9"/>
  <c r="AG308" i="9"/>
  <c r="AG307" i="9"/>
  <c r="AG306" i="9"/>
  <c r="AG305" i="9"/>
  <c r="AG304" i="9"/>
  <c r="AG303" i="9"/>
  <c r="AG302" i="9"/>
  <c r="AG301" i="9"/>
  <c r="AG300" i="9"/>
  <c r="AG299" i="9"/>
  <c r="AG298" i="9"/>
  <c r="AG297" i="9"/>
  <c r="AG296" i="9"/>
  <c r="AG295" i="9"/>
  <c r="AG294" i="9"/>
  <c r="AG293" i="9"/>
  <c r="AG292" i="9"/>
  <c r="AG291" i="9"/>
  <c r="AG290" i="9"/>
  <c r="AG289" i="9"/>
  <c r="AG288" i="9"/>
  <c r="AG287" i="9"/>
  <c r="AG283" i="9"/>
  <c r="AG282" i="9"/>
  <c r="AG281" i="9"/>
  <c r="AG278" i="9"/>
  <c r="AG275" i="9"/>
  <c r="AG274" i="9"/>
  <c r="AG271" i="9"/>
  <c r="AG270" i="9"/>
  <c r="AG264" i="9"/>
  <c r="AG261" i="9"/>
  <c r="AG254" i="9"/>
  <c r="AG253" i="9"/>
  <c r="AG245" i="9"/>
  <c r="AG236" i="9"/>
  <c r="AG229" i="9"/>
  <c r="AG225" i="9"/>
  <c r="AG224" i="9"/>
  <c r="AG223" i="9"/>
  <c r="AG222" i="9"/>
  <c r="AG221" i="9"/>
  <c r="AG220" i="9"/>
  <c r="AG219" i="9"/>
  <c r="AG218" i="9"/>
  <c r="AG217" i="9"/>
  <c r="AG216" i="9"/>
  <c r="AG215" i="9"/>
  <c r="AG214" i="9"/>
  <c r="AG213" i="9"/>
  <c r="AG212" i="9"/>
  <c r="AG211" i="9"/>
  <c r="AG209" i="9"/>
  <c r="AG207" i="9"/>
  <c r="AG206" i="9"/>
  <c r="AG203" i="9"/>
  <c r="AG202" i="9"/>
  <c r="AG193" i="9"/>
  <c r="AG179" i="9"/>
  <c r="AG178" i="9"/>
  <c r="AG176" i="9"/>
  <c r="AG175" i="9"/>
  <c r="AG164" i="9"/>
  <c r="AG162" i="9"/>
  <c r="AG161" i="9"/>
  <c r="AG159" i="9"/>
  <c r="AG158" i="9"/>
  <c r="AG157" i="9"/>
  <c r="AG156" i="9"/>
  <c r="AG155" i="9"/>
  <c r="AG154" i="9"/>
  <c r="AG153" i="9"/>
  <c r="AG144" i="9"/>
  <c r="AG142" i="9"/>
  <c r="AG140" i="9"/>
  <c r="AG135" i="9"/>
  <c r="AG134" i="9"/>
  <c r="AG132" i="9"/>
  <c r="AG130" i="9"/>
  <c r="AG129" i="9"/>
  <c r="AG117" i="9"/>
  <c r="AG113" i="9"/>
  <c r="AG110" i="9"/>
  <c r="AG108" i="9"/>
  <c r="AG107" i="9"/>
  <c r="AG104" i="9"/>
  <c r="AG98" i="9"/>
  <c r="AG97" i="9"/>
  <c r="AG96" i="9"/>
  <c r="AG94" i="9"/>
  <c r="AG92" i="9"/>
  <c r="AG91" i="9"/>
  <c r="AG90" i="9"/>
  <c r="AG89" i="9"/>
  <c r="AG88" i="9"/>
  <c r="AG84" i="9"/>
  <c r="AG83" i="9"/>
  <c r="AG82" i="9"/>
  <c r="AG81" i="9"/>
  <c r="AG80" i="9"/>
  <c r="AG79" i="9"/>
  <c r="AG78" i="9"/>
  <c r="AG77" i="9"/>
  <c r="AG75" i="9"/>
  <c r="AG72" i="9"/>
  <c r="AG71" i="9"/>
  <c r="AG69" i="9"/>
  <c r="AG67" i="9"/>
  <c r="AG64" i="9"/>
  <c r="AG60" i="9"/>
  <c r="AG59" i="9"/>
  <c r="AG58" i="9"/>
  <c r="AG56" i="9"/>
  <c r="AG51" i="9"/>
  <c r="AG50" i="9"/>
  <c r="AG49" i="9"/>
  <c r="AG48" i="9"/>
  <c r="AG46" i="9"/>
  <c r="AG42" i="9"/>
  <c r="AG41" i="9"/>
  <c r="AG39" i="9"/>
  <c r="AG37" i="9"/>
  <c r="AG36" i="9"/>
  <c r="AG31" i="9"/>
  <c r="AG30" i="9"/>
  <c r="AG28" i="9"/>
  <c r="AG27" i="9"/>
  <c r="AG26" i="9"/>
  <c r="AG25" i="9"/>
  <c r="AG24" i="9"/>
  <c r="AG23" i="9"/>
  <c r="AG17" i="9"/>
  <c r="AG16" i="9"/>
  <c r="AG15" i="9"/>
  <c r="AG14" i="9"/>
  <c r="AG13" i="9"/>
  <c r="AG12" i="9"/>
  <c r="AG10" i="9"/>
  <c r="AG9" i="9"/>
  <c r="AG8" i="9"/>
  <c r="AG7" i="9"/>
  <c r="AG6" i="9"/>
  <c r="AG5" i="9"/>
  <c r="AG3" i="9"/>
  <c r="AG2" i="9"/>
  <c r="U110" i="9"/>
  <c r="T2" i="9"/>
  <c r="U2" i="9" s="1"/>
  <c r="BO231" i="9"/>
  <c r="BN231" i="9"/>
  <c r="BM231" i="9"/>
  <c r="T231" i="9"/>
  <c r="R231" i="9" s="1"/>
  <c r="A231" i="9"/>
  <c r="BO232" i="9"/>
  <c r="BN232" i="9"/>
  <c r="BM232" i="9"/>
  <c r="T232" i="9"/>
  <c r="R232" i="9" s="1"/>
  <c r="A232" i="9"/>
  <c r="BO425" i="9"/>
  <c r="BN425" i="9"/>
  <c r="BM425" i="9"/>
  <c r="T425" i="9"/>
  <c r="R425" i="9" s="1"/>
  <c r="A425" i="9"/>
  <c r="BO599" i="9"/>
  <c r="BN599" i="9"/>
  <c r="A599" i="9"/>
  <c r="BO61" i="9"/>
  <c r="BN61" i="9"/>
  <c r="BM61" i="9"/>
  <c r="T61" i="9"/>
  <c r="R61" i="9" s="1"/>
  <c r="A61" i="9"/>
  <c r="BO436" i="9"/>
  <c r="BN436" i="9"/>
  <c r="BM436" i="9"/>
  <c r="T436" i="9"/>
  <c r="R436" i="9" s="1"/>
  <c r="A436" i="9"/>
  <c r="BO345" i="9"/>
  <c r="BN345" i="9"/>
  <c r="BM345" i="9"/>
  <c r="T345" i="9"/>
  <c r="R345" i="9" s="1"/>
  <c r="A345" i="9"/>
  <c r="BO346" i="9"/>
  <c r="BN346" i="9"/>
  <c r="BM346" i="9"/>
  <c r="T346" i="9"/>
  <c r="R346" i="9" s="1"/>
  <c r="A346" i="9"/>
  <c r="BO339" i="9"/>
  <c r="BN339" i="9"/>
  <c r="BM339" i="9"/>
  <c r="T339" i="9"/>
  <c r="R339" i="9" s="1"/>
  <c r="A339" i="9"/>
  <c r="BO502" i="9"/>
  <c r="BN502" i="9"/>
  <c r="BM502" i="9"/>
  <c r="T502" i="9"/>
  <c r="R502" i="9" s="1"/>
  <c r="A502" i="9"/>
  <c r="Q423" i="9"/>
  <c r="Q422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R59" i="9" s="1"/>
  <c r="T60" i="9"/>
  <c r="R60" i="9" s="1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40" i="9"/>
  <c r="T341" i="9"/>
  <c r="T342" i="9"/>
  <c r="T343" i="9"/>
  <c r="T344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6" i="9"/>
  <c r="T427" i="9"/>
  <c r="T428" i="9"/>
  <c r="T429" i="9"/>
  <c r="T430" i="9"/>
  <c r="T431" i="9"/>
  <c r="T432" i="9"/>
  <c r="T433" i="9"/>
  <c r="T434" i="9"/>
  <c r="T435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A59" i="9"/>
  <c r="BM59" i="9"/>
  <c r="BN59" i="9"/>
  <c r="BO59" i="9"/>
  <c r="A60" i="9"/>
  <c r="BM60" i="9"/>
  <c r="BN60" i="9"/>
  <c r="BO60" i="9"/>
  <c r="A605" i="9" l="1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T3" i="9"/>
  <c r="R3" i="9" s="1"/>
  <c r="T4" i="9"/>
  <c r="R4" i="9" s="1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40" i="9"/>
  <c r="R341" i="9"/>
  <c r="R342" i="9"/>
  <c r="R343" i="9"/>
  <c r="R344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6" i="9"/>
  <c r="R427" i="9"/>
  <c r="R428" i="9"/>
  <c r="R429" i="9"/>
  <c r="R430" i="9"/>
  <c r="R431" i="9"/>
  <c r="R432" i="9"/>
  <c r="R433" i="9"/>
  <c r="R434" i="9"/>
  <c r="R435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R617" i="9"/>
  <c r="R618" i="9"/>
  <c r="R619" i="9"/>
  <c r="R620" i="9"/>
  <c r="R621" i="9"/>
  <c r="BO620" i="9"/>
  <c r="BN620" i="9"/>
  <c r="BO609" i="9"/>
  <c r="BN609" i="9"/>
  <c r="BM609" i="9"/>
  <c r="A495" i="9" l="1"/>
  <c r="A496" i="9"/>
  <c r="S495" i="9"/>
  <c r="BN3" i="9" l="1"/>
  <c r="BO3" i="9"/>
  <c r="BN4" i="9"/>
  <c r="BO4" i="9"/>
  <c r="BN5" i="9"/>
  <c r="BO5" i="9"/>
  <c r="BN6" i="9"/>
  <c r="BO6" i="9"/>
  <c r="BN7" i="9"/>
  <c r="BO7" i="9"/>
  <c r="BN8" i="9"/>
  <c r="BO8" i="9"/>
  <c r="BN9" i="9"/>
  <c r="BO9" i="9"/>
  <c r="BN10" i="9"/>
  <c r="BO10" i="9"/>
  <c r="BN11" i="9"/>
  <c r="BO11" i="9"/>
  <c r="BN12" i="9"/>
  <c r="BO12" i="9"/>
  <c r="BN13" i="9"/>
  <c r="BO13" i="9"/>
  <c r="BN14" i="9"/>
  <c r="BO14" i="9"/>
  <c r="BN15" i="9"/>
  <c r="BO15" i="9"/>
  <c r="BN16" i="9"/>
  <c r="BO16" i="9"/>
  <c r="BN17" i="9"/>
  <c r="BO17" i="9"/>
  <c r="BN18" i="9"/>
  <c r="BO18" i="9"/>
  <c r="BN19" i="9"/>
  <c r="BO19" i="9"/>
  <c r="BN20" i="9"/>
  <c r="BO20" i="9"/>
  <c r="BN21" i="9"/>
  <c r="BO21" i="9"/>
  <c r="BN22" i="9"/>
  <c r="BO22" i="9"/>
  <c r="BN23" i="9"/>
  <c r="BO23" i="9"/>
  <c r="BN24" i="9"/>
  <c r="BO24" i="9"/>
  <c r="BN25" i="9"/>
  <c r="BO25" i="9"/>
  <c r="BN26" i="9"/>
  <c r="BO26" i="9"/>
  <c r="BN27" i="9"/>
  <c r="BO27" i="9"/>
  <c r="BN28" i="9"/>
  <c r="BO28" i="9"/>
  <c r="BN29" i="9"/>
  <c r="BO29" i="9"/>
  <c r="BN30" i="9"/>
  <c r="BO30" i="9"/>
  <c r="BN31" i="9"/>
  <c r="BO31" i="9"/>
  <c r="BN32" i="9"/>
  <c r="BO32" i="9"/>
  <c r="BN33" i="9"/>
  <c r="BO33" i="9"/>
  <c r="BN34" i="9"/>
  <c r="BO34" i="9"/>
  <c r="BN35" i="9"/>
  <c r="BO35" i="9"/>
  <c r="BN36" i="9"/>
  <c r="BO36" i="9"/>
  <c r="BN37" i="9"/>
  <c r="BO37" i="9"/>
  <c r="BN38" i="9"/>
  <c r="BO38" i="9"/>
  <c r="BN39" i="9"/>
  <c r="BO39" i="9"/>
  <c r="BN40" i="9"/>
  <c r="BO40" i="9"/>
  <c r="BN41" i="9"/>
  <c r="BO41" i="9"/>
  <c r="BN42" i="9"/>
  <c r="BO42" i="9"/>
  <c r="BN43" i="9"/>
  <c r="BO43" i="9"/>
  <c r="BN44" i="9"/>
  <c r="BO44" i="9"/>
  <c r="BN45" i="9"/>
  <c r="BO45" i="9"/>
  <c r="BN46" i="9"/>
  <c r="BO46" i="9"/>
  <c r="BN47" i="9"/>
  <c r="BO47" i="9"/>
  <c r="BN48" i="9"/>
  <c r="BO48" i="9"/>
  <c r="BN49" i="9"/>
  <c r="BO49" i="9"/>
  <c r="BN50" i="9"/>
  <c r="BO50" i="9"/>
  <c r="BN51" i="9"/>
  <c r="BO51" i="9"/>
  <c r="BN52" i="9"/>
  <c r="BO52" i="9"/>
  <c r="BN53" i="9"/>
  <c r="BO53" i="9"/>
  <c r="BN54" i="9"/>
  <c r="BO54" i="9"/>
  <c r="BN55" i="9"/>
  <c r="BO55" i="9"/>
  <c r="BN56" i="9"/>
  <c r="BO56" i="9"/>
  <c r="BN57" i="9"/>
  <c r="BO57" i="9"/>
  <c r="BN58" i="9"/>
  <c r="BO58" i="9"/>
  <c r="BN62" i="9"/>
  <c r="BO62" i="9"/>
  <c r="BN63" i="9"/>
  <c r="BO63" i="9"/>
  <c r="BN64" i="9"/>
  <c r="BO64" i="9"/>
  <c r="BN65" i="9"/>
  <c r="BO65" i="9"/>
  <c r="BN66" i="9"/>
  <c r="BO66" i="9"/>
  <c r="BN67" i="9"/>
  <c r="BO67" i="9"/>
  <c r="BN68" i="9"/>
  <c r="BO68" i="9"/>
  <c r="BN69" i="9"/>
  <c r="BO69" i="9"/>
  <c r="BN70" i="9"/>
  <c r="BO70" i="9"/>
  <c r="BN71" i="9"/>
  <c r="BO71" i="9"/>
  <c r="BN72" i="9"/>
  <c r="BO72" i="9"/>
  <c r="BN73" i="9"/>
  <c r="BO73" i="9"/>
  <c r="BN74" i="9"/>
  <c r="BO74" i="9"/>
  <c r="BN75" i="9"/>
  <c r="BO75" i="9"/>
  <c r="BN76" i="9"/>
  <c r="BO76" i="9"/>
  <c r="BN77" i="9"/>
  <c r="BO77" i="9"/>
  <c r="BN78" i="9"/>
  <c r="BO78" i="9"/>
  <c r="BN79" i="9"/>
  <c r="BO79" i="9"/>
  <c r="BN80" i="9"/>
  <c r="BO80" i="9"/>
  <c r="BN81" i="9"/>
  <c r="BO81" i="9"/>
  <c r="BN82" i="9"/>
  <c r="BO82" i="9"/>
  <c r="BN83" i="9"/>
  <c r="BO83" i="9"/>
  <c r="BN84" i="9"/>
  <c r="BO84" i="9"/>
  <c r="BN85" i="9"/>
  <c r="BO85" i="9"/>
  <c r="BN86" i="9"/>
  <c r="BO86" i="9"/>
  <c r="BN87" i="9"/>
  <c r="BO87" i="9"/>
  <c r="BN88" i="9"/>
  <c r="BO88" i="9"/>
  <c r="BN89" i="9"/>
  <c r="BO89" i="9"/>
  <c r="BN90" i="9"/>
  <c r="BO90" i="9"/>
  <c r="BN91" i="9"/>
  <c r="BO91" i="9"/>
  <c r="BN92" i="9"/>
  <c r="BO92" i="9"/>
  <c r="BN93" i="9"/>
  <c r="BO93" i="9"/>
  <c r="BN94" i="9"/>
  <c r="BO94" i="9"/>
  <c r="BN95" i="9"/>
  <c r="BO95" i="9"/>
  <c r="BN96" i="9"/>
  <c r="BO96" i="9"/>
  <c r="BN97" i="9"/>
  <c r="BO97" i="9"/>
  <c r="BN98" i="9"/>
  <c r="BO98" i="9"/>
  <c r="BN99" i="9"/>
  <c r="BO99" i="9"/>
  <c r="BN100" i="9"/>
  <c r="BO100" i="9"/>
  <c r="BN101" i="9"/>
  <c r="BO101" i="9"/>
  <c r="BN102" i="9"/>
  <c r="BO102" i="9"/>
  <c r="BN103" i="9"/>
  <c r="BO103" i="9"/>
  <c r="BN104" i="9"/>
  <c r="BO104" i="9"/>
  <c r="BN105" i="9"/>
  <c r="BO105" i="9"/>
  <c r="BN106" i="9"/>
  <c r="BO106" i="9"/>
  <c r="BN107" i="9"/>
  <c r="BO107" i="9"/>
  <c r="BN108" i="9"/>
  <c r="BO108" i="9"/>
  <c r="BN109" i="9"/>
  <c r="BO109" i="9"/>
  <c r="BN110" i="9"/>
  <c r="BO110" i="9"/>
  <c r="BN111" i="9"/>
  <c r="BO111" i="9"/>
  <c r="BN112" i="9"/>
  <c r="BO112" i="9"/>
  <c r="BN113" i="9"/>
  <c r="BO113" i="9"/>
  <c r="BN114" i="9"/>
  <c r="BO114" i="9"/>
  <c r="BN115" i="9"/>
  <c r="BO115" i="9"/>
  <c r="BN116" i="9"/>
  <c r="BO116" i="9"/>
  <c r="BN117" i="9"/>
  <c r="BO117" i="9"/>
  <c r="BN118" i="9"/>
  <c r="BO118" i="9"/>
  <c r="BN119" i="9"/>
  <c r="BO119" i="9"/>
  <c r="BN120" i="9"/>
  <c r="BO120" i="9"/>
  <c r="BN121" i="9"/>
  <c r="BO121" i="9"/>
  <c r="BN122" i="9"/>
  <c r="BO122" i="9"/>
  <c r="BN123" i="9"/>
  <c r="BO123" i="9"/>
  <c r="BN124" i="9"/>
  <c r="BO124" i="9"/>
  <c r="BN125" i="9"/>
  <c r="BO125" i="9"/>
  <c r="BN126" i="9"/>
  <c r="BO126" i="9"/>
  <c r="BN127" i="9"/>
  <c r="BO127" i="9"/>
  <c r="BN128" i="9"/>
  <c r="BO128" i="9"/>
  <c r="BN129" i="9"/>
  <c r="BO129" i="9"/>
  <c r="BN130" i="9"/>
  <c r="BO130" i="9"/>
  <c r="BN131" i="9"/>
  <c r="BO131" i="9"/>
  <c r="BN132" i="9"/>
  <c r="BO132" i="9"/>
  <c r="BN133" i="9"/>
  <c r="BO133" i="9"/>
  <c r="BN134" i="9"/>
  <c r="BO134" i="9"/>
  <c r="BN135" i="9"/>
  <c r="BO135" i="9"/>
  <c r="BN136" i="9"/>
  <c r="BO136" i="9"/>
  <c r="BN137" i="9"/>
  <c r="BO137" i="9"/>
  <c r="BN138" i="9"/>
  <c r="BO138" i="9"/>
  <c r="BN139" i="9"/>
  <c r="BO139" i="9"/>
  <c r="BN140" i="9"/>
  <c r="BO140" i="9"/>
  <c r="BN141" i="9"/>
  <c r="BO141" i="9"/>
  <c r="BN142" i="9"/>
  <c r="BO142" i="9"/>
  <c r="BN143" i="9"/>
  <c r="BO143" i="9"/>
  <c r="BN144" i="9"/>
  <c r="BO144" i="9"/>
  <c r="BN145" i="9"/>
  <c r="BO145" i="9"/>
  <c r="BN146" i="9"/>
  <c r="BO146" i="9"/>
  <c r="BN147" i="9"/>
  <c r="BO147" i="9"/>
  <c r="BN148" i="9"/>
  <c r="BO148" i="9"/>
  <c r="BN149" i="9"/>
  <c r="BO149" i="9"/>
  <c r="BN150" i="9"/>
  <c r="BO150" i="9"/>
  <c r="BN151" i="9"/>
  <c r="BO151" i="9"/>
  <c r="BN152" i="9"/>
  <c r="BO152" i="9"/>
  <c r="BN153" i="9"/>
  <c r="BO153" i="9"/>
  <c r="BN154" i="9"/>
  <c r="BO154" i="9"/>
  <c r="BN155" i="9"/>
  <c r="BO155" i="9"/>
  <c r="BN156" i="9"/>
  <c r="BO156" i="9"/>
  <c r="BN157" i="9"/>
  <c r="BO157" i="9"/>
  <c r="BN158" i="9"/>
  <c r="BO158" i="9"/>
  <c r="BN159" i="9"/>
  <c r="BO159" i="9"/>
  <c r="BN160" i="9"/>
  <c r="BO160" i="9"/>
  <c r="BN161" i="9"/>
  <c r="BO161" i="9"/>
  <c r="BN162" i="9"/>
  <c r="BO162" i="9"/>
  <c r="BN163" i="9"/>
  <c r="BO163" i="9"/>
  <c r="BN164" i="9"/>
  <c r="BO164" i="9"/>
  <c r="BN165" i="9"/>
  <c r="BO165" i="9"/>
  <c r="BN166" i="9"/>
  <c r="BO166" i="9"/>
  <c r="BN167" i="9"/>
  <c r="BO167" i="9"/>
  <c r="BN168" i="9"/>
  <c r="BO168" i="9"/>
  <c r="BN169" i="9"/>
  <c r="BO169" i="9"/>
  <c r="BN170" i="9"/>
  <c r="BO170" i="9"/>
  <c r="BN171" i="9"/>
  <c r="BO171" i="9"/>
  <c r="BN172" i="9"/>
  <c r="BO172" i="9"/>
  <c r="BN173" i="9"/>
  <c r="BO173" i="9"/>
  <c r="BN174" i="9"/>
  <c r="BO174" i="9"/>
  <c r="BN175" i="9"/>
  <c r="BO175" i="9"/>
  <c r="BN176" i="9"/>
  <c r="BO176" i="9"/>
  <c r="BN177" i="9"/>
  <c r="BO177" i="9"/>
  <c r="BN178" i="9"/>
  <c r="BO178" i="9"/>
  <c r="BN179" i="9"/>
  <c r="BO179" i="9"/>
  <c r="BN180" i="9"/>
  <c r="BO180" i="9"/>
  <c r="BN181" i="9"/>
  <c r="BO181" i="9"/>
  <c r="BN182" i="9"/>
  <c r="BO182" i="9"/>
  <c r="BN183" i="9"/>
  <c r="BO183" i="9"/>
  <c r="BN184" i="9"/>
  <c r="BO184" i="9"/>
  <c r="BN185" i="9"/>
  <c r="BO185" i="9"/>
  <c r="BN186" i="9"/>
  <c r="BO186" i="9"/>
  <c r="BN187" i="9"/>
  <c r="BO187" i="9"/>
  <c r="BN188" i="9"/>
  <c r="BO188" i="9"/>
  <c r="BN189" i="9"/>
  <c r="BO189" i="9"/>
  <c r="BN190" i="9"/>
  <c r="BO190" i="9"/>
  <c r="BN191" i="9"/>
  <c r="BO191" i="9"/>
  <c r="BN192" i="9"/>
  <c r="BO192" i="9"/>
  <c r="BN193" i="9"/>
  <c r="BO193" i="9"/>
  <c r="BN194" i="9"/>
  <c r="BO194" i="9"/>
  <c r="BN195" i="9"/>
  <c r="BO195" i="9"/>
  <c r="BN196" i="9"/>
  <c r="BO196" i="9"/>
  <c r="BN197" i="9"/>
  <c r="BO197" i="9"/>
  <c r="BN198" i="9"/>
  <c r="BO198" i="9"/>
  <c r="BN199" i="9"/>
  <c r="BO199" i="9"/>
  <c r="BN200" i="9"/>
  <c r="BO200" i="9"/>
  <c r="BN201" i="9"/>
  <c r="BO201" i="9"/>
  <c r="BN202" i="9"/>
  <c r="BO202" i="9"/>
  <c r="BN203" i="9"/>
  <c r="BO203" i="9"/>
  <c r="BN204" i="9"/>
  <c r="BO204" i="9"/>
  <c r="BN205" i="9"/>
  <c r="BO205" i="9"/>
  <c r="BN206" i="9"/>
  <c r="BO206" i="9"/>
  <c r="BN207" i="9"/>
  <c r="BO207" i="9"/>
  <c r="BN208" i="9"/>
  <c r="BO208" i="9"/>
  <c r="BN209" i="9"/>
  <c r="BO209" i="9"/>
  <c r="BN210" i="9"/>
  <c r="BO210" i="9"/>
  <c r="BN211" i="9"/>
  <c r="BO211" i="9"/>
  <c r="BN212" i="9"/>
  <c r="BO212" i="9"/>
  <c r="BN213" i="9"/>
  <c r="BO213" i="9"/>
  <c r="BN214" i="9"/>
  <c r="BO214" i="9"/>
  <c r="BN215" i="9"/>
  <c r="BO215" i="9"/>
  <c r="BN216" i="9"/>
  <c r="BO216" i="9"/>
  <c r="BN217" i="9"/>
  <c r="BO217" i="9"/>
  <c r="BN218" i="9"/>
  <c r="BO218" i="9"/>
  <c r="BN219" i="9"/>
  <c r="BO219" i="9"/>
  <c r="BN220" i="9"/>
  <c r="BO220" i="9"/>
  <c r="BN221" i="9"/>
  <c r="BO221" i="9"/>
  <c r="BN222" i="9"/>
  <c r="BO222" i="9"/>
  <c r="BN223" i="9"/>
  <c r="BO223" i="9"/>
  <c r="BN224" i="9"/>
  <c r="BO224" i="9"/>
  <c r="BN225" i="9"/>
  <c r="BO225" i="9"/>
  <c r="BN226" i="9"/>
  <c r="BO226" i="9"/>
  <c r="BN227" i="9"/>
  <c r="BO227" i="9"/>
  <c r="BN228" i="9"/>
  <c r="BO228" i="9"/>
  <c r="BN229" i="9"/>
  <c r="BO229" i="9"/>
  <c r="BN230" i="9"/>
  <c r="BO230" i="9"/>
  <c r="BN233" i="9"/>
  <c r="BO233" i="9"/>
  <c r="BN234" i="9"/>
  <c r="BO234" i="9"/>
  <c r="BN235" i="9"/>
  <c r="BO235" i="9"/>
  <c r="BN236" i="9"/>
  <c r="BO236" i="9"/>
  <c r="BN237" i="9"/>
  <c r="BO237" i="9"/>
  <c r="BN238" i="9"/>
  <c r="BO238" i="9"/>
  <c r="BN239" i="9"/>
  <c r="BO239" i="9"/>
  <c r="BN240" i="9"/>
  <c r="BO240" i="9"/>
  <c r="BN241" i="9"/>
  <c r="BO241" i="9"/>
  <c r="BN242" i="9"/>
  <c r="BO242" i="9"/>
  <c r="BN243" i="9"/>
  <c r="BO243" i="9"/>
  <c r="BN244" i="9"/>
  <c r="BO244" i="9"/>
  <c r="BN245" i="9"/>
  <c r="BO245" i="9"/>
  <c r="BN246" i="9"/>
  <c r="BO246" i="9"/>
  <c r="BN247" i="9"/>
  <c r="BO247" i="9"/>
  <c r="BN248" i="9"/>
  <c r="BO248" i="9"/>
  <c r="BN249" i="9"/>
  <c r="BO249" i="9"/>
  <c r="BN250" i="9"/>
  <c r="BO250" i="9"/>
  <c r="BN251" i="9"/>
  <c r="BO251" i="9"/>
  <c r="BN252" i="9"/>
  <c r="BO252" i="9"/>
  <c r="BN253" i="9"/>
  <c r="BO253" i="9"/>
  <c r="BN254" i="9"/>
  <c r="BO254" i="9"/>
  <c r="BN255" i="9"/>
  <c r="BO255" i="9"/>
  <c r="BN256" i="9"/>
  <c r="BO256" i="9"/>
  <c r="BN257" i="9"/>
  <c r="BO257" i="9"/>
  <c r="BN258" i="9"/>
  <c r="BO258" i="9"/>
  <c r="BN259" i="9"/>
  <c r="BO259" i="9"/>
  <c r="BN260" i="9"/>
  <c r="BO260" i="9"/>
  <c r="BN261" i="9"/>
  <c r="BO261" i="9"/>
  <c r="BN262" i="9"/>
  <c r="BO262" i="9"/>
  <c r="BN263" i="9"/>
  <c r="BO263" i="9"/>
  <c r="BN264" i="9"/>
  <c r="BO264" i="9"/>
  <c r="BN265" i="9"/>
  <c r="BO265" i="9"/>
  <c r="BN266" i="9"/>
  <c r="BO266" i="9"/>
  <c r="BN267" i="9"/>
  <c r="BO267" i="9"/>
  <c r="BN268" i="9"/>
  <c r="BO268" i="9"/>
  <c r="BN269" i="9"/>
  <c r="BO269" i="9"/>
  <c r="BN270" i="9"/>
  <c r="BO270" i="9"/>
  <c r="BN271" i="9"/>
  <c r="BO271" i="9"/>
  <c r="BN272" i="9"/>
  <c r="BO272" i="9"/>
  <c r="BN273" i="9"/>
  <c r="BO273" i="9"/>
  <c r="BN274" i="9"/>
  <c r="BO274" i="9"/>
  <c r="BN275" i="9"/>
  <c r="BO275" i="9"/>
  <c r="BN276" i="9"/>
  <c r="BO276" i="9"/>
  <c r="BN277" i="9"/>
  <c r="BO277" i="9"/>
  <c r="BN278" i="9"/>
  <c r="BO278" i="9"/>
  <c r="BN279" i="9"/>
  <c r="BO279" i="9"/>
  <c r="BN280" i="9"/>
  <c r="BO280" i="9"/>
  <c r="BN281" i="9"/>
  <c r="BO281" i="9"/>
  <c r="BN282" i="9"/>
  <c r="BO282" i="9"/>
  <c r="BN283" i="9"/>
  <c r="BO283" i="9"/>
  <c r="BN284" i="9"/>
  <c r="BO284" i="9"/>
  <c r="BN285" i="9"/>
  <c r="BO285" i="9"/>
  <c r="BN286" i="9"/>
  <c r="BO286" i="9"/>
  <c r="BN287" i="9"/>
  <c r="BO287" i="9"/>
  <c r="BN288" i="9"/>
  <c r="BO288" i="9"/>
  <c r="BN289" i="9"/>
  <c r="BO289" i="9"/>
  <c r="BN290" i="9"/>
  <c r="BO290" i="9"/>
  <c r="BN291" i="9"/>
  <c r="BO291" i="9"/>
  <c r="BN292" i="9"/>
  <c r="BO292" i="9"/>
  <c r="BN293" i="9"/>
  <c r="BO293" i="9"/>
  <c r="BN294" i="9"/>
  <c r="BO294" i="9"/>
  <c r="BN295" i="9"/>
  <c r="BO295" i="9"/>
  <c r="BN296" i="9"/>
  <c r="BO296" i="9"/>
  <c r="BN297" i="9"/>
  <c r="BO297" i="9"/>
  <c r="BN298" i="9"/>
  <c r="BO298" i="9"/>
  <c r="BN299" i="9"/>
  <c r="BO299" i="9"/>
  <c r="BN300" i="9"/>
  <c r="BO300" i="9"/>
  <c r="BN301" i="9"/>
  <c r="BO301" i="9"/>
  <c r="BN302" i="9"/>
  <c r="BO302" i="9"/>
  <c r="BN303" i="9"/>
  <c r="BO303" i="9"/>
  <c r="BN304" i="9"/>
  <c r="BO304" i="9"/>
  <c r="BN305" i="9"/>
  <c r="BO305" i="9"/>
  <c r="BN306" i="9"/>
  <c r="BO306" i="9"/>
  <c r="BN307" i="9"/>
  <c r="BO307" i="9"/>
  <c r="BN308" i="9"/>
  <c r="BO308" i="9"/>
  <c r="BN309" i="9"/>
  <c r="BO309" i="9"/>
  <c r="BN310" i="9"/>
  <c r="BO310" i="9"/>
  <c r="BN311" i="9"/>
  <c r="BO311" i="9"/>
  <c r="BN312" i="9"/>
  <c r="BO312" i="9"/>
  <c r="BN313" i="9"/>
  <c r="BO313" i="9"/>
  <c r="BN314" i="9"/>
  <c r="BO314" i="9"/>
  <c r="BN315" i="9"/>
  <c r="BO315" i="9"/>
  <c r="BN316" i="9"/>
  <c r="BO316" i="9"/>
  <c r="BN317" i="9"/>
  <c r="BO317" i="9"/>
  <c r="BN318" i="9"/>
  <c r="BO318" i="9"/>
  <c r="BN319" i="9"/>
  <c r="BO319" i="9"/>
  <c r="BN320" i="9"/>
  <c r="BO320" i="9"/>
  <c r="BN321" i="9"/>
  <c r="BO321" i="9"/>
  <c r="BN322" i="9"/>
  <c r="BO322" i="9"/>
  <c r="BN323" i="9"/>
  <c r="BO323" i="9"/>
  <c r="BN324" i="9"/>
  <c r="BO324" i="9"/>
  <c r="BN325" i="9"/>
  <c r="BO325" i="9"/>
  <c r="BN326" i="9"/>
  <c r="BO326" i="9"/>
  <c r="BN327" i="9"/>
  <c r="BO327" i="9"/>
  <c r="BN328" i="9"/>
  <c r="BO328" i="9"/>
  <c r="BN329" i="9"/>
  <c r="BO329" i="9"/>
  <c r="BN330" i="9"/>
  <c r="BO330" i="9"/>
  <c r="BN331" i="9"/>
  <c r="BO331" i="9"/>
  <c r="BN332" i="9"/>
  <c r="BO332" i="9"/>
  <c r="BN333" i="9"/>
  <c r="BO333" i="9"/>
  <c r="BN334" i="9"/>
  <c r="BO334" i="9"/>
  <c r="BN335" i="9"/>
  <c r="BO335" i="9"/>
  <c r="BN336" i="9"/>
  <c r="BO336" i="9"/>
  <c r="BN337" i="9"/>
  <c r="BO337" i="9"/>
  <c r="BN338" i="9"/>
  <c r="BO338" i="9"/>
  <c r="BN340" i="9"/>
  <c r="BO340" i="9"/>
  <c r="BN341" i="9"/>
  <c r="BO341" i="9"/>
  <c r="BN342" i="9"/>
  <c r="BO342" i="9"/>
  <c r="BN343" i="9"/>
  <c r="BO343" i="9"/>
  <c r="BN344" i="9"/>
  <c r="BO344" i="9"/>
  <c r="BN347" i="9"/>
  <c r="BO347" i="9"/>
  <c r="BN348" i="9"/>
  <c r="BO348" i="9"/>
  <c r="BN349" i="9"/>
  <c r="BO349" i="9"/>
  <c r="BN350" i="9"/>
  <c r="BO350" i="9"/>
  <c r="BN351" i="9"/>
  <c r="BO351" i="9"/>
  <c r="BN352" i="9"/>
  <c r="BO352" i="9"/>
  <c r="BN353" i="9"/>
  <c r="BO353" i="9"/>
  <c r="BN354" i="9"/>
  <c r="BO354" i="9"/>
  <c r="BN355" i="9"/>
  <c r="BO355" i="9"/>
  <c r="BN356" i="9"/>
  <c r="BO356" i="9"/>
  <c r="BN357" i="9"/>
  <c r="BO357" i="9"/>
  <c r="BN358" i="9"/>
  <c r="BO358" i="9"/>
  <c r="BN359" i="9"/>
  <c r="BO359" i="9"/>
  <c r="BN360" i="9"/>
  <c r="BO360" i="9"/>
  <c r="BN361" i="9"/>
  <c r="BO361" i="9"/>
  <c r="BN362" i="9"/>
  <c r="BO362" i="9"/>
  <c r="BN363" i="9"/>
  <c r="BO363" i="9"/>
  <c r="BN364" i="9"/>
  <c r="BO364" i="9"/>
  <c r="BN365" i="9"/>
  <c r="BO365" i="9"/>
  <c r="BN366" i="9"/>
  <c r="BO366" i="9"/>
  <c r="BN367" i="9"/>
  <c r="BO367" i="9"/>
  <c r="BN368" i="9"/>
  <c r="BO368" i="9"/>
  <c r="BN369" i="9"/>
  <c r="BO369" i="9"/>
  <c r="BN370" i="9"/>
  <c r="BO370" i="9"/>
  <c r="BN371" i="9"/>
  <c r="BO371" i="9"/>
  <c r="BN372" i="9"/>
  <c r="BO372" i="9"/>
  <c r="BN373" i="9"/>
  <c r="BO373" i="9"/>
  <c r="BN374" i="9"/>
  <c r="BO374" i="9"/>
  <c r="BN375" i="9"/>
  <c r="BO375" i="9"/>
  <c r="BN376" i="9"/>
  <c r="BO376" i="9"/>
  <c r="BN377" i="9"/>
  <c r="BO377" i="9"/>
  <c r="BN378" i="9"/>
  <c r="BO378" i="9"/>
  <c r="BN379" i="9"/>
  <c r="BO379" i="9"/>
  <c r="BN380" i="9"/>
  <c r="BO380" i="9"/>
  <c r="BN381" i="9"/>
  <c r="BO381" i="9"/>
  <c r="BN382" i="9"/>
  <c r="BO382" i="9"/>
  <c r="BN383" i="9"/>
  <c r="BO383" i="9"/>
  <c r="BN384" i="9"/>
  <c r="BO384" i="9"/>
  <c r="BN385" i="9"/>
  <c r="BO385" i="9"/>
  <c r="BN386" i="9"/>
  <c r="BO386" i="9"/>
  <c r="BN387" i="9"/>
  <c r="BO387" i="9"/>
  <c r="BN388" i="9"/>
  <c r="BO388" i="9"/>
  <c r="BN389" i="9"/>
  <c r="BO389" i="9"/>
  <c r="BN390" i="9"/>
  <c r="BO390" i="9"/>
  <c r="BN391" i="9"/>
  <c r="BO391" i="9"/>
  <c r="BN392" i="9"/>
  <c r="BO392" i="9"/>
  <c r="BN393" i="9"/>
  <c r="BO393" i="9"/>
  <c r="BN394" i="9"/>
  <c r="BO394" i="9"/>
  <c r="BN395" i="9"/>
  <c r="BO395" i="9"/>
  <c r="BN396" i="9"/>
  <c r="BO396" i="9"/>
  <c r="BN397" i="9"/>
  <c r="BO397" i="9"/>
  <c r="BN398" i="9"/>
  <c r="BO398" i="9"/>
  <c r="BN399" i="9"/>
  <c r="BO399" i="9"/>
  <c r="BN400" i="9"/>
  <c r="BO400" i="9"/>
  <c r="BN401" i="9"/>
  <c r="BO401" i="9"/>
  <c r="BN402" i="9"/>
  <c r="BO402" i="9"/>
  <c r="BN403" i="9"/>
  <c r="BO403" i="9"/>
  <c r="BN404" i="9"/>
  <c r="BO404" i="9"/>
  <c r="BN405" i="9"/>
  <c r="BO405" i="9"/>
  <c r="BN406" i="9"/>
  <c r="BO406" i="9"/>
  <c r="BN407" i="9"/>
  <c r="BO407" i="9"/>
  <c r="BN408" i="9"/>
  <c r="BO408" i="9"/>
  <c r="BN409" i="9"/>
  <c r="BO409" i="9"/>
  <c r="BN410" i="9"/>
  <c r="BO410" i="9"/>
  <c r="BN411" i="9"/>
  <c r="BO411" i="9"/>
  <c r="BN412" i="9"/>
  <c r="BO412" i="9"/>
  <c r="BN413" i="9"/>
  <c r="BO413" i="9"/>
  <c r="BN414" i="9"/>
  <c r="BO414" i="9"/>
  <c r="BN415" i="9"/>
  <c r="BO415" i="9"/>
  <c r="BN416" i="9"/>
  <c r="BO416" i="9"/>
  <c r="BN417" i="9"/>
  <c r="BO417" i="9"/>
  <c r="BN418" i="9"/>
  <c r="BO418" i="9"/>
  <c r="BN419" i="9"/>
  <c r="BO419" i="9"/>
  <c r="BN420" i="9"/>
  <c r="BO420" i="9"/>
  <c r="BN421" i="9"/>
  <c r="BO421" i="9"/>
  <c r="BN422" i="9"/>
  <c r="BO422" i="9"/>
  <c r="BN423" i="9"/>
  <c r="BO423" i="9"/>
  <c r="BN424" i="9"/>
  <c r="BO424" i="9"/>
  <c r="BN426" i="9"/>
  <c r="BO426" i="9"/>
  <c r="BN427" i="9"/>
  <c r="BO427" i="9"/>
  <c r="BN428" i="9"/>
  <c r="BO428" i="9"/>
  <c r="BN429" i="9"/>
  <c r="BO429" i="9"/>
  <c r="BN430" i="9"/>
  <c r="BO430" i="9"/>
  <c r="BN431" i="9"/>
  <c r="BO431" i="9"/>
  <c r="BN432" i="9"/>
  <c r="BO432" i="9"/>
  <c r="BN433" i="9"/>
  <c r="BO433" i="9"/>
  <c r="BN434" i="9"/>
  <c r="BO434" i="9"/>
  <c r="BN435" i="9"/>
  <c r="BO435" i="9"/>
  <c r="BN437" i="9"/>
  <c r="BO437" i="9"/>
  <c r="BN438" i="9"/>
  <c r="BO438" i="9"/>
  <c r="BN439" i="9"/>
  <c r="BO439" i="9"/>
  <c r="BN440" i="9"/>
  <c r="BO440" i="9"/>
  <c r="BN441" i="9"/>
  <c r="BO441" i="9"/>
  <c r="BN442" i="9"/>
  <c r="BO442" i="9"/>
  <c r="BN443" i="9"/>
  <c r="BO443" i="9"/>
  <c r="BN444" i="9"/>
  <c r="BO444" i="9"/>
  <c r="BN445" i="9"/>
  <c r="BO445" i="9"/>
  <c r="BN446" i="9"/>
  <c r="BO446" i="9"/>
  <c r="BN447" i="9"/>
  <c r="BO447" i="9"/>
  <c r="BN448" i="9"/>
  <c r="BO448" i="9"/>
  <c r="BN449" i="9"/>
  <c r="BO449" i="9"/>
  <c r="BN450" i="9"/>
  <c r="BO450" i="9"/>
  <c r="BN451" i="9"/>
  <c r="BO451" i="9"/>
  <c r="BN452" i="9"/>
  <c r="BO452" i="9"/>
  <c r="BN453" i="9"/>
  <c r="BO453" i="9"/>
  <c r="BN454" i="9"/>
  <c r="BO454" i="9"/>
  <c r="BN455" i="9"/>
  <c r="BO455" i="9"/>
  <c r="BN456" i="9"/>
  <c r="BO456" i="9"/>
  <c r="BN457" i="9"/>
  <c r="BO457" i="9"/>
  <c r="BN458" i="9"/>
  <c r="BO458" i="9"/>
  <c r="BN459" i="9"/>
  <c r="BO459" i="9"/>
  <c r="BN460" i="9"/>
  <c r="BO460" i="9"/>
  <c r="BN461" i="9"/>
  <c r="BO461" i="9"/>
  <c r="BN462" i="9"/>
  <c r="BO462" i="9"/>
  <c r="BN463" i="9"/>
  <c r="BO463" i="9"/>
  <c r="BN464" i="9"/>
  <c r="BO464" i="9"/>
  <c r="BN465" i="9"/>
  <c r="BO465" i="9"/>
  <c r="BN466" i="9"/>
  <c r="BO466" i="9"/>
  <c r="BN467" i="9"/>
  <c r="BO467" i="9"/>
  <c r="BN468" i="9"/>
  <c r="BO468" i="9"/>
  <c r="BN469" i="9"/>
  <c r="BO469" i="9"/>
  <c r="BN470" i="9"/>
  <c r="BO470" i="9"/>
  <c r="BN471" i="9"/>
  <c r="BO471" i="9"/>
  <c r="BN472" i="9"/>
  <c r="BO472" i="9"/>
  <c r="BN473" i="9"/>
  <c r="BO473" i="9"/>
  <c r="BN474" i="9"/>
  <c r="BO474" i="9"/>
  <c r="BN475" i="9"/>
  <c r="BO475" i="9"/>
  <c r="BN476" i="9"/>
  <c r="BO476" i="9"/>
  <c r="BN477" i="9"/>
  <c r="BO477" i="9"/>
  <c r="BN478" i="9"/>
  <c r="BO478" i="9"/>
  <c r="BN479" i="9"/>
  <c r="BO479" i="9"/>
  <c r="BN480" i="9"/>
  <c r="BO480" i="9"/>
  <c r="BN481" i="9"/>
  <c r="BO481" i="9"/>
  <c r="BN482" i="9"/>
  <c r="BO482" i="9"/>
  <c r="BN483" i="9"/>
  <c r="BO483" i="9"/>
  <c r="BN484" i="9"/>
  <c r="BO484" i="9"/>
  <c r="BN485" i="9"/>
  <c r="BO485" i="9"/>
  <c r="BN486" i="9"/>
  <c r="BO486" i="9"/>
  <c r="BN487" i="9"/>
  <c r="BO487" i="9"/>
  <c r="BN488" i="9"/>
  <c r="BO488" i="9"/>
  <c r="BN489" i="9"/>
  <c r="BO489" i="9"/>
  <c r="BN490" i="9"/>
  <c r="BO490" i="9"/>
  <c r="BN491" i="9"/>
  <c r="BO491" i="9"/>
  <c r="BN492" i="9"/>
  <c r="BO492" i="9"/>
  <c r="BN493" i="9"/>
  <c r="BO493" i="9"/>
  <c r="BN494" i="9"/>
  <c r="BO494" i="9"/>
  <c r="BN496" i="9"/>
  <c r="BO496" i="9"/>
  <c r="BN497" i="9"/>
  <c r="BO497" i="9"/>
  <c r="BN498" i="9"/>
  <c r="BO498" i="9"/>
  <c r="BN499" i="9"/>
  <c r="BO499" i="9"/>
  <c r="BN500" i="9"/>
  <c r="BO500" i="9"/>
  <c r="BN501" i="9"/>
  <c r="BO501" i="9"/>
  <c r="BN503" i="9"/>
  <c r="BO503" i="9"/>
  <c r="BN504" i="9"/>
  <c r="BO504" i="9"/>
  <c r="BN505" i="9"/>
  <c r="BO505" i="9"/>
  <c r="BN506" i="9"/>
  <c r="BO506" i="9"/>
  <c r="BN507" i="9"/>
  <c r="BO507" i="9"/>
  <c r="BN508" i="9"/>
  <c r="BO508" i="9"/>
  <c r="BN509" i="9"/>
  <c r="BO509" i="9"/>
  <c r="BN510" i="9"/>
  <c r="BO510" i="9"/>
  <c r="BN511" i="9"/>
  <c r="BO511" i="9"/>
  <c r="BN512" i="9"/>
  <c r="BO512" i="9"/>
  <c r="BN513" i="9"/>
  <c r="BO513" i="9"/>
  <c r="BN514" i="9"/>
  <c r="BO514" i="9"/>
  <c r="BN515" i="9"/>
  <c r="BO515" i="9"/>
  <c r="BN517" i="9"/>
  <c r="BO517" i="9"/>
  <c r="BN518" i="9"/>
  <c r="BO518" i="9"/>
  <c r="BN519" i="9"/>
  <c r="BO519" i="9"/>
  <c r="BN520" i="9"/>
  <c r="BO520" i="9"/>
  <c r="BN521" i="9"/>
  <c r="BO521" i="9"/>
  <c r="BN522" i="9"/>
  <c r="BO522" i="9"/>
  <c r="BN523" i="9"/>
  <c r="BO523" i="9"/>
  <c r="BN524" i="9"/>
  <c r="BO524" i="9"/>
  <c r="BN525" i="9"/>
  <c r="BO525" i="9"/>
  <c r="BN526" i="9"/>
  <c r="BO526" i="9"/>
  <c r="BN527" i="9"/>
  <c r="BO527" i="9"/>
  <c r="BN528" i="9"/>
  <c r="BO528" i="9"/>
  <c r="BN529" i="9"/>
  <c r="BO529" i="9"/>
  <c r="BN530" i="9"/>
  <c r="BO530" i="9"/>
  <c r="BN531" i="9"/>
  <c r="BO531" i="9"/>
  <c r="BN532" i="9"/>
  <c r="BO532" i="9"/>
  <c r="BN533" i="9"/>
  <c r="BO533" i="9"/>
  <c r="BN534" i="9"/>
  <c r="BO534" i="9"/>
  <c r="BN535" i="9"/>
  <c r="BO535" i="9"/>
  <c r="BN536" i="9"/>
  <c r="BO536" i="9"/>
  <c r="BN537" i="9"/>
  <c r="BO537" i="9"/>
  <c r="BN538" i="9"/>
  <c r="BO538" i="9"/>
  <c r="BN539" i="9"/>
  <c r="BO539" i="9"/>
  <c r="BN540" i="9"/>
  <c r="BO540" i="9"/>
  <c r="BN541" i="9"/>
  <c r="BO541" i="9"/>
  <c r="BN542" i="9"/>
  <c r="BO542" i="9"/>
  <c r="BN543" i="9"/>
  <c r="BO543" i="9"/>
  <c r="BN544" i="9"/>
  <c r="BO544" i="9"/>
  <c r="BN545" i="9"/>
  <c r="BO545" i="9"/>
  <c r="BN546" i="9"/>
  <c r="BO546" i="9"/>
  <c r="BN547" i="9"/>
  <c r="BO547" i="9"/>
  <c r="BN548" i="9"/>
  <c r="BO548" i="9"/>
  <c r="BN549" i="9"/>
  <c r="BO549" i="9"/>
  <c r="BN550" i="9"/>
  <c r="BO550" i="9"/>
  <c r="BN551" i="9"/>
  <c r="BO551" i="9"/>
  <c r="BN552" i="9"/>
  <c r="BO552" i="9"/>
  <c r="BN553" i="9"/>
  <c r="BO553" i="9"/>
  <c r="BN554" i="9"/>
  <c r="BO554" i="9"/>
  <c r="BN555" i="9"/>
  <c r="BO555" i="9"/>
  <c r="BN556" i="9"/>
  <c r="BO556" i="9"/>
  <c r="BN557" i="9"/>
  <c r="BO557" i="9"/>
  <c r="BN558" i="9"/>
  <c r="BO558" i="9"/>
  <c r="BN559" i="9"/>
  <c r="BO559" i="9"/>
  <c r="BN560" i="9"/>
  <c r="BO560" i="9"/>
  <c r="BN561" i="9"/>
  <c r="BO561" i="9"/>
  <c r="BN562" i="9"/>
  <c r="BO562" i="9"/>
  <c r="BN563" i="9"/>
  <c r="BO563" i="9"/>
  <c r="BN564" i="9"/>
  <c r="BO564" i="9"/>
  <c r="BN565" i="9"/>
  <c r="BO565" i="9"/>
  <c r="BN566" i="9"/>
  <c r="BO566" i="9"/>
  <c r="BN567" i="9"/>
  <c r="BO567" i="9"/>
  <c r="BN568" i="9"/>
  <c r="BO568" i="9"/>
  <c r="BN569" i="9"/>
  <c r="BO569" i="9"/>
  <c r="BN570" i="9"/>
  <c r="BO570" i="9"/>
  <c r="BN571" i="9"/>
  <c r="BO571" i="9"/>
  <c r="BN572" i="9"/>
  <c r="BO572" i="9"/>
  <c r="BN573" i="9"/>
  <c r="BO573" i="9"/>
  <c r="BN575" i="9"/>
  <c r="BO575" i="9"/>
  <c r="BN576" i="9"/>
  <c r="BO576" i="9"/>
  <c r="BN577" i="9"/>
  <c r="BO577" i="9"/>
  <c r="BN578" i="9"/>
  <c r="BO578" i="9"/>
  <c r="BN579" i="9"/>
  <c r="BO579" i="9"/>
  <c r="BN580" i="9"/>
  <c r="BO580" i="9"/>
  <c r="BN581" i="9"/>
  <c r="BO581" i="9"/>
  <c r="BN582" i="9"/>
  <c r="BO582" i="9"/>
  <c r="BN583" i="9"/>
  <c r="BO583" i="9"/>
  <c r="BN584" i="9"/>
  <c r="BO584" i="9"/>
  <c r="BN585" i="9"/>
  <c r="BO585" i="9"/>
  <c r="BN586" i="9"/>
  <c r="BO586" i="9"/>
  <c r="BN587" i="9"/>
  <c r="BO587" i="9"/>
  <c r="BN588" i="9"/>
  <c r="BO588" i="9"/>
  <c r="BN589" i="9"/>
  <c r="BO589" i="9"/>
  <c r="BN590" i="9"/>
  <c r="BO590" i="9"/>
  <c r="BN591" i="9"/>
  <c r="BO591" i="9"/>
  <c r="BN592" i="9"/>
  <c r="BO592" i="9"/>
  <c r="BN593" i="9"/>
  <c r="BO593" i="9"/>
  <c r="BN594" i="9"/>
  <c r="BO594" i="9"/>
  <c r="BN595" i="9"/>
  <c r="BO595" i="9"/>
  <c r="BN596" i="9"/>
  <c r="BO596" i="9"/>
  <c r="BN597" i="9"/>
  <c r="BO597" i="9"/>
  <c r="BN598" i="9"/>
  <c r="BO598" i="9"/>
  <c r="BN600" i="9"/>
  <c r="BO600" i="9"/>
  <c r="BN601" i="9"/>
  <c r="BO601" i="9"/>
  <c r="BN602" i="9"/>
  <c r="BO602" i="9"/>
  <c r="BN603" i="9"/>
  <c r="BO603" i="9"/>
  <c r="BN604" i="9"/>
  <c r="BO604" i="9"/>
  <c r="BN605" i="9"/>
  <c r="BO605" i="9"/>
  <c r="BN606" i="9"/>
  <c r="BO606" i="9"/>
  <c r="BN2" i="9"/>
  <c r="A601" i="9" l="1"/>
  <c r="A602" i="9"/>
  <c r="A603" i="9"/>
  <c r="A604" i="9"/>
  <c r="BO2" i="9"/>
  <c r="BP2" i="9"/>
  <c r="BQ2" i="9"/>
  <c r="BR2" i="9"/>
  <c r="BS2" i="9"/>
  <c r="BT2" i="9"/>
  <c r="A595" i="9"/>
  <c r="A596" i="9"/>
  <c r="A597" i="9"/>
  <c r="A598" i="9"/>
  <c r="A600" i="9"/>
  <c r="A319" i="9"/>
  <c r="A320" i="9"/>
  <c r="BM18" i="9" l="1"/>
  <c r="A18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40" i="9"/>
  <c r="A341" i="9"/>
  <c r="A342" i="9"/>
  <c r="A343" i="9"/>
  <c r="A344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6" i="9"/>
  <c r="A427" i="9"/>
  <c r="A428" i="9"/>
  <c r="A429" i="9"/>
  <c r="A430" i="9"/>
  <c r="A431" i="9"/>
  <c r="A432" i="9"/>
  <c r="A433" i="9"/>
  <c r="A434" i="9"/>
  <c r="A435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7" i="9"/>
  <c r="A498" i="9"/>
  <c r="A499" i="9"/>
  <c r="A500" i="9"/>
  <c r="A501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BM585" i="9" l="1"/>
  <c r="BM584" i="9"/>
  <c r="BM583" i="9"/>
  <c r="BM579" i="9"/>
  <c r="BM578" i="9"/>
  <c r="BM577" i="9"/>
  <c r="BM576" i="9"/>
  <c r="BM575" i="9"/>
  <c r="BM573" i="9"/>
  <c r="BM572" i="9"/>
  <c r="BM571" i="9"/>
  <c r="BM570" i="9"/>
  <c r="BM569" i="9"/>
  <c r="BM568" i="9"/>
  <c r="BM567" i="9"/>
  <c r="BM566" i="9"/>
  <c r="BM565" i="9"/>
  <c r="BM564" i="9"/>
  <c r="BM563" i="9"/>
  <c r="BM562" i="9"/>
  <c r="BM561" i="9"/>
  <c r="BM560" i="9"/>
  <c r="BM559" i="9"/>
  <c r="BM558" i="9"/>
  <c r="BM557" i="9"/>
  <c r="BM556" i="9"/>
  <c r="BM555" i="9"/>
  <c r="BM554" i="9"/>
  <c r="BM553" i="9"/>
  <c r="BM552" i="9"/>
  <c r="BM551" i="9"/>
  <c r="BM550" i="9"/>
  <c r="BM549" i="9"/>
  <c r="BM548" i="9"/>
  <c r="BM547" i="9"/>
  <c r="BM546" i="9"/>
  <c r="BM545" i="9"/>
  <c r="BM544" i="9"/>
  <c r="BM543" i="9"/>
  <c r="BM542" i="9"/>
  <c r="BM541" i="9"/>
  <c r="BM540" i="9"/>
  <c r="BM539" i="9"/>
  <c r="BM538" i="9"/>
  <c r="BM537" i="9"/>
  <c r="BM536" i="9"/>
  <c r="BM535" i="9"/>
  <c r="BM534" i="9"/>
  <c r="BM533" i="9"/>
  <c r="BM532" i="9"/>
  <c r="BM531" i="9"/>
  <c r="BM530" i="9"/>
  <c r="BM529" i="9"/>
  <c r="BM528" i="9"/>
  <c r="BM527" i="9"/>
  <c r="BM526" i="9"/>
  <c r="BM525" i="9"/>
  <c r="BM524" i="9"/>
  <c r="BM523" i="9"/>
  <c r="BM522" i="9"/>
  <c r="BM521" i="9"/>
  <c r="BM520" i="9"/>
  <c r="BM518" i="9"/>
  <c r="BM517" i="9"/>
  <c r="BM515" i="9"/>
  <c r="BM514" i="9"/>
  <c r="BM513" i="9"/>
  <c r="BM511" i="9"/>
  <c r="BM510" i="9"/>
  <c r="BM509" i="9"/>
  <c r="BM508" i="9"/>
  <c r="BM507" i="9"/>
  <c r="BM506" i="9"/>
  <c r="BM505" i="9"/>
  <c r="BM504" i="9"/>
  <c r="BM503" i="9"/>
  <c r="BM501" i="9"/>
  <c r="BM500" i="9"/>
  <c r="BM499" i="9"/>
  <c r="BM498" i="9"/>
  <c r="BM497" i="9"/>
  <c r="BM496" i="9"/>
  <c r="BM494" i="9"/>
  <c r="S494" i="9"/>
  <c r="BM493" i="9"/>
  <c r="S493" i="9"/>
  <c r="BM492" i="9"/>
  <c r="S492" i="9"/>
  <c r="BM491" i="9"/>
  <c r="S491" i="9"/>
  <c r="BM490" i="9"/>
  <c r="S490" i="9"/>
  <c r="BM489" i="9"/>
  <c r="S489" i="9"/>
  <c r="BM488" i="9"/>
  <c r="S488" i="9"/>
  <c r="BM487" i="9"/>
  <c r="S487" i="9"/>
  <c r="BM486" i="9"/>
  <c r="S486" i="9"/>
  <c r="BM485" i="9"/>
  <c r="S485" i="9"/>
  <c r="BM484" i="9"/>
  <c r="BM483" i="9"/>
  <c r="BM482" i="9"/>
  <c r="S482" i="9"/>
  <c r="BM481" i="9"/>
  <c r="S481" i="9"/>
  <c r="BM480" i="9"/>
  <c r="S480" i="9"/>
  <c r="BM479" i="9"/>
  <c r="S479" i="9"/>
  <c r="BM478" i="9"/>
  <c r="S478" i="9"/>
  <c r="BM477" i="9"/>
  <c r="S477" i="9"/>
  <c r="BM476" i="9"/>
  <c r="S476" i="9"/>
  <c r="BM475" i="9"/>
  <c r="S475" i="9"/>
  <c r="BM474" i="9"/>
  <c r="S474" i="9"/>
  <c r="BM473" i="9"/>
  <c r="S473" i="9"/>
  <c r="BM472" i="9"/>
  <c r="S472" i="9"/>
  <c r="BM471" i="9"/>
  <c r="S471" i="9"/>
  <c r="BM470" i="9"/>
  <c r="S470" i="9"/>
  <c r="BM469" i="9"/>
  <c r="S469" i="9"/>
  <c r="BM468" i="9"/>
  <c r="S468" i="9"/>
  <c r="BM467" i="9"/>
  <c r="S467" i="9"/>
  <c r="BM466" i="9"/>
  <c r="S466" i="9"/>
  <c r="BM465" i="9"/>
  <c r="S465" i="9"/>
  <c r="BM464" i="9"/>
  <c r="S464" i="9"/>
  <c r="BM463" i="9"/>
  <c r="S463" i="9"/>
  <c r="BM462" i="9"/>
  <c r="S462" i="9"/>
  <c r="BM461" i="9"/>
  <c r="BM460" i="9"/>
  <c r="S460" i="9"/>
  <c r="BM459" i="9"/>
  <c r="S459" i="9"/>
  <c r="BM458" i="9"/>
  <c r="S458" i="9"/>
  <c r="BM457" i="9"/>
  <c r="S457" i="9"/>
  <c r="BM456" i="9"/>
  <c r="S456" i="9"/>
  <c r="BM455" i="9"/>
  <c r="S455" i="9"/>
  <c r="BM454" i="9"/>
  <c r="S454" i="9"/>
  <c r="BM453" i="9"/>
  <c r="BM452" i="9"/>
  <c r="BM451" i="9"/>
  <c r="BM450" i="9"/>
  <c r="BM449" i="9"/>
  <c r="BM448" i="9"/>
  <c r="BM447" i="9"/>
  <c r="BM446" i="9"/>
  <c r="BM445" i="9"/>
  <c r="BM444" i="9"/>
  <c r="BM443" i="9"/>
  <c r="BM442" i="9"/>
  <c r="BM441" i="9"/>
  <c r="BM440" i="9"/>
  <c r="BM439" i="9"/>
  <c r="BM438" i="9"/>
  <c r="BM437" i="9"/>
  <c r="BM435" i="9"/>
  <c r="BM434" i="9"/>
  <c r="BM433" i="9"/>
  <c r="BM432" i="9"/>
  <c r="BM431" i="9"/>
  <c r="BM430" i="9"/>
  <c r="BM429" i="9"/>
  <c r="BM428" i="9"/>
  <c r="BM427" i="9"/>
  <c r="BM426" i="9"/>
  <c r="BM424" i="9"/>
  <c r="BM423" i="9"/>
  <c r="BM422" i="9"/>
  <c r="BM421" i="9"/>
  <c r="BM420" i="9"/>
  <c r="BM419" i="9"/>
  <c r="BM418" i="9"/>
  <c r="BM417" i="9"/>
  <c r="BM416" i="9"/>
  <c r="BM415" i="9"/>
  <c r="BM414" i="9"/>
  <c r="BM413" i="9"/>
  <c r="BM412" i="9"/>
  <c r="BM411" i="9"/>
  <c r="BM410" i="9"/>
  <c r="BM409" i="9"/>
  <c r="BM408" i="9"/>
  <c r="BM407" i="9"/>
  <c r="BM406" i="9"/>
  <c r="BM405" i="9"/>
  <c r="BM404" i="9"/>
  <c r="BM403" i="9"/>
  <c r="BM402" i="9"/>
  <c r="BM401" i="9"/>
  <c r="BM400" i="9"/>
  <c r="BM399" i="9"/>
  <c r="BM398" i="9"/>
  <c r="BM397" i="9"/>
  <c r="BM396" i="9"/>
  <c r="BM395" i="9"/>
  <c r="BM394" i="9"/>
  <c r="BM393" i="9"/>
  <c r="BM392" i="9"/>
  <c r="BM391" i="9"/>
  <c r="BM390" i="9"/>
  <c r="BM389" i="9"/>
  <c r="BM388" i="9"/>
  <c r="BM387" i="9"/>
  <c r="BM386" i="9"/>
  <c r="BM385" i="9"/>
  <c r="BM384" i="9"/>
  <c r="BM383" i="9"/>
  <c r="BM382" i="9"/>
  <c r="BM381" i="9"/>
  <c r="BM380" i="9"/>
  <c r="BM379" i="9"/>
  <c r="BM378" i="9"/>
  <c r="BM377" i="9"/>
  <c r="BM376" i="9"/>
  <c r="BM375" i="9"/>
  <c r="BM374" i="9"/>
  <c r="BM373" i="9"/>
  <c r="BM372" i="9"/>
  <c r="BM371" i="9"/>
  <c r="BM370" i="9"/>
  <c r="BM369" i="9"/>
  <c r="BM368" i="9"/>
  <c r="BM367" i="9"/>
  <c r="BM366" i="9"/>
  <c r="BM365" i="9"/>
  <c r="BM364" i="9"/>
  <c r="BM363" i="9"/>
  <c r="BM362" i="9"/>
  <c r="BM361" i="9"/>
  <c r="BM360" i="9"/>
  <c r="BM359" i="9"/>
  <c r="BM358" i="9"/>
  <c r="BM357" i="9"/>
  <c r="BM356" i="9"/>
  <c r="BM355" i="9"/>
  <c r="BM354" i="9"/>
  <c r="BM353" i="9"/>
  <c r="BM352" i="9"/>
  <c r="BM351" i="9"/>
  <c r="BM350" i="9"/>
  <c r="BM349" i="9"/>
  <c r="BM348" i="9"/>
  <c r="BM347" i="9"/>
  <c r="BM344" i="9"/>
  <c r="BM343" i="9"/>
  <c r="BM342" i="9"/>
  <c r="BM341" i="9"/>
  <c r="BM340" i="9"/>
  <c r="BM338" i="9"/>
  <c r="BM337" i="9"/>
  <c r="BM336" i="9"/>
  <c r="BM335" i="9"/>
  <c r="BM334" i="9"/>
  <c r="BM333" i="9"/>
  <c r="BM332" i="9"/>
  <c r="BM331" i="9"/>
  <c r="BM330" i="9"/>
  <c r="BM329" i="9"/>
  <c r="BM328" i="9"/>
  <c r="BM327" i="9"/>
  <c r="BM326" i="9"/>
  <c r="BM325" i="9"/>
  <c r="BM324" i="9"/>
  <c r="BM323" i="9"/>
  <c r="BM322" i="9"/>
  <c r="BM321" i="9"/>
  <c r="BM320" i="9"/>
  <c r="BM318" i="9"/>
  <c r="BM317" i="9"/>
  <c r="BM316" i="9"/>
  <c r="BM315" i="9"/>
  <c r="BM314" i="9"/>
  <c r="BM313" i="9"/>
  <c r="BM312" i="9"/>
  <c r="BM311" i="9"/>
  <c r="BM310" i="9"/>
  <c r="BM309" i="9"/>
  <c r="BM308" i="9"/>
  <c r="BM307" i="9"/>
  <c r="BM306" i="9"/>
  <c r="BM305" i="9"/>
  <c r="BM304" i="9"/>
  <c r="BM303" i="9"/>
  <c r="BM302" i="9"/>
  <c r="BM301" i="9"/>
  <c r="BM300" i="9"/>
  <c r="BM299" i="9"/>
  <c r="BM298" i="9"/>
  <c r="BM297" i="9"/>
  <c r="BM296" i="9"/>
  <c r="BM295" i="9"/>
  <c r="BM294" i="9"/>
  <c r="BM293" i="9"/>
  <c r="BM292" i="9"/>
  <c r="BM291" i="9"/>
  <c r="BM290" i="9"/>
  <c r="BM289" i="9"/>
  <c r="BM288" i="9"/>
  <c r="BM287" i="9"/>
  <c r="BM286" i="9"/>
  <c r="BM285" i="9"/>
  <c r="BM284" i="9"/>
  <c r="BM283" i="9"/>
  <c r="BM282" i="9"/>
  <c r="BM281" i="9"/>
  <c r="BM280" i="9"/>
  <c r="BM279" i="9"/>
  <c r="BM278" i="9"/>
  <c r="BM277" i="9"/>
  <c r="BM276" i="9"/>
  <c r="BM275" i="9"/>
  <c r="BM274" i="9"/>
  <c r="BM273" i="9"/>
  <c r="BM272" i="9"/>
  <c r="BM271" i="9"/>
  <c r="BM270" i="9"/>
  <c r="BM269" i="9"/>
  <c r="BM268" i="9"/>
  <c r="BM267" i="9"/>
  <c r="BM266" i="9"/>
  <c r="BM265" i="9"/>
  <c r="BM264" i="9"/>
  <c r="BM263" i="9"/>
  <c r="BM262" i="9"/>
  <c r="BM261" i="9"/>
  <c r="BM260" i="9"/>
  <c r="BM259" i="9"/>
  <c r="BM258" i="9"/>
  <c r="BM257" i="9"/>
  <c r="BM256" i="9"/>
  <c r="BM255" i="9"/>
  <c r="BM254" i="9"/>
  <c r="BM253" i="9"/>
  <c r="BM252" i="9"/>
  <c r="BM251" i="9"/>
  <c r="BM250" i="9"/>
  <c r="BM249" i="9"/>
  <c r="BM248" i="9"/>
  <c r="BM247" i="9"/>
  <c r="BM246" i="9"/>
  <c r="BM245" i="9"/>
  <c r="BM244" i="9"/>
  <c r="BM243" i="9"/>
  <c r="BM242" i="9"/>
  <c r="BM241" i="9"/>
  <c r="BM240" i="9"/>
  <c r="BM239" i="9"/>
  <c r="BM238" i="9"/>
  <c r="BM237" i="9"/>
  <c r="BM236" i="9"/>
  <c r="BM235" i="9"/>
  <c r="BM234" i="9"/>
  <c r="BM233" i="9"/>
  <c r="BM230" i="9"/>
  <c r="BM229" i="9"/>
  <c r="BM228" i="9"/>
  <c r="BM227" i="9"/>
  <c r="BM226" i="9"/>
  <c r="BM225" i="9"/>
  <c r="BM224" i="9"/>
  <c r="BM223" i="9"/>
  <c r="BM222" i="9"/>
  <c r="BM221" i="9"/>
  <c r="BM220" i="9"/>
  <c r="BM219" i="9"/>
  <c r="BM218" i="9"/>
  <c r="BM217" i="9"/>
  <c r="BM216" i="9"/>
  <c r="BM215" i="9"/>
  <c r="BM214" i="9"/>
  <c r="BM213" i="9"/>
  <c r="BM212" i="9"/>
  <c r="BM211" i="9"/>
  <c r="BM210" i="9"/>
  <c r="BM209" i="9"/>
  <c r="BM208" i="9"/>
  <c r="BM207" i="9"/>
  <c r="BM206" i="9"/>
  <c r="BM205" i="9"/>
  <c r="BM204" i="9"/>
  <c r="BM203" i="9"/>
  <c r="BM202" i="9"/>
  <c r="BM201" i="9"/>
  <c r="BM200" i="9"/>
  <c r="BM199" i="9"/>
  <c r="BM198" i="9"/>
  <c r="BM197" i="9"/>
  <c r="BM196" i="9"/>
  <c r="BM195" i="9"/>
  <c r="BM194" i="9"/>
  <c r="BM193" i="9"/>
  <c r="BM192" i="9"/>
  <c r="BM191" i="9"/>
  <c r="BM190" i="9"/>
  <c r="BM189" i="9"/>
  <c r="BM188" i="9"/>
  <c r="BM187" i="9"/>
  <c r="BM186" i="9"/>
  <c r="BM185" i="9"/>
  <c r="BM184" i="9"/>
  <c r="BM183" i="9"/>
  <c r="BM182" i="9"/>
  <c r="BM181" i="9"/>
  <c r="BM180" i="9"/>
  <c r="BM179" i="9"/>
  <c r="BM178" i="9"/>
  <c r="BM177" i="9"/>
  <c r="BM176" i="9"/>
  <c r="BM175" i="9"/>
  <c r="BM174" i="9"/>
  <c r="BM173" i="9"/>
  <c r="BM172" i="9"/>
  <c r="BM171" i="9"/>
  <c r="BM170" i="9"/>
  <c r="BM169" i="9"/>
  <c r="BM168" i="9"/>
  <c r="BM167" i="9"/>
  <c r="BM166" i="9"/>
  <c r="BM165" i="9"/>
  <c r="BM164" i="9"/>
  <c r="BM163" i="9"/>
  <c r="BM162" i="9"/>
  <c r="BM161" i="9"/>
  <c r="BM160" i="9"/>
  <c r="BM159" i="9"/>
  <c r="BM158" i="9"/>
  <c r="BM157" i="9"/>
  <c r="BM156" i="9"/>
  <c r="BM155" i="9"/>
  <c r="BM154" i="9"/>
  <c r="BM153" i="9"/>
  <c r="BM152" i="9"/>
  <c r="BM151" i="9"/>
  <c r="BM150" i="9"/>
  <c r="BM149" i="9"/>
  <c r="BM148" i="9"/>
  <c r="BM147" i="9"/>
  <c r="BM146" i="9"/>
  <c r="BM145" i="9"/>
  <c r="BM144" i="9"/>
  <c r="BM143" i="9"/>
  <c r="BM142" i="9"/>
  <c r="BM141" i="9"/>
  <c r="BM140" i="9"/>
  <c r="BM139" i="9"/>
  <c r="BM138" i="9"/>
  <c r="BM137" i="9"/>
  <c r="BM136" i="9"/>
  <c r="BM135" i="9"/>
  <c r="BM134" i="9"/>
  <c r="BM133" i="9"/>
  <c r="BM132" i="9"/>
  <c r="BM131" i="9"/>
  <c r="BM130" i="9"/>
  <c r="BM129" i="9"/>
  <c r="BM128" i="9"/>
  <c r="BM127" i="9"/>
  <c r="BM126" i="9"/>
  <c r="BM125" i="9"/>
  <c r="BM124" i="9"/>
  <c r="BM123" i="9"/>
  <c r="BM122" i="9"/>
  <c r="BM121" i="9"/>
  <c r="BM120" i="9"/>
  <c r="BM119" i="9"/>
  <c r="BM118" i="9"/>
  <c r="BM117" i="9"/>
  <c r="BM116" i="9"/>
  <c r="BM115" i="9"/>
  <c r="BM114" i="9"/>
  <c r="BM113" i="9"/>
  <c r="BM112" i="9"/>
  <c r="BM111" i="9"/>
  <c r="Y110" i="9"/>
  <c r="BM110" i="9" s="1"/>
  <c r="X110" i="9"/>
  <c r="W110" i="9"/>
  <c r="V110" i="9"/>
  <c r="BM109" i="9"/>
  <c r="BM108" i="9"/>
  <c r="BM107" i="9"/>
  <c r="BM105" i="9"/>
  <c r="BM102" i="9"/>
  <c r="BM101" i="9"/>
  <c r="BM100" i="9"/>
  <c r="BM99" i="9"/>
  <c r="BM98" i="9"/>
  <c r="BM97" i="9"/>
  <c r="BM96" i="9"/>
  <c r="BM95" i="9"/>
  <c r="BM94" i="9"/>
  <c r="BM93" i="9"/>
  <c r="BM92" i="9"/>
  <c r="BM91" i="9"/>
  <c r="BM90" i="9"/>
  <c r="BM89" i="9"/>
  <c r="BM88" i="9"/>
  <c r="BM87" i="9"/>
  <c r="BM86" i="9"/>
  <c r="BM85" i="9"/>
  <c r="BM84" i="9"/>
  <c r="BM83" i="9"/>
  <c r="BM82" i="9"/>
  <c r="BM81" i="9"/>
  <c r="BM80" i="9"/>
  <c r="BM79" i="9"/>
  <c r="BM78" i="9"/>
  <c r="BM77" i="9"/>
  <c r="BM76" i="9"/>
  <c r="BM75" i="9"/>
  <c r="BM74" i="9"/>
  <c r="BM73" i="9"/>
  <c r="BM72" i="9"/>
  <c r="BM71" i="9"/>
  <c r="BM70" i="9"/>
  <c r="BM69" i="9"/>
  <c r="BM68" i="9"/>
  <c r="BM67" i="9"/>
  <c r="BM66" i="9"/>
  <c r="BM65" i="9"/>
  <c r="BM64" i="9"/>
  <c r="BM63" i="9"/>
  <c r="BM62" i="9"/>
  <c r="BM58" i="9"/>
  <c r="BM57" i="9"/>
  <c r="BM56" i="9"/>
  <c r="BM55" i="9"/>
  <c r="BM54" i="9"/>
  <c r="BM53" i="9"/>
  <c r="BM52" i="9"/>
  <c r="BM51" i="9"/>
  <c r="BM50" i="9"/>
  <c r="BM49" i="9"/>
  <c r="BM48" i="9"/>
  <c r="BM47" i="9"/>
  <c r="BM46" i="9"/>
  <c r="BM45" i="9"/>
  <c r="BM44" i="9"/>
  <c r="BM43" i="9"/>
  <c r="BM42" i="9"/>
  <c r="BM41" i="9"/>
  <c r="BM40" i="9"/>
  <c r="BM39" i="9"/>
  <c r="BM38" i="9"/>
  <c r="BM37" i="9"/>
  <c r="BM36" i="9"/>
  <c r="BM35" i="9"/>
  <c r="BM34" i="9"/>
  <c r="BM33" i="9"/>
  <c r="BM32" i="9"/>
  <c r="BM31" i="9"/>
  <c r="BM30" i="9"/>
  <c r="BM29" i="9"/>
  <c r="BM28" i="9"/>
  <c r="BM27" i="9"/>
  <c r="BM26" i="9"/>
  <c r="BM25" i="9"/>
  <c r="BM24" i="9"/>
  <c r="BM23" i="9"/>
  <c r="BM22" i="9"/>
  <c r="BM21" i="9"/>
  <c r="BM20" i="9"/>
  <c r="BM19" i="9"/>
  <c r="BM17" i="9"/>
  <c r="BM16" i="9"/>
  <c r="BM15" i="9"/>
  <c r="BM14" i="9"/>
  <c r="BM13" i="9"/>
  <c r="BM12" i="9"/>
  <c r="BM11" i="9"/>
  <c r="BM10" i="9"/>
  <c r="BM9" i="9"/>
  <c r="BM8" i="9"/>
  <c r="BM7" i="9"/>
  <c r="BM6" i="9"/>
  <c r="BM5" i="9"/>
  <c r="BM4" i="9"/>
  <c r="BM3" i="9"/>
  <c r="BM2" i="9"/>
  <c r="R2" i="9"/>
  <c r="A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  <author>Bill Yang(杨帆_SM)</author>
  </authors>
  <commentList>
    <comment ref="G17" authorId="0" shapeId="0" xr:uid="{3D6E418A-65D1-4312-8906-22B5269FAAA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2" authorId="0" shapeId="0" xr:uid="{5F2234A3-5B13-4219-B1E5-3AAEFFDB516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N105" authorId="1" shapeId="0" xr:uid="{CAB3364F-D22B-4390-9EBD-9FF85FA82095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G225" authorId="2" shapeId="0" xr:uid="{A036944E-3D2A-426B-B91E-724DD7D88E9F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231" authorId="0" shapeId="0" xr:uid="{E168F805-89FD-4456-A62F-6EBF1A5236F1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232" authorId="0" shapeId="0" xr:uid="{579A2A7F-701B-4CF5-8DC0-364CEF43662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233" authorId="0" shapeId="0" xr:uid="{16E8C786-6442-47BE-B005-FA449DDE5A7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G418" authorId="0" shapeId="0" xr:uid="{BEDF915F-B1DE-4AA7-B063-F1825679061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4" authorId="0" shapeId="0" xr:uid="{47D646DA-F6E8-46A1-9F5F-E033AC5C65B5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436" authorId="0" shapeId="0" xr:uid="{0ECE2820-0B98-448A-B37C-50E71BED4107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7" authorId="0" shapeId="0" xr:uid="{A001C4BC-1BCE-4E9A-AF3B-4BBC06A8D10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<sst xmlns="http://schemas.openxmlformats.org/spreadsheetml/2006/main" count="9099" uniqueCount="2097">
  <si>
    <t>等级</t>
    <phoneticPr fontId="2" type="noConversion"/>
  </si>
  <si>
    <t>代理商</t>
  </si>
  <si>
    <t>TMS销售</t>
  </si>
  <si>
    <t>代理销售</t>
  </si>
  <si>
    <t>产品型号</t>
  </si>
  <si>
    <t>档位</t>
    <phoneticPr fontId="2" type="noConversion"/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</si>
  <si>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</si>
  <si>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</si>
  <si>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</si>
  <si>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</si>
  <si>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</si>
  <si>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</si>
  <si>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</si>
  <si>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</si>
  <si>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</si>
  <si>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</si>
  <si>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</si>
  <si>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</si>
  <si>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</si>
  <si>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</si>
  <si>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</si>
  <si>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</si>
  <si>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</si>
  <si>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</si>
  <si>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</si>
  <si>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</si>
  <si>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</si>
  <si>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</si>
  <si>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</si>
  <si>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</si>
  <si>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</si>
  <si>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</si>
  <si>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</si>
  <si>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</si>
  <si>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</si>
  <si>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</si>
  <si>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</si>
  <si>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</si>
  <si>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</si>
  <si>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</si>
  <si>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  <phoneticPr fontId="2" type="noConversion"/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</si>
  <si>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</si>
  <si>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</si>
  <si>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</si>
  <si>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</si>
  <si>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</si>
  <si>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</si>
  <si>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</si>
  <si>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</si>
  <si>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</si>
  <si>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</si>
  <si>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</si>
  <si>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</si>
  <si>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</si>
  <si>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</si>
  <si>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</si>
  <si>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</si>
  <si>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</si>
  <si>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</si>
  <si>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  <phoneticPr fontId="2" type="noConversion"/>
  </si>
  <si>
    <t>上海优昕电子信息技术有限公司</t>
  </si>
  <si>
    <t>Freya</t>
    <phoneticPr fontId="2" type="noConversion"/>
  </si>
  <si>
    <t>贾超</t>
    <phoneticPr fontId="2" type="noConversion"/>
  </si>
  <si>
    <t>SC4643VB-BK-Q</t>
  </si>
  <si>
    <t>SC4643VB-Q-DE-40CK-4643</t>
  </si>
  <si>
    <t>量产</t>
  </si>
  <si>
    <t>2部</t>
  </si>
  <si>
    <t>汽车电子</t>
    <phoneticPr fontId="2" type="noConversion"/>
  </si>
  <si>
    <t>三电系统</t>
  </si>
  <si>
    <t>三电电驱控制</t>
  </si>
  <si>
    <t>电控电流传感器</t>
  </si>
  <si>
    <t>SC4643VB-G-BK-Q</t>
    <phoneticPr fontId="2" type="noConversion"/>
  </si>
  <si>
    <t>SC4643VB-G-Q-DE-40CK-4643</t>
  </si>
  <si>
    <t>电流传感器模组</t>
  </si>
  <si>
    <t>送样</t>
    <phoneticPr fontId="2" type="noConversion"/>
  </si>
  <si>
    <t>西安华旭电气自动化技术有限公司</t>
  </si>
  <si>
    <t>盐城展拓电子有限公司</t>
  </si>
  <si>
    <t>Yinan</t>
  </si>
  <si>
    <t>王强</t>
  </si>
  <si>
    <t>SC4616UA-10.2NF-BK</t>
  </si>
  <si>
    <t>SC4616UA-10.2NF-CD-90AK-4616</t>
    <phoneticPr fontId="2" type="noConversion"/>
  </si>
  <si>
    <t>天津易鼎丰动力科技有限公司</t>
  </si>
  <si>
    <t>深圳诺信微科技有限公司</t>
  </si>
  <si>
    <t>SPD3242</t>
  </si>
  <si>
    <t>SPD3242(STC35301)</t>
  </si>
  <si>
    <t>湖南天雁机械股份有限公司</t>
  </si>
  <si>
    <t>SC69401DC-TR-Q</t>
    <phoneticPr fontId="2" type="noConversion"/>
  </si>
  <si>
    <t>SC69401DC-Q-HD-4XCR-69401</t>
  </si>
  <si>
    <t>汽车增压器</t>
  </si>
  <si>
    <t>动力总成</t>
  </si>
  <si>
    <t>发动机</t>
  </si>
  <si>
    <t>节气门</t>
  </si>
  <si>
    <t>博世汽车部件（长沙）有限公司</t>
  </si>
  <si>
    <t>SC2498TSO-TR-Q</t>
    <phoneticPr fontId="2" type="noConversion"/>
  </si>
  <si>
    <t>SC2498TSO-Q-CC-10CR-2498T</t>
  </si>
  <si>
    <t>座椅电机</t>
  </si>
  <si>
    <t>MT8361</t>
  </si>
  <si>
    <t>Josh</t>
  </si>
  <si>
    <t>汽车电子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</si>
  <si>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</si>
  <si>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</si>
  <si>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</si>
  <si>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</si>
  <si>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</si>
  <si>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</si>
  <si>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  <phoneticPr fontId="2" type="noConversion"/>
  </si>
  <si>
    <t>SC2498SO-Q-DB-60CR-2498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</si>
  <si>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</si>
  <si>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</si>
  <si>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</si>
  <si>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</si>
  <si>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</si>
  <si>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</si>
  <si>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</si>
  <si>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深圳市杰恒芯科技有限公司</t>
  </si>
  <si>
    <t>刘煦</t>
  </si>
  <si>
    <t>SC2442SO-TR-Q</t>
    <phoneticPr fontId="2" type="noConversion"/>
  </si>
  <si>
    <t>SC2442SO-Q-DB-60CR-2442</t>
  </si>
  <si>
    <t>座椅通风电机</t>
  </si>
  <si>
    <t>SDC1183</t>
  </si>
  <si>
    <t>Ricky</t>
  </si>
  <si>
    <t>座椅风扇</t>
  </si>
  <si>
    <t>ZH6338</t>
  </si>
  <si>
    <t>项目丢失</t>
  </si>
  <si>
    <t>目前驱动类产品客户供应商太多，暂时不会考虑</t>
  </si>
  <si>
    <t>A5947</t>
  </si>
  <si>
    <t>Axel</t>
  </si>
  <si>
    <t>江苏雷利电机股份有限公司</t>
  </si>
  <si>
    <t>重要客户</t>
    <phoneticPr fontId="2" type="noConversion"/>
  </si>
  <si>
    <t>深圳市宝创科技有限公司</t>
  </si>
  <si>
    <t>凡莹</t>
  </si>
  <si>
    <t>SC2438SO-TR</t>
    <phoneticPr fontId="2" type="noConversion"/>
  </si>
  <si>
    <t>SC2438SO-CM-10CR-2438</t>
  </si>
  <si>
    <t>华为抬头显示电机</t>
  </si>
  <si>
    <t>批量</t>
  </si>
  <si>
    <t>TDK1507</t>
  </si>
  <si>
    <t>SC2434SO-N-TR</t>
    <phoneticPr fontId="2" type="noConversion"/>
  </si>
  <si>
    <t>SC2434SO-N-CI-10CR-2434</t>
  </si>
  <si>
    <t>冰箱内部制冰机</t>
  </si>
  <si>
    <t>小批量</t>
  </si>
  <si>
    <t>SS341RT</t>
  </si>
  <si>
    <t>智能家居</t>
  </si>
  <si>
    <t>大型家电</t>
  </si>
  <si>
    <t>冰箱</t>
  </si>
  <si>
    <t>SC2402SO-N-TR</t>
    <phoneticPr fontId="2" type="noConversion"/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</si>
  <si>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</si>
  <si>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</si>
  <si>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</si>
  <si>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</si>
  <si>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</si>
  <si>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</si>
  <si>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</si>
  <si>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SC2064SO-TR</t>
    <phoneticPr fontId="2" type="noConversion"/>
  </si>
  <si>
    <t>SC2064SO-GC-00NR-2064</t>
  </si>
  <si>
    <t>惠而浦制冰机</t>
  </si>
  <si>
    <t>已经告知客户在低电压下HALL休眠滞后于MCU，push客户进行测试</t>
  </si>
  <si>
    <t>CH913SR</t>
  </si>
  <si>
    <t>SC2402UA-BK</t>
    <phoneticPr fontId="2" type="noConversion"/>
  </si>
  <si>
    <t>GE的冰箱压缩机散热风扇</t>
  </si>
  <si>
    <t>客户项目已经立项</t>
  </si>
  <si>
    <t>宁波希磁电子科技有限公司</t>
  </si>
  <si>
    <t>战略客户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</si>
  <si>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</si>
  <si>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</si>
  <si>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</si>
  <si>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</si>
  <si>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</si>
  <si>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SC2498CUA-N-BK-Q</t>
    <phoneticPr fontId="2" type="noConversion"/>
  </si>
  <si>
    <t>SC2498CUA-N-Q-DB-60AK-2498C</t>
  </si>
  <si>
    <t>SC2448SO-TR-Q</t>
  </si>
  <si>
    <t>SC2498SO-TR-Q</t>
  </si>
  <si>
    <t>天窗电机</t>
  </si>
  <si>
    <t>天窗系统</t>
  </si>
  <si>
    <t>一般客户</t>
  </si>
  <si>
    <t>Leo</t>
    <phoneticPr fontId="2" type="noConversion"/>
  </si>
  <si>
    <t>SC9642TS-E-Q-AH-4XLR-9642</t>
  </si>
  <si>
    <t>追觅科技（苏州）有限公司</t>
  </si>
  <si>
    <t>SC2063SO-TR</t>
    <phoneticPr fontId="2" type="noConversion"/>
  </si>
  <si>
    <t>SC2063SO-GC-00NR-2063</t>
  </si>
  <si>
    <t>扫地机器人</t>
  </si>
  <si>
    <t>PUSH客户进行产品验证</t>
  </si>
  <si>
    <t>MT8631AT</t>
  </si>
  <si>
    <t>扫地机</t>
  </si>
  <si>
    <t>扫地机尘盒</t>
  </si>
  <si>
    <t>SC2462SO-TR</t>
    <phoneticPr fontId="2" type="noConversion"/>
  </si>
  <si>
    <t>上海胜华波汽车电器有限公司</t>
  </si>
  <si>
    <t>战略客户</t>
    <phoneticPr fontId="2" type="noConversion"/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</si>
  <si>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</si>
  <si>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</si>
  <si>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</si>
  <si>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</si>
  <si>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</si>
  <si>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</si>
  <si>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</si>
  <si>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SC2498UA-N-BK-Q</t>
    <phoneticPr fontId="2" type="noConversion"/>
  </si>
  <si>
    <t>2024年底才大批量</t>
  </si>
  <si>
    <t>比亚迪，广汽</t>
  </si>
  <si>
    <t>推进中</t>
  </si>
  <si>
    <t>资料提报，看日产是否认可推荐</t>
  </si>
  <si>
    <t>N/A</t>
  </si>
  <si>
    <t>SC2448UA-N-BK-Q</t>
    <phoneticPr fontId="2" type="noConversion"/>
  </si>
  <si>
    <t>SC2448UA-N-Q-DB-60AK-2448</t>
  </si>
  <si>
    <t>深圳胜华波汽车电器有限公司</t>
  </si>
  <si>
    <t>ZH6531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</si>
  <si>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</si>
  <si>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</si>
  <si>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</si>
  <si>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</si>
  <si>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</si>
  <si>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</si>
  <si>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</si>
  <si>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SC2466SO-CO-10CR-2466</t>
  </si>
  <si>
    <t>电动剪刀</t>
  </si>
  <si>
    <t>说服客户SC2063试产</t>
    <phoneticPr fontId="2" type="noConversion"/>
  </si>
  <si>
    <t>AH464</t>
  </si>
  <si>
    <t>工业和机器人</t>
    <phoneticPr fontId="2" type="noConversion"/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</si>
  <si>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</si>
  <si>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</si>
  <si>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</si>
  <si>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</si>
  <si>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</si>
  <si>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</si>
  <si>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工业和机器人</t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</si>
  <si>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</si>
  <si>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</si>
  <si>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</si>
  <si>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</si>
  <si>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</si>
  <si>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</si>
  <si>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</si>
  <si>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</si>
  <si>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</si>
  <si>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</si>
  <si>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</si>
  <si>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</si>
  <si>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</si>
  <si>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</si>
  <si>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</si>
  <si>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</si>
  <si>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</si>
  <si>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</si>
  <si>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</si>
  <si>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</si>
  <si>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</si>
  <si>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</si>
  <si>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</si>
  <si>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</si>
  <si>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</si>
  <si>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</si>
  <si>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</si>
  <si>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</si>
  <si>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</si>
  <si>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</si>
  <si>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</si>
  <si>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</si>
  <si>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</si>
  <si>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</si>
  <si>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</si>
  <si>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</si>
  <si>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</si>
  <si>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SC2443SO-TR-Q</t>
    <phoneticPr fontId="2" type="noConversion"/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</si>
  <si>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</si>
  <si>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</si>
  <si>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</si>
  <si>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</si>
  <si>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</si>
  <si>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</si>
  <si>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SC1245SO-N-TR</t>
    <phoneticPr fontId="2" type="noConversion"/>
  </si>
  <si>
    <t>SC1245SO-N-CD-00NR-1245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</si>
  <si>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</si>
  <si>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</si>
  <si>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</si>
  <si>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</si>
  <si>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</si>
  <si>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</si>
  <si>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</si>
  <si>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</si>
  <si>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南通新德昇电子科技有限公司</t>
  </si>
  <si>
    <t>约见客户，确定实际用量情况</t>
    <phoneticPr fontId="2" type="noConversion"/>
  </si>
  <si>
    <t>SC2466SO-TR</t>
    <phoneticPr fontId="2" type="noConversion"/>
  </si>
  <si>
    <t>白板</t>
    <phoneticPr fontId="2" type="noConversion"/>
  </si>
  <si>
    <t>金华市聚杰电器有限公司</t>
  </si>
  <si>
    <t>宁波瑞霖机械科技有限公司</t>
  </si>
  <si>
    <t>SC4001SE-TR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</si>
  <si>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</si>
  <si>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</si>
  <si>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</si>
  <si>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</si>
  <si>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</si>
  <si>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Ricky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</si>
  <si>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</si>
  <si>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</si>
  <si>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</si>
  <si>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</si>
  <si>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</si>
  <si>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</si>
  <si>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</si>
  <si>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</si>
  <si>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苏州柯尔特测控技术有限公司</t>
    <phoneticPr fontId="2" type="noConversion"/>
  </si>
  <si>
    <t>赛卓电子科技（上海）股份有限公司</t>
    <phoneticPr fontId="2" type="noConversion"/>
  </si>
  <si>
    <t>SC4688DC-TR-Q</t>
    <phoneticPr fontId="2" type="noConversion"/>
  </si>
  <si>
    <t>SC4688DC-Q-DC-40CR-4688</t>
  </si>
  <si>
    <t>手柄</t>
    <phoneticPr fontId="2" type="noConversion"/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</si>
  <si>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</si>
  <si>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</si>
  <si>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</si>
  <si>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</si>
  <si>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</si>
  <si>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重要客户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</si>
  <si>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</si>
  <si>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</si>
  <si>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</si>
  <si>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</si>
  <si>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</si>
  <si>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</si>
  <si>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</si>
  <si>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曲轴传感器</t>
  </si>
  <si>
    <t>SC9675IM-TR-Q</t>
  </si>
  <si>
    <t>SC9675IM-Q-AB-4XAR-9675</t>
  </si>
  <si>
    <t>凸轮轴传感器</t>
    <phoneticPr fontId="2" type="noConversion"/>
  </si>
  <si>
    <t>评估</t>
    <phoneticPr fontId="2" type="noConversion"/>
  </si>
  <si>
    <t>驭芯科技（上海）有限公司</t>
  </si>
  <si>
    <t>上海霍通电子有限公司</t>
  </si>
  <si>
    <t>张翼虎</t>
    <phoneticPr fontId="2" type="noConversion"/>
  </si>
  <si>
    <t>SC9314UA-BK</t>
    <phoneticPr fontId="2" type="noConversion"/>
  </si>
  <si>
    <t>SC9314UA-CF-0XAK-9201L</t>
  </si>
  <si>
    <t>SC9625VB-TR</t>
  </si>
  <si>
    <t>SC9625VB-CE-00CR-9625L</t>
  </si>
  <si>
    <t>SC9675IM-HRF001-TR-Q</t>
    <phoneticPr fontId="2" type="noConversion"/>
  </si>
  <si>
    <t>上海感先汽车传感器有限公司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</si>
  <si>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</si>
  <si>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</si>
  <si>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</si>
  <si>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</si>
  <si>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湖北三环汽车电器有限公司</t>
  </si>
  <si>
    <t>焦志军</t>
    <phoneticPr fontId="2" type="noConversion"/>
  </si>
  <si>
    <t>SC2462SO-TR-Q</t>
  </si>
  <si>
    <t>SC2462SO-Q-CJ-10CR-2462</t>
  </si>
  <si>
    <t>油电口盖</t>
    <phoneticPr fontId="2" type="noConversion"/>
  </si>
  <si>
    <t>样品测试完成</t>
    <phoneticPr fontId="2" type="noConversion"/>
  </si>
  <si>
    <t>SC2432SO-TR-Q</t>
  </si>
  <si>
    <t>SC2432SO-Q-CM-10CR-2432</t>
  </si>
  <si>
    <t>换挡器</t>
    <phoneticPr fontId="2" type="noConversion"/>
  </si>
  <si>
    <t>重庆睿格汽车部件有限公司</t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</si>
  <si>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</si>
  <si>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</si>
  <si>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</si>
  <si>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</si>
  <si>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</si>
  <si>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</si>
  <si>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</si>
  <si>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</si>
  <si>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</si>
  <si>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</si>
  <si>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</si>
  <si>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</si>
  <si>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</si>
  <si>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</si>
  <si>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</si>
  <si>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</si>
  <si>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SC69401DC-SPI-TR-Q</t>
  </si>
  <si>
    <t>SC69401DC-SPI-Q-HD-4XCR-69401</t>
  </si>
  <si>
    <t>工程车辆遥感</t>
    <phoneticPr fontId="2" type="noConversion"/>
  </si>
  <si>
    <t>湖北飞耀汽车控制系统有限公司</t>
  </si>
  <si>
    <t>SC2438SO-TR-Q</t>
    <phoneticPr fontId="2" type="noConversion"/>
  </si>
  <si>
    <t>SC2438SO-Q-CM-10CR-2438</t>
  </si>
  <si>
    <t>上海岱美汽车内饰件股份有限公司</t>
  </si>
  <si>
    <t>上海佩岭电子科技有限公司</t>
  </si>
  <si>
    <t>朱一</t>
    <phoneticPr fontId="2" type="noConversion"/>
  </si>
  <si>
    <t>化妆镜位置检测</t>
    <phoneticPr fontId="2" type="noConversion"/>
  </si>
  <si>
    <t>建德市五星车业有限公司</t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</si>
  <si>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</si>
  <si>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</si>
  <si>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</si>
  <si>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</si>
  <si>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</si>
  <si>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鸿赛芯（上海）科技有限公司</t>
    <phoneticPr fontId="4" type="noConversion"/>
  </si>
  <si>
    <t>袁海峰</t>
    <phoneticPr fontId="2" type="noConversion"/>
  </si>
  <si>
    <t>SC4643VB-S-BK-Q</t>
    <phoneticPr fontId="2" type="noConversion"/>
  </si>
  <si>
    <t>SC4643VB-S-Q-DE-40CK-4643</t>
  </si>
  <si>
    <t>SC4643VB-P-BK-Q</t>
    <phoneticPr fontId="2" type="noConversion"/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</si>
  <si>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</si>
  <si>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</si>
  <si>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</si>
  <si>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Freya</t>
  </si>
  <si>
    <t>电控电流传感器</t>
    <phoneticPr fontId="2" type="noConversion"/>
  </si>
  <si>
    <t>前装送样</t>
    <phoneticPr fontId="2" type="noConversion"/>
  </si>
  <si>
    <t>当下重点推进</t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</si>
  <si>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</si>
  <si>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</si>
  <si>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</si>
  <si>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</si>
  <si>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</si>
  <si>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</si>
  <si>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SC69401DC-TR-Q</t>
  </si>
  <si>
    <t>电子节气门体</t>
    <phoneticPr fontId="2" type="noConversion"/>
  </si>
  <si>
    <t>苏州安连电子有限公司上海第一分公司</t>
  </si>
  <si>
    <t>SC4688SA-BK-Q</t>
    <phoneticPr fontId="2" type="noConversion"/>
  </si>
  <si>
    <t>SC4688SA-Q-DC-40CK-4688</t>
  </si>
  <si>
    <t>位移传感器</t>
    <phoneticPr fontId="2" type="noConversion"/>
  </si>
  <si>
    <t>武汉汉升汽车传感系统有限责任公司</t>
  </si>
  <si>
    <t>SC9675IM-TR-Q</t>
    <phoneticPr fontId="2" type="noConversion"/>
  </si>
  <si>
    <t>凸轮轴相位传感器</t>
    <phoneticPr fontId="2" type="noConversion"/>
  </si>
  <si>
    <t>ATS675</t>
  </si>
  <si>
    <t>SC9625VB-BK</t>
  </si>
  <si>
    <t>SC9625VB-CE-00CK-9625L</t>
  </si>
  <si>
    <t>曲轴位置传感器</t>
    <phoneticPr fontId="2" type="noConversion"/>
  </si>
  <si>
    <t>TLE4921-5U</t>
  </si>
  <si>
    <t>SC9314UA-BK-Q</t>
    <phoneticPr fontId="2" type="noConversion"/>
  </si>
  <si>
    <t>SC9314UA-Q-CF-0XAK-94M</t>
  </si>
  <si>
    <t>MLX90217</t>
  </si>
  <si>
    <t>无锡盛邦电子有限公司</t>
  </si>
  <si>
    <t>TLE4924</t>
  </si>
  <si>
    <t>用在长柴商用车项目</t>
    <phoneticPr fontId="2" type="noConversion"/>
  </si>
  <si>
    <t>SC9675T3-TR-Q</t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</si>
  <si>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</si>
  <si>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</si>
  <si>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</si>
  <si>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</si>
  <si>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</si>
  <si>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</si>
  <si>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深圳市森世泰科技有限公司</t>
  </si>
  <si>
    <t>十堰合容汽车电器股份有限公司</t>
  </si>
  <si>
    <t>上海和煦光电科技有限公司</t>
  </si>
  <si>
    <t>SC69401HS-SPI-TR-Q</t>
  </si>
  <si>
    <t>SC69401HS-SPI-Q-HD-4XTR-69401</t>
  </si>
  <si>
    <t>霍尼韦尔（中国)有限公司</t>
  </si>
  <si>
    <t>武汉沃达瑞电子科技有限公司</t>
  </si>
  <si>
    <t>周晓雨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</si>
  <si>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</si>
  <si>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</si>
  <si>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</si>
  <si>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</si>
  <si>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</si>
  <si>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宜美科技集团有限公司</t>
  </si>
  <si>
    <t>SC4688DC-DC-40AR-2425</t>
  </si>
  <si>
    <t>SC4688DC-TR</t>
    <phoneticPr fontId="2" type="noConversion"/>
  </si>
  <si>
    <t>SC4688DC-Q-DC-40CR-4688</t>
    <phoneticPr fontId="2" type="noConversion"/>
  </si>
  <si>
    <t>SC4643VB-S-Q-DE-40CK-4643</t>
    <phoneticPr fontId="2" type="noConversion"/>
  </si>
  <si>
    <t>SC2063SO-GC-00NR-2063</t>
    <phoneticPr fontId="2" type="noConversion"/>
  </si>
  <si>
    <t>SC9641TS-P-TR-Q</t>
    <phoneticPr fontId="2" type="noConversion"/>
  </si>
  <si>
    <t>SC9642TS-E-TR-Q</t>
    <phoneticPr fontId="2" type="noConversion"/>
  </si>
  <si>
    <t>VE2430QI-33-TR-Q</t>
    <phoneticPr fontId="2" type="noConversion"/>
  </si>
  <si>
    <t>SC2448SO-TR-Q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</si>
  <si>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</si>
  <si>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</si>
  <si>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250509：项目等待中，暂无更新</t>
    <phoneticPr fontId="2" type="noConversion"/>
  </si>
  <si>
    <t>MLX92211BAA-202</t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</si>
  <si>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</si>
  <si>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</si>
  <si>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</si>
  <si>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</si>
  <si>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</si>
  <si>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</si>
  <si>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</si>
  <si>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A1221</t>
  </si>
  <si>
    <t>L946</t>
  </si>
  <si>
    <t>MT836X</t>
  </si>
  <si>
    <t>SC2442SO-N-TR-Q</t>
    <phoneticPr fontId="2" type="noConversion"/>
  </si>
  <si>
    <t>比亚迪半导体股份有限公司</t>
    <phoneticPr fontId="2" type="noConversion"/>
  </si>
  <si>
    <t>SC4643SA-Q-DE-40HK-2100</t>
  </si>
  <si>
    <t>电流传感器</t>
    <phoneticPr fontId="2" type="noConversion"/>
  </si>
  <si>
    <t>SC4643SA-HBL-Q-DE-40HK-2100</t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</si>
  <si>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</si>
  <si>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</si>
  <si>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</si>
  <si>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</si>
  <si>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SC9641TS-PC-Q-AI-10LR-9641PC</t>
  </si>
  <si>
    <t>上海文襄汽车传感器有限公司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</si>
  <si>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</si>
  <si>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</si>
  <si>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</si>
  <si>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SC9642TS-Q-AG-4XHK-9642</t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</si>
  <si>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</si>
  <si>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</si>
  <si>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</si>
  <si>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</si>
  <si>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</si>
  <si>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</si>
  <si>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张翼鹏</t>
    <phoneticPr fontId="2" type="noConversion"/>
  </si>
  <si>
    <t>天域智控科技（上海）科技有限公司</t>
    <phoneticPr fontId="2" type="noConversion"/>
  </si>
  <si>
    <t>SC2442SO-N-Q-DB-60CR-2442</t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</si>
  <si>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</si>
  <si>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</si>
  <si>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</si>
  <si>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</si>
  <si>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</si>
  <si>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</si>
  <si>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组合开关</t>
    <phoneticPr fontId="2" type="noConversion"/>
  </si>
  <si>
    <t>黄山市瑞兴汽车电子有限公司</t>
    <phoneticPr fontId="2" type="noConversion"/>
  </si>
  <si>
    <t>上海霍通电子有限公司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</si>
  <si>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</si>
  <si>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</si>
  <si>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</si>
  <si>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</si>
  <si>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电子膨胀阀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</si>
  <si>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</si>
  <si>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</si>
  <si>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</si>
  <si>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</si>
  <si>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</si>
  <si>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SC243XUA-BK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</si>
  <si>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</si>
  <si>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</si>
  <si>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</si>
  <si>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合肥邦立电子股份有限公司</t>
    <phoneticPr fontId="2" type="noConversion"/>
  </si>
  <si>
    <t>杭州临安天隆电子有限公司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</si>
  <si>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</si>
  <si>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</si>
  <si>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</si>
  <si>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</si>
  <si>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</si>
  <si>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</si>
  <si>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</si>
  <si>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</si>
  <si>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</si>
  <si>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</si>
  <si>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</si>
  <si>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</si>
  <si>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</si>
  <si>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</si>
  <si>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</si>
  <si>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</si>
  <si>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</si>
  <si>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</si>
  <si>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</si>
  <si>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</si>
  <si>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</si>
  <si>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</si>
  <si>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</si>
  <si>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</si>
  <si>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</si>
  <si>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</si>
  <si>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SC69401DC-TR</t>
    <phoneticPr fontId="2" type="noConversion"/>
  </si>
  <si>
    <t>SC69401DC-HD-4XCR-69401</t>
  </si>
  <si>
    <t>车身高度传感器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</si>
  <si>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</si>
  <si>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</si>
  <si>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</si>
  <si>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SC9641TS-PC-TR-Q</t>
    <phoneticPr fontId="2" type="noConversion"/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</si>
  <si>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</si>
  <si>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</si>
  <si>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</si>
  <si>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</si>
  <si>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</si>
  <si>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</si>
  <si>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</si>
  <si>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</si>
  <si>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</si>
  <si>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</si>
  <si>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</si>
  <si>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</si>
  <si>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浙江顺加汽车配件有限公司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</si>
  <si>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</si>
  <si>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</si>
  <si>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</si>
  <si>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</si>
  <si>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</si>
  <si>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SC69401HS-TR</t>
    <phoneticPr fontId="2" type="noConversion"/>
  </si>
  <si>
    <t>SC69401HS-HD-4XTR-69401</t>
  </si>
  <si>
    <t>SC9675T3-TR-Q</t>
    <phoneticPr fontId="2" type="noConversion"/>
  </si>
  <si>
    <t>颖晶电子科技(上海)有限公司</t>
    <phoneticPr fontId="2" type="noConversion"/>
  </si>
  <si>
    <t>曾文鼎</t>
    <phoneticPr fontId="2" type="noConversion"/>
  </si>
  <si>
    <t>SC9641TS-P-TR</t>
    <phoneticPr fontId="2" type="noConversion"/>
  </si>
  <si>
    <t>杭州沃能汽车传感技术有限公司</t>
    <phoneticPr fontId="2" type="noConversion"/>
  </si>
  <si>
    <t>浙江卓瑞控制系统有限公司</t>
    <phoneticPr fontId="2" type="noConversion"/>
  </si>
  <si>
    <t>电子油门踏板</t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</si>
  <si>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</si>
  <si>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</si>
  <si>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</si>
  <si>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</si>
  <si>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温州市祺隆汽车电子有限公司</t>
    <phoneticPr fontId="2" type="noConversion"/>
  </si>
  <si>
    <t>车身高度传感器</t>
  </si>
  <si>
    <t>瑞安市宇泰汽车电子有限公司</t>
    <phoneticPr fontId="2" type="noConversion"/>
  </si>
  <si>
    <t>广东九和新电器科技有限公司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</si>
  <si>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</si>
  <si>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</si>
  <si>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</si>
  <si>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</si>
  <si>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</si>
  <si>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</si>
  <si>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</si>
  <si>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</si>
  <si>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</si>
  <si>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</si>
  <si>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速度传感器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</si>
  <si>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</si>
  <si>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</si>
  <si>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</si>
  <si>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</si>
  <si>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</si>
  <si>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</si>
  <si>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</si>
  <si>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</si>
  <si>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</si>
  <si>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</si>
  <si>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SC9683TS-Q-DB-4XAR-9683</t>
    <phoneticPr fontId="2" type="noConversion"/>
  </si>
  <si>
    <t>SC9642TS-EC-Q-AH-4XLR-9642</t>
    <phoneticPr fontId="2" type="noConversion"/>
  </si>
  <si>
    <t>SC2442UA-CP-10AK-2442</t>
  </si>
  <si>
    <t>SC2442UA-CP-10AK-2442</t>
    <phoneticPr fontId="2" type="noConversion"/>
  </si>
  <si>
    <t>广东创芯辉电子有限公司</t>
    <phoneticPr fontId="2" type="noConversion"/>
  </si>
  <si>
    <t>广州广沃电子有限公司</t>
    <phoneticPr fontId="2" type="noConversion"/>
  </si>
  <si>
    <t>广东心乐电子有限公司</t>
    <phoneticPr fontId="2" type="noConversion"/>
  </si>
  <si>
    <t>广东旭杰电子有限公司</t>
    <phoneticPr fontId="2" type="noConversion"/>
  </si>
  <si>
    <t>广东浩声科技有限公司</t>
    <phoneticPr fontId="2" type="noConversion"/>
  </si>
  <si>
    <t>广州一凡电子有限公司</t>
    <phoneticPr fontId="2" type="noConversion"/>
  </si>
  <si>
    <t>广州翔科电子科技有限公司</t>
    <phoneticPr fontId="2" type="noConversion"/>
  </si>
  <si>
    <t>广东新越电子有限公司</t>
    <phoneticPr fontId="2" type="noConversion"/>
  </si>
  <si>
    <t>歌特贝斯(广州)电子有限公司</t>
    <phoneticPr fontId="2" type="noConversion"/>
  </si>
  <si>
    <t>清远辉杰智能有限公司</t>
    <phoneticPr fontId="2" type="noConversion"/>
  </si>
  <si>
    <t>Kevin</t>
    <phoneticPr fontId="2" type="noConversion"/>
  </si>
  <si>
    <t>VE8602AKR-8602</t>
  </si>
  <si>
    <t>应急电源300W</t>
    <phoneticPr fontId="2" type="noConversion"/>
  </si>
  <si>
    <t>TRVE8602A5R-8602</t>
  </si>
  <si>
    <t>路灯电源100W</t>
    <phoneticPr fontId="2" type="noConversion"/>
  </si>
  <si>
    <t>拉杆音响200W</t>
    <phoneticPr fontId="2" type="noConversion"/>
  </si>
  <si>
    <t>拉杆音响300W</t>
    <phoneticPr fontId="2" type="noConversion"/>
  </si>
  <si>
    <t>拉杆音响150W</t>
    <phoneticPr fontId="2" type="noConversion"/>
  </si>
  <si>
    <t>广东声视美电子有限公司</t>
    <phoneticPr fontId="2" type="noConversion"/>
  </si>
  <si>
    <t>广州明生电子有限公司</t>
    <phoneticPr fontId="2" type="noConversion"/>
  </si>
  <si>
    <t>Bill</t>
  </si>
  <si>
    <t>游戏扳机</t>
    <phoneticPr fontId="11" type="noConversion"/>
  </si>
  <si>
    <t>MT9105、CC6503</t>
    <phoneticPr fontId="11" type="noConversion"/>
  </si>
  <si>
    <t>消费电子</t>
    <phoneticPr fontId="11" type="noConversion"/>
  </si>
  <si>
    <t>电脑周边</t>
    <phoneticPr fontId="11" type="noConversion"/>
  </si>
  <si>
    <t>游戏摇杆</t>
    <phoneticPr fontId="11" type="noConversion"/>
  </si>
  <si>
    <t>177直插</t>
  </si>
  <si>
    <t>智能家居</t>
    <phoneticPr fontId="11" type="noConversion"/>
  </si>
  <si>
    <t>小型家电</t>
    <phoneticPr fontId="11" type="noConversion"/>
  </si>
  <si>
    <t>个人护理</t>
    <phoneticPr fontId="11" type="noConversion"/>
  </si>
  <si>
    <t>电动牙刷</t>
    <phoneticPr fontId="11" type="noConversion"/>
  </si>
  <si>
    <t>MT876X、MH188</t>
    <phoneticPr fontId="11" type="noConversion"/>
  </si>
  <si>
    <t>扫地机</t>
    <phoneticPr fontId="11" type="noConversion"/>
  </si>
  <si>
    <t>扫地机行走电机</t>
    <phoneticPr fontId="11" type="noConversion"/>
  </si>
  <si>
    <t>浙江仕优驱动有限公司</t>
    <phoneticPr fontId="2" type="noConversion"/>
  </si>
  <si>
    <t>工业和机器人</t>
    <phoneticPr fontId="11" type="noConversion"/>
  </si>
  <si>
    <t>工业电机</t>
    <phoneticPr fontId="11" type="noConversion"/>
  </si>
  <si>
    <t>电机电控</t>
    <phoneticPr fontId="11" type="noConversion"/>
  </si>
  <si>
    <t>舞台灯光</t>
    <phoneticPr fontId="2" type="noConversion"/>
  </si>
  <si>
    <t>汽车电子</t>
    <phoneticPr fontId="11" type="noConversion"/>
  </si>
  <si>
    <t>车身电子</t>
    <phoneticPr fontId="11" type="noConversion"/>
  </si>
  <si>
    <t>尾门系统</t>
    <phoneticPr fontId="11" type="noConversion"/>
  </si>
  <si>
    <t>尾门撑杆电机</t>
    <phoneticPr fontId="11" type="noConversion"/>
  </si>
  <si>
    <t>共享单车锁</t>
    <phoneticPr fontId="2" type="noConversion"/>
  </si>
  <si>
    <t>MT9101</t>
    <phoneticPr fontId="11" type="noConversion"/>
  </si>
  <si>
    <t>转子定位</t>
    <phoneticPr fontId="11" type="noConversion"/>
  </si>
  <si>
    <t>智能座舱</t>
    <phoneticPr fontId="11" type="noConversion"/>
  </si>
  <si>
    <t>智能座椅</t>
    <phoneticPr fontId="11" type="noConversion"/>
  </si>
  <si>
    <t>座椅水平电机</t>
    <phoneticPr fontId="11" type="noConversion"/>
  </si>
  <si>
    <t>SC60221-D-256</t>
    <phoneticPr fontId="2" type="noConversion"/>
  </si>
  <si>
    <t>A1212</t>
    <phoneticPr fontId="11" type="noConversion"/>
  </si>
  <si>
    <t>新项目</t>
  </si>
  <si>
    <t>云台定位</t>
    <phoneticPr fontId="11" type="noConversion"/>
  </si>
  <si>
    <t>MT9102</t>
    <phoneticPr fontId="11" type="noConversion"/>
  </si>
  <si>
    <t>摄像头云台</t>
    <phoneticPr fontId="11" type="noConversion"/>
  </si>
  <si>
    <t>MT9101DT</t>
  </si>
  <si>
    <t>接近开关</t>
    <phoneticPr fontId="11" type="noConversion"/>
  </si>
  <si>
    <t>SDC177</t>
  </si>
  <si>
    <t>智能马桶</t>
    <phoneticPr fontId="11" type="noConversion"/>
  </si>
  <si>
    <t>马桶开盖</t>
    <phoneticPr fontId="11" type="noConversion"/>
  </si>
  <si>
    <t>SL93</t>
  </si>
  <si>
    <t>SC60221-D-50</t>
  </si>
  <si>
    <t>隐藏式门把手</t>
    <phoneticPr fontId="11" type="noConversion"/>
  </si>
  <si>
    <t>车门系统</t>
    <phoneticPr fontId="11" type="noConversion"/>
  </si>
  <si>
    <t>小米</t>
    <phoneticPr fontId="11" type="noConversion"/>
  </si>
  <si>
    <t>Su7</t>
    <phoneticPr fontId="11" type="noConversion"/>
  </si>
  <si>
    <t>US2882_TSOT_3L</t>
    <phoneticPr fontId="11" type="noConversion"/>
  </si>
  <si>
    <t>流量计</t>
    <phoneticPr fontId="11" type="noConversion"/>
  </si>
  <si>
    <t>GH39F</t>
  </si>
  <si>
    <t>替代交通</t>
    <phoneticPr fontId="11" type="noConversion"/>
  </si>
  <si>
    <t>座椅调角电机</t>
  </si>
  <si>
    <t>电动工具</t>
    <phoneticPr fontId="11" type="noConversion"/>
  </si>
  <si>
    <t>位置开关</t>
    <phoneticPr fontId="11" type="noConversion"/>
  </si>
  <si>
    <t>CH605</t>
  </si>
  <si>
    <t>MT9103DT</t>
  </si>
  <si>
    <t>MA7919</t>
  </si>
  <si>
    <t>易良盛</t>
  </si>
  <si>
    <t>三表</t>
    <phoneticPr fontId="11" type="noConversion"/>
  </si>
  <si>
    <t>水流量检测</t>
    <phoneticPr fontId="11" type="noConversion"/>
  </si>
  <si>
    <t>水表、气表</t>
    <phoneticPr fontId="11" type="noConversion"/>
  </si>
  <si>
    <t>MLX91209</t>
  </si>
  <si>
    <t>MT910XDT</t>
  </si>
  <si>
    <t>SA2601</t>
  </si>
  <si>
    <t>Pedro</t>
  </si>
  <si>
    <t>MLX92212LSE-AAA-000-R</t>
    <phoneticPr fontId="4" type="noConversion"/>
  </si>
  <si>
    <t>1部</t>
  </si>
  <si>
    <t>天窗总成</t>
    <phoneticPr fontId="4" type="noConversion"/>
  </si>
  <si>
    <t>天窗电机控制器</t>
    <phoneticPr fontId="4" type="noConversion"/>
  </si>
  <si>
    <t>奇瑞</t>
    <phoneticPr fontId="4" type="noConversion"/>
  </si>
  <si>
    <t>VE1430Q1CA3R5</t>
    <phoneticPr fontId="2" type="noConversion"/>
  </si>
  <si>
    <t>SC2527S6-SD-TR-Q</t>
    <phoneticPr fontId="2" type="noConversion"/>
  </si>
  <si>
    <t>TLE4966-3G</t>
    <phoneticPr fontId="4" type="noConversion"/>
  </si>
  <si>
    <t>车窗总成</t>
    <phoneticPr fontId="2" type="noConversion"/>
  </si>
  <si>
    <t>车窗电机防夹</t>
    <phoneticPr fontId="2" type="noConversion"/>
  </si>
  <si>
    <t>SC25271S06</t>
    <phoneticPr fontId="2" type="noConversion"/>
  </si>
  <si>
    <t>隐藏式门把手</t>
    <phoneticPr fontId="4" type="noConversion"/>
  </si>
  <si>
    <t>MLX92211</t>
  </si>
  <si>
    <t>车门系统</t>
    <phoneticPr fontId="4" type="noConversion"/>
  </si>
  <si>
    <t>理想，比亚迪，奇瑞</t>
    <phoneticPr fontId="4" type="noConversion"/>
  </si>
  <si>
    <t>SC243XSO-TR-Q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</si>
  <si>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</si>
  <si>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</si>
  <si>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</si>
  <si>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4" type="noConversion"/>
  </si>
  <si>
    <t>L9/8/7</t>
    <phoneticPr fontId="4" type="noConversion"/>
  </si>
  <si>
    <t>充电口执行器</t>
  </si>
  <si>
    <t>阿维塔，理想，比亚迪，奇瑞</t>
    <phoneticPr fontId="4" type="noConversion"/>
  </si>
  <si>
    <t>E12，L9/8/7, ES3,A19,D609,740D</t>
    <phoneticPr fontId="4" type="noConversion"/>
  </si>
  <si>
    <t>苏州烨炜上品电气有限公司</t>
    <phoneticPr fontId="2" type="noConversion"/>
  </si>
  <si>
    <t>苏州台信达电子有限公司</t>
    <phoneticPr fontId="2" type="noConversion"/>
  </si>
  <si>
    <t>Pedro</t>
    <phoneticPr fontId="2" type="noConversion"/>
  </si>
  <si>
    <t>杨帆</t>
    <phoneticPr fontId="2" type="noConversion"/>
  </si>
  <si>
    <t>SC4624SP20B5</t>
    <phoneticPr fontId="2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</si>
  <si>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</si>
  <si>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</si>
  <si>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</si>
  <si>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Harry</t>
    <phoneticPr fontId="4" type="noConversion"/>
  </si>
  <si>
    <t>座椅总成</t>
    <phoneticPr fontId="4" type="noConversion"/>
  </si>
  <si>
    <t>座椅水平电机</t>
    <phoneticPr fontId="4" type="noConversion"/>
  </si>
  <si>
    <t>比亚迪，广汽，东风，上汽</t>
    <phoneticPr fontId="4" type="noConversion"/>
  </si>
  <si>
    <t>座椅调角电机</t>
    <phoneticPr fontId="4" type="noConversion"/>
  </si>
  <si>
    <t>SC2464SO-TR</t>
    <phoneticPr fontId="2" type="noConversion"/>
  </si>
  <si>
    <t>25410：464t批次再PWM供电下异常，准备换货
拓尔微报价0.2， 凯欧小老板在主持测试工作</t>
    <phoneticPr fontId="2" type="noConversion"/>
  </si>
  <si>
    <t>Harry</t>
    <phoneticPr fontId="2" type="noConversion"/>
  </si>
  <si>
    <t>合肥贝森特电子科技有限公司</t>
    <phoneticPr fontId="2" type="noConversion"/>
  </si>
  <si>
    <t>SC9675IM-LRF00-TR-Q</t>
    <phoneticPr fontId="2" type="noConversion"/>
  </si>
  <si>
    <t>ATS675</t>
    <phoneticPr fontId="4" type="noConversion"/>
  </si>
  <si>
    <t>Josh</t>
    <phoneticPr fontId="2" type="noConversion"/>
  </si>
  <si>
    <t>工业和机器人</t>
    <phoneticPr fontId="4" type="noConversion"/>
  </si>
  <si>
    <t>N/A</t>
    <phoneticPr fontId="4" type="noConversion"/>
  </si>
  <si>
    <t>智能家居</t>
    <phoneticPr fontId="4" type="noConversion"/>
  </si>
  <si>
    <t>大家电</t>
    <phoneticPr fontId="4" type="noConversion"/>
  </si>
  <si>
    <t>冰箱</t>
    <phoneticPr fontId="4" type="noConversion"/>
  </si>
  <si>
    <t>冰箱电机风扇</t>
    <phoneticPr fontId="4" type="noConversion"/>
  </si>
  <si>
    <t>空调</t>
    <phoneticPr fontId="4" type="noConversion"/>
  </si>
  <si>
    <t>空调压缩机电机</t>
    <phoneticPr fontId="4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</si>
  <si>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</si>
  <si>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</si>
  <si>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</si>
  <si>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</si>
  <si>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车身电子</t>
    <phoneticPr fontId="4" type="noConversion"/>
  </si>
  <si>
    <t>车窗总成</t>
    <phoneticPr fontId="4" type="noConversion"/>
  </si>
  <si>
    <t>车窗电机防夹</t>
    <phoneticPr fontId="4" type="noConversion"/>
  </si>
  <si>
    <t>华为尚界汽车，一东供电机给上实，车窗电机1*2，平行感应方式，预计月3万车，25年9月批量。</t>
    <phoneticPr fontId="2" type="noConversion"/>
  </si>
  <si>
    <t>SC2527S6-AB-TR-Q</t>
    <phoneticPr fontId="2" type="noConversion"/>
  </si>
  <si>
    <t>平台件</t>
    <phoneticPr fontId="2" type="noConversion"/>
  </si>
  <si>
    <t>汪送华</t>
    <phoneticPr fontId="2" type="noConversion"/>
  </si>
  <si>
    <t>VE1430Q1VA3RADJ</t>
    <phoneticPr fontId="2" type="noConversion"/>
  </si>
  <si>
    <t>车用环境亮度传感器</t>
    <phoneticPr fontId="2" type="noConversion"/>
  </si>
  <si>
    <t>Torres</t>
    <phoneticPr fontId="2" type="noConversion"/>
  </si>
  <si>
    <t>VE8600EC-TR</t>
    <phoneticPr fontId="2" type="noConversion"/>
  </si>
  <si>
    <t>SC2432UA-BK-Q</t>
    <phoneticPr fontId="2" type="noConversion"/>
  </si>
  <si>
    <t>制动灯开关接近开关</t>
    <phoneticPr fontId="2" type="noConversion"/>
  </si>
  <si>
    <t>底盘电子</t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</si>
  <si>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</si>
  <si>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</si>
  <si>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</si>
  <si>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</si>
  <si>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青岛蚂蚁机器人有限责任公司</t>
    <phoneticPr fontId="2" type="noConversion"/>
  </si>
  <si>
    <t>苏州柏达电子有限公司</t>
    <phoneticPr fontId="2" type="noConversion"/>
  </si>
  <si>
    <t>SC4002BU-TR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</si>
  <si>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</si>
  <si>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</si>
  <si>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4" type="noConversion"/>
  </si>
  <si>
    <t>工业与机器人</t>
    <phoneticPr fontId="4" type="noConversion"/>
  </si>
  <si>
    <t>工业自动化</t>
    <phoneticPr fontId="4" type="noConversion"/>
  </si>
  <si>
    <t>筛选机器人</t>
    <phoneticPr fontId="4" type="noConversion"/>
  </si>
  <si>
    <t>磁导航条</t>
    <phoneticPr fontId="4" type="noConversion"/>
  </si>
  <si>
    <t>追觅科技（苏州）有限公司</t>
    <phoneticPr fontId="2" type="noConversion"/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</si>
  <si>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</si>
  <si>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重庆讯华实业（集团）有限公司</t>
    <phoneticPr fontId="2" type="noConversion"/>
  </si>
  <si>
    <t>SC2462SO-TR-Q</t>
    <phoneticPr fontId="2" type="noConversion"/>
  </si>
  <si>
    <t>遮阳板开关1*1</t>
    <phoneticPr fontId="2" type="noConversion"/>
  </si>
  <si>
    <t>凸轮轴传感器</t>
  </si>
  <si>
    <t>苏州承逸电子有限公司</t>
    <phoneticPr fontId="2" type="noConversion"/>
  </si>
  <si>
    <t>谢国平</t>
    <phoneticPr fontId="2" type="noConversion"/>
  </si>
  <si>
    <t>后装凸轮轴传感器</t>
    <phoneticPr fontId="2" type="noConversion"/>
  </si>
  <si>
    <t>TLE4986</t>
    <phoneticPr fontId="2" type="noConversion"/>
  </si>
  <si>
    <t xml:space="preserve">浙江奥正机电有限公司 </t>
    <phoneticPr fontId="2" type="noConversion"/>
  </si>
  <si>
    <t>王俊佳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</si>
  <si>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</si>
  <si>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</si>
  <si>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</si>
  <si>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</si>
  <si>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</si>
  <si>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250409：MLX90315库存消耗中，月需求大概4K</t>
    <phoneticPr fontId="2" type="noConversion"/>
  </si>
  <si>
    <t>MLX90365</t>
  </si>
  <si>
    <t>Serge</t>
    <phoneticPr fontId="2" type="noConversion"/>
  </si>
  <si>
    <t>工业与机器人</t>
  </si>
  <si>
    <t>工程机械</t>
  </si>
  <si>
    <t>叉车</t>
  </si>
  <si>
    <t>中力</t>
  </si>
  <si>
    <t>叉车油门踏板</t>
    <phoneticPr fontId="2" type="noConversion"/>
  </si>
  <si>
    <t>250416：需要紧急供货16K，月12K的需求</t>
    <phoneticPr fontId="2" type="noConversion"/>
  </si>
  <si>
    <t>HAL888</t>
    <phoneticPr fontId="2" type="noConversion"/>
  </si>
  <si>
    <t>Alex</t>
    <phoneticPr fontId="2" type="noConversion"/>
  </si>
  <si>
    <t>250416：送样，做好客户Din支持</t>
    <phoneticPr fontId="2" type="noConversion"/>
  </si>
  <si>
    <t>A1230</t>
  </si>
  <si>
    <t>转把</t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</si>
  <si>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</si>
  <si>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</si>
  <si>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</si>
  <si>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</si>
  <si>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250416：SC2442UA变更封装尺寸， 急需提供样品给客户验证</t>
    <phoneticPr fontId="2" type="noConversion"/>
  </si>
  <si>
    <t>燃油箱</t>
  </si>
  <si>
    <t>尿素泵</t>
  </si>
  <si>
    <t>250416：正常批量</t>
    <phoneticPr fontId="2" type="noConversion"/>
  </si>
  <si>
    <t>东风汽车</t>
  </si>
  <si>
    <t>S73</t>
  </si>
  <si>
    <t>250408：正常批量</t>
    <phoneticPr fontId="2" type="noConversion"/>
  </si>
  <si>
    <t>MT6511</t>
  </si>
  <si>
    <t>热管理</t>
  </si>
  <si>
    <t>电子油泵</t>
  </si>
  <si>
    <t>250408：送样，做好客户Din支持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</si>
  <si>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</si>
  <si>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</si>
  <si>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250416：客户在争取项目中</t>
    <phoneticPr fontId="2" type="noConversion"/>
  </si>
  <si>
    <t>电磁阀</t>
  </si>
  <si>
    <t>理想</t>
  </si>
  <si>
    <t>L9/8/7</t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</si>
  <si>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</si>
  <si>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</si>
  <si>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</si>
  <si>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</si>
  <si>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</si>
  <si>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</si>
  <si>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电流传感器</t>
  </si>
  <si>
    <t>吉利</t>
    <phoneticPr fontId="2" type="noConversion"/>
  </si>
  <si>
    <t>珠海英搏尔电气股份有限公司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</si>
  <si>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</si>
  <si>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</si>
  <si>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</si>
  <si>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</si>
  <si>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</si>
  <si>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</si>
  <si>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</si>
  <si>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SC4923SO-N-CD-00NR-4923</t>
  </si>
  <si>
    <t>SC4015SO-N-TR</t>
    <phoneticPr fontId="2" type="noConversion"/>
  </si>
  <si>
    <t>SC4015SO-N-CE-90NR-CY19</t>
  </si>
  <si>
    <t>CY19S</t>
    <phoneticPr fontId="2" type="noConversion"/>
  </si>
  <si>
    <t>H/L</t>
    <phoneticPr fontId="2" type="noConversion"/>
  </si>
  <si>
    <t>泛仕达机电股份有限公司</t>
    <phoneticPr fontId="2" type="noConversion"/>
  </si>
  <si>
    <t>STC4011B-DS</t>
    <phoneticPr fontId="2" type="noConversion"/>
  </si>
  <si>
    <t>STC4011B-DS</t>
  </si>
  <si>
    <t>SC2242UA-BK</t>
    <phoneticPr fontId="2" type="noConversion"/>
  </si>
  <si>
    <t>SC2242UA-CE-00AK-2242</t>
  </si>
  <si>
    <t>SC1245A3-BK</t>
    <phoneticPr fontId="2" type="noConversion"/>
  </si>
  <si>
    <t>SC1245A3-CD-00CK-41F</t>
  </si>
  <si>
    <t>41F</t>
    <phoneticPr fontId="2" type="noConversion"/>
  </si>
  <si>
    <t>SC2546VB-AB-DA-00AK-2546</t>
  </si>
  <si>
    <t>GTA-A</t>
    <phoneticPr fontId="2" type="noConversion"/>
  </si>
  <si>
    <t>SC4015SO-N-CE-90NR-G01M</t>
  </si>
  <si>
    <t>G01M</t>
    <phoneticPr fontId="2" type="noConversion"/>
  </si>
  <si>
    <t>SC60228DC-TR</t>
    <phoneticPr fontId="2" type="noConversion"/>
  </si>
  <si>
    <t>SC60228DC-DC-00AR-60228</t>
  </si>
  <si>
    <t>上华</t>
    <phoneticPr fontId="2" type="noConversion"/>
  </si>
  <si>
    <t>SC9641TS-TR-Q</t>
    <phoneticPr fontId="2" type="noConversion"/>
  </si>
  <si>
    <t>SC2242SO-Q-CH-10CR-2242</t>
  </si>
  <si>
    <t>SC4011SO-N-CB-90NR-49E</t>
  </si>
  <si>
    <t>49E</t>
    <phoneticPr fontId="2" type="noConversion"/>
  </si>
  <si>
    <t>SC1845S1-AI-00AK-41F</t>
    <phoneticPr fontId="2" type="noConversion"/>
  </si>
  <si>
    <t>SC1845S1-AI-00AK-S41H</t>
  </si>
  <si>
    <t>S41H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</si>
  <si>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</si>
  <si>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</si>
  <si>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</si>
  <si>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SC1002N1-BK</t>
    <phoneticPr fontId="2" type="noConversion"/>
  </si>
  <si>
    <t>42N</t>
    <phoneticPr fontId="2" type="noConversion"/>
  </si>
  <si>
    <t>SC1134UA-CI-00AK-43F</t>
  </si>
  <si>
    <t>43F</t>
    <phoneticPr fontId="2" type="noConversion"/>
  </si>
  <si>
    <t>B</t>
    <phoneticPr fontId="2" type="noConversion"/>
  </si>
  <si>
    <t>SC2402UA-GB-0XAK-U18</t>
  </si>
  <si>
    <t>U18</t>
    <phoneticPr fontId="2" type="noConversion"/>
  </si>
  <si>
    <t>GTA</t>
    <phoneticPr fontId="2" type="noConversion"/>
  </si>
  <si>
    <t>CSMC</t>
    <phoneticPr fontId="2" type="noConversion"/>
  </si>
  <si>
    <t>SC2436UA-CI-10AK-6210</t>
  </si>
  <si>
    <t>SC2948S2-BK</t>
    <phoneticPr fontId="2" type="noConversion"/>
  </si>
  <si>
    <t>61H</t>
    <phoneticPr fontId="2" type="noConversion"/>
  </si>
  <si>
    <t>S21C</t>
    <phoneticPr fontId="2" type="noConversion"/>
  </si>
  <si>
    <t>SC2432UA-CI-10AK-6232</t>
  </si>
  <si>
    <t>SC2462UA-CJ-10AK-6472</t>
  </si>
  <si>
    <t>南京博士朗新能源科技有限公司</t>
    <phoneticPr fontId="2" type="noConversion"/>
  </si>
  <si>
    <t>电子油门踏板，奇瑞和哪吒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</si>
  <si>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</si>
  <si>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</si>
  <si>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</si>
  <si>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</si>
  <si>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</si>
  <si>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</si>
  <si>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</si>
  <si>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</si>
  <si>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</si>
  <si>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</si>
  <si>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</si>
  <si>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</si>
  <si>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</si>
  <si>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</si>
  <si>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TRVE1430Q1CA3R5-1430Q</t>
  </si>
  <si>
    <t>1430QC5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</si>
  <si>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</si>
  <si>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</si>
  <si>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</si>
  <si>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</si>
  <si>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</si>
  <si>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SC69401HS-TR-Q</t>
    <phoneticPr fontId="2" type="noConversion"/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</si>
  <si>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</si>
  <si>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</si>
  <si>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</si>
  <si>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</si>
  <si>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</si>
  <si>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发动机变速箱</t>
  </si>
  <si>
    <t>一汽商用车</t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</si>
  <si>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</si>
  <si>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</si>
  <si>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</si>
  <si>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</si>
  <si>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</si>
  <si>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</si>
  <si>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</si>
  <si>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</si>
  <si>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</si>
  <si>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</si>
  <si>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</si>
  <si>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</si>
  <si>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</si>
  <si>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</si>
  <si>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</si>
  <si>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</si>
  <si>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</si>
  <si>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</si>
  <si>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</si>
  <si>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</si>
  <si>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</si>
  <si>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</si>
  <si>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</si>
  <si>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</si>
  <si>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</si>
  <si>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</si>
  <si>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</si>
  <si>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</si>
  <si>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</si>
  <si>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</si>
  <si>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</si>
  <si>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</si>
  <si>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鸣志电器（太仓）有限公司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</si>
  <si>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</si>
  <si>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</si>
  <si>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</si>
  <si>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</si>
  <si>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</si>
  <si>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</si>
  <si>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</si>
  <si>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</si>
  <si>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客户移交给陈端淇</t>
    <phoneticPr fontId="2" type="noConversion"/>
  </si>
  <si>
    <t>2.5</t>
  </si>
  <si>
    <t>壁挂炉水压力传感器</t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</si>
  <si>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</si>
  <si>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</si>
  <si>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</si>
  <si>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</si>
  <si>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</si>
  <si>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生产料号</t>
    <phoneticPr fontId="2" type="noConversion"/>
  </si>
  <si>
    <t>丝印</t>
    <phoneticPr fontId="2" type="noConversion"/>
  </si>
  <si>
    <t>Tom</t>
  </si>
  <si>
    <t>3部</t>
  </si>
  <si>
    <t>豆浆机/咖啡机</t>
  </si>
  <si>
    <t>电动工具电机电控</t>
  </si>
  <si>
    <t>M54123</t>
  </si>
  <si>
    <t>OCH477H</t>
  </si>
  <si>
    <t>消费电子</t>
  </si>
  <si>
    <t>电脑周边</t>
  </si>
  <si>
    <t>SDC276</t>
  </si>
  <si>
    <t>SDC211</t>
  </si>
  <si>
    <t>农机</t>
  </si>
  <si>
    <t>农机踏板/转把</t>
  </si>
  <si>
    <t>其他</t>
  </si>
  <si>
    <t>LW310B</t>
  </si>
  <si>
    <t>LW54123A</t>
  </si>
  <si>
    <t>PSTC9G001C</t>
  </si>
  <si>
    <t>各类门机编码器</t>
  </si>
  <si>
    <t>编码器</t>
  </si>
  <si>
    <t>车窗电机</t>
  </si>
  <si>
    <t>车窗系统</t>
  </si>
  <si>
    <t>尾门电机</t>
  </si>
  <si>
    <t>A1220/1210</t>
  </si>
  <si>
    <t>尾门系统</t>
  </si>
  <si>
    <t>电机</t>
  </si>
  <si>
    <t>新能源</t>
  </si>
  <si>
    <t>太阳能</t>
  </si>
  <si>
    <t>逆变器</t>
  </si>
  <si>
    <t>逆变器电流传感器</t>
  </si>
  <si>
    <t>个人护理</t>
  </si>
  <si>
    <t>筋膜枪</t>
  </si>
  <si>
    <t>筋膜枪电机</t>
  </si>
  <si>
    <t>水流检测</t>
  </si>
  <si>
    <t>水表</t>
  </si>
  <si>
    <t>长安</t>
  </si>
  <si>
    <t>纺织电机</t>
  </si>
  <si>
    <t>大型家电其他</t>
  </si>
  <si>
    <t>热水器</t>
  </si>
  <si>
    <t>吕斐</t>
    <phoneticPr fontId="2" type="noConversion"/>
  </si>
  <si>
    <t>悬架系统</t>
  </si>
  <si>
    <t>赵书晓</t>
    <phoneticPr fontId="2" type="noConversion"/>
  </si>
  <si>
    <t>变速箱</t>
  </si>
  <si>
    <t>拨叉位置传感器</t>
  </si>
  <si>
    <t>挖掘机</t>
  </si>
  <si>
    <t>GNSS模块</t>
  </si>
  <si>
    <t>韩晓锐</t>
    <phoneticPr fontId="2" type="noConversion"/>
  </si>
  <si>
    <t>天窗总成</t>
  </si>
  <si>
    <t>天窗电机控制器</t>
  </si>
  <si>
    <t>5年</t>
  </si>
  <si>
    <t>邬亮峰</t>
    <phoneticPr fontId="2" type="noConversion"/>
  </si>
  <si>
    <t>激光雷达执行器</t>
  </si>
  <si>
    <t>500W的气泵无刷电机，（OEM奇瑞）</t>
    <phoneticPr fontId="2" type="noConversion"/>
  </si>
  <si>
    <t>天窗电机（OEM蔚来）</t>
    <phoneticPr fontId="2" type="noConversion"/>
  </si>
  <si>
    <t>9641/70K每月</t>
    <phoneticPr fontId="2" type="noConversion"/>
  </si>
  <si>
    <t>9642/3K每月</t>
    <phoneticPr fontId="2" type="noConversion"/>
  </si>
  <si>
    <t>9621/1K每月</t>
    <phoneticPr fontId="2" type="noConversion"/>
  </si>
  <si>
    <t>长安汽车</t>
    <phoneticPr fontId="2" type="noConversion"/>
  </si>
  <si>
    <t>4.5-40的XL1509</t>
  </si>
  <si>
    <t>天窗控制器</t>
  </si>
  <si>
    <t>250427：订单需要PM安排人员做编程交付。
250228：落实3月订单DW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</si>
  <si>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</si>
  <si>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</si>
  <si>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浙江泰米电子科技有限公司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</si>
  <si>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</si>
  <si>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</si>
  <si>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</si>
  <si>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无锡凌思科技有限公司</t>
    <phoneticPr fontId="2" type="noConversion"/>
  </si>
  <si>
    <t>伟巴斯特车顶供暖系统（上海）有限公司</t>
    <phoneticPr fontId="2" type="noConversion"/>
  </si>
  <si>
    <t>深圳市道合顺网络有限公司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</si>
  <si>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</si>
  <si>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上海禾赛科技有限公司</t>
    <phoneticPr fontId="2" type="noConversion"/>
  </si>
  <si>
    <t>上海全一通讯技术有限公司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</si>
  <si>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</si>
  <si>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产品线</t>
    <phoneticPr fontId="2" type="noConversion"/>
  </si>
  <si>
    <t>ZH6200</t>
    <phoneticPr fontId="2" type="noConversion"/>
  </si>
  <si>
    <t>SC1645A1-BK</t>
    <phoneticPr fontId="2" type="noConversion"/>
  </si>
  <si>
    <t>SC1645B1-BK</t>
    <phoneticPr fontId="2" type="noConversion"/>
  </si>
  <si>
    <t>SC1645A1-AI-00HK-4601H</t>
    <phoneticPr fontId="2" type="noConversion"/>
  </si>
  <si>
    <t>SC1945B1-BK</t>
    <phoneticPr fontId="2" type="noConversion"/>
  </si>
  <si>
    <t>SC1945B1-AJ-00HK-N603</t>
    <phoneticPr fontId="2" type="noConversion"/>
  </si>
  <si>
    <t>17CA</t>
    <phoneticPr fontId="2" type="noConversion"/>
  </si>
  <si>
    <t>SC2413SO-N-TR</t>
    <phoneticPr fontId="2" type="noConversion"/>
  </si>
  <si>
    <t>44E</t>
    <phoneticPr fontId="2" type="noConversion"/>
  </si>
  <si>
    <t>ZH6338</t>
    <phoneticPr fontId="2" type="noConversion"/>
  </si>
  <si>
    <t>SC2402UA-GB-0XAK-2402</t>
  </si>
  <si>
    <t>NM.SC1134UA-CI-00AK</t>
  </si>
  <si>
    <t>SC2462UA-CJ-10AK-2462</t>
  </si>
  <si>
    <t>SC4251D3-GA-00FR-4251</t>
  </si>
  <si>
    <t>SC2498UA-N-Q-DB-60AK-2498</t>
  </si>
  <si>
    <t>SC2242UA-Q-CH-10AK-2242</t>
  </si>
  <si>
    <t>SC2442UA-Q-DB-60AK-2442</t>
  </si>
  <si>
    <t>SC4001SE-CB-90CR-4001</t>
  </si>
  <si>
    <t>SC1133UA-CJ-00AK-1133</t>
  </si>
  <si>
    <t>SC2202SO-N-CE-00NR-2202</t>
  </si>
  <si>
    <t>NM</t>
    <phoneticPr fontId="2" type="noConversion"/>
  </si>
  <si>
    <t>SC1445A1-41F</t>
  </si>
  <si>
    <t>SC2438UA-CI-10AK-2438</t>
  </si>
  <si>
    <t>SC2464SO-CJ-10CR-2464</t>
  </si>
  <si>
    <t>SC1002N1-CL-00HK-42N</t>
  </si>
  <si>
    <t>SC2948S2-DB-60AK-61H</t>
  </si>
  <si>
    <t>SL54123ADC-GB-00AR-54123A</t>
  </si>
  <si>
    <t>SD477VB-GC-90AK-477S</t>
  </si>
  <si>
    <t>SD2276VB-CA-90AK-276</t>
  </si>
  <si>
    <t>SD211VB-CA-90AK-211</t>
  </si>
  <si>
    <t>SC4002UA-CA-00AK-4002</t>
  </si>
  <si>
    <t>SC2063UA-GC-00AK-2063</t>
  </si>
  <si>
    <t>SD477VB-GC-90AK-KH477</t>
  </si>
  <si>
    <t>SD2276VB-CA-90AK-KH276</t>
  </si>
  <si>
    <t>SD211VB-BK</t>
    <phoneticPr fontId="2" type="noConversion"/>
  </si>
  <si>
    <t>SD211VB-CA-90AK-KH211</t>
  </si>
  <si>
    <t>SL002147DC-GB-00AR-2147</t>
  </si>
  <si>
    <t>SC2402UA-GB-00AK-177</t>
  </si>
  <si>
    <t>SC9314UA-CF-0XAK-17CA</t>
  </si>
  <si>
    <t>SC9632VB-CE-00CK-9632</t>
  </si>
  <si>
    <t>SC2413SO-N-CD-00LR-44E</t>
  </si>
  <si>
    <t>SC4011SO-N-TR</t>
    <phoneticPr fontId="2" type="noConversion"/>
  </si>
  <si>
    <t>SC4011SO-N-CB-90NR-49E</t>
    <phoneticPr fontId="2" type="noConversion"/>
  </si>
  <si>
    <t>SC2402UA-CJ-90AK-2402</t>
  </si>
  <si>
    <t>SC2402SO-N-GA-00NR-2402</t>
    <phoneticPr fontId="2" type="noConversion"/>
  </si>
  <si>
    <t>SC2498SO-Q-DB-60CR-2498</t>
    <phoneticPr fontId="2" type="noConversion"/>
  </si>
  <si>
    <t>SC2462SO-CJ-10CR-2462</t>
  </si>
  <si>
    <t>SC2462SO-CJ-10CR-2462</t>
    <phoneticPr fontId="2" type="noConversion"/>
  </si>
  <si>
    <t>SC2402UA-GB-0XAK-U18</t>
    <phoneticPr fontId="2" type="noConversion"/>
  </si>
  <si>
    <t>SC2442SO-N-Q-DB-60CR-2442</t>
    <phoneticPr fontId="2" type="noConversion"/>
  </si>
  <si>
    <t>SC4001SE-CB-90CR-4001</t>
    <phoneticPr fontId="2" type="noConversion"/>
  </si>
  <si>
    <t>SC4001SE-TR</t>
    <phoneticPr fontId="2" type="noConversion"/>
  </si>
  <si>
    <t>SC2242UA-CE-00AK-2242</t>
    <phoneticPr fontId="2" type="noConversion"/>
  </si>
  <si>
    <t>SC2442SO-Q-DB-60CR-2442</t>
    <phoneticPr fontId="2" type="noConversion"/>
  </si>
  <si>
    <t>SC2527S6-SD-Q-DA-40CR-2527</t>
    <phoneticPr fontId="2" type="noConversion"/>
  </si>
  <si>
    <t>SC243XSO-Q-CM-10CR-243X</t>
    <phoneticPr fontId="2" type="noConversion"/>
  </si>
  <si>
    <t>SC2242SO-Q-CH-10CR-2242</t>
    <phoneticPr fontId="2" type="noConversion"/>
  </si>
  <si>
    <t>SC2464SO-CJ-10CR-2464</t>
    <phoneticPr fontId="2" type="noConversion"/>
  </si>
  <si>
    <t>SC2498TSO-Q-CC-10CR-2498T</t>
    <phoneticPr fontId="2" type="noConversion"/>
  </si>
  <si>
    <t>SC2527S6-AB-Q-DA-40CR-2527</t>
    <phoneticPr fontId="2" type="noConversion"/>
  </si>
  <si>
    <t>SC4002BU-CA-00CR-4002</t>
    <phoneticPr fontId="2" type="noConversion"/>
  </si>
  <si>
    <t>SC9675T3-Q-AB-4XAR-9675</t>
    <phoneticPr fontId="2" type="noConversion"/>
  </si>
  <si>
    <t>SC69401DC-Q-HD-4XCR-69401</t>
    <phoneticPr fontId="2" type="noConversion"/>
  </si>
  <si>
    <t>SC2442UA-Q-DB-60AK-2442</t>
    <phoneticPr fontId="2" type="noConversion"/>
  </si>
  <si>
    <t>SC1645A1-AI-00HK-1466</t>
    <phoneticPr fontId="2" type="noConversion"/>
  </si>
  <si>
    <t>SC1645A1-AI-00HK-65HA</t>
    <phoneticPr fontId="2" type="noConversion"/>
  </si>
  <si>
    <t>SC1945A1-BK</t>
    <phoneticPr fontId="2" type="noConversion"/>
  </si>
  <si>
    <t>SC1945A1-AJ-00HK-N13</t>
    <phoneticPr fontId="2" type="noConversion"/>
  </si>
  <si>
    <t>SC4643VB-P-TR-Q</t>
  </si>
  <si>
    <t>3部</t>
    <phoneticPr fontId="2" type="noConversion"/>
  </si>
  <si>
    <t>1部</t>
    <phoneticPr fontId="2" type="noConversion"/>
  </si>
  <si>
    <t>MT6511CT</t>
  </si>
  <si>
    <t>中控系统</t>
  </si>
  <si>
    <t>组合开关怀挡</t>
  </si>
  <si>
    <t>MT6501GT</t>
  </si>
  <si>
    <t>MLX92241CUA</t>
  </si>
  <si>
    <t>安全带系统</t>
  </si>
  <si>
    <t>安全带插锁</t>
  </si>
  <si>
    <t>SC2432SO-N-TR-Q</t>
    <phoneticPr fontId="2" type="noConversion"/>
  </si>
  <si>
    <t>PAD伸缩支架</t>
  </si>
  <si>
    <t>YF</t>
  </si>
  <si>
    <t>扶手箱位置检测</t>
    <phoneticPr fontId="2" type="noConversion"/>
  </si>
  <si>
    <t>扶手箱开合</t>
  </si>
  <si>
    <t>SC2432SO-TR-Q</t>
    <phoneticPr fontId="2" type="noConversion"/>
  </si>
  <si>
    <t>小桌板位置检测</t>
    <phoneticPr fontId="2" type="noConversion"/>
  </si>
  <si>
    <t>座椅控制器</t>
  </si>
  <si>
    <t>上海奥众汽车部件制造有限公司</t>
    <phoneticPr fontId="2" type="noConversion"/>
  </si>
  <si>
    <t>上海亚特联科技有限公司</t>
    <phoneticPr fontId="2" type="noConversion"/>
  </si>
  <si>
    <t>节气门</t>
    <phoneticPr fontId="2" type="noConversion"/>
  </si>
  <si>
    <t>MT6511</t>
    <phoneticPr fontId="2" type="noConversion"/>
  </si>
  <si>
    <t>工程机械遥控设备</t>
  </si>
  <si>
    <t>SC69401DC-SPI-TR-Q</t>
    <phoneticPr fontId="2" type="noConversion"/>
  </si>
  <si>
    <t>·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</si>
  <si>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</si>
  <si>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</si>
  <si>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</si>
  <si>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隐藏式门把手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</si>
  <si>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</si>
  <si>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</si>
  <si>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</si>
  <si>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  <phoneticPr fontId="2" type="noConversion"/>
  </si>
  <si>
    <t>MLX92211LSE</t>
    <phoneticPr fontId="2" type="noConversion"/>
  </si>
  <si>
    <t>平台</t>
    <phoneticPr fontId="2" type="noConversion"/>
  </si>
  <si>
    <t>尾门控制器</t>
    <phoneticPr fontId="2" type="noConversion"/>
  </si>
  <si>
    <t>尾门撑杆电机</t>
  </si>
  <si>
    <t>英纳法智联科技（北京）有限公司</t>
    <phoneticPr fontId="2" type="noConversion"/>
  </si>
  <si>
    <t>SC2943SO-TR-Q</t>
    <phoneticPr fontId="2" type="noConversion"/>
  </si>
  <si>
    <t xml:space="preserve">	上海拓殷电子科技技术有限公司</t>
    <phoneticPr fontId="2" type="noConversion"/>
  </si>
  <si>
    <t>换挡系统</t>
  </si>
  <si>
    <t>宾果</t>
  </si>
  <si>
    <t>柳州五达汽车部件有限公司</t>
    <phoneticPr fontId="2" type="noConversion"/>
  </si>
  <si>
    <t>深圳诺信微科技有限公司</t>
    <phoneticPr fontId="2" type="noConversion"/>
  </si>
  <si>
    <t>刹车系统</t>
  </si>
  <si>
    <t>ABS传感器</t>
  </si>
  <si>
    <t>SC9642TS-EC-TR-Q</t>
    <phoneticPr fontId="2" type="noConversion"/>
  </si>
  <si>
    <t>光伏电流传感器</t>
    <phoneticPr fontId="2" type="noConversion"/>
  </si>
  <si>
    <t>储能</t>
  </si>
  <si>
    <t>储能BMS</t>
  </si>
  <si>
    <t>BMS</t>
  </si>
  <si>
    <t>储能电流传感器</t>
    <phoneticPr fontId="2" type="noConversion"/>
  </si>
  <si>
    <t>电摩电流传感器</t>
    <phoneticPr fontId="2" type="noConversion"/>
  </si>
  <si>
    <t>深圳市首显电子设计有限公司</t>
    <phoneticPr fontId="2" type="noConversion"/>
  </si>
  <si>
    <t>SC4643SA-BK-Q</t>
    <phoneticPr fontId="2" type="noConversion"/>
  </si>
  <si>
    <t>厦门宏发电力电器有限公司</t>
    <phoneticPr fontId="2" type="noConversion"/>
  </si>
  <si>
    <t>高压直流继电器</t>
    <phoneticPr fontId="2" type="noConversion"/>
  </si>
  <si>
    <t>SC25791SE-TR-Q</t>
    <phoneticPr fontId="2" type="noConversion"/>
  </si>
  <si>
    <t>SC25791SE-Q-CG-40CR-5791</t>
    <phoneticPr fontId="2" type="noConversion"/>
  </si>
  <si>
    <t>MLX92241LSE</t>
  </si>
  <si>
    <t>武汉艾捷芯汽车科技有限公司</t>
    <phoneticPr fontId="2" type="noConversion"/>
  </si>
  <si>
    <t>SC25791CUA-A-Q</t>
    <phoneticPr fontId="2" type="noConversion"/>
  </si>
  <si>
    <t>MLX92242LUA</t>
  </si>
  <si>
    <t>安全带卷收器</t>
  </si>
  <si>
    <t>TLE4963-1M</t>
  </si>
  <si>
    <t>大众</t>
    <phoneticPr fontId="2" type="noConversion"/>
  </si>
  <si>
    <t>HAL835A</t>
  </si>
  <si>
    <t>安全带BTS</t>
  </si>
  <si>
    <t>上海致馨电子科技有限公司</t>
    <phoneticPr fontId="2" type="noConversion"/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</si>
  <si>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</si>
  <si>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</si>
  <si>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</si>
  <si>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无锡友创电子有限公司</t>
    <phoneticPr fontId="2" type="noConversion"/>
  </si>
  <si>
    <t>曹友生</t>
    <phoneticPr fontId="2" type="noConversion"/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</si>
  <si>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</si>
  <si>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</si>
  <si>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</si>
  <si>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</si>
  <si>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</si>
  <si>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</si>
  <si>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</si>
  <si>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</si>
  <si>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</si>
  <si>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</si>
  <si>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</si>
  <si>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冰箱门开合检测</t>
    <phoneticPr fontId="2" type="noConversion"/>
  </si>
  <si>
    <t>制冰机开合检测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</si>
  <si>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</si>
  <si>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</si>
  <si>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SC2434SO-TR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</si>
  <si>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</si>
  <si>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</si>
  <si>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</si>
  <si>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</si>
  <si>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</si>
  <si>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</si>
  <si>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</si>
  <si>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</si>
  <si>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</si>
  <si>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</si>
  <si>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</si>
  <si>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Axel</t>
    <phoneticPr fontId="2" type="noConversion"/>
  </si>
  <si>
    <t>SC4665VB-BK</t>
    <phoneticPr fontId="2" type="noConversion"/>
  </si>
  <si>
    <t>上海亿韧电子有限公司</t>
    <phoneticPr fontId="2" type="noConversion"/>
  </si>
  <si>
    <t>SC2943SO-Q-DB-60CR-2943</t>
    <phoneticPr fontId="2" type="noConversion"/>
  </si>
  <si>
    <t>SC2432SO-N-Q-CI-10CR-2432</t>
    <phoneticPr fontId="2" type="noConversion"/>
  </si>
  <si>
    <t>SC2943SO-TR-Q</t>
  </si>
  <si>
    <t>SC4011DN</t>
    <phoneticPr fontId="2" type="noConversion"/>
  </si>
  <si>
    <t>SC4103DN(STC11201B1)-4103</t>
    <phoneticPr fontId="2" type="noConversion"/>
  </si>
  <si>
    <t>SC4011DN-4011</t>
    <phoneticPr fontId="2" type="noConversion"/>
  </si>
  <si>
    <t>电源管理</t>
  </si>
  <si>
    <t>电源管理</t>
    <phoneticPr fontId="2" type="noConversion"/>
  </si>
  <si>
    <t>电机编码器</t>
  </si>
  <si>
    <t>角度传感器</t>
  </si>
  <si>
    <t>磁性位置传感器</t>
  </si>
  <si>
    <t>电机驱动</t>
  </si>
  <si>
    <t>速度传感器</t>
  </si>
  <si>
    <t>电子怀档</t>
    <phoneticPr fontId="2" type="noConversion"/>
  </si>
  <si>
    <t>重汽</t>
  </si>
  <si>
    <t>T7</t>
  </si>
  <si>
    <t>T81</t>
    <phoneticPr fontId="2" type="noConversion"/>
  </si>
  <si>
    <t>仪表开关组合</t>
    <phoneticPr fontId="2" type="noConversion"/>
  </si>
  <si>
    <t>浙江万超电器有限公司</t>
    <phoneticPr fontId="2" type="noConversion"/>
  </si>
  <si>
    <t>MLX922llSE</t>
  </si>
  <si>
    <t>上汽</t>
  </si>
  <si>
    <t>车载冰箱抽屉</t>
    <phoneticPr fontId="2" type="noConversion"/>
  </si>
  <si>
    <t>SC25891CUA-A-Q</t>
    <phoneticPr fontId="2" type="noConversion"/>
  </si>
  <si>
    <t>华为</t>
  </si>
  <si>
    <t>新料（低功耗）</t>
    <phoneticPr fontId="2" type="noConversion"/>
  </si>
  <si>
    <t>充电口盖检测</t>
    <phoneticPr fontId="2" type="noConversion"/>
  </si>
  <si>
    <t>VE1430Q1CA3R33</t>
    <phoneticPr fontId="2" type="noConversion"/>
  </si>
  <si>
    <t>方向盘开关板子</t>
    <phoneticPr fontId="2" type="noConversion"/>
  </si>
  <si>
    <t>组合开关方向盘滚轮</t>
  </si>
  <si>
    <t>SC4624DC-20A-TR</t>
    <phoneticPr fontId="2" type="noConversion"/>
  </si>
  <si>
    <t>芜湖美达科技有限公司</t>
    <phoneticPr fontId="2" type="noConversion"/>
  </si>
  <si>
    <t>方向盘滚轮</t>
    <phoneticPr fontId="2" type="noConversion"/>
  </si>
  <si>
    <t>穆博伟</t>
    <phoneticPr fontId="2" type="noConversion"/>
  </si>
  <si>
    <t>SC2442UA-BK-Q</t>
    <phoneticPr fontId="2" type="noConversion"/>
  </si>
  <si>
    <t>天窗电机</t>
    <phoneticPr fontId="2" type="noConversion"/>
  </si>
  <si>
    <t>电子水阀</t>
    <phoneticPr fontId="2" type="noConversion"/>
  </si>
  <si>
    <t>泵</t>
  </si>
  <si>
    <t>电子水泵</t>
  </si>
  <si>
    <t>斯丹德，松枝</t>
  </si>
  <si>
    <t>ATS675</t>
    <phoneticPr fontId="2" type="noConversion"/>
  </si>
  <si>
    <t>福田</t>
  </si>
  <si>
    <t>TLE4942</t>
    <phoneticPr fontId="2" type="noConversion"/>
  </si>
  <si>
    <t>福特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</si>
  <si>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</si>
  <si>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</si>
  <si>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</si>
  <si>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</si>
  <si>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</si>
  <si>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伟速达（中国）汽车安全系统有限公司</t>
    <phoneticPr fontId="2" type="noConversion"/>
  </si>
  <si>
    <t>VE1430Q1BA3R5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</si>
  <si>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</si>
  <si>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</si>
  <si>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跑步机电机位置检测</t>
    <phoneticPr fontId="2" type="noConversion"/>
  </si>
  <si>
    <t>常州普芝机电有限公司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</si>
  <si>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</si>
  <si>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</si>
  <si>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</si>
  <si>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</si>
  <si>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</si>
  <si>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车门电机</t>
  </si>
  <si>
    <t>五菱</t>
  </si>
  <si>
    <t>电动家具</t>
  </si>
  <si>
    <t>电动桌椅</t>
  </si>
  <si>
    <t>升降桌电机</t>
  </si>
  <si>
    <t>车门踏板</t>
    <phoneticPr fontId="2" type="noConversion"/>
  </si>
  <si>
    <t>车门踏板电机</t>
  </si>
  <si>
    <t>卡奥斯创智物联科技有限公司</t>
    <phoneticPr fontId="2" type="noConversion"/>
  </si>
  <si>
    <t>帕太国际贸易（上海）有限公司</t>
    <phoneticPr fontId="2" type="noConversion"/>
  </si>
  <si>
    <t>洗衣机排水泵</t>
    <phoneticPr fontId="2" type="noConversion"/>
  </si>
  <si>
    <t>海尔</t>
    <phoneticPr fontId="2" type="noConversion"/>
  </si>
  <si>
    <t>CC6904</t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</si>
  <si>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</si>
  <si>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</si>
  <si>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</si>
  <si>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SC2452SO-TR-Q</t>
    <phoneticPr fontId="2" type="noConversion"/>
  </si>
  <si>
    <t>转向角度检测</t>
    <phoneticPr fontId="2" type="noConversion"/>
  </si>
  <si>
    <t>TLE4906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</si>
  <si>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</si>
  <si>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</si>
  <si>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</si>
  <si>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2部</t>
    <phoneticPr fontId="2" type="noConversion"/>
  </si>
  <si>
    <t>SC1138SO-N-Q-CC-00LR-1138</t>
    <phoneticPr fontId="2" type="noConversion"/>
  </si>
  <si>
    <t>SC1134SO-N-Q-CI-00LR-1134</t>
    <phoneticPr fontId="2" type="noConversion"/>
  </si>
  <si>
    <t>SC69401DC-SPI-Q-HD-4XCR-69401</t>
    <phoneticPr fontId="2" type="noConversion"/>
  </si>
  <si>
    <t>SC2462SO-Q-CJ-10CR-2462</t>
    <phoneticPr fontId="2" type="noConversion"/>
  </si>
  <si>
    <t>SC2432SO-Q-CM-10CR-2432</t>
    <phoneticPr fontId="2" type="noConversion"/>
  </si>
  <si>
    <t>SC25891CUA-A-Q(STC11210G-Q)-25891C</t>
    <phoneticPr fontId="2" type="noConversion"/>
  </si>
  <si>
    <t>TRVE1430Q1CA3R33(VA2201D)-1430Q</t>
    <phoneticPr fontId="2" type="noConversion"/>
  </si>
  <si>
    <t>SC2434SO-CM-10CR-2434</t>
    <phoneticPr fontId="2" type="noConversion"/>
  </si>
  <si>
    <t>SC9675IM-LRF01-Q-AB-4XAR-9675</t>
    <phoneticPr fontId="2" type="noConversion"/>
  </si>
  <si>
    <t>TRVE1430Q1VA3RADJ(VA2201E)-1430Q</t>
    <phoneticPr fontId="2" type="noConversion"/>
  </si>
  <si>
    <t>TRVE1430Q1BA3R5(VA2201D)-1430Q</t>
    <phoneticPr fontId="2" type="noConversion"/>
  </si>
  <si>
    <t>SC1445A1-41F</t>
    <phoneticPr fontId="2" type="noConversion"/>
  </si>
  <si>
    <t>SC1445A1</t>
    <phoneticPr fontId="2" type="noConversion"/>
  </si>
  <si>
    <t>SC2438SO-Q-CM-10CR-2438</t>
    <phoneticPr fontId="2" type="noConversion"/>
  </si>
  <si>
    <t>SC9641TS-PC-Q-AI-10LR-9641PC</t>
    <phoneticPr fontId="2" type="noConversion"/>
  </si>
  <si>
    <t>SC1245SO-N-CD-00NR-1245</t>
    <phoneticPr fontId="2" type="noConversion"/>
  </si>
  <si>
    <t>SC4643VB-Q-DE-40CK-4643</t>
    <phoneticPr fontId="2" type="noConversion"/>
  </si>
  <si>
    <t>SC4643SA-Q-DE-40CK-4643</t>
    <phoneticPr fontId="2" type="noConversion"/>
  </si>
  <si>
    <t>SC25791CUA-A(STC11210G-Q)-25791C</t>
    <phoneticPr fontId="2" type="noConversion"/>
  </si>
  <si>
    <t>SC9642TS-E-Q-AH-4XLR-9642</t>
    <phoneticPr fontId="2" type="noConversion"/>
  </si>
  <si>
    <t>SC2432SO-CM-10CR-2432</t>
    <phoneticPr fontId="2" type="noConversion"/>
  </si>
  <si>
    <t>SC4665VB-HB-33CK-4665</t>
    <phoneticPr fontId="2" type="noConversion"/>
  </si>
  <si>
    <t>SC9632VB-BK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</si>
  <si>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</si>
  <si>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</si>
  <si>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</si>
  <si>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</si>
  <si>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</si>
  <si>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</si>
  <si>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</si>
  <si>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</si>
  <si>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惯性导航</t>
    <phoneticPr fontId="2" type="noConversion"/>
  </si>
  <si>
    <t>Lindar</t>
    <phoneticPr fontId="2" type="noConversion"/>
  </si>
  <si>
    <t>Stephen</t>
    <phoneticPr fontId="2" type="noConversion"/>
  </si>
  <si>
    <t>SC4643SA-HBL-BK-Q</t>
    <phoneticPr fontId="2" type="noConversion"/>
  </si>
  <si>
    <t>SC4643SA-S-TR-Q</t>
    <phoneticPr fontId="2" type="noConversion"/>
  </si>
  <si>
    <t>SC4643VB-BK-Q</t>
    <phoneticPr fontId="2" type="noConversion"/>
  </si>
  <si>
    <t>SC9642TS-TR-Q</t>
    <phoneticPr fontId="2" type="noConversion"/>
  </si>
  <si>
    <t>SC1134UA-BK</t>
    <phoneticPr fontId="2" type="noConversion"/>
  </si>
  <si>
    <t>SC9621VB-BK</t>
    <phoneticPr fontId="2" type="noConversion"/>
  </si>
  <si>
    <t>SC9675IM-HRF11-TR-Q</t>
    <phoneticPr fontId="2" type="noConversion"/>
  </si>
  <si>
    <t>浙江好亚汽车配件有限公司</t>
    <phoneticPr fontId="2" type="noConversion"/>
  </si>
  <si>
    <t>BLDC</t>
    <phoneticPr fontId="2" type="noConversion"/>
  </si>
  <si>
    <t>水压传感器</t>
    <phoneticPr fontId="2" type="noConversion"/>
  </si>
  <si>
    <t>扭矩传感器</t>
    <phoneticPr fontId="2" type="noConversion"/>
  </si>
  <si>
    <t>轮速传感器</t>
    <phoneticPr fontId="2" type="noConversion"/>
  </si>
  <si>
    <t>电子节气门</t>
    <phoneticPr fontId="2" type="noConversion"/>
  </si>
  <si>
    <t>速度表</t>
    <phoneticPr fontId="2" type="noConversion"/>
  </si>
  <si>
    <t>深圳市中旭源科技有限公司</t>
    <phoneticPr fontId="2" type="noConversion"/>
  </si>
  <si>
    <t>VE8602AKR</t>
    <phoneticPr fontId="2" type="noConversion"/>
  </si>
  <si>
    <t>东莞市朗泰通科技股份有限公司</t>
    <phoneticPr fontId="2" type="noConversion"/>
  </si>
  <si>
    <t>VE8602A5R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</si>
  <si>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</si>
  <si>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</si>
  <si>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</si>
  <si>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</si>
  <si>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</si>
  <si>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</si>
  <si>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</si>
  <si>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</si>
  <si>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</si>
  <si>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无刷电机控制板</t>
    <phoneticPr fontId="2" type="noConversion"/>
  </si>
  <si>
    <t>上海飞智电子科技有限公司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</si>
  <si>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</si>
  <si>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</si>
  <si>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电动牙刷电机方案，无刷电机</t>
    <phoneticPr fontId="2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</si>
  <si>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</si>
  <si>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</si>
  <si>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</si>
  <si>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</si>
  <si>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Suzy</t>
    <phoneticPr fontId="2" type="noConversion"/>
  </si>
  <si>
    <t>轮椅电机</t>
    <phoneticPr fontId="2" type="noConversion"/>
  </si>
  <si>
    <t>跟进后续需求</t>
    <phoneticPr fontId="2" type="noConversion"/>
  </si>
  <si>
    <t>广州市沃燊电子科技有限公司</t>
    <phoneticPr fontId="2" type="noConversion"/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</si>
  <si>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</si>
  <si>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</si>
  <si>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</si>
  <si>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</si>
  <si>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SC2462UA-BK</t>
    <phoneticPr fontId="2" type="noConversion"/>
  </si>
  <si>
    <t>深圳市恒驱电机股份有限公司</t>
    <phoneticPr fontId="2" type="noConversion"/>
  </si>
  <si>
    <t>SC4251D3-TR</t>
    <phoneticPr fontId="2" type="noConversion"/>
  </si>
  <si>
    <t>电动牙刷</t>
    <phoneticPr fontId="2" type="noConversion"/>
  </si>
  <si>
    <t>待量产后，进行1000Pcs小批量测试</t>
    <phoneticPr fontId="2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</si>
  <si>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</si>
  <si>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</si>
  <si>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</si>
  <si>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</si>
  <si>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</si>
  <si>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</si>
  <si>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</si>
  <si>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摇头灯</t>
    <phoneticPr fontId="2" type="noConversion"/>
  </si>
  <si>
    <t>已量产</t>
    <phoneticPr fontId="2" type="noConversion"/>
  </si>
  <si>
    <t>SC2242UA-BK-Q</t>
    <phoneticPr fontId="2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</si>
  <si>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</si>
  <si>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</si>
  <si>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</si>
  <si>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深圳市清联同创汽车电子有限公司</t>
    <phoneticPr fontId="2" type="noConversion"/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</si>
  <si>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</si>
  <si>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</si>
  <si>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</si>
  <si>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</si>
  <si>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</si>
  <si>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</si>
  <si>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</si>
  <si>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</si>
  <si>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</si>
  <si>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</si>
  <si>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</si>
  <si>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大凌-SC1134SO-N</t>
    <phoneticPr fontId="2" type="noConversion"/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</si>
  <si>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</si>
  <si>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</si>
  <si>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</si>
  <si>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</si>
  <si>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电动牙刷电机方案</t>
    <phoneticPr fontId="2" type="noConversion"/>
  </si>
  <si>
    <t>深圳市海富创电子科技有限公司</t>
    <phoneticPr fontId="2" type="noConversion"/>
  </si>
  <si>
    <t>接近开关</t>
    <phoneticPr fontId="2" type="noConversion"/>
  </si>
  <si>
    <t>亚美达电气（深圳）有限公司</t>
    <phoneticPr fontId="2" type="noConversion"/>
  </si>
  <si>
    <t>加湿器电机控制板（华为）</t>
    <phoneticPr fontId="2" type="noConversion"/>
  </si>
  <si>
    <t>佛山市小点电子科技有限公司</t>
    <phoneticPr fontId="2" type="noConversion"/>
  </si>
  <si>
    <t>大凌-SC1134BU</t>
    <phoneticPr fontId="2" type="noConversion"/>
  </si>
  <si>
    <t>SC1134BU-TR</t>
    <phoneticPr fontId="2" type="noConversion"/>
  </si>
  <si>
    <t>大凌-SC2442UA</t>
    <phoneticPr fontId="2" type="noConversion"/>
  </si>
  <si>
    <t>大凌-SC2063SO</t>
    <phoneticPr fontId="2" type="noConversion"/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</si>
  <si>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</si>
  <si>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</si>
  <si>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</si>
  <si>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</si>
  <si>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</si>
  <si>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</si>
  <si>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</si>
  <si>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</si>
  <si>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</si>
  <si>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智能马桶（开合盖）-恒洁</t>
    <phoneticPr fontId="2" type="noConversion"/>
  </si>
  <si>
    <t>电机霍尔板</t>
    <phoneticPr fontId="2" type="noConversion"/>
  </si>
  <si>
    <t>SC2202SO-N-TR</t>
    <phoneticPr fontId="2" type="noConversion"/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</si>
  <si>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</si>
  <si>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</si>
  <si>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</si>
  <si>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</si>
  <si>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</si>
  <si>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</si>
  <si>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东莞市创美时科技有限公司</t>
    <phoneticPr fontId="2" type="noConversion"/>
  </si>
  <si>
    <t>大凌-SC2402SO-N-G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</si>
  <si>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</si>
  <si>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</si>
  <si>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</si>
  <si>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</si>
  <si>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</si>
  <si>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画板调试阶段</t>
    <phoneticPr fontId="2" type="noConversion"/>
  </si>
  <si>
    <t>智能马桶（流量计）-恒洁</t>
    <phoneticPr fontId="2" type="noConversion"/>
  </si>
  <si>
    <t>广州飞玛光电科技有限公司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</si>
  <si>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</si>
  <si>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</si>
  <si>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</si>
  <si>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</si>
  <si>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</si>
  <si>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</si>
  <si>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</si>
  <si>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</si>
  <si>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</si>
  <si>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</si>
  <si>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电摩电机</t>
    <phoneticPr fontId="2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</si>
  <si>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</si>
  <si>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</si>
  <si>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</si>
  <si>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SC2438UA-BK</t>
    <phoneticPr fontId="2" type="noConversion"/>
  </si>
  <si>
    <t xml:space="preserve"> 	深圳市博海威电子科技有限公司</t>
    <phoneticPr fontId="2" type="noConversion"/>
  </si>
  <si>
    <t>电动工具扳值位置检测</t>
    <phoneticPr fontId="2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</si>
  <si>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</si>
  <si>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</si>
  <si>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</si>
  <si>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</si>
  <si>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</si>
  <si>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</si>
  <si>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深圳市星闪悦动科技有限公司</t>
    <phoneticPr fontId="2" type="noConversion"/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</si>
  <si>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</si>
  <si>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</si>
  <si>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</si>
  <si>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</si>
  <si>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</si>
  <si>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</si>
  <si>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</si>
  <si>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</si>
  <si>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</si>
  <si>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</si>
  <si>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</si>
  <si>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</si>
  <si>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</si>
  <si>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深圳市长天智能有限公司</t>
    <phoneticPr fontId="2" type="noConversion"/>
  </si>
  <si>
    <t>EMS电流检测</t>
    <phoneticPr fontId="2" type="noConversion"/>
  </si>
  <si>
    <t>深圳市矢量科技有限公司</t>
    <phoneticPr fontId="2" type="noConversion"/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</si>
  <si>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</si>
  <si>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</si>
  <si>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</si>
  <si>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</si>
  <si>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</si>
  <si>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</si>
  <si>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</si>
  <si>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</si>
  <si>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</si>
  <si>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</si>
  <si>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</si>
  <si>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</si>
  <si>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</si>
  <si>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</si>
  <si>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</si>
  <si>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</si>
  <si>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</si>
  <si>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</si>
  <si>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</si>
  <si>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</si>
  <si>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</si>
  <si>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</si>
  <si>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</si>
  <si>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深圳思维奇电子科技有限公司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</si>
  <si>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</si>
  <si>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</si>
  <si>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</si>
  <si>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</si>
  <si>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惠州市立源电器有限公司</t>
    <phoneticPr fontId="2" type="noConversion"/>
  </si>
  <si>
    <t>乐清市三合电子有限公司</t>
    <phoneticPr fontId="2" type="noConversion"/>
  </si>
  <si>
    <t>SC2546VB-AB-BK</t>
    <phoneticPr fontId="2" type="noConversion"/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</si>
  <si>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</si>
  <si>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</si>
  <si>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</si>
  <si>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</si>
  <si>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深圳巨力神电气有限公司</t>
    <phoneticPr fontId="2" type="noConversion"/>
  </si>
  <si>
    <t>深圳骏飞扬科技有限公司</t>
    <phoneticPr fontId="2" type="noConversion"/>
  </si>
  <si>
    <t>深圳市华源鑫电器有限公司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</si>
  <si>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</si>
  <si>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</si>
  <si>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SC4101DN</t>
    <phoneticPr fontId="2" type="noConversion"/>
  </si>
  <si>
    <t>深圳市小龙电器科技有限公司</t>
    <phoneticPr fontId="2" type="noConversion"/>
  </si>
  <si>
    <t>深圳市旭顺电子有限公司</t>
    <phoneticPr fontId="2" type="noConversion"/>
  </si>
  <si>
    <t>深圳市雅腾电机有限公司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</si>
  <si>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</si>
  <si>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</si>
  <si>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台州市乐利电子科技有限公司</t>
    <phoneticPr fontId="2" type="noConversion"/>
  </si>
  <si>
    <t>台州同异元电子科技有限公司</t>
    <phoneticPr fontId="2" type="noConversion"/>
  </si>
  <si>
    <t>安乃达驱动技术（上海）股份有限公司</t>
    <phoneticPr fontId="2" type="noConversion"/>
  </si>
  <si>
    <t>成都市力远新能源电动车有限公司</t>
    <phoneticPr fontId="2" type="noConversion"/>
  </si>
  <si>
    <t>无锡赛盈动力科技有限公司</t>
    <phoneticPr fontId="2" type="noConversion"/>
  </si>
  <si>
    <t>无锡华芯晟科技有限公司</t>
    <phoneticPr fontId="2" type="noConversion"/>
  </si>
  <si>
    <t>SC1845S1-BK</t>
    <phoneticPr fontId="2" type="noConversion"/>
  </si>
  <si>
    <t>SC1845F1-BK</t>
    <phoneticPr fontId="2" type="noConversion"/>
  </si>
  <si>
    <t>SC1845A1-BK</t>
    <phoneticPr fontId="2" type="noConversion"/>
  </si>
  <si>
    <t>SC1845A2-BK</t>
    <phoneticPr fontId="2" type="noConversion"/>
  </si>
  <si>
    <t>SC2436UA-BK</t>
    <phoneticPr fontId="2" type="noConversion"/>
  </si>
  <si>
    <t>SC2968S1-N-BK</t>
    <phoneticPr fontId="2" type="noConversion"/>
  </si>
  <si>
    <t>SC2432UA-BK</t>
    <phoneticPr fontId="2" type="noConversion"/>
  </si>
  <si>
    <t>浙江三花汽车零部件有限公司</t>
    <phoneticPr fontId="2" type="noConversion"/>
  </si>
  <si>
    <t>智邦-SC2063SO</t>
    <phoneticPr fontId="2" type="noConversion"/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</si>
  <si>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</si>
  <si>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</si>
  <si>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</si>
  <si>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智邦-SC1134SO-N</t>
    <phoneticPr fontId="2" type="noConversion"/>
  </si>
  <si>
    <t>余姚市瑞玛特电器有限公司</t>
    <phoneticPr fontId="2" type="noConversion"/>
  </si>
  <si>
    <t>天津越尔兴电子科技有限公司</t>
    <phoneticPr fontId="2" type="noConversion"/>
  </si>
  <si>
    <t>SC4002UA-BK</t>
    <phoneticPr fontId="2" type="noConversion"/>
  </si>
  <si>
    <t>其他电机控制板</t>
    <phoneticPr fontId="2" type="noConversion"/>
  </si>
  <si>
    <t>跟踪样品评估</t>
    <phoneticPr fontId="2" type="noConversion"/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</si>
  <si>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</si>
  <si>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</si>
  <si>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</si>
  <si>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漏保插头</t>
    <phoneticPr fontId="2" type="noConversion"/>
  </si>
  <si>
    <t>养盈-SD477S</t>
    <phoneticPr fontId="2" type="noConversion"/>
  </si>
  <si>
    <t>SD477VB-BK</t>
    <phoneticPr fontId="2" type="noConversion"/>
  </si>
  <si>
    <t>养盈-SD2276</t>
    <phoneticPr fontId="2" type="noConversion"/>
  </si>
  <si>
    <t>SD2276VB-BK</t>
    <phoneticPr fontId="2" type="noConversion"/>
  </si>
  <si>
    <t>养盈-SD211VB</t>
    <phoneticPr fontId="2" type="noConversion"/>
  </si>
  <si>
    <t>养盈-SC4688SA</t>
    <phoneticPr fontId="2" type="noConversion"/>
  </si>
  <si>
    <t>外贸</t>
    <phoneticPr fontId="2" type="noConversion"/>
  </si>
  <si>
    <t>养盈-SC4002UA</t>
    <phoneticPr fontId="2" type="noConversion"/>
  </si>
  <si>
    <t>其他电机电机控制板</t>
    <phoneticPr fontId="2" type="noConversion"/>
  </si>
  <si>
    <t>养盈-SC2063UA</t>
    <phoneticPr fontId="2" type="noConversion"/>
  </si>
  <si>
    <t>SC2063UA-BK</t>
    <phoneticPr fontId="2" type="noConversion"/>
  </si>
  <si>
    <t>门磁开关</t>
    <phoneticPr fontId="2" type="noConversion"/>
  </si>
  <si>
    <t>养盈-SC1134SO-N</t>
    <phoneticPr fontId="2" type="noConversion"/>
  </si>
  <si>
    <t>养盈-SC1134B1</t>
    <phoneticPr fontId="2" type="noConversion"/>
  </si>
  <si>
    <t>亚世欧-KH477</t>
    <phoneticPr fontId="2" type="noConversion"/>
  </si>
  <si>
    <t>深圳市亚世欧实业有限公司</t>
    <phoneticPr fontId="2" type="noConversion"/>
  </si>
  <si>
    <t>亚世欧-KH276</t>
    <phoneticPr fontId="2" type="noConversion"/>
  </si>
  <si>
    <t>亚世欧-KH211</t>
    <phoneticPr fontId="2" type="noConversion"/>
  </si>
  <si>
    <t>温州嘉迪电器有限公司</t>
    <phoneticPr fontId="2" type="noConversion"/>
  </si>
  <si>
    <t>SL002147DC-TR</t>
    <phoneticPr fontId="2" type="noConversion"/>
  </si>
  <si>
    <t>断路器</t>
    <phoneticPr fontId="2" type="noConversion"/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</si>
  <si>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</si>
  <si>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</si>
  <si>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</si>
  <si>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深圳市粤科源兴科技有限公司</t>
    <phoneticPr fontId="2" type="noConversion"/>
  </si>
  <si>
    <t>深圳市航嘉驰源电气股份有限公司</t>
    <phoneticPr fontId="2" type="noConversion"/>
  </si>
  <si>
    <t>H项目</t>
    <phoneticPr fontId="2" type="noConversion"/>
  </si>
  <si>
    <t>鹏芯-SD276</t>
    <phoneticPr fontId="2" type="noConversion"/>
  </si>
  <si>
    <t>绍兴鹏芯电子科技有限公司</t>
    <phoneticPr fontId="2" type="noConversion"/>
  </si>
  <si>
    <t>鹏芯-SC2063</t>
    <phoneticPr fontId="2" type="noConversion"/>
  </si>
  <si>
    <t>PSTC9G001C</t>
    <phoneticPr fontId="2" type="noConversion"/>
  </si>
  <si>
    <t>电源开关</t>
    <phoneticPr fontId="2" type="noConversion"/>
  </si>
  <si>
    <t>宁波市欣新电器科技有限公司</t>
    <phoneticPr fontId="2" type="noConversion"/>
  </si>
  <si>
    <t>宁波市北仑拓立模具技术有限公司</t>
    <phoneticPr fontId="2" type="noConversion"/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</si>
  <si>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</si>
  <si>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</si>
  <si>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</si>
  <si>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</si>
  <si>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</si>
  <si>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</si>
  <si>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</si>
  <si>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</si>
  <si>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</si>
  <si>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惠州市卓邦电子有限公司</t>
    <phoneticPr fontId="2" type="noConversion"/>
  </si>
  <si>
    <t>杭州小飞电器科技有限公司</t>
    <phoneticPr fontId="2" type="noConversion"/>
  </si>
  <si>
    <t>无锡迪士科技</t>
    <phoneticPr fontId="2" type="noConversion"/>
  </si>
  <si>
    <t>东莞市巨搏悦科技有限公司</t>
    <phoneticPr fontId="2" type="noConversion"/>
  </si>
  <si>
    <t>宁波明芯智能科技有限公司</t>
    <phoneticPr fontId="2" type="noConversion"/>
  </si>
  <si>
    <t>宁波瀚朗智能驱动科技股份有限公司</t>
    <phoneticPr fontId="2" type="noConversion"/>
  </si>
  <si>
    <t>宁波晴控智能有限公司</t>
    <phoneticPr fontId="2" type="noConversion"/>
  </si>
  <si>
    <t>宁波瑞利特电子科技有限公司</t>
    <phoneticPr fontId="2" type="noConversion"/>
  </si>
  <si>
    <t>水位计</t>
    <phoneticPr fontId="2" type="noConversion"/>
  </si>
  <si>
    <t>东莞市鸿飞科技有限公司</t>
    <phoneticPr fontId="2" type="noConversion"/>
  </si>
  <si>
    <t>筋膜枪</t>
    <phoneticPr fontId="2" type="noConversion"/>
  </si>
  <si>
    <t>宁波铭瑞传感器有限公司</t>
    <phoneticPr fontId="2" type="noConversion"/>
  </si>
  <si>
    <t>手柄摇杆</t>
    <phoneticPr fontId="2" type="noConversion"/>
  </si>
  <si>
    <t>玉环普天单向器科技有限公司</t>
    <phoneticPr fontId="2" type="noConversion"/>
  </si>
  <si>
    <t>跟踪客户产线调试</t>
    <phoneticPr fontId="2" type="noConversion"/>
  </si>
  <si>
    <t>宁波纳福电子</t>
    <phoneticPr fontId="2" type="noConversion"/>
  </si>
  <si>
    <t>深圳霍芯电子科技有限公司</t>
    <phoneticPr fontId="2" type="noConversion"/>
  </si>
  <si>
    <t>嘉兴礼海电气科技有限公司</t>
    <phoneticPr fontId="2" type="noConversion"/>
  </si>
  <si>
    <t>深圳旭意达</t>
    <phoneticPr fontId="2" type="noConversion"/>
  </si>
  <si>
    <t>芜湖莫森泰克汽车科技股份有限公司</t>
    <phoneticPr fontId="2" type="noConversion"/>
  </si>
  <si>
    <t>徐彬</t>
    <phoneticPr fontId="2" type="noConversion"/>
  </si>
  <si>
    <t>天窗</t>
    <phoneticPr fontId="2" type="noConversion"/>
  </si>
  <si>
    <t>250228：及时确认客户交货情况</t>
    <phoneticPr fontId="2" type="noConversion"/>
  </si>
  <si>
    <t>250228：送样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</si>
  <si>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</si>
  <si>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</si>
  <si>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东洋车窗</t>
    <phoneticPr fontId="2" type="noConversion"/>
  </si>
  <si>
    <t>250228：测试中</t>
    <phoneticPr fontId="2" type="noConversion"/>
  </si>
  <si>
    <t>上海依工塑料五金有限公司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</si>
  <si>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</si>
  <si>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充电口盖板开关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</si>
  <si>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</si>
  <si>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</si>
  <si>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浙江天成航空科技有限公司</t>
    <phoneticPr fontId="2" type="noConversion"/>
  </si>
  <si>
    <t>座椅水平电机1*1</t>
    <phoneticPr fontId="2" type="noConversion"/>
  </si>
  <si>
    <t>250228：推动上量</t>
    <phoneticPr fontId="2" type="noConversion"/>
  </si>
  <si>
    <t>调角电机1*1</t>
    <phoneticPr fontId="2" type="noConversion"/>
  </si>
  <si>
    <t>250228：跟进客户产线建设情况</t>
    <phoneticPr fontId="2" type="noConversion"/>
  </si>
  <si>
    <t>山东凯欧电机科技有限公司</t>
    <phoneticPr fontId="2" type="noConversion"/>
  </si>
  <si>
    <t>杨小鸿</t>
    <phoneticPr fontId="2" type="noConversion"/>
  </si>
  <si>
    <t>农机位置传感器</t>
    <phoneticPr fontId="2" type="noConversion"/>
  </si>
  <si>
    <t>湖北金镶银科技有限公司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</si>
  <si>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</si>
  <si>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</si>
  <si>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</si>
  <si>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</si>
  <si>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</si>
  <si>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</si>
  <si>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</si>
  <si>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</si>
  <si>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</si>
  <si>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</si>
  <si>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</si>
  <si>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</si>
  <si>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</si>
  <si>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</si>
  <si>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</si>
  <si>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</si>
  <si>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</si>
  <si>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250228: 测试中， 跟进测试结果</t>
    <phoneticPr fontId="2" type="noConversion"/>
  </si>
  <si>
    <t>250512: 磁环位置评估中</t>
    <phoneticPr fontId="2" type="noConversion"/>
  </si>
  <si>
    <t>250314：角度传感器需要确认断线检测是否满足功能
250228：3月中前确认批量时间</t>
    <phoneticPr fontId="2" type="noConversion"/>
  </si>
  <si>
    <t>250512：PCB设计中</t>
    <phoneticPr fontId="2" type="noConversion"/>
  </si>
  <si>
    <t>250512：选型中</t>
    <phoneticPr fontId="2" type="noConversion"/>
  </si>
  <si>
    <t>250513：样件设计中</t>
    <phoneticPr fontId="2" type="noConversion"/>
  </si>
  <si>
    <t>250228：争取更多业务机会</t>
    <phoneticPr fontId="2" type="noConversion"/>
  </si>
  <si>
    <t>250422：小批3K
25410：测试OK，近期会有小批订单。
250228：加深客情关系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</si>
  <si>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</si>
  <si>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</si>
  <si>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</si>
  <si>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应用在 中力 牌 叉车的角度上</t>
    <phoneticPr fontId="2" type="noConversion"/>
  </si>
  <si>
    <t>叉车转向电机编码器</t>
    <phoneticPr fontId="2" type="noConversion"/>
  </si>
  <si>
    <t>浙江立镖机器人有限公司</t>
    <phoneticPr fontId="2" type="noConversion"/>
  </si>
  <si>
    <t>用在 立镖 柔性分拣机器人上 用于导航功能使用</t>
    <phoneticPr fontId="2" type="noConversion"/>
  </si>
  <si>
    <t>宁波高悦电机技术有限公司</t>
    <phoneticPr fontId="2" type="noConversion"/>
  </si>
  <si>
    <t>吉利的EDS 电机和康明斯第一版尿素泵上</t>
    <phoneticPr fontId="2" type="noConversion"/>
  </si>
  <si>
    <t>康明斯第二版尿素泵上</t>
    <phoneticPr fontId="2" type="noConversion"/>
  </si>
  <si>
    <t>美国Rivian的电子油泵项目上</t>
    <phoneticPr fontId="2" type="noConversion"/>
  </si>
  <si>
    <t>侧滑门电机无刷控制器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</si>
  <si>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</si>
  <si>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</si>
  <si>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杭州智源电子有限公司</t>
    <phoneticPr fontId="2" type="noConversion"/>
  </si>
  <si>
    <t>用于宁波新思创的电磁阀项目上</t>
    <phoneticPr fontId="2" type="noConversion"/>
  </si>
  <si>
    <t>二轮车电机</t>
    <phoneticPr fontId="2" type="noConversion"/>
  </si>
  <si>
    <t>苏州扬信德汽车零部件有限公司</t>
    <phoneticPr fontId="2" type="noConversion"/>
  </si>
  <si>
    <t>Elon</t>
    <phoneticPr fontId="2" type="noConversion"/>
  </si>
  <si>
    <t>朱晓贤</t>
    <phoneticPr fontId="2" type="noConversion"/>
  </si>
  <si>
    <t>浙江长江汽车电子有限公司</t>
    <phoneticPr fontId="2" type="noConversion"/>
  </si>
  <si>
    <t>宁波精华电子科技股份有限公司</t>
    <phoneticPr fontId="2" type="noConversion"/>
  </si>
  <si>
    <t>周鑫</t>
    <phoneticPr fontId="2" type="noConversion"/>
  </si>
  <si>
    <t>嘉兴市尚瑞电子科技有限公司</t>
    <phoneticPr fontId="2" type="noConversion"/>
  </si>
  <si>
    <t>扶手箱开合</t>
    <phoneticPr fontId="2" type="noConversion"/>
  </si>
  <si>
    <t>浙江泰康电子有限公司</t>
    <phoneticPr fontId="2" type="noConversion"/>
  </si>
  <si>
    <t>安全带卡扣</t>
    <phoneticPr fontId="2" type="noConversion"/>
  </si>
  <si>
    <t>中控PAD支架</t>
    <phoneticPr fontId="2" type="noConversion"/>
  </si>
  <si>
    <t>浙江卡巴尔电气有限公司</t>
    <phoneticPr fontId="2" type="noConversion"/>
  </si>
  <si>
    <t>工程机械遥控设备</t>
    <phoneticPr fontId="2" type="noConversion"/>
  </si>
  <si>
    <t>江苏启达机电有限公司</t>
    <phoneticPr fontId="2" type="noConversion"/>
  </si>
  <si>
    <t>湖北开特汽车电子有限公司</t>
    <phoneticPr fontId="2" type="noConversion"/>
  </si>
  <si>
    <t>广州爱者科技有限公司</t>
    <phoneticPr fontId="2" type="noConversion"/>
  </si>
  <si>
    <t>黎海峰</t>
    <phoneticPr fontId="2" type="noConversion"/>
  </si>
  <si>
    <t xml:space="preserve">	天津英创汇智汽车技术有限公司</t>
    <phoneticPr fontId="2" type="noConversion"/>
  </si>
  <si>
    <t>王帅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</si>
  <si>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</si>
  <si>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</si>
  <si>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</si>
  <si>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侧移门检测</t>
    <phoneticPr fontId="2" type="noConversion"/>
  </si>
  <si>
    <t>上海英汇科技发展有限公司</t>
    <phoneticPr fontId="2" type="noConversion"/>
  </si>
  <si>
    <t>浙江宏发精密科技有限公司</t>
    <phoneticPr fontId="2" type="noConversion"/>
  </si>
  <si>
    <t>Vivi</t>
    <phoneticPr fontId="2" type="noConversion"/>
  </si>
  <si>
    <t>奥托立夫（上海）汽车安全系统研发有限公司</t>
    <phoneticPr fontId="2" type="noConversion"/>
  </si>
  <si>
    <t>陈颖</t>
    <phoneticPr fontId="2" type="noConversion"/>
  </si>
  <si>
    <t>安全带插锁</t>
    <phoneticPr fontId="2" type="noConversion"/>
  </si>
  <si>
    <t>安全带卷收器</t>
    <phoneticPr fontId="2" type="noConversion"/>
  </si>
  <si>
    <t>安全带支架</t>
    <phoneticPr fontId="2" type="noConversion"/>
  </si>
  <si>
    <t>王金</t>
    <phoneticPr fontId="2" type="noConversion"/>
  </si>
  <si>
    <t>工业风机</t>
    <phoneticPr fontId="2" type="noConversion"/>
  </si>
  <si>
    <t>深圳华美和控制系统有限公司</t>
    <phoneticPr fontId="2" type="noConversion"/>
  </si>
  <si>
    <t>童建东</t>
    <phoneticPr fontId="2" type="noConversion"/>
  </si>
  <si>
    <r>
      <rPr>
        <sz val="10"/>
        <rFont val="Microsoft YaHei Light"/>
        <family val="2"/>
        <charset val="134"/>
      </rPr>
      <t>微进电子科技（上海）有限公司</t>
    </r>
    <phoneticPr fontId="2" type="noConversion"/>
  </si>
  <si>
    <t>SC9685TS-RP120-TR-Q</t>
    <phoneticPr fontId="2" type="noConversion"/>
  </si>
  <si>
    <t>SC9314UA-CF-0XAK-94M</t>
    <phoneticPr fontId="2" type="noConversion"/>
  </si>
  <si>
    <t>SC9685TS-RP120-Q-DB-46AR-96852</t>
    <phoneticPr fontId="2" type="noConversion"/>
  </si>
  <si>
    <t>SC9642TS-E362-Q-AH-4XLR-9642</t>
    <phoneticPr fontId="2" type="noConversion"/>
  </si>
  <si>
    <t>磁性位置传感器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</si>
  <si>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</si>
  <si>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</si>
  <si>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杭州神林电子有限公司</t>
    <phoneticPr fontId="2" type="noConversion"/>
  </si>
  <si>
    <t>浙江汉博汽车传感器有限公司</t>
  </si>
  <si>
    <t>SC9621VB-CF-00CK-9621</t>
    <phoneticPr fontId="2" type="noConversion"/>
  </si>
  <si>
    <t>SC9632VB-CE-00CK-9632</t>
    <phoneticPr fontId="2" type="noConversion"/>
  </si>
  <si>
    <t>序号</t>
    <phoneticPr fontId="2" type="noConversion"/>
  </si>
  <si>
    <t>SC4643VB-Q-DE-40CR-FFH-L43</t>
    <phoneticPr fontId="2" type="noConversion"/>
  </si>
  <si>
    <t>SC4643VB-Q-DE-40CK-FFH-L43</t>
    <phoneticPr fontId="2" type="noConversion"/>
  </si>
  <si>
    <t>SC4015SO-N-A-TR</t>
    <phoneticPr fontId="2" type="noConversion"/>
  </si>
  <si>
    <t>SC4015SO-N-A-CE-90NR-4015</t>
    <phoneticPr fontId="2" type="noConversion"/>
  </si>
  <si>
    <t>深圳意义之塔科技有限公司</t>
    <phoneticPr fontId="2" type="noConversion"/>
  </si>
  <si>
    <t>SC1134UA-CI-00AK-44E</t>
    <phoneticPr fontId="2" type="noConversion"/>
  </si>
  <si>
    <t>Sales</t>
    <phoneticPr fontId="2" type="noConversion"/>
  </si>
  <si>
    <t>SC4002UA-CA-00AK-95A</t>
    <phoneticPr fontId="2" type="noConversion"/>
  </si>
  <si>
    <t>温州市精一智能料技有限公司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</si>
  <si>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</si>
  <si>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</si>
  <si>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</si>
  <si>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其他</t>
    <phoneticPr fontId="2" type="noConversion"/>
  </si>
  <si>
    <t>SC4251D3-GA-00FR-4251</t>
    <phoneticPr fontId="2" type="noConversion"/>
  </si>
  <si>
    <t>上海茂晶电子科技有限公司</t>
    <phoneticPr fontId="2" type="noConversion"/>
  </si>
  <si>
    <t>SC60104</t>
    <phoneticPr fontId="2" type="noConversion"/>
  </si>
  <si>
    <t>SC60228DC-DC-00AR-NM</t>
  </si>
  <si>
    <t>NM.SC60104</t>
    <phoneticPr fontId="2" type="noConversion"/>
  </si>
  <si>
    <t>SC60226SS-TB</t>
    <phoneticPr fontId="2" type="noConversion"/>
  </si>
  <si>
    <t>NA.SC60226SS-DC</t>
    <phoneticPr fontId="2" type="noConversion"/>
  </si>
  <si>
    <t>SC4688SA-Q-DC-40CK-4688</t>
    <phoneticPr fontId="2" type="noConversion"/>
  </si>
  <si>
    <t>SC2443SO-Q-DB-60CR-2443</t>
    <phoneticPr fontId="2" type="noConversion"/>
  </si>
  <si>
    <t>SC2443UA-Q-DB-60AK-2443</t>
    <phoneticPr fontId="2" type="noConversion"/>
  </si>
  <si>
    <t>SC9675IM-LRF00-Q-AB-4XAR-9675</t>
    <phoneticPr fontId="2" type="noConversion"/>
  </si>
  <si>
    <t>SC2968S1-N-DC-4XAK-S21C</t>
    <phoneticPr fontId="2" type="noConversion"/>
  </si>
  <si>
    <t>SC1134B1-CI-00HK-43F</t>
    <phoneticPr fontId="2" type="noConversion"/>
  </si>
  <si>
    <t>SC1134B1-BK</t>
    <phoneticPr fontId="2" type="noConversion"/>
  </si>
  <si>
    <t>SC9641TS-362-Q-CB-10LR-9641</t>
    <phoneticPr fontId="2" type="noConversion"/>
  </si>
  <si>
    <t>SC9641TS-P-Q-AI-10LR-9641P</t>
    <phoneticPr fontId="2" type="noConversion"/>
  </si>
  <si>
    <t>SC4643VB-TR-Q</t>
    <phoneticPr fontId="2" type="noConversion"/>
  </si>
  <si>
    <t>SC2442SO-N-Q-CP-10CR-2442</t>
    <phoneticPr fontId="2" type="noConversion"/>
  </si>
  <si>
    <t>常州市富盛星特电子有限公司</t>
    <phoneticPr fontId="2" type="noConversion"/>
  </si>
  <si>
    <t>250626：送样，终端价格0.19内，替换灿瑞OCH40161TOAE</t>
    <phoneticPr fontId="2" type="noConversion"/>
  </si>
  <si>
    <t>S-5716ANSL1-M3T1U</t>
    <phoneticPr fontId="2" type="noConversion"/>
  </si>
  <si>
    <t>SC25891SE-TR-Q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</si>
  <si>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</si>
  <si>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</si>
  <si>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</si>
  <si>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1月预测</t>
    <phoneticPr fontId="2" type="noConversion"/>
  </si>
  <si>
    <t>SC2948SO-TR-Q</t>
    <phoneticPr fontId="2" type="noConversion"/>
  </si>
  <si>
    <t>山东康泰智能科技股份有限公司</t>
    <phoneticPr fontId="2" type="noConversion"/>
  </si>
  <si>
    <t>张若阳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</si>
  <si>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</si>
  <si>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</si>
  <si>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车速传感器</t>
    <phoneticPr fontId="2" type="noConversion"/>
  </si>
  <si>
    <t>客户</t>
    <phoneticPr fontId="2" type="noConversion"/>
  </si>
  <si>
    <t>南京亿力胜电子科技有限公司</t>
    <phoneticPr fontId="2" type="noConversion"/>
  </si>
  <si>
    <t>老项目-电动尾门控制器</t>
    <phoneticPr fontId="2" type="noConversion"/>
  </si>
  <si>
    <r>
      <rPr>
        <b/>
        <sz val="10"/>
        <rFont val="Microsoft YaHei Light"/>
        <family val="2"/>
        <charset val="134"/>
      </rPr>
      <t>250704：正常拉动</t>
    </r>
    <r>
      <rPr>
        <sz val="10"/>
        <rFont val="Microsoft YaHei Light"/>
        <family val="2"/>
        <charset val="134"/>
      </rPr>
      <t xml:space="preserve">
250606：代理商库存已经消耗完毕，6月开始下单拉动；大客户PPT完成编写。后续按拓展策略执行。</t>
    </r>
    <phoneticPr fontId="2" type="noConversion"/>
  </si>
  <si>
    <r>
      <rPr>
        <b/>
        <sz val="10"/>
        <rFont val="Microsoft YaHei Light"/>
        <family val="2"/>
        <charset val="134"/>
      </rPr>
      <t>250704：等待量产</t>
    </r>
    <r>
      <rPr>
        <sz val="10"/>
        <rFont val="Microsoft YaHei Light"/>
        <family val="2"/>
        <charset val="134"/>
      </rPr>
      <t xml:space="preserve">
250613：普天，电机霍尔控制板，300K/年，定点赛卓，2025年9月预计正式量产</t>
    </r>
    <phoneticPr fontId="2" type="noConversion"/>
  </si>
  <si>
    <r>
      <t>上海</t>
    </r>
    <r>
      <rPr>
        <b/>
        <sz val="10"/>
        <color rgb="FF000000"/>
        <rFont val="Microsoft YaHei Light"/>
        <family val="2"/>
        <charset val="134"/>
      </rPr>
      <t>全一</t>
    </r>
    <r>
      <rPr>
        <sz val="10"/>
        <color rgb="FF000000"/>
        <rFont val="Microsoft YaHei Light"/>
        <family val="2"/>
        <charset val="134"/>
      </rPr>
      <t>通讯技术有限公司</t>
    </r>
    <phoneticPr fontId="2" type="noConversion"/>
  </si>
  <si>
    <r>
      <rPr>
        <b/>
        <sz val="10"/>
        <rFont val="Microsoft YaHei Light"/>
        <family val="2"/>
        <charset val="134"/>
      </rPr>
      <t>250704：正常供货，近期开始加量。</t>
    </r>
    <r>
      <rPr>
        <sz val="10"/>
        <rFont val="Microsoft YaHei Light"/>
        <family val="2"/>
        <charset val="134"/>
      </rPr>
      <t xml:space="preserve">
250606：又开始提货了</t>
    </r>
    <phoneticPr fontId="2" type="noConversion"/>
  </si>
  <si>
    <t>赵光远</t>
    <phoneticPr fontId="2" type="noConversion"/>
  </si>
  <si>
    <t>传动机构</t>
    <phoneticPr fontId="2" type="noConversion"/>
  </si>
  <si>
    <r>
      <rPr>
        <sz val="10"/>
        <rFont val="Microsoft YaHei Light"/>
        <family val="2"/>
        <charset val="134"/>
      </rPr>
      <t>立讯精密工业(昆山)有限公司</t>
    </r>
    <phoneticPr fontId="2" type="noConversion"/>
  </si>
  <si>
    <t>按摩椅</t>
    <phoneticPr fontId="2" type="noConversion"/>
  </si>
  <si>
    <t>SC4703SO-TR</t>
  </si>
  <si>
    <t>小批量</t>
    <phoneticPr fontId="11" type="noConversion"/>
  </si>
  <si>
    <t>深圳市英泰康科技有限公司</t>
    <phoneticPr fontId="2" type="noConversion"/>
  </si>
  <si>
    <t>加湿器</t>
    <phoneticPr fontId="2" type="noConversion"/>
  </si>
  <si>
    <t>SC9684TS-Q-DB-4XAR-9684</t>
    <phoneticPr fontId="2" type="noConversion"/>
  </si>
  <si>
    <t>SC1134UA-CI-00AK-1134</t>
    <phoneticPr fontId="2" type="noConversion"/>
  </si>
  <si>
    <t>SC9641TS-P-AI-10AR-G1630</t>
    <phoneticPr fontId="2" type="noConversion"/>
  </si>
  <si>
    <t>SC9648TS-AI-10AR-9648</t>
    <phoneticPr fontId="2" type="noConversion"/>
  </si>
  <si>
    <t>SC2064SO-GC-00NR-2064</t>
    <phoneticPr fontId="2" type="noConversion"/>
  </si>
  <si>
    <t>SC4703SO-GB-00NR-4703</t>
    <phoneticPr fontId="2" type="noConversion"/>
  </si>
  <si>
    <t>SC25891SE-Q-CG-40CR-5891</t>
    <phoneticPr fontId="2" type="noConversion"/>
  </si>
  <si>
    <t>SC2452SO-Q-DD-60AR-2452</t>
    <phoneticPr fontId="2" type="noConversion"/>
  </si>
  <si>
    <t>SC2033SO-N-TR</t>
    <phoneticPr fontId="2" type="noConversion"/>
  </si>
  <si>
    <t>SC2033SO-N-GD-00NR-2033</t>
    <phoneticPr fontId="2" type="noConversion"/>
  </si>
  <si>
    <t>SC3100VB-BK-Q</t>
    <phoneticPr fontId="2" type="noConversion"/>
  </si>
  <si>
    <t>SC3100VB-DG-00CK-3100</t>
    <phoneticPr fontId="2" type="noConversion"/>
  </si>
  <si>
    <t>SC1002S1-CG-00AK-41F</t>
    <phoneticPr fontId="2" type="noConversion"/>
  </si>
  <si>
    <t>SC919SO-N-TR-Q</t>
    <phoneticPr fontId="2" type="noConversion"/>
  </si>
  <si>
    <t>SC919SO-N-Q-CD-90CR-919H</t>
    <phoneticPr fontId="2" type="noConversion"/>
  </si>
  <si>
    <t>SC2402UA-GB-00AK-6501</t>
    <phoneticPr fontId="2" type="noConversion"/>
  </si>
  <si>
    <t>SC4002SO-N-CA-00NR-4002</t>
    <phoneticPr fontId="2" type="noConversion"/>
  </si>
  <si>
    <t>SC4002SO(STC4000AA)-4002</t>
    <phoneticPr fontId="2" type="noConversion"/>
  </si>
  <si>
    <t>SC4101DN(STC11201B1)-4101</t>
    <phoneticPr fontId="2" type="noConversion"/>
  </si>
  <si>
    <t>SC60224-D-16</t>
  </si>
  <si>
    <t>SC2402SO-N-CJ-90NR-2402</t>
  </si>
  <si>
    <t>SC2402SO-N-CJ-90NR-6571</t>
  </si>
  <si>
    <t>SC1645B1-AI-00HK-4601</t>
  </si>
  <si>
    <t>SC1645B1-AI-00HK-615HA</t>
  </si>
  <si>
    <t>SC1134BU-CI-00CR-1134</t>
  </si>
  <si>
    <t>SC2448SO-Q-DB-60CR-2448</t>
  </si>
  <si>
    <t>SC9641TS-P-AI-10AR-41CPA</t>
  </si>
  <si>
    <t>宁波华宇电子有限公司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</si>
  <si>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</si>
  <si>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</si>
  <si>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</si>
  <si>
    <t>浙江捷昌线性驱动科技股份有限公司</t>
    <phoneticPr fontId="2" type="noConversion"/>
  </si>
  <si>
    <t>上海朗大光电科技有限公司</t>
    <phoneticPr fontId="2" type="noConversion"/>
  </si>
  <si>
    <t>SC1245A3-CD-00CK-41F</t>
    <phoneticPr fontId="2" type="noConversion"/>
  </si>
  <si>
    <t>南京艾驰电子科技有限公司</t>
  </si>
  <si>
    <t>FD1014A</t>
  </si>
  <si>
    <t>SC1945B1</t>
    <phoneticPr fontId="2" type="noConversion"/>
  </si>
  <si>
    <t>SC1945B1(STC2899AJ)-N13</t>
    <phoneticPr fontId="2" type="noConversion"/>
  </si>
  <si>
    <t>深圳市骏飞阳科技有限公司</t>
  </si>
  <si>
    <t>SC2442SO-Q-DB-60CR-2442</t>
    <phoneticPr fontId="2" type="noConversion"/>
  </si>
  <si>
    <t>深圳骏飞扬科技有限公司</t>
  </si>
  <si>
    <t>深圳市迪美思机电科技有限公司</t>
  </si>
  <si>
    <t>友贸电机（深圳）有限公司</t>
  </si>
  <si>
    <t>深圳市旭益达无刷电机有限公司</t>
    <phoneticPr fontId="2" type="noConversion"/>
  </si>
  <si>
    <t>SC2402UA-CJ-90AK-2402</t>
    <phoneticPr fontId="2" type="noConversion"/>
  </si>
  <si>
    <t>中山市永盈电子有限公司</t>
  </si>
  <si>
    <t>中山群荣电子有限公司</t>
  </si>
  <si>
    <t>武汉盛势启创科技有限公司</t>
  </si>
  <si>
    <t>SC4643VB-P-BK-Q</t>
  </si>
  <si>
    <t>SC4643VB-S-BK-Q</t>
  </si>
  <si>
    <t>SC9314UA-CF-0XAK-9209</t>
  </si>
  <si>
    <t>SC9633VB-BK</t>
  </si>
  <si>
    <t>SC9633VB-CF-00CK-9633</t>
  </si>
  <si>
    <t>SC1134UA-CI-00AK-44L</t>
  </si>
  <si>
    <t>SC1134UA-CI-00AK-44E</t>
  </si>
  <si>
    <t>(空白)</t>
  </si>
  <si>
    <t>总计</t>
  </si>
  <si>
    <t>求和项:8月预测</t>
  </si>
  <si>
    <t>求和项:9月预测</t>
  </si>
  <si>
    <t>求和项:10月预测</t>
  </si>
  <si>
    <t>求和项:11月预测</t>
  </si>
  <si>
    <t>求和项:12月预测</t>
  </si>
  <si>
    <t>求和项:1月预测2</t>
  </si>
  <si>
    <t>SC1002N1-BK</t>
  </si>
  <si>
    <t>SC1002S1-BK</t>
  </si>
  <si>
    <t>SC1133UA-BK</t>
  </si>
  <si>
    <t>SC1134B1-BK</t>
  </si>
  <si>
    <t>SC1134BU-TR</t>
  </si>
  <si>
    <t>SC1134SO-N-TR</t>
  </si>
  <si>
    <t>SC1134SO-N-TR-Q</t>
  </si>
  <si>
    <t>SC1245A3-BK</t>
  </si>
  <si>
    <t>SC1245SO-N-TR</t>
  </si>
  <si>
    <t>SC1445A1</t>
  </si>
  <si>
    <t>SC1645A1-BK</t>
  </si>
  <si>
    <t>SC1645B1-BK</t>
  </si>
  <si>
    <t>SC1845A1-BK</t>
  </si>
  <si>
    <t>SC1845A2-BK</t>
  </si>
  <si>
    <t>SC1845F1-BK</t>
  </si>
  <si>
    <t>SC1845S1-BK</t>
  </si>
  <si>
    <t>SC1945A1-BK</t>
  </si>
  <si>
    <t>SC1945B1</t>
  </si>
  <si>
    <t>SC1945B1-BK</t>
  </si>
  <si>
    <t>SC2033SO-N-TR</t>
  </si>
  <si>
    <t>SC2063SO-TR</t>
  </si>
  <si>
    <t>SC2063UA-BK</t>
  </si>
  <si>
    <t>SC2064SO-TR</t>
  </si>
  <si>
    <t>SC2202SO-N-TR</t>
  </si>
  <si>
    <t>SC2242SO-TR-Q</t>
  </si>
  <si>
    <t>SC2242UA-BK</t>
  </si>
  <si>
    <t>SC2242UA-BK-Q</t>
  </si>
  <si>
    <t>SC2402SO-N-TR</t>
  </si>
  <si>
    <t>SC2402UA-BK</t>
  </si>
  <si>
    <t>SC2413SO-N-TR</t>
  </si>
  <si>
    <t>SC2432SO-N-TR</t>
  </si>
  <si>
    <t>SC2432SO-N-TR-Q</t>
  </si>
  <si>
    <t>SC2432SO-TR</t>
  </si>
  <si>
    <t>SC2432UA-BK</t>
  </si>
  <si>
    <t>SC2432UA-BK-Q</t>
  </si>
  <si>
    <t>SC2434SO-N-TR</t>
  </si>
  <si>
    <t>SC2434SO-TR</t>
  </si>
  <si>
    <t>SC2436SO-TR</t>
  </si>
  <si>
    <t>SC2436SO-TR-Q</t>
  </si>
  <si>
    <t>SC2436UA-BK</t>
  </si>
  <si>
    <t>SC2438SO-TR</t>
  </si>
  <si>
    <t>SC2438SO-TR-Q</t>
  </si>
  <si>
    <t>SC2438UA-BK</t>
  </si>
  <si>
    <t>SC243XSO-TR-Q</t>
  </si>
  <si>
    <t>SC243XUA-BK</t>
  </si>
  <si>
    <t>SC2442SO-N-TR</t>
  </si>
  <si>
    <t>SC2442SO-N-TR-Q</t>
  </si>
  <si>
    <t>SC2442SO-TR</t>
  </si>
  <si>
    <t>SC2442SO-TR-Q</t>
  </si>
  <si>
    <t>SC2442UA-BK</t>
  </si>
  <si>
    <t>SC2442UA-BK-Q</t>
  </si>
  <si>
    <t>SC2443SO-TR-Q</t>
  </si>
  <si>
    <t>SC2443UA-BK-Q</t>
  </si>
  <si>
    <t>SC2448UA-N-BK-Q</t>
  </si>
  <si>
    <t>SC2452SO-TR-Q</t>
  </si>
  <si>
    <t>SC2455SO-TR-Q</t>
  </si>
  <si>
    <t>SC2462SO-TR</t>
  </si>
  <si>
    <t>SC2462UA-BK</t>
  </si>
  <si>
    <t>SC2464SO-TR</t>
  </si>
  <si>
    <t>SC2473S5-TR</t>
  </si>
  <si>
    <t>SC2498CUA-N-BK-Q</t>
  </si>
  <si>
    <t>SC2498TSO-TR-Q</t>
  </si>
  <si>
    <t>SC2498UA-N-BK-Q</t>
  </si>
  <si>
    <t>SC25271S06</t>
  </si>
  <si>
    <t>SC2527S6-AB-TR-Q</t>
  </si>
  <si>
    <t>SC2527S6-SD-TR-Q</t>
  </si>
  <si>
    <t>SC2546VB-AB-BK</t>
  </si>
  <si>
    <t>SC2569X</t>
  </si>
  <si>
    <t>SC25791CUA-A-Q</t>
  </si>
  <si>
    <t>SC25791SE-TR-Q</t>
  </si>
  <si>
    <t>SC25891CUA-A-Q</t>
  </si>
  <si>
    <t>SC25891SE-TR-Q</t>
  </si>
  <si>
    <t>SC2942SO-TR-Q</t>
  </si>
  <si>
    <t>SC2948S2-BK</t>
  </si>
  <si>
    <t>SC2948SO-TR-Q</t>
  </si>
  <si>
    <t>SC2968S1-N-BK</t>
  </si>
  <si>
    <t>SC3100VB-BK-Q</t>
  </si>
  <si>
    <t>SC4002BU-TR</t>
  </si>
  <si>
    <t>SC4002SO</t>
  </si>
  <si>
    <t>SC4002SO-N-TR</t>
  </si>
  <si>
    <t>SC4002UA-BK</t>
  </si>
  <si>
    <t>SC4011DN</t>
  </si>
  <si>
    <t>SC4011SO</t>
  </si>
  <si>
    <t>SC4011SO-N-TR</t>
  </si>
  <si>
    <t>SC4015SO-N-A-TR</t>
  </si>
  <si>
    <t>SC4015SO-N-TR</t>
  </si>
  <si>
    <t>SC4019S7-BK</t>
  </si>
  <si>
    <t>SC4019SO-N-TR</t>
  </si>
  <si>
    <t>SC4101DN</t>
  </si>
  <si>
    <t>SC4103DN</t>
  </si>
  <si>
    <t>SC4123SO-N-TR</t>
  </si>
  <si>
    <t>SC4251D3-TR</t>
  </si>
  <si>
    <t>SC4391S6-TR</t>
  </si>
  <si>
    <t>SC4616BU</t>
  </si>
  <si>
    <t>SC4624DC-20A-TR</t>
  </si>
  <si>
    <t>SC4624SP20B5</t>
  </si>
  <si>
    <t>SC4643SA-BK-Q</t>
  </si>
  <si>
    <t>SC4643SA-HBL-BK-Q</t>
  </si>
  <si>
    <t>SC4643SA-S-TR-Q</t>
  </si>
  <si>
    <t>SC4643VB-G-BK-Q</t>
  </si>
  <si>
    <t>SC4643VB-TR-Q</t>
  </si>
  <si>
    <t>SC4665VB-BK</t>
  </si>
  <si>
    <t>SC4688DC-TR</t>
  </si>
  <si>
    <t>SC4688DC-TR-Q</t>
  </si>
  <si>
    <t>SC4688SA-BK-Q</t>
  </si>
  <si>
    <t>SC4689SA-BK-Q</t>
  </si>
  <si>
    <t>SC4823S6-TR</t>
  </si>
  <si>
    <t>SC4923SO-N-TR</t>
  </si>
  <si>
    <t>SC60104</t>
  </si>
  <si>
    <t>SC60221-D-256</t>
  </si>
  <si>
    <t>SC60226SS-TB</t>
  </si>
  <si>
    <t>SC60228DC-TR</t>
  </si>
  <si>
    <t>SC60370</t>
  </si>
  <si>
    <t>SC69401DC-TR</t>
  </si>
  <si>
    <t>SC69401HS-TR</t>
  </si>
  <si>
    <t>SC69401HS-TR-Q</t>
  </si>
  <si>
    <t>SC919SO-N-TR-Q</t>
  </si>
  <si>
    <t>SC9314UA-BK</t>
  </si>
  <si>
    <t>SC9314UA-BK-Q</t>
  </si>
  <si>
    <t>SC9632VB-BK</t>
  </si>
  <si>
    <t>SC9641TS-PC-TR-Q</t>
  </si>
  <si>
    <t>SC9641TS-P-TR</t>
  </si>
  <si>
    <t>SC9641TS-P-TR-Q</t>
  </si>
  <si>
    <t>SC9641TS-TR-Q</t>
  </si>
  <si>
    <t>SC9642TS-E-TR-Q</t>
  </si>
  <si>
    <t>SC9642TS-TR-Q</t>
  </si>
  <si>
    <t>SC9648TS-TR</t>
  </si>
  <si>
    <t>SC9675IM-HRF001-TR-Q</t>
  </si>
  <si>
    <t>SC9675IM-HRF11-TR-Q</t>
  </si>
  <si>
    <t>SC9675IM-LRF00-TR-Q</t>
  </si>
  <si>
    <t>SC9675IM-LRF01-TR-Q</t>
  </si>
  <si>
    <t>SC9683TS-TR-Q</t>
  </si>
  <si>
    <t>SC9684TS-TR-Q</t>
  </si>
  <si>
    <t>SC9685TS-RP120-TR-Q</t>
  </si>
  <si>
    <t>SD211VB-BK</t>
  </si>
  <si>
    <t>SD2276VB-BK</t>
  </si>
  <si>
    <t>SD477VB-BK</t>
  </si>
  <si>
    <t>SL002147DC-TR</t>
  </si>
  <si>
    <t>SL54123ADC-TR</t>
  </si>
  <si>
    <t>VE1430Q1BA3R5</t>
  </si>
  <si>
    <t>VE1430Q1CA3R33</t>
  </si>
  <si>
    <t>VE1430Q1CA3R5</t>
  </si>
  <si>
    <t>VE1430Q1VA3RADJ</t>
  </si>
  <si>
    <t>VE2430QI-33-TR-Q</t>
  </si>
  <si>
    <t>VE8600EC-TR</t>
  </si>
  <si>
    <t>VE8602A5R</t>
  </si>
  <si>
    <t>VE8602AKR</t>
  </si>
  <si>
    <t>ZH619DC-TR</t>
  </si>
  <si>
    <t>ZH6200</t>
  </si>
  <si>
    <t>新料（低功耗）</t>
  </si>
  <si>
    <t>SC1002S1-CG-00AK-41F</t>
  </si>
  <si>
    <t>SC1134B1-CI-00HK-43F</t>
  </si>
  <si>
    <t>SC1645A1-AI-00HK-1466</t>
  </si>
  <si>
    <t>SC1645A1-AI-00HK-4601H</t>
  </si>
  <si>
    <t>SC1645A1-AI-00HK-65HA</t>
  </si>
  <si>
    <t>SC1845F1-AI-00HK-41F</t>
  </si>
  <si>
    <t>SC1845S1-AI-00AK-41F</t>
  </si>
  <si>
    <t>SC1945A1-AJ-00HK-N13</t>
  </si>
  <si>
    <t>SC1945B1(STC2899AJ)-N13</t>
  </si>
  <si>
    <t>SC1945B1-AJ-00HK-N603</t>
  </si>
  <si>
    <t>SC2033SO-N-GD-00NR-2033</t>
  </si>
  <si>
    <t>SC2402UA-GB-00AK-6501</t>
  </si>
  <si>
    <t>SC2432SO-N-Q-CI-10CR-2432</t>
  </si>
  <si>
    <t>SC2432SO-CM-10CR-2432</t>
  </si>
  <si>
    <t>SC2434SO-CM-10CR-2434</t>
  </si>
  <si>
    <t>SC243XSO-Q-CM-10CR-243X</t>
  </si>
  <si>
    <t>SC2442SO-N-Q-CP-10CR-2442</t>
  </si>
  <si>
    <t>SC2443SO-Q-DB-60CR-2443</t>
  </si>
  <si>
    <t>SC2443UA-Q-DB-60AK-2443</t>
  </si>
  <si>
    <t>SC2452SO-Q-DD-60AR-2452</t>
  </si>
  <si>
    <t>SC2527S6-AB-Q-DA-40CR-2527</t>
  </si>
  <si>
    <t>SC2527S6-SD-Q-DA-40CR-2527</t>
  </si>
  <si>
    <t>SC25791CUA-A(STC11210G-Q)-25791C</t>
  </si>
  <si>
    <t>SC25791SE-Q-CG-40CR-5791</t>
  </si>
  <si>
    <t>SC25891CUA-A-Q(STC11210G-Q)-25891C</t>
  </si>
  <si>
    <t>SC25891SE-Q-CG-40CR-5891</t>
  </si>
  <si>
    <t>SC2943SO-Q-DB-60CR-2943</t>
  </si>
  <si>
    <t>SC2968S1-N-DC-4XAK-S21C</t>
  </si>
  <si>
    <t>SC3100VB-DG-00CK-3100</t>
  </si>
  <si>
    <t>SC4002BU-CA-00CR-4002</t>
  </si>
  <si>
    <t>SC4002SO(STC4000AA)-4002</t>
  </si>
  <si>
    <t>SC4002SO-N-CA-00NR-4002</t>
  </si>
  <si>
    <t>SC4002UA-CA-00AK-95A</t>
  </si>
  <si>
    <t>SC4011DN-4011</t>
  </si>
  <si>
    <t>SC4015SO-N-A-CE-90NR-4015</t>
  </si>
  <si>
    <t>SC4101DN(STC11201B1)-4101</t>
  </si>
  <si>
    <t>SC4103DN(STC11201B1)-4103</t>
  </si>
  <si>
    <t>SC4616UA-10.2NF-CD-90AK-4616</t>
  </si>
  <si>
    <t>SC4643SA-Q-DE-40CK-4643</t>
  </si>
  <si>
    <t>SC4643VB-Q-DE-40CK-FFH-L43</t>
  </si>
  <si>
    <t>SC4643VB-Q-DE-40CR-FFH-L43</t>
  </si>
  <si>
    <t>SC4665VB-HB-33CK-4665</t>
  </si>
  <si>
    <t>SC4703SO-GB-00NR-4703</t>
  </si>
  <si>
    <t>NM.SC60104</t>
  </si>
  <si>
    <t>NA.SC60226SS-DC</t>
  </si>
  <si>
    <t>SC919SO-N-Q-CD-90CR-919H</t>
  </si>
  <si>
    <t>SC9641TS-P-AI-10AR-G1630</t>
  </si>
  <si>
    <t>SC9641TS-P-Q-AI-10LR-9641P</t>
  </si>
  <si>
    <t>SC9641TS-362-Q-CB-10LR-9641</t>
  </si>
  <si>
    <t>SC9642TS-E362-Q-AH-4XLR-9642</t>
  </si>
  <si>
    <t>SC9675IM-LRF00-Q-AB-4XAR-9675</t>
  </si>
  <si>
    <t>SC9683TS-Q-DB-4XAR-9683</t>
  </si>
  <si>
    <t>SC9685TS-RP120-Q-DB-46AR-96852</t>
  </si>
  <si>
    <t>TRVE1430Q1BA3R5(VA2201D)-1430Q</t>
  </si>
  <si>
    <t>TRVE1430Q1CA3R33(VA2201D)-1430Q</t>
  </si>
  <si>
    <t>TRVE1430Q1VA3RADJ(VA2201E)-1430Q</t>
  </si>
  <si>
    <t>A</t>
  </si>
  <si>
    <t>B</t>
  </si>
  <si>
    <t>上华</t>
  </si>
  <si>
    <t>CSMC</t>
  </si>
  <si>
    <t>GTA-A</t>
  </si>
  <si>
    <t>GTA</t>
  </si>
  <si>
    <t>H/L</t>
  </si>
  <si>
    <t>生产料号</t>
  </si>
  <si>
    <t>档位</t>
  </si>
  <si>
    <t>上海蕲太电子有限公司</t>
    <phoneticPr fontId="2" type="noConversion"/>
  </si>
  <si>
    <t>SC1445A2</t>
    <phoneticPr fontId="2" type="noConversion"/>
  </si>
  <si>
    <t>SC1445A2-713B</t>
    <phoneticPr fontId="2" type="noConversion"/>
  </si>
  <si>
    <t>SC1445B2</t>
    <phoneticPr fontId="2" type="noConversion"/>
  </si>
  <si>
    <t>SC1445B2-713</t>
    <phoneticPr fontId="2" type="noConversion"/>
  </si>
  <si>
    <t>中山群荣电子有限公司</t>
    <phoneticPr fontId="2" type="noConversion"/>
  </si>
  <si>
    <t>大澳电器（江苏）有限公司</t>
    <phoneticPr fontId="2" type="noConversion"/>
  </si>
  <si>
    <t>常州帝美娜电子有限公司</t>
    <phoneticPr fontId="2" type="noConversion"/>
  </si>
  <si>
    <t>徐州南普机电科技有限公司</t>
    <phoneticPr fontId="2" type="noConversion"/>
  </si>
  <si>
    <t>深圳市霍芯电子科技有限公司</t>
    <phoneticPr fontId="2" type="noConversion"/>
  </si>
  <si>
    <t>湖南静芯微电子技术有限公司</t>
    <phoneticPr fontId="2" type="noConversion"/>
  </si>
  <si>
    <t>SC1919UA-BK</t>
    <phoneticPr fontId="2" type="noConversion"/>
  </si>
  <si>
    <t>SC1919UA-CD-90AK-919H</t>
    <phoneticPr fontId="2" type="noConversion"/>
  </si>
  <si>
    <t>SC2464UA-BK</t>
    <phoneticPr fontId="2" type="noConversion"/>
  </si>
  <si>
    <t>SC2464UA-CJ-10AK-2464</t>
    <phoneticPr fontId="2" type="noConversion"/>
  </si>
  <si>
    <t>SC2948S2-DB-60AK-61H</t>
    <phoneticPr fontId="2" type="noConversion"/>
  </si>
  <si>
    <t>SC4001UA-BK</t>
    <phoneticPr fontId="2" type="noConversion"/>
  </si>
  <si>
    <t>NM.SC4001UA-CB-90AK</t>
    <phoneticPr fontId="2" type="noConversion"/>
  </si>
  <si>
    <t>SYLM358DC-TR</t>
    <phoneticPr fontId="2" type="noConversion"/>
  </si>
  <si>
    <t>SYLM358DC-GC-90AR-LM358</t>
    <phoneticPr fontId="2" type="noConversion"/>
  </si>
  <si>
    <t>SYLM358DC-GC-90AR-NM</t>
    <phoneticPr fontId="2" type="noConversion"/>
  </si>
  <si>
    <t>SC1002N2W-BK</t>
    <phoneticPr fontId="2" type="noConversion"/>
  </si>
  <si>
    <t>SC1002N2W-CL-00AK-N41F</t>
    <phoneticPr fontId="2" type="noConversion"/>
  </si>
  <si>
    <t>苏州简单有为科技有限公司</t>
    <phoneticPr fontId="2" type="noConversion"/>
  </si>
  <si>
    <t>日本电产三协电子（东莞）有限公司</t>
    <phoneticPr fontId="2" type="noConversion"/>
  </si>
  <si>
    <t>唐山共兴电子有限公司</t>
    <phoneticPr fontId="2" type="noConversion"/>
  </si>
  <si>
    <t>合肥德通电驱动系统有限公司</t>
    <phoneticPr fontId="2" type="noConversion"/>
  </si>
  <si>
    <t>南京艾驰电子科技有限公司</t>
    <phoneticPr fontId="2" type="noConversion"/>
  </si>
  <si>
    <t>中山明盛电子科技有限公司</t>
    <phoneticPr fontId="2" type="noConversion"/>
  </si>
  <si>
    <t>NM.SC2402UA-CJ-00AK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</si>
</sst>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\¥#,##0.000;[Red]\¥#,##0.000"/>
    <numFmt numFmtId="179" formatCode="_ * #,##0_ ;_ * \-#,##0_ ;_ * &quot;-&quot;??_ ;_ @_ "/>
    <numFmt numFmtId="180" formatCode="\¥#,##0;[Red]\¥#,##0"/>
    <numFmt numFmtId="181" formatCode="#,##0;[Red]#,##0"/>
    <numFmt numFmtId="182" formatCode="\¥#,##0.00_);[Red]\(\¥#,##0.00\)"/>
    <numFmt numFmtId="183" formatCode="#,##0.00_);[Red]\(#,##0.00\)"/>
    <numFmt numFmtId="184" formatCode="&quot;¥&quot;#,##0.00_);[Red]\(&quot;¥&quot;#,##0.00\)"/>
    <numFmt numFmtId="185" formatCode="\¥#,##0_);[Red]\(\¥#,##0\)"/>
    <numFmt numFmtId="186" formatCode="&quot;¥&quot;#,##0_);[Red]\(&quot;¥&quot;#,##0\)"/>
    <numFmt numFmtId="187" formatCode="&quot;¥&quot;#,##0.000;[Red]&quot;¥&quot;#,##0.000"/>
    <numFmt numFmtId="188" formatCode="0.000_ "/>
    <numFmt numFmtId="189" formatCode="\¥#,##0.0000;[Red]\¥#,##0.0000"/>
    <numFmt numFmtId="190" formatCode="\¥#,##0.00000;[Red]\¥#,##0.00000"/>
  </numFmts>
  <fonts count="19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name val="思源黑体 CN Regular"/>
      <family val="2"/>
      <charset val="134"/>
    </font>
    <font>
      <sz val="10"/>
      <color rgb="FFFF0000"/>
      <name val="宋体"/>
      <family val="3"/>
      <charset val="134"/>
    </font>
    <font>
      <sz val="10"/>
      <name val="Microsoft YaHei Light"/>
      <family val="2"/>
      <charset val="134"/>
    </font>
    <font>
      <b/>
      <sz val="11"/>
      <color theme="0" tint="-4.9989318521683403E-2"/>
      <name val="黑体"/>
      <family val="3"/>
      <charset val="134"/>
    </font>
    <font>
      <sz val="10"/>
      <color theme="1"/>
      <name val="Microsoft YaHei Light"/>
      <family val="2"/>
      <charset val="134"/>
    </font>
    <font>
      <b/>
      <sz val="10"/>
      <name val="Microsoft YaHei Light"/>
      <family val="2"/>
      <charset val="134"/>
    </font>
    <font>
      <sz val="10"/>
      <color rgb="FF000000"/>
      <name val="Microsoft YaHei Light"/>
      <family val="2"/>
      <charset val="134"/>
    </font>
    <font>
      <b/>
      <sz val="10"/>
      <color rgb="FF000000"/>
      <name val="Microsoft YaHei 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86">
    <xf numFmtId="0" fontId="0" fillId="0" borderId="0" xfId="0"/>
    <xf numFmtId="176" fontId="8" fillId="0" borderId="1" xfId="1" applyNumberFormat="1" applyFont="1" applyFill="1" applyBorder="1" applyAlignment="1">
      <alignment horizontal="left" vertical="center"/>
    </xf>
    <xf numFmtId="176" fontId="8" fillId="0" borderId="1" xfId="4" applyNumberFormat="1" applyFont="1" applyFill="1" applyBorder="1" applyAlignment="1">
      <alignment horizontal="left" vertical="center"/>
    </xf>
    <xf numFmtId="0" fontId="8" fillId="0" borderId="1" xfId="6" applyFont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8" applyFont="1" applyBorder="1" applyAlignment="1">
      <alignment horizontal="left" vertical="center"/>
    </xf>
    <xf numFmtId="0" fontId="8" fillId="0" borderId="1" xfId="9" applyFont="1" applyBorder="1" applyAlignment="1">
      <alignment horizontal="left" vertical="center"/>
    </xf>
    <xf numFmtId="179" fontId="8" fillId="0" borderId="1" xfId="1" applyNumberFormat="1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8" fillId="0" borderId="1" xfId="5" applyFont="1" applyBorder="1" applyAlignment="1">
      <alignment horizontal="left" vertical="center"/>
    </xf>
    <xf numFmtId="0" fontId="8" fillId="0" borderId="1" xfId="13" applyFont="1" applyBorder="1" applyAlignment="1">
      <alignment horizontal="left" vertical="center"/>
    </xf>
    <xf numFmtId="176" fontId="8" fillId="0" borderId="1" xfId="3" applyNumberFormat="1" applyFont="1" applyBorder="1" applyAlignment="1">
      <alignment horizontal="left" vertical="center"/>
    </xf>
    <xf numFmtId="182" fontId="8" fillId="0" borderId="1" xfId="3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/>
    </xf>
    <xf numFmtId="184" fontId="8" fillId="0" borderId="1" xfId="3" applyNumberFormat="1" applyFont="1" applyBorder="1" applyAlignment="1">
      <alignment horizontal="left" vertical="center"/>
    </xf>
    <xf numFmtId="14" fontId="8" fillId="0" borderId="1" xfId="3" applyNumberFormat="1" applyFont="1" applyBorder="1" applyAlignment="1">
      <alignment horizontal="left" vertical="center"/>
    </xf>
    <xf numFmtId="9" fontId="8" fillId="0" borderId="1" xfId="7" applyFont="1" applyFill="1" applyBorder="1" applyAlignment="1">
      <alignment horizontal="left" vertical="center"/>
    </xf>
    <xf numFmtId="178" fontId="8" fillId="0" borderId="1" xfId="3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top"/>
    </xf>
    <xf numFmtId="0" fontId="8" fillId="0" borderId="1" xfId="5" applyFont="1" applyBorder="1" applyAlignment="1">
      <alignment horizontal="left" vertical="top"/>
    </xf>
    <xf numFmtId="181" fontId="8" fillId="0" borderId="1" xfId="3" applyNumberFormat="1" applyFont="1" applyBorder="1" applyAlignment="1">
      <alignment horizontal="left" vertical="center"/>
    </xf>
    <xf numFmtId="179" fontId="8" fillId="0" borderId="1" xfId="4" applyNumberFormat="1" applyFont="1" applyFill="1" applyBorder="1" applyAlignment="1">
      <alignment horizontal="left" vertical="center"/>
    </xf>
    <xf numFmtId="183" fontId="8" fillId="0" borderId="1" xfId="3" applyNumberFormat="1" applyFont="1" applyBorder="1" applyAlignment="1">
      <alignment horizontal="left" vertical="center"/>
    </xf>
    <xf numFmtId="9" fontId="8" fillId="0" borderId="1" xfId="10" applyFont="1" applyFill="1" applyBorder="1" applyAlignment="1">
      <alignment horizontal="left" vertical="center"/>
    </xf>
    <xf numFmtId="176" fontId="8" fillId="0" borderId="1" xfId="9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horizontal="left" vertical="center"/>
    </xf>
    <xf numFmtId="182" fontId="8" fillId="0" borderId="1" xfId="6" applyNumberFormat="1" applyFont="1" applyBorder="1" applyAlignment="1">
      <alignment horizontal="left" vertical="center"/>
    </xf>
    <xf numFmtId="182" fontId="8" fillId="0" borderId="1" xfId="9" applyNumberFormat="1" applyFont="1" applyBorder="1" applyAlignment="1">
      <alignment horizontal="left" vertical="center"/>
    </xf>
    <xf numFmtId="14" fontId="8" fillId="0" borderId="1" xfId="9" applyNumberFormat="1" applyFont="1" applyBorder="1" applyAlignment="1">
      <alignment horizontal="left" vertical="center"/>
    </xf>
    <xf numFmtId="9" fontId="8" fillId="0" borderId="1" xfId="6" applyNumberFormat="1" applyFont="1" applyBorder="1" applyAlignment="1">
      <alignment horizontal="left" vertical="center"/>
    </xf>
    <xf numFmtId="0" fontId="8" fillId="0" borderId="1" xfId="14" applyFont="1" applyBorder="1" applyAlignment="1">
      <alignment horizontal="left" vertical="center"/>
    </xf>
    <xf numFmtId="186" fontId="8" fillId="0" borderId="1" xfId="4" applyNumberFormat="1" applyFont="1" applyFill="1" applyBorder="1" applyAlignment="1">
      <alignment horizontal="left" vertical="center"/>
    </xf>
    <xf numFmtId="176" fontId="8" fillId="0" borderId="1" xfId="14" applyNumberFormat="1" applyFont="1" applyBorder="1" applyAlignment="1">
      <alignment horizontal="left" vertical="center"/>
    </xf>
    <xf numFmtId="182" fontId="8" fillId="0" borderId="1" xfId="14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85" fontId="8" fillId="0" borderId="1" xfId="4" applyNumberFormat="1" applyFont="1" applyFill="1" applyBorder="1" applyAlignment="1">
      <alignment horizontal="left" vertical="center"/>
    </xf>
    <xf numFmtId="184" fontId="8" fillId="0" borderId="1" xfId="0" applyNumberFormat="1" applyFont="1" applyBorder="1" applyAlignment="1">
      <alignment horizontal="left" vertical="center"/>
    </xf>
    <xf numFmtId="185" fontId="8" fillId="0" borderId="1" xfId="16" applyNumberFormat="1" applyFont="1" applyFill="1" applyBorder="1" applyAlignment="1">
      <alignment horizontal="left" vertical="center"/>
    </xf>
    <xf numFmtId="188" fontId="8" fillId="0" borderId="1" xfId="3" applyNumberFormat="1" applyFont="1" applyBorder="1" applyAlignment="1">
      <alignment horizontal="left" vertical="center"/>
    </xf>
    <xf numFmtId="187" fontId="8" fillId="0" borderId="1" xfId="3" applyNumberFormat="1" applyFont="1" applyBorder="1" applyAlignment="1">
      <alignment horizontal="left" vertical="center"/>
    </xf>
    <xf numFmtId="0" fontId="8" fillId="2" borderId="1" xfId="8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4" fontId="12" fillId="0" borderId="1" xfId="3" applyNumberFormat="1" applyFont="1" applyBorder="1" applyAlignment="1">
      <alignment horizontal="left" vertical="center"/>
    </xf>
    <xf numFmtId="176" fontId="12" fillId="0" borderId="1" xfId="4" applyNumberFormat="1" applyFont="1" applyFill="1" applyBorder="1" applyAlignment="1">
      <alignment horizontal="left" vertical="center"/>
    </xf>
    <xf numFmtId="189" fontId="8" fillId="0" borderId="1" xfId="3" applyNumberFormat="1" applyFont="1" applyBorder="1" applyAlignment="1">
      <alignment horizontal="left" vertical="center"/>
    </xf>
    <xf numFmtId="176" fontId="12" fillId="0" borderId="1" xfId="3" applyNumberFormat="1" applyFont="1" applyBorder="1" applyAlignment="1">
      <alignment horizontal="left" vertical="center"/>
    </xf>
    <xf numFmtId="181" fontId="12" fillId="0" borderId="1" xfId="3" applyNumberFormat="1" applyFont="1" applyBorder="1" applyAlignment="1">
      <alignment horizontal="left" vertical="center"/>
    </xf>
    <xf numFmtId="14" fontId="12" fillId="0" borderId="1" xfId="3" applyNumberFormat="1" applyFont="1" applyBorder="1" applyAlignment="1">
      <alignment horizontal="left" vertical="center"/>
    </xf>
    <xf numFmtId="179" fontId="12" fillId="0" borderId="1" xfId="4" applyNumberFormat="1" applyFont="1" applyFill="1" applyBorder="1" applyAlignment="1">
      <alignment horizontal="left" vertical="center"/>
    </xf>
    <xf numFmtId="187" fontId="12" fillId="0" borderId="1" xfId="3" applyNumberFormat="1" applyFont="1" applyBorder="1" applyAlignment="1">
      <alignment horizontal="left" vertical="center"/>
    </xf>
    <xf numFmtId="185" fontId="12" fillId="0" borderId="1" xfId="4" applyNumberFormat="1" applyFont="1" applyFill="1" applyBorder="1" applyAlignment="1">
      <alignment horizontal="left" vertical="center"/>
    </xf>
    <xf numFmtId="9" fontId="12" fillId="0" borderId="1" xfId="10" applyFont="1" applyFill="1" applyBorder="1" applyAlignment="1">
      <alignment horizontal="left" vertical="center"/>
    </xf>
    <xf numFmtId="0" fontId="0" fillId="0" borderId="1" xfId="0" applyBorder="1"/>
    <xf numFmtId="190" fontId="8" fillId="0" borderId="1" xfId="9" applyNumberFormat="1" applyFont="1" applyBorder="1" applyAlignment="1">
      <alignment horizontal="left" vertical="center"/>
    </xf>
    <xf numFmtId="190" fontId="8" fillId="0" borderId="1" xfId="3" applyNumberFormat="1" applyFont="1" applyBorder="1" applyAlignment="1">
      <alignment horizontal="left" vertical="center"/>
    </xf>
    <xf numFmtId="190" fontId="8" fillId="0" borderId="1" xfId="0" applyNumberFormat="1" applyFont="1" applyBorder="1" applyAlignment="1">
      <alignment horizontal="left"/>
    </xf>
    <xf numFmtId="190" fontId="0" fillId="0" borderId="0" xfId="0" applyNumberFormat="1"/>
    <xf numFmtId="0" fontId="14" fillId="3" borderId="1" xfId="3" applyFont="1" applyFill="1" applyBorder="1" applyAlignment="1">
      <alignment horizontal="center" vertical="center"/>
    </xf>
    <xf numFmtId="176" fontId="14" fillId="3" borderId="1" xfId="3" applyNumberFormat="1" applyFont="1" applyFill="1" applyBorder="1" applyAlignment="1">
      <alignment horizontal="center" vertical="center"/>
    </xf>
    <xf numFmtId="177" fontId="14" fillId="3" borderId="1" xfId="3" applyNumberFormat="1" applyFont="1" applyFill="1" applyBorder="1" applyAlignment="1">
      <alignment horizontal="center" vertical="center"/>
    </xf>
    <xf numFmtId="190" fontId="14" fillId="3" borderId="1" xfId="3" applyNumberFormat="1" applyFont="1" applyFill="1" applyBorder="1" applyAlignment="1">
      <alignment horizontal="center" vertical="center"/>
    </xf>
    <xf numFmtId="179" fontId="14" fillId="3" borderId="1" xfId="1" applyNumberFormat="1" applyFont="1" applyFill="1" applyBorder="1" applyAlignment="1">
      <alignment horizontal="center" vertical="center"/>
    </xf>
    <xf numFmtId="180" fontId="14" fillId="3" borderId="1" xfId="4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81" fontId="14" fillId="3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9" fontId="14" fillId="3" borderId="1" xfId="2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190" fontId="0" fillId="0" borderId="1" xfId="0" applyNumberFormat="1" applyBorder="1"/>
    <xf numFmtId="179" fontId="8" fillId="2" borderId="1" xfId="4" applyNumberFormat="1" applyFont="1" applyFill="1" applyBorder="1" applyAlignment="1">
      <alignment horizontal="left" vertical="center"/>
    </xf>
    <xf numFmtId="176" fontId="8" fillId="2" borderId="1" xfId="4" applyNumberFormat="1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/>
    </xf>
    <xf numFmtId="0" fontId="0" fillId="0" borderId="0" xfId="0" pivotButton="1"/>
    <xf numFmtId="0" fontId="8" fillId="0" borderId="1" xfId="3" applyFont="1" applyFill="1" applyBorder="1" applyAlignment="1">
      <alignment horizontal="left" vertical="center"/>
    </xf>
    <xf numFmtId="0" fontId="8" fillId="0" borderId="1" xfId="14" applyFont="1" applyFill="1" applyBorder="1" applyAlignment="1">
      <alignment horizontal="left" vertical="center"/>
    </xf>
    <xf numFmtId="179" fontId="8" fillId="0" borderId="1" xfId="1" applyNumberFormat="1" applyFont="1" applyBorder="1" applyAlignment="1">
      <alignment horizontal="left" vertical="center"/>
    </xf>
    <xf numFmtId="179" fontId="8" fillId="0" borderId="1" xfId="1" applyNumberFormat="1" applyFont="1" applyBorder="1" applyAlignment="1">
      <alignment horizontal="left"/>
    </xf>
    <xf numFmtId="179" fontId="0" fillId="0" borderId="0" xfId="1" applyNumberFormat="1" applyFont="1" applyAlignment="1"/>
  </cellXfs>
  <cellStyles count="17">
    <cellStyle name="百分比" xfId="2" builtinId="5"/>
    <cellStyle name="百分比 2 2" xfId="10" xr:uid="{4073804E-CD51-4555-BA91-B9120E871723}"/>
    <cellStyle name="百分比 3 2" xfId="7" xr:uid="{40706673-7778-4322-BEF8-2674600088B3}"/>
    <cellStyle name="常规" xfId="0" builtinId="0"/>
    <cellStyle name="常规 12" xfId="12" xr:uid="{21342EA7-A136-44D9-9300-EA7EDBC258F7}"/>
    <cellStyle name="常规 2" xfId="13" xr:uid="{5DE539D1-25DF-4E77-BE27-230568EDDDC9}"/>
    <cellStyle name="常规 2 10" xfId="15" xr:uid="{20E84C6E-8325-43BA-9394-8ABDE120EB61}"/>
    <cellStyle name="常规 2 2 2 2" xfId="14" xr:uid="{4112E31A-6CAE-48DB-8925-61BA6BD9AD8E}"/>
    <cellStyle name="常规 2 3 2 2" xfId="9" xr:uid="{2A2C01F8-615F-40EC-9D5E-6FCF6DE977B8}"/>
    <cellStyle name="常规 2 4 2" xfId="11" xr:uid="{5BE5F30A-D3E6-44B9-ABA6-09993F1247E3}"/>
    <cellStyle name="常规 2 4 2 2" xfId="3" xr:uid="{9BDB1292-B54D-445C-A520-E09CA8925DF7}"/>
    <cellStyle name="常规 7" xfId="5" xr:uid="{767FFD51-3560-4EF9-8AA3-E723CA57DAF0}"/>
    <cellStyle name="常规 7 2" xfId="8" xr:uid="{2104FB9E-6DD3-407C-9676-23BABB557DB5}"/>
    <cellStyle name="常规 8 2" xfId="6" xr:uid="{A62CA323-CF15-4582-985D-7BAAD32A6475}"/>
    <cellStyle name="千位分隔" xfId="1" builtinId="3"/>
    <cellStyle name="千位分隔 2" xfId="4" xr:uid="{7A43E080-3585-473B-ABFE-FF369C15F1E3}"/>
    <cellStyle name="千位分隔 4 2" xfId="16" xr:uid="{9465CFF1-9248-434D-8B1D-238BFCF48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38144;&#21806;&#39069;&#39044;&#20272;\&#20986;&#36135;&#26126;&#32454;20240101-2025.xlsx" TargetMode="External"/><Relationship Id="rId1" Type="http://schemas.openxmlformats.org/officeDocument/2006/relationships/externalLinkPath" Target="file:///E:\&#38144;&#21806;&#39069;&#39044;&#20272;\&#20986;&#36135;&#26126;&#32454;20240101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5"/>
      <sheetName val="Sheet3"/>
      <sheetName val="Sheet4"/>
      <sheetName val="Sheet2"/>
      <sheetName val="透视表"/>
      <sheetName val="原表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O1" t="str">
            <v>规格</v>
          </cell>
          <cell r="P1" t="str">
            <v>晶圆</v>
          </cell>
          <cell r="Q1" t="str">
            <v>产品线</v>
          </cell>
        </row>
        <row r="2">
          <cell r="O2" t="str">
            <v>SC4015SO-N-TR</v>
          </cell>
          <cell r="P2" t="str">
            <v>STC4011E</v>
          </cell>
          <cell r="Q2" t="str">
            <v>磁性位置传感器</v>
          </cell>
        </row>
        <row r="3">
          <cell r="O3" t="str">
            <v>SC4015SO-N-TR</v>
          </cell>
          <cell r="P3" t="str">
            <v>STC4011E</v>
          </cell>
          <cell r="Q3" t="str">
            <v>磁性位置传感器</v>
          </cell>
        </row>
        <row r="4">
          <cell r="O4" t="str">
            <v>SC4015SO-N-TR</v>
          </cell>
          <cell r="P4" t="str">
            <v>STC4011E</v>
          </cell>
          <cell r="Q4" t="str">
            <v>磁性位置传感器</v>
          </cell>
        </row>
        <row r="5">
          <cell r="O5" t="str">
            <v>SC4015SO-N-TR</v>
          </cell>
          <cell r="P5" t="str">
            <v>STC4011E</v>
          </cell>
          <cell r="Q5" t="str">
            <v>磁性位置传感器</v>
          </cell>
        </row>
        <row r="6">
          <cell r="O6" t="str">
            <v>SC4015SO-N-TR</v>
          </cell>
          <cell r="P6" t="str">
            <v>STC4011E</v>
          </cell>
          <cell r="Q6" t="str">
            <v>磁性位置传感器</v>
          </cell>
        </row>
        <row r="7">
          <cell r="O7" t="str">
            <v>SC4015SO-N-TR</v>
          </cell>
          <cell r="P7" t="str">
            <v>STC4011E</v>
          </cell>
          <cell r="Q7" t="str">
            <v>磁性位置传感器</v>
          </cell>
        </row>
        <row r="8">
          <cell r="O8" t="str">
            <v>SC4015SO-N-TR</v>
          </cell>
          <cell r="P8" t="str">
            <v>STC4011E</v>
          </cell>
          <cell r="Q8" t="str">
            <v>磁性位置传感器</v>
          </cell>
        </row>
        <row r="9">
          <cell r="O9" t="str">
            <v>SC4002BU</v>
          </cell>
          <cell r="P9" t="str">
            <v>STC4000AA</v>
          </cell>
          <cell r="Q9" t="str">
            <v>磁性位置传感器</v>
          </cell>
        </row>
        <row r="10">
          <cell r="O10" t="str">
            <v>SC9642TS-EC-TR-Q</v>
          </cell>
          <cell r="P10" t="str">
            <v>STC9A001H</v>
          </cell>
          <cell r="Q10" t="str">
            <v>速度传感器</v>
          </cell>
        </row>
        <row r="11">
          <cell r="O11" t="str">
            <v>SC9642TS-EC-TR-Q</v>
          </cell>
          <cell r="P11" t="str">
            <v>STC9A001H</v>
          </cell>
          <cell r="Q11" t="str">
            <v>速度传感器</v>
          </cell>
        </row>
        <row r="12">
          <cell r="O12" t="str">
            <v>SC9642TS-EC-TR-Q</v>
          </cell>
          <cell r="P12" t="str">
            <v>STC9A001H</v>
          </cell>
          <cell r="Q12" t="str">
            <v>速度传感器</v>
          </cell>
        </row>
        <row r="13">
          <cell r="O13" t="str">
            <v>SC9641TS-PC-TR-Q</v>
          </cell>
          <cell r="P13" t="str">
            <v>STC9A001I</v>
          </cell>
          <cell r="Q13" t="str">
            <v>速度传感器</v>
          </cell>
        </row>
        <row r="14">
          <cell r="O14" t="str">
            <v>SC9641TS-PC-TR-Q</v>
          </cell>
          <cell r="P14" t="str">
            <v>STC9A001I</v>
          </cell>
          <cell r="Q14" t="str">
            <v>速度传感器</v>
          </cell>
        </row>
        <row r="15">
          <cell r="O15" t="str">
            <v>SC9641TS-PC-TR-Q</v>
          </cell>
          <cell r="P15" t="str">
            <v>STC9A001I</v>
          </cell>
          <cell r="Q15" t="str">
            <v>速度传感器</v>
          </cell>
        </row>
        <row r="16">
          <cell r="O16" t="str">
            <v>SC2443UA</v>
          </cell>
          <cell r="P16" t="str">
            <v>STC9906W</v>
          </cell>
          <cell r="Q16" t="str">
            <v>磁性位置传感器</v>
          </cell>
        </row>
        <row r="17">
          <cell r="O17" t="str">
            <v>SC2443UA</v>
          </cell>
          <cell r="P17" t="str">
            <v>STC9906W</v>
          </cell>
          <cell r="Q17" t="str">
            <v>磁性位置传感器</v>
          </cell>
        </row>
        <row r="18">
          <cell r="O18" t="str">
            <v>SC2443UA</v>
          </cell>
          <cell r="P18" t="str">
            <v>STC9906W</v>
          </cell>
          <cell r="Q18" t="str">
            <v>磁性位置传感器</v>
          </cell>
        </row>
        <row r="19">
          <cell r="O19" t="str">
            <v>SC4688DC-TR-Q</v>
          </cell>
          <cell r="P19" t="str">
            <v>STC9D01C</v>
          </cell>
          <cell r="Q19" t="str">
            <v>角度传感器</v>
          </cell>
        </row>
        <row r="20">
          <cell r="O20" t="str">
            <v>SC1445A1</v>
          </cell>
          <cell r="P20" t="str">
            <v>STC2899AB</v>
          </cell>
          <cell r="Q20" t="str">
            <v>磁性位置传感器</v>
          </cell>
        </row>
        <row r="21">
          <cell r="O21" t="str">
            <v>SC4015SO-N-TR</v>
          </cell>
          <cell r="P21" t="str">
            <v>STC4011E</v>
          </cell>
          <cell r="Q21" t="str">
            <v>磁性位置传感器</v>
          </cell>
        </row>
        <row r="22">
          <cell r="O22" t="str">
            <v>SC4015SO-N-TR</v>
          </cell>
          <cell r="P22" t="str">
            <v>STC4011E</v>
          </cell>
          <cell r="Q22" t="str">
            <v>磁性位置传感器</v>
          </cell>
        </row>
        <row r="23">
          <cell r="O23" t="str">
            <v>SC4015SO-N-TR</v>
          </cell>
          <cell r="P23" t="str">
            <v>STC4011E</v>
          </cell>
          <cell r="Q23" t="str">
            <v>磁性位置传感器</v>
          </cell>
        </row>
        <row r="24">
          <cell r="O24" t="str">
            <v>SC4015SO-N-TR</v>
          </cell>
          <cell r="P24" t="str">
            <v>STC4011E</v>
          </cell>
          <cell r="Q24" t="str">
            <v>磁性位置传感器</v>
          </cell>
        </row>
        <row r="25">
          <cell r="O25" t="str">
            <v>SC4015SO-N-TR</v>
          </cell>
          <cell r="P25" t="str">
            <v>STC4011E</v>
          </cell>
          <cell r="Q25" t="str">
            <v>磁性位置传感器</v>
          </cell>
        </row>
        <row r="26">
          <cell r="O26" t="str">
            <v>SC4015SO-N-TR</v>
          </cell>
          <cell r="P26" t="str">
            <v>STC4011E</v>
          </cell>
          <cell r="Q26" t="str">
            <v>磁性位置传感器</v>
          </cell>
        </row>
        <row r="27">
          <cell r="O27" t="str">
            <v>SC2434UA-BK</v>
          </cell>
          <cell r="P27" t="str">
            <v>STC9906I</v>
          </cell>
          <cell r="Q27" t="str">
            <v>磁性位置传感器</v>
          </cell>
        </row>
        <row r="28">
          <cell r="O28" t="str">
            <v>SC2434UA-BK</v>
          </cell>
          <cell r="P28" t="str">
            <v>STC9906I</v>
          </cell>
          <cell r="Q28" t="str">
            <v>磁性位置传感器</v>
          </cell>
        </row>
        <row r="29">
          <cell r="O29" t="str">
            <v>SC2242SO-TR-Q</v>
          </cell>
          <cell r="P29" t="str">
            <v>STC9906H</v>
          </cell>
          <cell r="Q29" t="str">
            <v>磁性位置传感器</v>
          </cell>
        </row>
        <row r="30">
          <cell r="O30" t="str">
            <v>SC2442SO-N-TR-Q</v>
          </cell>
          <cell r="P30" t="str">
            <v>STC11102B</v>
          </cell>
          <cell r="Q30" t="str">
            <v>磁性位置传感器</v>
          </cell>
        </row>
        <row r="31">
          <cell r="O31" t="str">
            <v>SC2442SO-N-TR-Q</v>
          </cell>
          <cell r="P31" t="str">
            <v>STC11102B</v>
          </cell>
          <cell r="Q31" t="str">
            <v>磁性位置传感器</v>
          </cell>
        </row>
        <row r="32">
          <cell r="O32" t="str">
            <v>SC2443SO-TR-Q</v>
          </cell>
          <cell r="P32" t="str">
            <v>STC9906T</v>
          </cell>
          <cell r="Q32" t="str">
            <v>磁性位置传感器</v>
          </cell>
        </row>
        <row r="33">
          <cell r="O33" t="str">
            <v>SC2443SO-TR-Q</v>
          </cell>
          <cell r="P33" t="str">
            <v>STC9906T</v>
          </cell>
          <cell r="Q33" t="str">
            <v>磁性位置传感器</v>
          </cell>
        </row>
        <row r="34">
          <cell r="O34" t="str">
            <v>SC9641TS-P-TR</v>
          </cell>
          <cell r="P34" t="str">
            <v>STC9A001I</v>
          </cell>
          <cell r="Q34" t="str">
            <v>速度传感器</v>
          </cell>
        </row>
        <row r="35">
          <cell r="O35" t="str">
            <v>SC9641TS-P-TR</v>
          </cell>
          <cell r="P35" t="str">
            <v>STC9A001I</v>
          </cell>
          <cell r="Q35" t="str">
            <v>速度传感器</v>
          </cell>
        </row>
        <row r="36">
          <cell r="O36" t="str">
            <v>SC9641TS-P-TR</v>
          </cell>
          <cell r="P36" t="str">
            <v>STC9A001I</v>
          </cell>
          <cell r="Q36" t="str">
            <v>速度传感器</v>
          </cell>
        </row>
        <row r="37">
          <cell r="O37" t="str">
            <v>SC9641TS-P-TR</v>
          </cell>
          <cell r="P37" t="str">
            <v>STC9A001I</v>
          </cell>
          <cell r="Q37" t="str">
            <v>速度传感器</v>
          </cell>
        </row>
        <row r="38">
          <cell r="O38" t="str">
            <v>SC2442SO-TR-Q</v>
          </cell>
          <cell r="P38" t="str">
            <v>STC9906R</v>
          </cell>
          <cell r="Q38" t="str">
            <v>磁性位置传感器</v>
          </cell>
        </row>
        <row r="39">
          <cell r="O39" t="str">
            <v>SC2442SO</v>
          </cell>
          <cell r="P39" t="str">
            <v>STC11102B</v>
          </cell>
          <cell r="Q39" t="str">
            <v>磁性位置传感器</v>
          </cell>
        </row>
        <row r="40">
          <cell r="O40" t="str">
            <v>SC4643VB</v>
          </cell>
          <cell r="P40" t="str">
            <v>STC9D03E</v>
          </cell>
          <cell r="Q40" t="str">
            <v>电流传感器</v>
          </cell>
        </row>
        <row r="41">
          <cell r="O41" t="str">
            <v>SC4643VB</v>
          </cell>
          <cell r="P41" t="str">
            <v>STC9D03E</v>
          </cell>
          <cell r="Q41" t="str">
            <v>电流传感器</v>
          </cell>
        </row>
        <row r="42">
          <cell r="O42" t="str">
            <v>SC4643VB-TR-Q</v>
          </cell>
          <cell r="P42" t="str">
            <v>STC9D03E</v>
          </cell>
          <cell r="Q42" t="str">
            <v>电流传感器</v>
          </cell>
        </row>
        <row r="43">
          <cell r="O43" t="str">
            <v>SC4643VB-TR-Q</v>
          </cell>
          <cell r="P43" t="str">
            <v>STC9D03E</v>
          </cell>
          <cell r="Q43" t="str">
            <v>电流传感器</v>
          </cell>
        </row>
        <row r="44">
          <cell r="O44" t="str">
            <v>SC4643VB-TR-Q</v>
          </cell>
          <cell r="P44" t="str">
            <v>STC9D03E</v>
          </cell>
          <cell r="Q44" t="str">
            <v>电流传感器</v>
          </cell>
        </row>
        <row r="45">
          <cell r="O45" t="str">
            <v>SC4643VB-TR-Q</v>
          </cell>
          <cell r="P45" t="str">
            <v>STC9D03E</v>
          </cell>
          <cell r="Q45" t="str">
            <v>电流传感器</v>
          </cell>
        </row>
        <row r="46">
          <cell r="O46" t="str">
            <v>SC4643VB-BK-Q</v>
          </cell>
          <cell r="P46" t="str">
            <v>STC9D03E</v>
          </cell>
          <cell r="Q46" t="str">
            <v>电流传感器</v>
          </cell>
        </row>
        <row r="47">
          <cell r="O47" t="str">
            <v>SC4643VB-BK-Q</v>
          </cell>
          <cell r="P47" t="str">
            <v>STC9D03E</v>
          </cell>
          <cell r="Q47" t="str">
            <v>电流传感器</v>
          </cell>
        </row>
        <row r="48">
          <cell r="O48" t="str">
            <v>SC4643VB-BK-Q</v>
          </cell>
          <cell r="P48" t="str">
            <v>STC9D03E</v>
          </cell>
          <cell r="Q48" t="str">
            <v>电流传感器</v>
          </cell>
        </row>
        <row r="49">
          <cell r="O49" t="str">
            <v>SC4643VB-TR-Q</v>
          </cell>
          <cell r="P49" t="str">
            <v>STC9D03E</v>
          </cell>
          <cell r="Q49" t="str">
            <v>电流传感器</v>
          </cell>
        </row>
        <row r="50">
          <cell r="O50" t="str">
            <v>SC4643VB-TR-Q</v>
          </cell>
          <cell r="P50" t="str">
            <v>STC9D03E</v>
          </cell>
          <cell r="Q50" t="str">
            <v>电流传感器</v>
          </cell>
        </row>
        <row r="51">
          <cell r="O51" t="str">
            <v>SC4643VB-TR-Q</v>
          </cell>
          <cell r="P51" t="str">
            <v>STC9D03E</v>
          </cell>
          <cell r="Q51" t="str">
            <v>电流传感器</v>
          </cell>
        </row>
        <row r="52">
          <cell r="O52" t="str">
            <v>SC4643VB-TR-Q</v>
          </cell>
          <cell r="P52" t="str">
            <v>STC9D03E</v>
          </cell>
          <cell r="Q52" t="str">
            <v>电流传感器</v>
          </cell>
        </row>
        <row r="53">
          <cell r="O53" t="str">
            <v>SC2432SO-N</v>
          </cell>
          <cell r="P53" t="str">
            <v>STC9906I</v>
          </cell>
          <cell r="Q53" t="str">
            <v>磁性位置传感器</v>
          </cell>
        </row>
        <row r="54">
          <cell r="O54" t="str">
            <v>SC1134SO-N</v>
          </cell>
          <cell r="P54" t="str">
            <v>STC1898AI</v>
          </cell>
          <cell r="Q54" t="str">
            <v>磁性位置传感器</v>
          </cell>
        </row>
        <row r="55">
          <cell r="O55" t="str">
            <v>SC1134SO-N</v>
          </cell>
          <cell r="P55" t="str">
            <v>STC1898AI</v>
          </cell>
          <cell r="Q55" t="str">
            <v>磁性位置传感器</v>
          </cell>
        </row>
        <row r="56">
          <cell r="O56" t="str">
            <v>SC1134SO-N</v>
          </cell>
          <cell r="P56" t="str">
            <v>STC1898AI</v>
          </cell>
          <cell r="Q56" t="str">
            <v>磁性位置传感器</v>
          </cell>
        </row>
        <row r="57">
          <cell r="O57" t="str">
            <v>SC2442SO-TR-Q</v>
          </cell>
          <cell r="P57" t="str">
            <v>STC11102B</v>
          </cell>
          <cell r="Q57" t="str">
            <v>磁性位置传感器</v>
          </cell>
        </row>
        <row r="58">
          <cell r="O58" t="str">
            <v>SC2442SO-TR-Q</v>
          </cell>
          <cell r="P58" t="str">
            <v>STC11102B</v>
          </cell>
          <cell r="Q58" t="str">
            <v>磁性位置传感器</v>
          </cell>
        </row>
        <row r="59">
          <cell r="O59" t="str">
            <v>SC2442SO-N-TR-Q</v>
          </cell>
          <cell r="P59" t="str">
            <v>STC9906P</v>
          </cell>
          <cell r="Q59" t="str">
            <v>磁性位置传感器</v>
          </cell>
        </row>
        <row r="60">
          <cell r="O60" t="str">
            <v>SC2442SO-N-TR-Q</v>
          </cell>
          <cell r="P60" t="str">
            <v>STC9906P</v>
          </cell>
          <cell r="Q60" t="str">
            <v>磁性位置传感器</v>
          </cell>
        </row>
        <row r="61">
          <cell r="O61" t="str">
            <v>SC60224-D-500</v>
          </cell>
          <cell r="P61" t="str">
            <v>STC9D04C</v>
          </cell>
          <cell r="Q61" t="str">
            <v>电机编码器</v>
          </cell>
        </row>
        <row r="62">
          <cell r="O62" t="str">
            <v>SC2443SO-TR-Q</v>
          </cell>
          <cell r="P62" t="str">
            <v>STC9906T</v>
          </cell>
          <cell r="Q62" t="str">
            <v>磁性位置传感器</v>
          </cell>
        </row>
        <row r="63">
          <cell r="O63" t="str">
            <v>SC2402SO-N-TR</v>
          </cell>
          <cell r="P63" t="str">
            <v>STC9902J</v>
          </cell>
          <cell r="Q63" t="str">
            <v>磁性位置传感器</v>
          </cell>
        </row>
        <row r="64">
          <cell r="O64" t="str">
            <v>SC2063SO-TR</v>
          </cell>
          <cell r="P64" t="str">
            <v>STC9G001C</v>
          </cell>
          <cell r="Q64" t="str">
            <v>磁性位置传感器</v>
          </cell>
        </row>
        <row r="65">
          <cell r="O65" t="str">
            <v>SC9633VB</v>
          </cell>
          <cell r="P65" t="str">
            <v>STC9905F</v>
          </cell>
          <cell r="Q65" t="str">
            <v>速度传感器</v>
          </cell>
        </row>
        <row r="66">
          <cell r="O66" t="str">
            <v>SD211VB-BK</v>
          </cell>
          <cell r="P66" t="str">
            <v>FD1016A</v>
          </cell>
          <cell r="Q66" t="str">
            <v>电机驱动</v>
          </cell>
        </row>
        <row r="67">
          <cell r="O67" t="str">
            <v>SD211VB-BK</v>
          </cell>
          <cell r="P67" t="str">
            <v>FD1016A</v>
          </cell>
          <cell r="Q67" t="str">
            <v>电机驱动</v>
          </cell>
        </row>
        <row r="68">
          <cell r="O68" t="str">
            <v>SD477VB-BK</v>
          </cell>
          <cell r="P68" t="str">
            <v>STC22304C</v>
          </cell>
          <cell r="Q68" t="str">
            <v>电机驱动</v>
          </cell>
        </row>
        <row r="69">
          <cell r="O69" t="str">
            <v>SD477VB-BK</v>
          </cell>
          <cell r="P69" t="str">
            <v>STC22304C</v>
          </cell>
          <cell r="Q69" t="str">
            <v>电机驱动</v>
          </cell>
        </row>
        <row r="70">
          <cell r="O70" t="str">
            <v>SC4923SO-N-TR</v>
          </cell>
          <cell r="P70" t="str">
            <v>SC4009D</v>
          </cell>
          <cell r="Q70" t="str">
            <v>磁性位置传感器</v>
          </cell>
        </row>
        <row r="71">
          <cell r="O71" t="str">
            <v>SC4923SO-N-TR</v>
          </cell>
          <cell r="P71" t="str">
            <v>SC4009D</v>
          </cell>
          <cell r="Q71" t="str">
            <v>磁性位置传感器</v>
          </cell>
        </row>
        <row r="72">
          <cell r="O72" t="str">
            <v>SC4923SO-N-TR</v>
          </cell>
          <cell r="P72" t="str">
            <v>SC4009B</v>
          </cell>
          <cell r="Q72" t="str">
            <v>磁性位置传感器</v>
          </cell>
        </row>
        <row r="73">
          <cell r="O73" t="str">
            <v>SC9632VB-BK</v>
          </cell>
          <cell r="P73" t="str">
            <v>STC9905E</v>
          </cell>
          <cell r="Q73" t="str">
            <v>速度传感器</v>
          </cell>
        </row>
        <row r="74">
          <cell r="O74" t="str">
            <v>SC4015SO-N-TR</v>
          </cell>
          <cell r="P74" t="str">
            <v>STC4011E</v>
          </cell>
          <cell r="Q74" t="str">
            <v>磁性位置传感器</v>
          </cell>
        </row>
        <row r="75">
          <cell r="O75" t="str">
            <v>SC4015SO-N-TR</v>
          </cell>
          <cell r="P75" t="str">
            <v>STC4011E</v>
          </cell>
          <cell r="Q75" t="str">
            <v>磁性位置传感器</v>
          </cell>
        </row>
        <row r="76">
          <cell r="O76" t="str">
            <v>SC4015SO-N-TR</v>
          </cell>
          <cell r="P76" t="str">
            <v>STC4011E</v>
          </cell>
          <cell r="Q76" t="str">
            <v>磁性位置传感器</v>
          </cell>
        </row>
        <row r="77">
          <cell r="O77" t="str">
            <v>SC4015SO-N-TR</v>
          </cell>
          <cell r="P77" t="str">
            <v>STC4011E</v>
          </cell>
          <cell r="Q77" t="str">
            <v>磁性位置传感器</v>
          </cell>
        </row>
        <row r="78">
          <cell r="O78" t="str">
            <v>SC4015SO-N-TR</v>
          </cell>
          <cell r="P78" t="str">
            <v>STC4011E</v>
          </cell>
          <cell r="Q78" t="str">
            <v>磁性位置传感器</v>
          </cell>
        </row>
        <row r="79">
          <cell r="O79" t="str">
            <v>SC4015SO-N-TR</v>
          </cell>
          <cell r="P79" t="str">
            <v>STC4011E</v>
          </cell>
          <cell r="Q79" t="str">
            <v>磁性位置传感器</v>
          </cell>
        </row>
        <row r="80">
          <cell r="O80" t="str">
            <v>SC4015SO-N-TR</v>
          </cell>
          <cell r="P80" t="str">
            <v>STC4011E</v>
          </cell>
          <cell r="Q80" t="str">
            <v>磁性位置传感器</v>
          </cell>
        </row>
        <row r="81">
          <cell r="O81" t="str">
            <v>SC4015SO-N-TR</v>
          </cell>
          <cell r="P81" t="str">
            <v>STC4011E</v>
          </cell>
          <cell r="Q81" t="str">
            <v>磁性位置传感器</v>
          </cell>
        </row>
        <row r="82">
          <cell r="O82" t="str">
            <v>SC4015SO-N-TR</v>
          </cell>
          <cell r="P82" t="str">
            <v>STC4011E</v>
          </cell>
          <cell r="Q82" t="str">
            <v>磁性位置传感器</v>
          </cell>
        </row>
        <row r="83">
          <cell r="O83" t="str">
            <v>SC4015SO-N-TR</v>
          </cell>
          <cell r="P83" t="str">
            <v>STC4011E</v>
          </cell>
          <cell r="Q83" t="str">
            <v>磁性位置传感器</v>
          </cell>
        </row>
        <row r="84">
          <cell r="O84" t="str">
            <v>SC4015SO-N-TR</v>
          </cell>
          <cell r="P84" t="str">
            <v>STC4011E</v>
          </cell>
          <cell r="Q84" t="str">
            <v>磁性位置传感器</v>
          </cell>
        </row>
        <row r="85">
          <cell r="O85" t="str">
            <v>SC4015SO-N-TR</v>
          </cell>
          <cell r="P85" t="str">
            <v>STC4011E</v>
          </cell>
          <cell r="Q85" t="str">
            <v>磁性位置传感器</v>
          </cell>
        </row>
        <row r="86">
          <cell r="O86" t="str">
            <v>SC4015SO-N-TR</v>
          </cell>
          <cell r="P86" t="str">
            <v>STC4011E</v>
          </cell>
          <cell r="Q86" t="str">
            <v>磁性位置传感器</v>
          </cell>
        </row>
        <row r="87">
          <cell r="O87" t="str">
            <v>SC4011DN</v>
          </cell>
          <cell r="P87" t="str">
            <v>STC4011B</v>
          </cell>
          <cell r="Q87" t="str">
            <v>磁性位置传感器</v>
          </cell>
        </row>
        <row r="88">
          <cell r="O88" t="str">
            <v>SC2434UA-BK</v>
          </cell>
          <cell r="P88" t="str">
            <v>STC9906I</v>
          </cell>
          <cell r="Q88" t="str">
            <v>磁性位置传感器</v>
          </cell>
        </row>
        <row r="89">
          <cell r="O89" t="str">
            <v>SC1134UA-BK</v>
          </cell>
          <cell r="P89" t="str">
            <v>STC1898AI</v>
          </cell>
          <cell r="Q89" t="str">
            <v>磁性位置传感器</v>
          </cell>
        </row>
        <row r="90">
          <cell r="O90" t="str">
            <v>SC1134UA-BK</v>
          </cell>
          <cell r="P90" t="str">
            <v>STC1898AI</v>
          </cell>
          <cell r="Q90" t="str">
            <v>磁性位置传感器</v>
          </cell>
        </row>
        <row r="91">
          <cell r="O91" t="str">
            <v>SC2464UA</v>
          </cell>
          <cell r="P91" t="str">
            <v>STC9906J</v>
          </cell>
          <cell r="Q91" t="str">
            <v>磁性位置传感器</v>
          </cell>
        </row>
        <row r="92">
          <cell r="O92" t="str">
            <v>SC2434SO-N</v>
          </cell>
          <cell r="P92" t="str">
            <v>STC9906I</v>
          </cell>
          <cell r="Q92" t="str">
            <v>磁性位置传感器</v>
          </cell>
        </row>
        <row r="93">
          <cell r="O93" t="str">
            <v>SC2442SO-N-TR-Q</v>
          </cell>
          <cell r="P93" t="str">
            <v>STC11102B</v>
          </cell>
          <cell r="Q93" t="str">
            <v>磁性位置传感器</v>
          </cell>
        </row>
        <row r="94">
          <cell r="O94" t="str">
            <v>SC2442SO-N-TR-Q</v>
          </cell>
          <cell r="P94" t="str">
            <v>STC11102B</v>
          </cell>
          <cell r="Q94" t="str">
            <v>磁性位置传感器</v>
          </cell>
        </row>
        <row r="95">
          <cell r="O95" t="str">
            <v>SD211VB-BK</v>
          </cell>
          <cell r="P95" t="str">
            <v>FD1016A</v>
          </cell>
          <cell r="Q95" t="str">
            <v>电机驱动</v>
          </cell>
        </row>
        <row r="96">
          <cell r="O96" t="str">
            <v>SD2276VB-BK</v>
          </cell>
          <cell r="P96" t="str">
            <v>FD1014A</v>
          </cell>
          <cell r="Q96" t="str">
            <v>电机驱动</v>
          </cell>
        </row>
        <row r="97">
          <cell r="O97" t="str">
            <v>SD2276VB-BK</v>
          </cell>
          <cell r="P97" t="str">
            <v>FD1014A</v>
          </cell>
          <cell r="Q97" t="str">
            <v>电机驱动</v>
          </cell>
        </row>
        <row r="98">
          <cell r="O98" t="str">
            <v>SC2466SO</v>
          </cell>
          <cell r="P98" t="str">
            <v>STC9906O</v>
          </cell>
          <cell r="Q98" t="str">
            <v>磁性位置传感器</v>
          </cell>
        </row>
        <row r="99">
          <cell r="O99" t="str">
            <v>SC2466SO</v>
          </cell>
          <cell r="P99" t="str">
            <v>STC9906O</v>
          </cell>
          <cell r="Q99" t="str">
            <v>磁性位置传感器</v>
          </cell>
        </row>
        <row r="100">
          <cell r="O100" t="str">
            <v>SC2498UA-N</v>
          </cell>
          <cell r="P100" t="str">
            <v>SC9915C</v>
          </cell>
          <cell r="Q100" t="str">
            <v>磁性位置传感器</v>
          </cell>
        </row>
        <row r="101">
          <cell r="O101" t="str">
            <v>SC4688SA</v>
          </cell>
          <cell r="P101" t="str">
            <v>STC9D01C</v>
          </cell>
          <cell r="Q101" t="str">
            <v>角度传感器</v>
          </cell>
        </row>
        <row r="102">
          <cell r="O102" t="str">
            <v>SC4645VB</v>
          </cell>
          <cell r="P102" t="str">
            <v>STC9D06F</v>
          </cell>
          <cell r="Q102" t="str">
            <v>电流传感器</v>
          </cell>
        </row>
        <row r="103">
          <cell r="O103" t="str">
            <v>SC9641TS-P-TR</v>
          </cell>
          <cell r="P103" t="str">
            <v>STC9A001I</v>
          </cell>
          <cell r="Q103" t="str">
            <v>速度传感器</v>
          </cell>
        </row>
        <row r="104">
          <cell r="O104" t="str">
            <v>SC2432SO-N</v>
          </cell>
          <cell r="P104" t="str">
            <v>STC9906I</v>
          </cell>
          <cell r="Q104" t="str">
            <v>磁性位置传感器</v>
          </cell>
        </row>
        <row r="105">
          <cell r="O105" t="str">
            <v>SC9625VB-L</v>
          </cell>
          <cell r="P105" t="str">
            <v>STC9910E</v>
          </cell>
          <cell r="Q105" t="str">
            <v>速度传感器</v>
          </cell>
        </row>
        <row r="106">
          <cell r="O106" t="str">
            <v>SC69401D</v>
          </cell>
          <cell r="P106" t="str">
            <v>STC9H002DQ</v>
          </cell>
          <cell r="Q106" t="str">
            <v>角度传感器</v>
          </cell>
        </row>
        <row r="107">
          <cell r="O107" t="str">
            <v>SC9641TS-PC-TR-Q</v>
          </cell>
          <cell r="P107" t="str">
            <v>STC9A001I</v>
          </cell>
          <cell r="Q107" t="str">
            <v>速度传感器</v>
          </cell>
        </row>
        <row r="108">
          <cell r="O108" t="str">
            <v>SC9641TS-PC-TR-Q</v>
          </cell>
          <cell r="P108" t="str">
            <v>STC9A001I</v>
          </cell>
          <cell r="Q108" t="str">
            <v>速度传感器</v>
          </cell>
        </row>
        <row r="109">
          <cell r="O109" t="str">
            <v>SC9641TS-PC-TR-Q</v>
          </cell>
          <cell r="P109" t="str">
            <v>STC9A001I</v>
          </cell>
          <cell r="Q109" t="str">
            <v>速度传感器</v>
          </cell>
        </row>
        <row r="110">
          <cell r="O110" t="str">
            <v>SC2498UA-N</v>
          </cell>
          <cell r="P110" t="str">
            <v>SC9915C</v>
          </cell>
          <cell r="Q110" t="str">
            <v>磁性位置传感器</v>
          </cell>
        </row>
        <row r="111">
          <cell r="O111" t="str">
            <v>SC4643VB-G-BK-Q</v>
          </cell>
          <cell r="P111" t="str">
            <v>STC9D03E</v>
          </cell>
          <cell r="Q111" t="str">
            <v>电流传感器</v>
          </cell>
        </row>
        <row r="112">
          <cell r="O112" t="str">
            <v>SC4643VB-G-BK-Q</v>
          </cell>
          <cell r="P112" t="str">
            <v>STC9D03E</v>
          </cell>
          <cell r="Q112" t="str">
            <v>电流传感器</v>
          </cell>
        </row>
        <row r="113">
          <cell r="O113" t="str">
            <v>SC1138SO-N</v>
          </cell>
          <cell r="P113" t="str">
            <v>STC1898AC</v>
          </cell>
          <cell r="Q113" t="str">
            <v>磁性位置传感器</v>
          </cell>
        </row>
        <row r="114">
          <cell r="O114" t="str">
            <v>SC1138SO-N</v>
          </cell>
          <cell r="P114" t="str">
            <v>STC1898AC</v>
          </cell>
          <cell r="Q114" t="str">
            <v>磁性位置传感器</v>
          </cell>
        </row>
        <row r="115">
          <cell r="O115" t="str">
            <v>SC2402SO-N-TR</v>
          </cell>
          <cell r="P115" t="str">
            <v>STC9902J</v>
          </cell>
          <cell r="Q115" t="str">
            <v>磁性位置传感器</v>
          </cell>
        </row>
        <row r="116">
          <cell r="O116" t="str">
            <v>SC2430UA</v>
          </cell>
          <cell r="P116" t="str">
            <v>STC9906I</v>
          </cell>
          <cell r="Q116" t="str">
            <v>磁性位置传感器</v>
          </cell>
        </row>
        <row r="117">
          <cell r="O117" t="str">
            <v>SC9675IM-P-HRF00</v>
          </cell>
          <cell r="P117" t="str">
            <v>STC9A002B</v>
          </cell>
          <cell r="Q117" t="str">
            <v>速度传感器</v>
          </cell>
        </row>
        <row r="118">
          <cell r="O118" t="str">
            <v>SC9675IM-P-HRF00</v>
          </cell>
          <cell r="P118" t="str">
            <v>STC9A002B</v>
          </cell>
          <cell r="Q118" t="str">
            <v>速度传感器</v>
          </cell>
        </row>
        <row r="119">
          <cell r="O119" t="str">
            <v>SC9675IM-P-HRF00</v>
          </cell>
          <cell r="P119" t="str">
            <v>STC9A002B</v>
          </cell>
          <cell r="Q119" t="str">
            <v>速度传感器</v>
          </cell>
        </row>
        <row r="120">
          <cell r="O120" t="str">
            <v>SC9641TS-TR-Q</v>
          </cell>
          <cell r="P120" t="str">
            <v>STC9910BN</v>
          </cell>
          <cell r="Q120" t="str">
            <v>速度传感器</v>
          </cell>
        </row>
        <row r="121">
          <cell r="O121" t="str">
            <v>SC9641TS-TR-Q</v>
          </cell>
          <cell r="P121" t="str">
            <v>STC9910BN</v>
          </cell>
          <cell r="Q121" t="str">
            <v>速度传感器</v>
          </cell>
        </row>
        <row r="122">
          <cell r="O122" t="str">
            <v>SC9641TS-TR-Q</v>
          </cell>
          <cell r="P122" t="str">
            <v>STC9910BN</v>
          </cell>
          <cell r="Q122" t="str">
            <v>速度传感器</v>
          </cell>
        </row>
        <row r="123">
          <cell r="O123" t="str">
            <v>SC9641TS-TR-Q</v>
          </cell>
          <cell r="P123" t="str">
            <v>STC9910BN</v>
          </cell>
          <cell r="Q123" t="str">
            <v>速度传感器</v>
          </cell>
        </row>
        <row r="124">
          <cell r="O124" t="str">
            <v>SC9641TS-TR-Q</v>
          </cell>
          <cell r="P124" t="str">
            <v>STC9910BN</v>
          </cell>
          <cell r="Q124" t="str">
            <v>速度传感器</v>
          </cell>
        </row>
        <row r="125">
          <cell r="O125" t="str">
            <v>SC9621VB</v>
          </cell>
          <cell r="P125" t="str">
            <v>STC9910C</v>
          </cell>
          <cell r="Q125" t="str">
            <v>速度传感器</v>
          </cell>
        </row>
        <row r="126">
          <cell r="O126" t="str">
            <v>SC9641TS-TR-Q</v>
          </cell>
          <cell r="P126" t="str">
            <v>STC9910BN</v>
          </cell>
          <cell r="Q126" t="str">
            <v>速度传感器</v>
          </cell>
        </row>
        <row r="127">
          <cell r="O127" t="str">
            <v>SC9641TS-TR-Q</v>
          </cell>
          <cell r="P127" t="str">
            <v>STC9910BN</v>
          </cell>
          <cell r="Q127" t="str">
            <v>速度传感器</v>
          </cell>
        </row>
        <row r="128">
          <cell r="O128" t="str">
            <v>SC9641TS-TR-Q</v>
          </cell>
          <cell r="P128" t="str">
            <v>STC9910BN</v>
          </cell>
          <cell r="Q128" t="str">
            <v>速度传感器</v>
          </cell>
        </row>
        <row r="129">
          <cell r="O129" t="str">
            <v>SC9641TS-TR-Q</v>
          </cell>
          <cell r="P129" t="str">
            <v>STC9910BN</v>
          </cell>
          <cell r="Q129" t="str">
            <v>速度传感器</v>
          </cell>
        </row>
        <row r="130">
          <cell r="O130" t="str">
            <v>SC9632VB-BK</v>
          </cell>
          <cell r="P130" t="str">
            <v>STC9905E</v>
          </cell>
          <cell r="Q130" t="str">
            <v>速度传感器</v>
          </cell>
        </row>
        <row r="131">
          <cell r="O131" t="str">
            <v>SC60224-D-1024-976-BSD-01</v>
          </cell>
          <cell r="P131" t="str">
            <v>STC9D04C</v>
          </cell>
          <cell r="Q131" t="str">
            <v>电机编码器</v>
          </cell>
        </row>
        <row r="132">
          <cell r="O132" t="str">
            <v>SC60224-D-1024-976-BSD-01</v>
          </cell>
          <cell r="P132" t="str">
            <v>STC9D04C</v>
          </cell>
          <cell r="Q132" t="str">
            <v>电机编码器</v>
          </cell>
        </row>
        <row r="133">
          <cell r="O133" t="str">
            <v>SC60224-D-1024-976-BSD-01</v>
          </cell>
          <cell r="P133" t="str">
            <v>STC9D04C</v>
          </cell>
          <cell r="Q133" t="str">
            <v>电机编码器</v>
          </cell>
        </row>
        <row r="134">
          <cell r="O134" t="str">
            <v>SC60224-D-1024-976-BSD-01</v>
          </cell>
          <cell r="P134" t="str">
            <v>STC9D04C</v>
          </cell>
          <cell r="Q134" t="str">
            <v>电机编码器</v>
          </cell>
        </row>
        <row r="135">
          <cell r="O135" t="str">
            <v>SC60224-D-1024-976-BSD-01</v>
          </cell>
          <cell r="P135" t="str">
            <v>STC9D04C</v>
          </cell>
          <cell r="Q135" t="str">
            <v>电机编码器</v>
          </cell>
        </row>
        <row r="136">
          <cell r="O136" t="str">
            <v>SC60224-D-1024-976-BSD-01</v>
          </cell>
          <cell r="P136" t="str">
            <v>STC9D04C</v>
          </cell>
          <cell r="Q136" t="str">
            <v>电机编码器</v>
          </cell>
        </row>
        <row r="137">
          <cell r="O137" t="str">
            <v>2100</v>
          </cell>
          <cell r="P137" t="str">
            <v>STC9D03E</v>
          </cell>
          <cell r="Q137" t="str">
            <v>电流传感器</v>
          </cell>
        </row>
        <row r="138">
          <cell r="O138" t="str">
            <v>2100</v>
          </cell>
          <cell r="P138" t="str">
            <v>STC9D03E</v>
          </cell>
          <cell r="Q138" t="str">
            <v>电流传感器</v>
          </cell>
        </row>
        <row r="139">
          <cell r="O139" t="str">
            <v>SC4104SE</v>
          </cell>
          <cell r="P139" t="str">
            <v>STC11201B1</v>
          </cell>
          <cell r="Q139" t="str">
            <v>磁性位置传感器</v>
          </cell>
        </row>
        <row r="140">
          <cell r="O140" t="str">
            <v>SC4104SE</v>
          </cell>
          <cell r="P140" t="str">
            <v>STC11201B1</v>
          </cell>
          <cell r="Q140" t="str">
            <v>磁性位置传感器</v>
          </cell>
        </row>
        <row r="141">
          <cell r="O141" t="str">
            <v>SYLMV324BPD2R</v>
          </cell>
          <cell r="P141" t="str">
            <v>STC9G003B</v>
          </cell>
          <cell r="Q141" t="str">
            <v>其他数模混合</v>
          </cell>
        </row>
        <row r="142">
          <cell r="O142" t="str">
            <v>SC2242SO-TR-Q</v>
          </cell>
          <cell r="P142" t="str">
            <v>STC9906H</v>
          </cell>
          <cell r="Q142" t="str">
            <v>磁性位置传感器</v>
          </cell>
        </row>
        <row r="143">
          <cell r="O143" t="str">
            <v>SC2242SO-TR-Q</v>
          </cell>
          <cell r="P143" t="str">
            <v>STC9906H</v>
          </cell>
          <cell r="Q143" t="str">
            <v>磁性位置传感器</v>
          </cell>
        </row>
        <row r="144">
          <cell r="O144" t="str">
            <v>SC2063SO-TR</v>
          </cell>
          <cell r="P144" t="str">
            <v>STC9G001C</v>
          </cell>
          <cell r="Q144" t="str">
            <v>磁性位置传感器</v>
          </cell>
        </row>
        <row r="145">
          <cell r="O145" t="str">
            <v>SC2442SO-N-TR-Q</v>
          </cell>
          <cell r="P145" t="str">
            <v>STC9906P</v>
          </cell>
          <cell r="Q145" t="str">
            <v>磁性位置传感器</v>
          </cell>
        </row>
        <row r="146">
          <cell r="O146" t="str">
            <v>SC2442SO</v>
          </cell>
          <cell r="P146" t="str">
            <v>STC11102B</v>
          </cell>
          <cell r="Q146" t="str">
            <v>磁性位置传感器</v>
          </cell>
        </row>
        <row r="147">
          <cell r="O147" t="str">
            <v>SC9641TS-P-TR</v>
          </cell>
          <cell r="P147" t="str">
            <v>STC9A001I</v>
          </cell>
          <cell r="Q147" t="str">
            <v>速度传感器</v>
          </cell>
        </row>
        <row r="148">
          <cell r="O148" t="str">
            <v>SC9641TS-P-TR</v>
          </cell>
          <cell r="P148" t="str">
            <v>STC9A001I</v>
          </cell>
          <cell r="Q148" t="str">
            <v>速度传感器</v>
          </cell>
        </row>
        <row r="149">
          <cell r="O149" t="str">
            <v>SC9675IM-P-LRF00</v>
          </cell>
          <cell r="P149" t="str">
            <v>STC9A002B</v>
          </cell>
          <cell r="Q149" t="str">
            <v>速度传感器</v>
          </cell>
        </row>
        <row r="150">
          <cell r="O150" t="str">
            <v>SC9675IM-P-LRF00</v>
          </cell>
          <cell r="P150" t="str">
            <v>STC9A002B</v>
          </cell>
          <cell r="Q150" t="str">
            <v>速度传感器</v>
          </cell>
        </row>
        <row r="151">
          <cell r="O151" t="str">
            <v>SC9675IM-P-LRF00</v>
          </cell>
          <cell r="P151" t="str">
            <v>STC9A002B</v>
          </cell>
          <cell r="Q151" t="str">
            <v>速度传感器</v>
          </cell>
        </row>
        <row r="152">
          <cell r="O152" t="str">
            <v>SC4688SA-BK-Q</v>
          </cell>
          <cell r="P152" t="str">
            <v>STC9D01C</v>
          </cell>
          <cell r="Q152" t="str">
            <v>角度传感器</v>
          </cell>
        </row>
        <row r="153">
          <cell r="O153" t="str">
            <v>SC2402SO-N-TR</v>
          </cell>
          <cell r="P153" t="str">
            <v>STC9902J</v>
          </cell>
          <cell r="Q153" t="str">
            <v>磁性位置传感器</v>
          </cell>
        </row>
        <row r="154">
          <cell r="O154" t="str">
            <v>SC2402SO-N-TR</v>
          </cell>
          <cell r="P154" t="str">
            <v>STC9902J</v>
          </cell>
          <cell r="Q154" t="str">
            <v>磁性位置传感器</v>
          </cell>
        </row>
        <row r="155">
          <cell r="O155" t="str">
            <v>SC2402SO-N-TR</v>
          </cell>
          <cell r="P155" t="str">
            <v>STC9902J</v>
          </cell>
          <cell r="Q155" t="str">
            <v>磁性位置传感器</v>
          </cell>
        </row>
        <row r="156">
          <cell r="O156" t="str">
            <v>SC2498SO</v>
          </cell>
          <cell r="P156" t="str">
            <v>SC9915C</v>
          </cell>
          <cell r="Q156" t="str">
            <v>磁性位置传感器</v>
          </cell>
        </row>
        <row r="157">
          <cell r="O157" t="str">
            <v>SC9642TS-E</v>
          </cell>
          <cell r="P157" t="str">
            <v>STC9A001H</v>
          </cell>
          <cell r="Q157" t="str">
            <v>速度传感器</v>
          </cell>
        </row>
        <row r="158">
          <cell r="O158" t="str">
            <v>SC9642TS-E</v>
          </cell>
          <cell r="P158" t="str">
            <v>STC9A001H</v>
          </cell>
          <cell r="Q158" t="str">
            <v>速度传感器</v>
          </cell>
        </row>
        <row r="159">
          <cell r="O159" t="str">
            <v>SC9641TS-PC-TR-Q</v>
          </cell>
          <cell r="P159" t="str">
            <v>STC9A001I</v>
          </cell>
          <cell r="Q159" t="str">
            <v>速度传感器</v>
          </cell>
        </row>
        <row r="160">
          <cell r="O160" t="str">
            <v>SC9641TS-PC-TR-Q</v>
          </cell>
          <cell r="P160" t="str">
            <v>STC9A001I</v>
          </cell>
          <cell r="Q160" t="str">
            <v>速度传感器</v>
          </cell>
        </row>
        <row r="161">
          <cell r="O161" t="str">
            <v>SC9641TS-PC-TR-Q</v>
          </cell>
          <cell r="P161" t="str">
            <v>STC9A001I</v>
          </cell>
          <cell r="Q161" t="str">
            <v>速度传感器</v>
          </cell>
        </row>
        <row r="162">
          <cell r="O162" t="str">
            <v>SC4643VB</v>
          </cell>
          <cell r="P162" t="str">
            <v>STC9D03E</v>
          </cell>
          <cell r="Q162" t="str">
            <v>电流传感器</v>
          </cell>
        </row>
        <row r="163">
          <cell r="O163" t="str">
            <v>SC1445A1</v>
          </cell>
          <cell r="P163" t="str">
            <v>STC2899AB</v>
          </cell>
          <cell r="Q163" t="str">
            <v>磁性位置传感器</v>
          </cell>
        </row>
        <row r="164">
          <cell r="O164" t="str">
            <v>SD477VB-BK</v>
          </cell>
          <cell r="P164" t="str">
            <v>STC22304C</v>
          </cell>
          <cell r="Q164" t="str">
            <v>电机驱动</v>
          </cell>
        </row>
        <row r="165">
          <cell r="O165" t="str">
            <v>SC4688SA-BK-Q</v>
          </cell>
          <cell r="P165" t="str">
            <v>STC9D01C</v>
          </cell>
          <cell r="Q165" t="str">
            <v>角度传感器</v>
          </cell>
        </row>
        <row r="166">
          <cell r="O166" t="str">
            <v>SC2498SO</v>
          </cell>
          <cell r="P166" t="str">
            <v>SC9915C</v>
          </cell>
          <cell r="Q166" t="str">
            <v>磁性位置传感器</v>
          </cell>
        </row>
        <row r="167">
          <cell r="O167" t="str">
            <v>SC2498SO</v>
          </cell>
          <cell r="P167" t="str">
            <v>SC9915C</v>
          </cell>
          <cell r="Q167" t="str">
            <v>磁性位置传感器</v>
          </cell>
        </row>
        <row r="168">
          <cell r="O168" t="str">
            <v>SC2448SO</v>
          </cell>
          <cell r="P168" t="str">
            <v>STC11102B</v>
          </cell>
          <cell r="Q168" t="str">
            <v>磁性位置传感器</v>
          </cell>
        </row>
        <row r="169">
          <cell r="O169" t="str">
            <v>SC2448SO</v>
          </cell>
          <cell r="P169" t="str">
            <v>STC11102B</v>
          </cell>
          <cell r="Q169" t="str">
            <v>磁性位置传感器</v>
          </cell>
        </row>
        <row r="170">
          <cell r="O170" t="str">
            <v>SC2448SO</v>
          </cell>
          <cell r="P170" t="str">
            <v>STC11102B</v>
          </cell>
          <cell r="Q170" t="str">
            <v>磁性位置传感器</v>
          </cell>
        </row>
        <row r="171">
          <cell r="O171" t="str">
            <v>SC2448SO</v>
          </cell>
          <cell r="P171" t="str">
            <v>STC11102B</v>
          </cell>
          <cell r="Q171" t="str">
            <v>磁性位置传感器</v>
          </cell>
        </row>
        <row r="172">
          <cell r="O172" t="str">
            <v>SC2448SO</v>
          </cell>
          <cell r="P172" t="str">
            <v>STC11102B</v>
          </cell>
          <cell r="Q172" t="str">
            <v>磁性位置传感器</v>
          </cell>
        </row>
        <row r="173">
          <cell r="O173" t="str">
            <v>SC2448SO</v>
          </cell>
          <cell r="P173" t="str">
            <v>STC11102B</v>
          </cell>
          <cell r="Q173" t="str">
            <v>磁性位置传感器</v>
          </cell>
        </row>
        <row r="174">
          <cell r="O174" t="str">
            <v>SC1138SO-N</v>
          </cell>
          <cell r="P174" t="str">
            <v>STC1898AC</v>
          </cell>
          <cell r="Q174" t="str">
            <v>磁性位置传感器</v>
          </cell>
        </row>
        <row r="175">
          <cell r="O175" t="str">
            <v>SC9621VB</v>
          </cell>
          <cell r="P175" t="str">
            <v>STC9910C</v>
          </cell>
          <cell r="Q175" t="str">
            <v>速度传感器</v>
          </cell>
        </row>
        <row r="176">
          <cell r="O176" t="str">
            <v>SD211VB-BK</v>
          </cell>
          <cell r="P176" t="str">
            <v>FD1016A</v>
          </cell>
          <cell r="Q176" t="str">
            <v>电机驱动</v>
          </cell>
        </row>
        <row r="177">
          <cell r="O177" t="str">
            <v>SD211VB-BK</v>
          </cell>
          <cell r="P177" t="str">
            <v>FD1016A</v>
          </cell>
          <cell r="Q177" t="str">
            <v>电机驱动</v>
          </cell>
        </row>
        <row r="178">
          <cell r="O178" t="str">
            <v>SD211VB-BK</v>
          </cell>
          <cell r="P178" t="str">
            <v>FD1016A</v>
          </cell>
          <cell r="Q178" t="str">
            <v>电机驱动</v>
          </cell>
        </row>
        <row r="179">
          <cell r="O179" t="str">
            <v>SD211VB-BK</v>
          </cell>
          <cell r="P179" t="str">
            <v>FD1016A</v>
          </cell>
          <cell r="Q179" t="str">
            <v>电机驱动</v>
          </cell>
        </row>
        <row r="180">
          <cell r="O180" t="str">
            <v>SD211VB-BK</v>
          </cell>
          <cell r="P180" t="str">
            <v>FD1016A</v>
          </cell>
          <cell r="Q180" t="str">
            <v>电机驱动</v>
          </cell>
        </row>
        <row r="181">
          <cell r="O181" t="str">
            <v>SD211VB-BK</v>
          </cell>
          <cell r="P181" t="str">
            <v>FD1016A</v>
          </cell>
          <cell r="Q181" t="str">
            <v>电机驱动</v>
          </cell>
        </row>
        <row r="182">
          <cell r="O182" t="str">
            <v>SD211VB-BK</v>
          </cell>
          <cell r="P182" t="str">
            <v>FD1016A</v>
          </cell>
          <cell r="Q182" t="str">
            <v>电机驱动</v>
          </cell>
        </row>
        <row r="183">
          <cell r="O183" t="str">
            <v>SD211VB-BK</v>
          </cell>
          <cell r="P183" t="str">
            <v>FD1016A</v>
          </cell>
          <cell r="Q183" t="str">
            <v>电机驱动</v>
          </cell>
        </row>
        <row r="184">
          <cell r="O184" t="str">
            <v>SD211VB-BK</v>
          </cell>
          <cell r="P184" t="str">
            <v>FD1016A</v>
          </cell>
          <cell r="Q184" t="str">
            <v>电机驱动</v>
          </cell>
        </row>
        <row r="185">
          <cell r="O185" t="str">
            <v>SD211VB-BK</v>
          </cell>
          <cell r="P185" t="str">
            <v>FD1016A</v>
          </cell>
          <cell r="Q185" t="str">
            <v>电机驱动</v>
          </cell>
        </row>
        <row r="186">
          <cell r="O186" t="str">
            <v>SD211VB-BK</v>
          </cell>
          <cell r="P186" t="str">
            <v>FD1016A</v>
          </cell>
          <cell r="Q186" t="str">
            <v>电机驱动</v>
          </cell>
        </row>
        <row r="187">
          <cell r="O187" t="str">
            <v>SYLM358APA1R</v>
          </cell>
          <cell r="P187" t="str">
            <v>STC9G005C</v>
          </cell>
          <cell r="Q187" t="str">
            <v>其他数模混合</v>
          </cell>
        </row>
        <row r="188">
          <cell r="O188" t="str">
            <v>SC4923SO-N-TR</v>
          </cell>
          <cell r="P188" t="str">
            <v>SC4009D</v>
          </cell>
          <cell r="Q188" t="str">
            <v>磁性位置传感器</v>
          </cell>
        </row>
        <row r="189">
          <cell r="O189" t="str">
            <v>SC4923SO-N-TR</v>
          </cell>
          <cell r="P189" t="str">
            <v>SC4009D</v>
          </cell>
          <cell r="Q189" t="str">
            <v>磁性位置传感器</v>
          </cell>
        </row>
        <row r="190">
          <cell r="O190" t="str">
            <v>SC4015SO-N-TR</v>
          </cell>
          <cell r="P190" t="str">
            <v>STC4011E</v>
          </cell>
          <cell r="Q190" t="str">
            <v>磁性位置传感器</v>
          </cell>
        </row>
        <row r="191">
          <cell r="O191" t="str">
            <v>SC4015SO-N-TR</v>
          </cell>
          <cell r="P191" t="str">
            <v>STC4011E</v>
          </cell>
          <cell r="Q191" t="str">
            <v>磁性位置传感器</v>
          </cell>
        </row>
        <row r="192">
          <cell r="O192" t="str">
            <v>SC4015SO-N-TR</v>
          </cell>
          <cell r="P192" t="str">
            <v>STC4011E</v>
          </cell>
          <cell r="Q192" t="str">
            <v>磁性位置传感器</v>
          </cell>
        </row>
        <row r="193">
          <cell r="O193" t="str">
            <v>SC2063SO-TR</v>
          </cell>
          <cell r="P193" t="str">
            <v>STC9G001C</v>
          </cell>
          <cell r="Q193" t="str">
            <v>磁性位置传感器</v>
          </cell>
        </row>
        <row r="194">
          <cell r="O194" t="str">
            <v>SC2063SO-TR</v>
          </cell>
          <cell r="P194" t="str">
            <v>STC9G001C</v>
          </cell>
          <cell r="Q194" t="str">
            <v>磁性位置传感器</v>
          </cell>
        </row>
        <row r="195">
          <cell r="O195" t="str">
            <v>SC2434SO-N</v>
          </cell>
          <cell r="P195" t="str">
            <v>STC9906I</v>
          </cell>
          <cell r="Q195" t="str">
            <v>磁性位置传感器</v>
          </cell>
        </row>
        <row r="196">
          <cell r="O196" t="str">
            <v>SC2434SO-N</v>
          </cell>
          <cell r="P196" t="str">
            <v>STC9906I</v>
          </cell>
          <cell r="Q196" t="str">
            <v>磁性位置传感器</v>
          </cell>
        </row>
        <row r="197">
          <cell r="O197" t="str">
            <v>SC2434SO-N</v>
          </cell>
          <cell r="P197" t="str">
            <v>STC9906I</v>
          </cell>
          <cell r="Q197" t="str">
            <v>磁性位置传感器</v>
          </cell>
        </row>
        <row r="198">
          <cell r="O198" t="str">
            <v>SC1134UA-BK</v>
          </cell>
          <cell r="P198" t="str">
            <v>STC1898AI</v>
          </cell>
          <cell r="Q198" t="str">
            <v>磁性位置传感器</v>
          </cell>
        </row>
        <row r="199">
          <cell r="O199" t="str">
            <v>SC1134UA-BK</v>
          </cell>
          <cell r="P199" t="str">
            <v>STC1898AI</v>
          </cell>
          <cell r="Q199" t="str">
            <v>磁性位置传感器</v>
          </cell>
        </row>
        <row r="200">
          <cell r="O200" t="str">
            <v>SC1134UA-BK</v>
          </cell>
          <cell r="P200" t="str">
            <v>STC1898AI</v>
          </cell>
          <cell r="Q200" t="str">
            <v>磁性位置传感器</v>
          </cell>
        </row>
        <row r="201">
          <cell r="O201" t="str">
            <v>SC1134UA-BK</v>
          </cell>
          <cell r="P201" t="str">
            <v>STC1898AI</v>
          </cell>
          <cell r="Q201" t="str">
            <v>磁性位置传感器</v>
          </cell>
        </row>
        <row r="202">
          <cell r="O202" t="str">
            <v>SC2464SO</v>
          </cell>
          <cell r="P202" t="str">
            <v>STC9906J</v>
          </cell>
          <cell r="Q202" t="str">
            <v>磁性位置传感器</v>
          </cell>
        </row>
        <row r="203">
          <cell r="O203" t="str">
            <v>SC2462SO</v>
          </cell>
          <cell r="P203" t="str">
            <v>STC9906J</v>
          </cell>
          <cell r="Q203" t="str">
            <v>磁性位置传感器</v>
          </cell>
        </row>
        <row r="204">
          <cell r="O204" t="str">
            <v>SD211VB-BK</v>
          </cell>
          <cell r="P204" t="str">
            <v>FD1016A</v>
          </cell>
          <cell r="Q204" t="str">
            <v>电机驱动</v>
          </cell>
        </row>
        <row r="205">
          <cell r="O205" t="str">
            <v>SC2402SO-N-TR</v>
          </cell>
          <cell r="P205" t="str">
            <v>STC9G002A</v>
          </cell>
          <cell r="Q205" t="str">
            <v>磁性位置传感器</v>
          </cell>
        </row>
        <row r="206">
          <cell r="O206" t="str">
            <v>SC2402SO-N-TR</v>
          </cell>
          <cell r="P206" t="str">
            <v>STC9G002A</v>
          </cell>
          <cell r="Q206" t="str">
            <v>磁性位置传感器</v>
          </cell>
        </row>
        <row r="207">
          <cell r="O207" t="str">
            <v>SC2402SO-N-TR</v>
          </cell>
          <cell r="P207" t="str">
            <v>STC9G002A</v>
          </cell>
          <cell r="Q207" t="str">
            <v>磁性位置传感器</v>
          </cell>
        </row>
        <row r="208">
          <cell r="O208" t="str">
            <v>SC2402SO-N-TR</v>
          </cell>
          <cell r="P208" t="str">
            <v>STC9G002A</v>
          </cell>
          <cell r="Q208" t="str">
            <v>磁性位置传感器</v>
          </cell>
        </row>
        <row r="209">
          <cell r="O209" t="str">
            <v>SC2442SO-TR-Q</v>
          </cell>
          <cell r="P209" t="str">
            <v>STC11102B</v>
          </cell>
          <cell r="Q209" t="str">
            <v>磁性位置传感器</v>
          </cell>
        </row>
        <row r="210">
          <cell r="O210" t="str">
            <v>SC2442UA</v>
          </cell>
          <cell r="P210" t="str">
            <v>STC11102B</v>
          </cell>
          <cell r="Q210" t="str">
            <v>磁性位置传感器</v>
          </cell>
        </row>
        <row r="211">
          <cell r="O211" t="str">
            <v>SC9621VB</v>
          </cell>
          <cell r="P211" t="str">
            <v>STC9910C</v>
          </cell>
          <cell r="Q211" t="str">
            <v>速度传感器</v>
          </cell>
        </row>
        <row r="212">
          <cell r="O212" t="str">
            <v>SC4689SA-A</v>
          </cell>
          <cell r="P212" t="str">
            <v>STC9D01F</v>
          </cell>
          <cell r="Q212" t="str">
            <v>角度传感器</v>
          </cell>
        </row>
        <row r="213">
          <cell r="O213" t="str">
            <v>SC4689SA-A</v>
          </cell>
          <cell r="P213" t="str">
            <v>STC9D01F</v>
          </cell>
          <cell r="Q213" t="str">
            <v>角度传感器</v>
          </cell>
        </row>
        <row r="214">
          <cell r="O214" t="str">
            <v>SC4689SA-A</v>
          </cell>
          <cell r="P214" t="str">
            <v>STC9D01F</v>
          </cell>
          <cell r="Q214" t="str">
            <v>角度传感器</v>
          </cell>
        </row>
        <row r="215">
          <cell r="O215" t="str">
            <v>SC4689SA-A</v>
          </cell>
          <cell r="P215" t="str">
            <v>STC9D01F</v>
          </cell>
          <cell r="Q215" t="str">
            <v>角度传感器</v>
          </cell>
        </row>
        <row r="216">
          <cell r="O216" t="str">
            <v>SC2436SO-TR</v>
          </cell>
          <cell r="P216" t="str">
            <v>STC9906M</v>
          </cell>
          <cell r="Q216" t="str">
            <v>磁性位置传感器</v>
          </cell>
        </row>
        <row r="217">
          <cell r="O217" t="str">
            <v>SC2436SO-TR</v>
          </cell>
          <cell r="P217" t="str">
            <v>STC9906M</v>
          </cell>
          <cell r="Q217" t="str">
            <v>磁性位置传感器</v>
          </cell>
        </row>
        <row r="218">
          <cell r="O218" t="str">
            <v>SC2436SO-TR</v>
          </cell>
          <cell r="P218" t="str">
            <v>STC9906M</v>
          </cell>
          <cell r="Q218" t="str">
            <v>磁性位置传感器</v>
          </cell>
        </row>
        <row r="219">
          <cell r="O219" t="str">
            <v>SC4002UA-BK</v>
          </cell>
          <cell r="P219" t="str">
            <v>STC4000AA</v>
          </cell>
          <cell r="Q219" t="str">
            <v>磁性位置传感器</v>
          </cell>
        </row>
        <row r="220">
          <cell r="O220" t="str">
            <v>SC9648TS-TR</v>
          </cell>
          <cell r="P220" t="str">
            <v>STC9A001I</v>
          </cell>
          <cell r="Q220" t="str">
            <v>速度传感器</v>
          </cell>
        </row>
        <row r="221">
          <cell r="O221" t="str">
            <v>SC9648TS-TR</v>
          </cell>
          <cell r="P221" t="str">
            <v>STC9A001I</v>
          </cell>
          <cell r="Q221" t="str">
            <v>速度传感器</v>
          </cell>
        </row>
        <row r="222">
          <cell r="O222" t="str">
            <v>SC9648TS-TR</v>
          </cell>
          <cell r="P222" t="str">
            <v>STC9A001I</v>
          </cell>
          <cell r="Q222" t="str">
            <v>速度传感器</v>
          </cell>
        </row>
        <row r="223">
          <cell r="O223" t="str">
            <v>SC9648TS-TR</v>
          </cell>
          <cell r="P223" t="str">
            <v>STC9A001I</v>
          </cell>
          <cell r="Q223" t="str">
            <v>速度传感器</v>
          </cell>
        </row>
        <row r="224">
          <cell r="O224" t="str">
            <v>SC4688DC-TR-Q</v>
          </cell>
          <cell r="P224" t="str">
            <v>STC9D01C</v>
          </cell>
          <cell r="Q224" t="str">
            <v>角度传感器</v>
          </cell>
        </row>
        <row r="225">
          <cell r="O225" t="str">
            <v>SC4688DC-TR-Q</v>
          </cell>
          <cell r="P225" t="str">
            <v>STC9D01C</v>
          </cell>
          <cell r="Q225" t="str">
            <v>角度传感器</v>
          </cell>
        </row>
        <row r="226">
          <cell r="O226" t="str">
            <v>SC4688SA-BK-Q</v>
          </cell>
          <cell r="P226" t="str">
            <v>STC9D01C</v>
          </cell>
          <cell r="Q226" t="str">
            <v>角度传感器</v>
          </cell>
        </row>
        <row r="227">
          <cell r="O227" t="str">
            <v>SC69401-A</v>
          </cell>
          <cell r="P227" t="str">
            <v>STC9H002DQ</v>
          </cell>
          <cell r="Q227" t="str">
            <v>角度传感器</v>
          </cell>
        </row>
        <row r="228">
          <cell r="O228" t="str">
            <v>SC9642TS-EC</v>
          </cell>
          <cell r="P228" t="str">
            <v>STC9A001H</v>
          </cell>
          <cell r="Q228" t="str">
            <v>速度传感器</v>
          </cell>
        </row>
        <row r="229">
          <cell r="O229" t="str">
            <v>SC9648TS-TR</v>
          </cell>
          <cell r="P229" t="str">
            <v>STC9A001I</v>
          </cell>
          <cell r="Q229" t="str">
            <v>速度传感器</v>
          </cell>
        </row>
        <row r="230">
          <cell r="O230" t="str">
            <v>SC9648TS-TR</v>
          </cell>
          <cell r="P230" t="str">
            <v>STC9A001I</v>
          </cell>
          <cell r="Q230" t="str">
            <v>速度传感器</v>
          </cell>
        </row>
        <row r="231">
          <cell r="O231" t="str">
            <v>SC9648TS-TR</v>
          </cell>
          <cell r="P231" t="str">
            <v>STC9A001I</v>
          </cell>
          <cell r="Q231" t="str">
            <v>速度传感器</v>
          </cell>
        </row>
        <row r="232">
          <cell r="O232" t="str">
            <v>SC9648TS-TR</v>
          </cell>
          <cell r="P232" t="str">
            <v>STC9A001I</v>
          </cell>
          <cell r="Q232" t="str">
            <v>速度传感器</v>
          </cell>
        </row>
        <row r="233">
          <cell r="O233" t="str">
            <v>SC9648TS-TR</v>
          </cell>
          <cell r="P233" t="str">
            <v>STC9A001I</v>
          </cell>
          <cell r="Q233" t="str">
            <v>速度传感器</v>
          </cell>
        </row>
        <row r="234">
          <cell r="O234" t="str">
            <v>SC9648TS-TR</v>
          </cell>
          <cell r="P234" t="str">
            <v>STC9A001I</v>
          </cell>
          <cell r="Q234" t="str">
            <v>速度传感器</v>
          </cell>
        </row>
        <row r="235">
          <cell r="O235" t="str">
            <v>SC9648TS-TR</v>
          </cell>
          <cell r="P235" t="str">
            <v>STC9A001I</v>
          </cell>
          <cell r="Q235" t="str">
            <v>速度传感器</v>
          </cell>
        </row>
        <row r="236">
          <cell r="O236" t="str">
            <v>SC9648TS-TR</v>
          </cell>
          <cell r="P236" t="str">
            <v>STC9A001I</v>
          </cell>
          <cell r="Q236" t="str">
            <v>速度传感器</v>
          </cell>
        </row>
        <row r="237">
          <cell r="O237" t="str">
            <v>SC9648TS-TR</v>
          </cell>
          <cell r="P237" t="str">
            <v>STC9A001I</v>
          </cell>
          <cell r="Q237" t="str">
            <v>速度传感器</v>
          </cell>
        </row>
        <row r="238">
          <cell r="O238" t="str">
            <v>SC9648TS-TR</v>
          </cell>
          <cell r="P238" t="str">
            <v>STC9A001I</v>
          </cell>
          <cell r="Q238" t="str">
            <v>速度传感器</v>
          </cell>
        </row>
        <row r="239">
          <cell r="O239" t="str">
            <v>SC9648TS-TR</v>
          </cell>
          <cell r="P239" t="str">
            <v>STC9A001I</v>
          </cell>
          <cell r="Q239" t="str">
            <v>速度传感器</v>
          </cell>
        </row>
        <row r="240">
          <cell r="O240" t="str">
            <v>SC9648TS-TR</v>
          </cell>
          <cell r="P240" t="str">
            <v>STC9A001I</v>
          </cell>
          <cell r="Q240" t="str">
            <v>速度传感器</v>
          </cell>
        </row>
        <row r="241">
          <cell r="O241" t="str">
            <v>SC9648TS-TR</v>
          </cell>
          <cell r="P241" t="str">
            <v>STC9A001I</v>
          </cell>
          <cell r="Q241" t="str">
            <v>速度传感器</v>
          </cell>
        </row>
        <row r="242">
          <cell r="O242" t="str">
            <v>SC4002BU</v>
          </cell>
          <cell r="P242" t="str">
            <v>STC4000AA</v>
          </cell>
          <cell r="Q242" t="str">
            <v>磁性位置传感器</v>
          </cell>
        </row>
        <row r="243">
          <cell r="O243" t="str">
            <v>SC4002BU</v>
          </cell>
          <cell r="P243" t="str">
            <v>STC4000AA</v>
          </cell>
          <cell r="Q243" t="str">
            <v>磁性位置传感器</v>
          </cell>
        </row>
        <row r="244">
          <cell r="O244" t="str">
            <v>SC4688DC-TR-Q</v>
          </cell>
          <cell r="P244" t="str">
            <v>STC9D01C</v>
          </cell>
          <cell r="Q244" t="str">
            <v>角度传感器</v>
          </cell>
        </row>
        <row r="245">
          <cell r="O245" t="str">
            <v>SC4688DC-TR-Q</v>
          </cell>
          <cell r="P245" t="str">
            <v>STC9D01C</v>
          </cell>
          <cell r="Q245" t="str">
            <v>角度传感器</v>
          </cell>
        </row>
        <row r="246">
          <cell r="O246" t="str">
            <v>SC4688DC-TR-Q</v>
          </cell>
          <cell r="P246" t="str">
            <v>STC9D01C</v>
          </cell>
          <cell r="Q246" t="str">
            <v>角度传感器</v>
          </cell>
        </row>
        <row r="247">
          <cell r="O247" t="str">
            <v>SC4688DC-TR-Q</v>
          </cell>
          <cell r="P247" t="str">
            <v>STC9D01C</v>
          </cell>
          <cell r="Q247" t="str">
            <v>角度传感器</v>
          </cell>
        </row>
        <row r="248">
          <cell r="O248" t="str">
            <v>SC2442UA</v>
          </cell>
          <cell r="P248" t="str">
            <v>STC11102B</v>
          </cell>
          <cell r="Q248" t="str">
            <v>磁性位置传感器</v>
          </cell>
        </row>
        <row r="249">
          <cell r="O249" t="str">
            <v>SC4688SA-BK-Q</v>
          </cell>
          <cell r="P249" t="str">
            <v>STC9D01C</v>
          </cell>
          <cell r="Q249" t="str">
            <v>角度传感器</v>
          </cell>
        </row>
        <row r="250">
          <cell r="O250" t="str">
            <v>SC2442SO-N-TR-Q</v>
          </cell>
          <cell r="P250" t="str">
            <v>STC9906P</v>
          </cell>
          <cell r="Q250" t="str">
            <v>磁性位置传感器</v>
          </cell>
        </row>
        <row r="251">
          <cell r="O251" t="str">
            <v>SC2438SO</v>
          </cell>
          <cell r="P251" t="str">
            <v>STC9906I</v>
          </cell>
          <cell r="Q251" t="str">
            <v>磁性位置传感器</v>
          </cell>
        </row>
        <row r="252">
          <cell r="O252" t="str">
            <v>SC2438SO</v>
          </cell>
          <cell r="P252" t="str">
            <v>STC9906I</v>
          </cell>
          <cell r="Q252" t="str">
            <v>磁性位置传感器</v>
          </cell>
        </row>
        <row r="253">
          <cell r="O253" t="str">
            <v>SC2438SO</v>
          </cell>
          <cell r="P253" t="str">
            <v>STC9906I</v>
          </cell>
          <cell r="Q253" t="str">
            <v>磁性位置传感器</v>
          </cell>
        </row>
        <row r="254">
          <cell r="O254" t="str">
            <v>SC2438SO</v>
          </cell>
          <cell r="P254" t="str">
            <v>STC9906M</v>
          </cell>
          <cell r="Q254" t="str">
            <v>磁性位置传感器</v>
          </cell>
        </row>
        <row r="255">
          <cell r="O255" t="str">
            <v>SC1245UA</v>
          </cell>
          <cell r="P255" t="str">
            <v>STC1898AD</v>
          </cell>
          <cell r="Q255" t="str">
            <v>磁性位置传感器</v>
          </cell>
        </row>
        <row r="256">
          <cell r="O256" t="str">
            <v>SC1245UA</v>
          </cell>
          <cell r="P256" t="str">
            <v>STC1898AD</v>
          </cell>
          <cell r="Q256" t="str">
            <v>磁性位置传感器</v>
          </cell>
        </row>
        <row r="257">
          <cell r="O257" t="str">
            <v>SC1245UA</v>
          </cell>
          <cell r="P257" t="str">
            <v>STC1898AD</v>
          </cell>
          <cell r="Q257" t="str">
            <v>磁性位置传感器</v>
          </cell>
        </row>
        <row r="258">
          <cell r="O258" t="str">
            <v>SC1245UA</v>
          </cell>
          <cell r="P258" t="str">
            <v>STC1898AD</v>
          </cell>
          <cell r="Q258" t="str">
            <v>磁性位置传感器</v>
          </cell>
        </row>
        <row r="259">
          <cell r="O259" t="str">
            <v>SC1245UA</v>
          </cell>
          <cell r="P259" t="str">
            <v>STC1898AD</v>
          </cell>
          <cell r="Q259" t="str">
            <v>磁性位置传感器</v>
          </cell>
        </row>
        <row r="260">
          <cell r="O260" t="str">
            <v>SC1245UA</v>
          </cell>
          <cell r="P260" t="str">
            <v>STC1898AD</v>
          </cell>
          <cell r="Q260" t="str">
            <v>磁性位置传感器</v>
          </cell>
        </row>
        <row r="261">
          <cell r="O261" t="str">
            <v>SC1245UA</v>
          </cell>
          <cell r="P261" t="str">
            <v>STC1898AD</v>
          </cell>
          <cell r="Q261" t="str">
            <v>磁性位置传感器</v>
          </cell>
        </row>
        <row r="262">
          <cell r="O262" t="str">
            <v>SC9632VB-BK</v>
          </cell>
          <cell r="P262" t="str">
            <v>STC9905E</v>
          </cell>
          <cell r="Q262" t="str">
            <v>速度传感器</v>
          </cell>
        </row>
        <row r="263">
          <cell r="O263" t="str">
            <v>SC2416SE</v>
          </cell>
          <cell r="P263" t="str">
            <v>STC9902B</v>
          </cell>
          <cell r="Q263" t="str">
            <v>磁性位置传感器</v>
          </cell>
        </row>
        <row r="264">
          <cell r="O264" t="str">
            <v>SC4688DC-TR-Q</v>
          </cell>
          <cell r="P264" t="str">
            <v>STC9D01C</v>
          </cell>
          <cell r="Q264" t="str">
            <v>角度传感器</v>
          </cell>
        </row>
        <row r="265">
          <cell r="O265" t="str">
            <v>SC9641TS-TR-Q</v>
          </cell>
          <cell r="P265" t="str">
            <v>STC9910BN</v>
          </cell>
          <cell r="Q265" t="str">
            <v>速度传感器</v>
          </cell>
        </row>
        <row r="266">
          <cell r="O266" t="str">
            <v>SC9641TS-TR-Q</v>
          </cell>
          <cell r="P266" t="str">
            <v>STC9910BN</v>
          </cell>
          <cell r="Q266" t="str">
            <v>速度传感器</v>
          </cell>
        </row>
        <row r="267">
          <cell r="O267" t="str">
            <v>SC9641TS</v>
          </cell>
          <cell r="P267" t="str">
            <v>STC9910BN</v>
          </cell>
          <cell r="Q267" t="str">
            <v>速度传感器</v>
          </cell>
        </row>
        <row r="268">
          <cell r="O268" t="str">
            <v>SC9641TS</v>
          </cell>
          <cell r="P268" t="str">
            <v>STC9910BN</v>
          </cell>
          <cell r="Q268" t="str">
            <v>速度传感器</v>
          </cell>
        </row>
        <row r="269">
          <cell r="O269" t="str">
            <v>SC9642TS</v>
          </cell>
          <cell r="P269" t="str">
            <v>STC9A001G</v>
          </cell>
          <cell r="Q269" t="str">
            <v>速度传感器</v>
          </cell>
        </row>
        <row r="270">
          <cell r="O270" t="str">
            <v>SC9642TS</v>
          </cell>
          <cell r="P270" t="str">
            <v>STC9A001G</v>
          </cell>
          <cell r="Q270" t="str">
            <v>速度传感器</v>
          </cell>
        </row>
        <row r="271">
          <cell r="O271" t="str">
            <v>SC9642TS</v>
          </cell>
          <cell r="P271" t="str">
            <v>STC9A001G</v>
          </cell>
          <cell r="Q271" t="str">
            <v>速度传感器</v>
          </cell>
        </row>
        <row r="272">
          <cell r="O272" t="str">
            <v>SC9642TS</v>
          </cell>
          <cell r="P272" t="str">
            <v>STC9A001G</v>
          </cell>
          <cell r="Q272" t="str">
            <v>速度传感器</v>
          </cell>
        </row>
        <row r="273">
          <cell r="O273" t="str">
            <v>SC9642TS</v>
          </cell>
          <cell r="P273" t="str">
            <v>STC9A001G</v>
          </cell>
          <cell r="Q273" t="str">
            <v>速度传感器</v>
          </cell>
        </row>
        <row r="274">
          <cell r="O274" t="str">
            <v>SC9642TS</v>
          </cell>
          <cell r="P274" t="str">
            <v>STC9A001G</v>
          </cell>
          <cell r="Q274" t="str">
            <v>速度传感器</v>
          </cell>
        </row>
        <row r="275">
          <cell r="O275" t="str">
            <v>SC9642TS</v>
          </cell>
          <cell r="P275" t="str">
            <v>STC9A001G</v>
          </cell>
          <cell r="Q275" t="str">
            <v>速度传感器</v>
          </cell>
        </row>
        <row r="276">
          <cell r="O276" t="str">
            <v>SC9642TS</v>
          </cell>
          <cell r="P276" t="str">
            <v>STC9A001G</v>
          </cell>
          <cell r="Q276" t="str">
            <v>速度传感器</v>
          </cell>
        </row>
        <row r="277">
          <cell r="O277" t="str">
            <v>SC9642TS</v>
          </cell>
          <cell r="P277" t="str">
            <v>STC9A001G</v>
          </cell>
          <cell r="Q277" t="str">
            <v>速度传感器</v>
          </cell>
        </row>
        <row r="278">
          <cell r="O278" t="str">
            <v>SC9642TS</v>
          </cell>
          <cell r="P278" t="str">
            <v>STC9A001G</v>
          </cell>
          <cell r="Q278" t="str">
            <v>速度传感器</v>
          </cell>
        </row>
        <row r="279">
          <cell r="O279" t="str">
            <v>SC9642TS</v>
          </cell>
          <cell r="P279" t="str">
            <v>STC9A001G</v>
          </cell>
          <cell r="Q279" t="str">
            <v>速度传感器</v>
          </cell>
        </row>
        <row r="280">
          <cell r="O280" t="str">
            <v>SC9642TS</v>
          </cell>
          <cell r="P280" t="str">
            <v>STC9A001G</v>
          </cell>
          <cell r="Q280" t="str">
            <v>速度传感器</v>
          </cell>
        </row>
        <row r="281">
          <cell r="O281" t="str">
            <v>SC9642TS</v>
          </cell>
          <cell r="P281" t="str">
            <v>STC9A001G</v>
          </cell>
          <cell r="Q281" t="str">
            <v>速度传感器</v>
          </cell>
        </row>
        <row r="282">
          <cell r="O282" t="str">
            <v>SC9642TS</v>
          </cell>
          <cell r="P282" t="str">
            <v>STC9A001G</v>
          </cell>
          <cell r="Q282" t="str">
            <v>速度传感器</v>
          </cell>
        </row>
        <row r="283">
          <cell r="O283" t="str">
            <v>SC9642TS</v>
          </cell>
          <cell r="P283" t="str">
            <v>STC9A001G</v>
          </cell>
          <cell r="Q283" t="str">
            <v>速度传感器</v>
          </cell>
        </row>
        <row r="284">
          <cell r="O284" t="str">
            <v>SC9642TS</v>
          </cell>
          <cell r="P284" t="str">
            <v>STC9A001G</v>
          </cell>
          <cell r="Q284" t="str">
            <v>速度传感器</v>
          </cell>
        </row>
        <row r="285">
          <cell r="O285" t="str">
            <v>SC9642TS</v>
          </cell>
          <cell r="P285" t="str">
            <v>STC9A001G</v>
          </cell>
          <cell r="Q285" t="str">
            <v>速度传感器</v>
          </cell>
        </row>
        <row r="286">
          <cell r="O286" t="str">
            <v>SC9642TS</v>
          </cell>
          <cell r="P286" t="str">
            <v>STC9A001G</v>
          </cell>
          <cell r="Q286" t="str">
            <v>速度传感器</v>
          </cell>
        </row>
        <row r="287">
          <cell r="O287" t="str">
            <v>SC9642TS</v>
          </cell>
          <cell r="P287" t="str">
            <v>STC9A001G</v>
          </cell>
          <cell r="Q287" t="str">
            <v>速度传感器</v>
          </cell>
        </row>
        <row r="288">
          <cell r="O288" t="str">
            <v>SC9642TS</v>
          </cell>
          <cell r="P288" t="str">
            <v>STC9A001G</v>
          </cell>
          <cell r="Q288" t="str">
            <v>速度传感器</v>
          </cell>
        </row>
        <row r="289">
          <cell r="O289" t="str">
            <v>SC9642TS</v>
          </cell>
          <cell r="P289" t="str">
            <v>STC9A001G</v>
          </cell>
          <cell r="Q289" t="str">
            <v>速度传感器</v>
          </cell>
        </row>
        <row r="290">
          <cell r="O290" t="str">
            <v>SC9642TS</v>
          </cell>
          <cell r="P290" t="str">
            <v>STC9A001G</v>
          </cell>
          <cell r="Q290" t="str">
            <v>速度传感器</v>
          </cell>
        </row>
        <row r="291">
          <cell r="O291" t="str">
            <v>SC9642TS</v>
          </cell>
          <cell r="P291" t="str">
            <v>STC9A001G</v>
          </cell>
          <cell r="Q291" t="str">
            <v>速度传感器</v>
          </cell>
        </row>
        <row r="292">
          <cell r="O292" t="str">
            <v>SC9641TS-PC-BK-Q</v>
          </cell>
          <cell r="P292" t="str">
            <v>STC9A001I</v>
          </cell>
          <cell r="Q292" t="str">
            <v>速度传感器</v>
          </cell>
        </row>
        <row r="293">
          <cell r="O293" t="str">
            <v>SC1945B1-BK</v>
          </cell>
          <cell r="P293" t="str">
            <v>STC2899AJ</v>
          </cell>
          <cell r="Q293" t="str">
            <v>磁性位置传感器</v>
          </cell>
        </row>
        <row r="294">
          <cell r="O294" t="str">
            <v>SC1945B1-BK</v>
          </cell>
          <cell r="P294" t="str">
            <v>STC2899AJ</v>
          </cell>
          <cell r="Q294" t="str">
            <v>磁性位置传感器</v>
          </cell>
        </row>
        <row r="295">
          <cell r="O295" t="str">
            <v>SC1945B1-BK</v>
          </cell>
          <cell r="P295" t="str">
            <v>STC2899AJ</v>
          </cell>
          <cell r="Q295" t="str">
            <v>磁性位置传感器</v>
          </cell>
        </row>
        <row r="296">
          <cell r="O296" t="str">
            <v>SC1945B1-BK</v>
          </cell>
          <cell r="P296" t="str">
            <v>STC2899AJ</v>
          </cell>
          <cell r="Q296" t="str">
            <v>磁性位置传感器</v>
          </cell>
        </row>
        <row r="297">
          <cell r="O297" t="str">
            <v>SC1945B1-BK</v>
          </cell>
          <cell r="P297" t="str">
            <v>STC2899AJ</v>
          </cell>
          <cell r="Q297" t="str">
            <v>磁性位置传感器</v>
          </cell>
        </row>
        <row r="298">
          <cell r="O298" t="str">
            <v>SC1645B1</v>
          </cell>
          <cell r="P298" t="str">
            <v>STC2899AI</v>
          </cell>
          <cell r="Q298" t="str">
            <v>磁性位置传感器</v>
          </cell>
        </row>
        <row r="299">
          <cell r="O299" t="str">
            <v>SC1645B1</v>
          </cell>
          <cell r="P299" t="str">
            <v>STC2899AI</v>
          </cell>
          <cell r="Q299" t="str">
            <v>磁性位置传感器</v>
          </cell>
        </row>
        <row r="300">
          <cell r="O300" t="str">
            <v>SC1645A1-BK</v>
          </cell>
          <cell r="P300" t="str">
            <v>STC2899AE</v>
          </cell>
          <cell r="Q300" t="str">
            <v>磁性位置传感器</v>
          </cell>
        </row>
        <row r="301">
          <cell r="O301" t="str">
            <v>SC1645A1-BK</v>
          </cell>
          <cell r="P301" t="str">
            <v>STC2899AE</v>
          </cell>
          <cell r="Q301" t="str">
            <v>磁性位置传感器</v>
          </cell>
        </row>
        <row r="302">
          <cell r="O302" t="str">
            <v>SC1645A1-BK</v>
          </cell>
          <cell r="P302" t="str">
            <v>STC2899AE</v>
          </cell>
          <cell r="Q302" t="str">
            <v>磁性位置传感器</v>
          </cell>
        </row>
        <row r="303">
          <cell r="O303" t="str">
            <v>SC1645A1-BK</v>
          </cell>
          <cell r="P303" t="str">
            <v>STC2899AE</v>
          </cell>
          <cell r="Q303" t="str">
            <v>磁性位置传感器</v>
          </cell>
        </row>
        <row r="304">
          <cell r="O304" t="str">
            <v>SC4688DC-TR-Q</v>
          </cell>
          <cell r="P304" t="str">
            <v>STC9D01C</v>
          </cell>
          <cell r="Q304" t="str">
            <v>角度传感器</v>
          </cell>
        </row>
        <row r="305">
          <cell r="O305" t="str">
            <v>SC4688DC-TR-Q</v>
          </cell>
          <cell r="P305" t="str">
            <v>STC9D01C</v>
          </cell>
          <cell r="Q305" t="str">
            <v>角度传感器</v>
          </cell>
        </row>
        <row r="306">
          <cell r="O306" t="str">
            <v>SC4688SA-BK-Q</v>
          </cell>
          <cell r="P306" t="str">
            <v>STC9D01C</v>
          </cell>
          <cell r="Q306" t="str">
            <v>角度传感器</v>
          </cell>
        </row>
        <row r="307">
          <cell r="O307" t="str">
            <v>SC60228DC-TR</v>
          </cell>
          <cell r="P307" t="str">
            <v>STC9D04C</v>
          </cell>
          <cell r="Q307" t="str">
            <v>电机编码器</v>
          </cell>
        </row>
        <row r="308">
          <cell r="O308" t="str">
            <v>SC60221-U-256-976</v>
          </cell>
          <cell r="P308" t="str">
            <v>STC9D04C</v>
          </cell>
          <cell r="Q308" t="str">
            <v>电机编码器</v>
          </cell>
        </row>
        <row r="309">
          <cell r="O309" t="str">
            <v>SC1445A1</v>
          </cell>
          <cell r="P309" t="str">
            <v>STC2899AB</v>
          </cell>
          <cell r="Q309" t="str">
            <v>磁性位置传感器</v>
          </cell>
        </row>
        <row r="310">
          <cell r="O310" t="str">
            <v>SC1445A1</v>
          </cell>
          <cell r="P310" t="str">
            <v>STC2899AB</v>
          </cell>
          <cell r="Q310" t="str">
            <v>磁性位置传感器</v>
          </cell>
        </row>
        <row r="311">
          <cell r="O311" t="str">
            <v>SC2063SO-TR</v>
          </cell>
          <cell r="P311" t="str">
            <v>STC9G001C</v>
          </cell>
          <cell r="Q311" t="str">
            <v>磁性位置传感器</v>
          </cell>
        </row>
        <row r="312">
          <cell r="O312" t="str">
            <v>SD477VB-BK</v>
          </cell>
          <cell r="P312" t="str">
            <v>STC22304C</v>
          </cell>
          <cell r="Q312" t="str">
            <v>电机驱动</v>
          </cell>
        </row>
        <row r="313">
          <cell r="O313" t="str">
            <v>SC4015SO-N-A-TR</v>
          </cell>
          <cell r="P313" t="str">
            <v>STC4011E</v>
          </cell>
          <cell r="Q313" t="str">
            <v>磁性位置传感器</v>
          </cell>
        </row>
        <row r="314">
          <cell r="O314" t="str">
            <v>SC4015SO-N-TR</v>
          </cell>
          <cell r="P314" t="str">
            <v>STC4011E</v>
          </cell>
          <cell r="Q314" t="str">
            <v>磁性位置传感器</v>
          </cell>
        </row>
        <row r="315">
          <cell r="O315" t="str">
            <v>SC4015SO-N-TR</v>
          </cell>
          <cell r="P315" t="str">
            <v>STC4011E</v>
          </cell>
          <cell r="Q315" t="str">
            <v>磁性位置传感器</v>
          </cell>
        </row>
        <row r="316">
          <cell r="O316" t="str">
            <v>SC4015SO-N-TR</v>
          </cell>
          <cell r="P316" t="str">
            <v>STC4011E</v>
          </cell>
          <cell r="Q316" t="str">
            <v>磁性位置传感器</v>
          </cell>
        </row>
        <row r="317">
          <cell r="O317" t="str">
            <v>SC2442SO-N-TR-Q</v>
          </cell>
          <cell r="P317" t="str">
            <v>STC9906P</v>
          </cell>
          <cell r="Q317" t="str">
            <v>磁性位置传感器</v>
          </cell>
        </row>
        <row r="318">
          <cell r="O318" t="str">
            <v>SC9641TS-P-TR</v>
          </cell>
          <cell r="P318" t="str">
            <v>STC9A001I</v>
          </cell>
          <cell r="Q318" t="str">
            <v>速度传感器</v>
          </cell>
        </row>
        <row r="319">
          <cell r="O319" t="str">
            <v>SC9641TS-PC</v>
          </cell>
          <cell r="P319" t="str">
            <v>STC9A001I</v>
          </cell>
          <cell r="Q319" t="str">
            <v>速度传感器</v>
          </cell>
        </row>
        <row r="320">
          <cell r="O320" t="str">
            <v>SC9641TS-PC</v>
          </cell>
          <cell r="P320" t="str">
            <v>STC9A001I</v>
          </cell>
          <cell r="Q320" t="str">
            <v>速度传感器</v>
          </cell>
        </row>
        <row r="321">
          <cell r="O321" t="str">
            <v>SC9641TS-PC</v>
          </cell>
          <cell r="P321" t="str">
            <v>STC9A001I</v>
          </cell>
          <cell r="Q321" t="str">
            <v>速度传感器</v>
          </cell>
        </row>
        <row r="322">
          <cell r="O322" t="str">
            <v>SC9641TS-PC-TR-Q</v>
          </cell>
          <cell r="P322" t="str">
            <v>STC9A001I</v>
          </cell>
          <cell r="Q322" t="str">
            <v>速度传感器</v>
          </cell>
        </row>
        <row r="323">
          <cell r="O323" t="str">
            <v>SC9641TS-PC-TR-Q</v>
          </cell>
          <cell r="P323" t="str">
            <v>STC9A001I</v>
          </cell>
          <cell r="Q323" t="str">
            <v>速度传感器</v>
          </cell>
        </row>
        <row r="324">
          <cell r="O324" t="str">
            <v>SC9641TS-PC-TR-Q</v>
          </cell>
          <cell r="P324" t="str">
            <v>STC9A001I</v>
          </cell>
          <cell r="Q324" t="str">
            <v>速度传感器</v>
          </cell>
        </row>
        <row r="325">
          <cell r="O325" t="str">
            <v>SC9642TS-EC-TR-Q</v>
          </cell>
          <cell r="P325" t="str">
            <v>STC9A001H</v>
          </cell>
          <cell r="Q325" t="str">
            <v>速度传感器</v>
          </cell>
        </row>
        <row r="326">
          <cell r="O326" t="str">
            <v>SC9642TS-EC-TR-Q</v>
          </cell>
          <cell r="P326" t="str">
            <v>STC9A001H</v>
          </cell>
          <cell r="Q326" t="str">
            <v>速度传感器</v>
          </cell>
        </row>
        <row r="327">
          <cell r="O327" t="str">
            <v>SC4688SA-BK-Q</v>
          </cell>
          <cell r="P327" t="str">
            <v>STC9D01C</v>
          </cell>
          <cell r="Q327" t="str">
            <v>角度传感器</v>
          </cell>
        </row>
        <row r="328">
          <cell r="O328" t="str">
            <v>SC4688SA-BK-Q</v>
          </cell>
          <cell r="P328" t="str">
            <v>STC9D01C</v>
          </cell>
          <cell r="Q328" t="str">
            <v>角度传感器</v>
          </cell>
        </row>
        <row r="329">
          <cell r="O329" t="str">
            <v>SC2402SO-N</v>
          </cell>
          <cell r="P329" t="str">
            <v>STC9902J</v>
          </cell>
          <cell r="Q329" t="str">
            <v>磁性位置传感器</v>
          </cell>
        </row>
        <row r="330">
          <cell r="O330" t="str">
            <v>SC2402SO-N</v>
          </cell>
          <cell r="P330" t="str">
            <v>STC9902J</v>
          </cell>
          <cell r="Q330" t="str">
            <v>磁性位置传感器</v>
          </cell>
        </row>
        <row r="331">
          <cell r="O331" t="str">
            <v>SC2402SO-N</v>
          </cell>
          <cell r="P331" t="str">
            <v>STC9902J</v>
          </cell>
          <cell r="Q331" t="str">
            <v>磁性位置传感器</v>
          </cell>
        </row>
        <row r="332">
          <cell r="O332" t="str">
            <v>SC2402SO-N</v>
          </cell>
          <cell r="P332" t="str">
            <v>STC9902J</v>
          </cell>
          <cell r="Q332" t="str">
            <v>磁性位置传感器</v>
          </cell>
        </row>
        <row r="333">
          <cell r="O333" t="str">
            <v>PSTC4000AF-0</v>
          </cell>
          <cell r="P333" t="str">
            <v>STC4000AF</v>
          </cell>
          <cell r="Q333" t="str">
            <v>磁性位置传感器</v>
          </cell>
        </row>
        <row r="334">
          <cell r="O334" t="str">
            <v>SC2430UA</v>
          </cell>
          <cell r="P334" t="str">
            <v>STC9906I</v>
          </cell>
          <cell r="Q334" t="str">
            <v>磁性位置传感器</v>
          </cell>
        </row>
        <row r="335">
          <cell r="O335" t="str">
            <v>SC2430UA</v>
          </cell>
          <cell r="P335" t="str">
            <v>STC9906I</v>
          </cell>
          <cell r="Q335" t="str">
            <v>磁性位置传感器</v>
          </cell>
        </row>
        <row r="336">
          <cell r="O336" t="str">
            <v>SC2430UA</v>
          </cell>
          <cell r="P336" t="str">
            <v>STC9906I</v>
          </cell>
          <cell r="Q336" t="str">
            <v>磁性位置传感器</v>
          </cell>
        </row>
        <row r="337">
          <cell r="O337" t="str">
            <v>SC2430UA</v>
          </cell>
          <cell r="P337" t="str">
            <v>STC9906I</v>
          </cell>
          <cell r="Q337" t="str">
            <v>磁性位置传感器</v>
          </cell>
        </row>
        <row r="338">
          <cell r="O338" t="str">
            <v>SC2430UA</v>
          </cell>
          <cell r="P338" t="str">
            <v>STC9906I</v>
          </cell>
          <cell r="Q338" t="str">
            <v>磁性位置传感器</v>
          </cell>
        </row>
        <row r="339">
          <cell r="O339" t="str">
            <v>SC9675IM-P-LRF01</v>
          </cell>
          <cell r="P339" t="str">
            <v>STC9A002B</v>
          </cell>
          <cell r="Q339" t="str">
            <v>速度传感器</v>
          </cell>
        </row>
        <row r="340">
          <cell r="O340" t="str">
            <v>SC9675IM-P-HRF00</v>
          </cell>
          <cell r="P340" t="str">
            <v>STC9A002B</v>
          </cell>
          <cell r="Q340" t="str">
            <v>速度传感器</v>
          </cell>
        </row>
        <row r="341">
          <cell r="O341" t="str">
            <v>SC243XUA</v>
          </cell>
          <cell r="P341" t="str">
            <v>STC9906I</v>
          </cell>
          <cell r="Q341" t="str">
            <v>磁性位置传感器</v>
          </cell>
        </row>
        <row r="342">
          <cell r="O342" t="str">
            <v>SC4645VB-12S</v>
          </cell>
          <cell r="P342" t="str">
            <v>STC9D06F</v>
          </cell>
          <cell r="Q342" t="str">
            <v>电流传感器</v>
          </cell>
        </row>
        <row r="343">
          <cell r="O343" t="str">
            <v>SC4645VB-12S</v>
          </cell>
          <cell r="P343" t="str">
            <v>STC9D06F</v>
          </cell>
          <cell r="Q343" t="str">
            <v>电流传感器</v>
          </cell>
        </row>
        <row r="344">
          <cell r="O344" t="str">
            <v>SC2443SO</v>
          </cell>
          <cell r="P344" t="str">
            <v>STC9906T</v>
          </cell>
          <cell r="Q344" t="str">
            <v>磁性位置传感器</v>
          </cell>
        </row>
        <row r="345">
          <cell r="O345" t="str">
            <v>SC2443SO</v>
          </cell>
          <cell r="P345" t="str">
            <v>STC9906T</v>
          </cell>
          <cell r="Q345" t="str">
            <v>磁性位置传感器</v>
          </cell>
        </row>
        <row r="346">
          <cell r="O346" t="str">
            <v>SD477VB-BK</v>
          </cell>
          <cell r="P346" t="str">
            <v>STC22304C</v>
          </cell>
          <cell r="Q346" t="str">
            <v>电机驱动</v>
          </cell>
        </row>
        <row r="347">
          <cell r="O347" t="str">
            <v>SC4688SA-BK-Q</v>
          </cell>
          <cell r="P347" t="str">
            <v>STC9D01C</v>
          </cell>
          <cell r="Q347" t="str">
            <v>角度传感器</v>
          </cell>
        </row>
        <row r="348">
          <cell r="O348" t="str">
            <v>SC4688SA</v>
          </cell>
          <cell r="P348" t="str">
            <v>STC9D01C</v>
          </cell>
          <cell r="Q348" t="str">
            <v>角度传感器</v>
          </cell>
        </row>
        <row r="349">
          <cell r="O349" t="str">
            <v>SYLMV321BSOR</v>
          </cell>
          <cell r="P349" t="str">
            <v>STC9G003B</v>
          </cell>
          <cell r="Q349" t="str">
            <v>其他数模混合</v>
          </cell>
        </row>
        <row r="350">
          <cell r="O350" t="str">
            <v>SC4015SO-N-TR</v>
          </cell>
          <cell r="P350" t="str">
            <v>STC4011E</v>
          </cell>
          <cell r="Q350" t="str">
            <v>磁性位置传感器</v>
          </cell>
        </row>
        <row r="351">
          <cell r="O351" t="str">
            <v>SC4015SO-N-TR</v>
          </cell>
          <cell r="P351" t="str">
            <v>STC4011E</v>
          </cell>
          <cell r="Q351" t="str">
            <v>磁性位置传感器</v>
          </cell>
        </row>
        <row r="352">
          <cell r="O352" t="str">
            <v>SC4015SO-N-TR</v>
          </cell>
          <cell r="P352" t="str">
            <v>STC4011E</v>
          </cell>
          <cell r="Q352" t="str">
            <v>磁性位置传感器</v>
          </cell>
        </row>
        <row r="353">
          <cell r="O353" t="str">
            <v>SC2242SO-TR-Q</v>
          </cell>
          <cell r="P353" t="str">
            <v>STC9906H</v>
          </cell>
          <cell r="Q353" t="str">
            <v>磁性位置传感器</v>
          </cell>
        </row>
        <row r="354">
          <cell r="O354" t="str">
            <v>SC2402UA</v>
          </cell>
          <cell r="P354" t="str">
            <v>STC9902J</v>
          </cell>
          <cell r="Q354" t="str">
            <v>磁性位置传感器</v>
          </cell>
        </row>
        <row r="355">
          <cell r="O355" t="str">
            <v>SC2402UA</v>
          </cell>
          <cell r="P355" t="str">
            <v>STC9902J</v>
          </cell>
          <cell r="Q355" t="str">
            <v>磁性位置传感器</v>
          </cell>
        </row>
        <row r="356">
          <cell r="O356" t="str">
            <v>SC2442UA</v>
          </cell>
          <cell r="P356" t="str">
            <v>STC11102B</v>
          </cell>
          <cell r="Q356" t="str">
            <v>磁性位置传感器</v>
          </cell>
        </row>
        <row r="357">
          <cell r="O357" t="str">
            <v>SC2402SO-N-TR</v>
          </cell>
          <cell r="P357" t="str">
            <v>STC9G002A</v>
          </cell>
          <cell r="Q357" t="str">
            <v>磁性位置传感器</v>
          </cell>
        </row>
        <row r="358">
          <cell r="O358" t="str">
            <v>SC2402SO-N-TR</v>
          </cell>
          <cell r="P358" t="str">
            <v>STC9G002A</v>
          </cell>
          <cell r="Q358" t="str">
            <v>磁性位置传感器</v>
          </cell>
        </row>
        <row r="359">
          <cell r="O359" t="str">
            <v>SC2402SO-N-TR</v>
          </cell>
          <cell r="P359" t="str">
            <v>STC9G002A</v>
          </cell>
          <cell r="Q359" t="str">
            <v>磁性位置传感器</v>
          </cell>
        </row>
        <row r="360">
          <cell r="O360" t="str">
            <v>SC9641TS-PC-TR-Q</v>
          </cell>
          <cell r="P360" t="str">
            <v>STC9A001I</v>
          </cell>
          <cell r="Q360" t="str">
            <v>速度传感器</v>
          </cell>
        </row>
        <row r="361">
          <cell r="O361" t="str">
            <v>SC9641TS-PC-TR-Q</v>
          </cell>
          <cell r="P361" t="str">
            <v>STC9A001I</v>
          </cell>
          <cell r="Q361" t="str">
            <v>速度传感器</v>
          </cell>
        </row>
        <row r="362">
          <cell r="O362" t="str">
            <v>SC9641TS-PC-TR-Q</v>
          </cell>
          <cell r="P362" t="str">
            <v>STC9A001I</v>
          </cell>
          <cell r="Q362" t="str">
            <v>速度传感器</v>
          </cell>
        </row>
        <row r="363">
          <cell r="O363" t="str">
            <v>SC9641TS-PC-TR-Q</v>
          </cell>
          <cell r="P363" t="str">
            <v>STC9A001I</v>
          </cell>
          <cell r="Q363" t="str">
            <v>速度传感器</v>
          </cell>
        </row>
        <row r="364">
          <cell r="O364" t="str">
            <v>SC9641TS-P-TR</v>
          </cell>
          <cell r="P364" t="str">
            <v>STC9A001I</v>
          </cell>
          <cell r="Q364" t="str">
            <v>速度传感器</v>
          </cell>
        </row>
        <row r="365">
          <cell r="O365" t="str">
            <v>SC9641TS-P-TR</v>
          </cell>
          <cell r="P365" t="str">
            <v>STC9A001I</v>
          </cell>
          <cell r="Q365" t="str">
            <v>速度传感器</v>
          </cell>
        </row>
        <row r="366">
          <cell r="O366" t="str">
            <v>SC9641TS-P-TR</v>
          </cell>
          <cell r="P366" t="str">
            <v>STC9A001I</v>
          </cell>
          <cell r="Q366" t="str">
            <v>速度传感器</v>
          </cell>
        </row>
        <row r="367">
          <cell r="O367" t="str">
            <v>SC9314UA-BK</v>
          </cell>
          <cell r="P367" t="str">
            <v>STC9901AF</v>
          </cell>
          <cell r="Q367" t="str">
            <v>速度传感器</v>
          </cell>
        </row>
        <row r="368">
          <cell r="O368" t="str">
            <v>SC9314UA-BK</v>
          </cell>
          <cell r="P368" t="str">
            <v>STC9901AF</v>
          </cell>
          <cell r="Q368" t="str">
            <v>速度传感器</v>
          </cell>
        </row>
        <row r="369">
          <cell r="O369" t="str">
            <v>SC2432SO-N</v>
          </cell>
          <cell r="P369" t="str">
            <v>STC9906I</v>
          </cell>
          <cell r="Q369" t="str">
            <v>磁性位置传感器</v>
          </cell>
        </row>
        <row r="370">
          <cell r="O370" t="str">
            <v>SC4643VB-S-BK-Q</v>
          </cell>
          <cell r="P370" t="str">
            <v>STC9D03E</v>
          </cell>
          <cell r="Q370" t="str">
            <v>电流传感器</v>
          </cell>
        </row>
        <row r="371">
          <cell r="O371" t="str">
            <v>SC4643VB-S-BK-Q</v>
          </cell>
          <cell r="P371" t="str">
            <v>STC9D03E</v>
          </cell>
          <cell r="Q371" t="str">
            <v>电流传感器</v>
          </cell>
        </row>
        <row r="372">
          <cell r="O372" t="str">
            <v>SC4643VB-P</v>
          </cell>
          <cell r="P372" t="str">
            <v>STC9D03E</v>
          </cell>
          <cell r="Q372" t="str">
            <v>电流传感器</v>
          </cell>
        </row>
        <row r="373">
          <cell r="O373" t="str">
            <v>3100</v>
          </cell>
          <cell r="P373" t="str">
            <v>STC9D06G</v>
          </cell>
          <cell r="Q373" t="str">
            <v>电流传感器</v>
          </cell>
        </row>
        <row r="374">
          <cell r="O374" t="str">
            <v>SC9642TS-EC-TR-Q</v>
          </cell>
          <cell r="P374" t="str">
            <v>STC9A001H</v>
          </cell>
          <cell r="Q374" t="str">
            <v>速度传感器</v>
          </cell>
        </row>
        <row r="375">
          <cell r="O375" t="str">
            <v>SC1002A3-BK</v>
          </cell>
          <cell r="P375" t="str">
            <v>STC1002AG</v>
          </cell>
          <cell r="Q375" t="str">
            <v>磁性位置传感器</v>
          </cell>
        </row>
        <row r="376">
          <cell r="O376" t="str">
            <v>SD477VB-BK</v>
          </cell>
          <cell r="P376" t="str">
            <v>STC22304C</v>
          </cell>
          <cell r="Q376" t="str">
            <v>电机驱动</v>
          </cell>
        </row>
        <row r="377">
          <cell r="O377" t="str">
            <v>SC2462UA-BK</v>
          </cell>
          <cell r="P377" t="str">
            <v>STC9906J</v>
          </cell>
          <cell r="Q377" t="str">
            <v>磁性位置传感器</v>
          </cell>
        </row>
        <row r="378">
          <cell r="O378" t="str">
            <v>SC1645A1-BK</v>
          </cell>
          <cell r="P378" t="str">
            <v>STC2899AE</v>
          </cell>
          <cell r="Q378" t="str">
            <v>磁性位置传感器</v>
          </cell>
        </row>
        <row r="379">
          <cell r="O379" t="str">
            <v>SC1645A1-BK</v>
          </cell>
          <cell r="P379" t="str">
            <v>STC2899AE</v>
          </cell>
          <cell r="Q379" t="str">
            <v>磁性位置传感器</v>
          </cell>
        </row>
        <row r="380">
          <cell r="O380" t="str">
            <v>SC4011SO-N-TR</v>
          </cell>
          <cell r="P380" t="str">
            <v>STC4011B</v>
          </cell>
          <cell r="Q380" t="str">
            <v>磁性位置传感器</v>
          </cell>
        </row>
        <row r="381">
          <cell r="O381" t="str">
            <v>SC4011SO-N-TR</v>
          </cell>
          <cell r="P381" t="str">
            <v>STC4011B</v>
          </cell>
          <cell r="Q381" t="str">
            <v>磁性位置传感器</v>
          </cell>
        </row>
        <row r="382">
          <cell r="O382" t="str">
            <v>SC4011SO-N-TR</v>
          </cell>
          <cell r="P382" t="str">
            <v>STC4011B</v>
          </cell>
          <cell r="Q382" t="str">
            <v>磁性位置传感器</v>
          </cell>
        </row>
        <row r="383">
          <cell r="O383" t="str">
            <v>SC4011SO-N-TR</v>
          </cell>
          <cell r="P383" t="str">
            <v>STC4011B</v>
          </cell>
          <cell r="Q383" t="str">
            <v>磁性位置传感器</v>
          </cell>
        </row>
        <row r="384">
          <cell r="O384" t="str">
            <v>SC2402SO-N-TR</v>
          </cell>
          <cell r="P384" t="str">
            <v>STC9H001A</v>
          </cell>
          <cell r="Q384" t="str">
            <v>磁性位置传感器</v>
          </cell>
        </row>
        <row r="385">
          <cell r="O385" t="str">
            <v>SC2402SO-N-TR</v>
          </cell>
          <cell r="P385" t="str">
            <v>STC9H001A</v>
          </cell>
          <cell r="Q385" t="str">
            <v>磁性位置传感器</v>
          </cell>
        </row>
        <row r="386">
          <cell r="O386" t="str">
            <v>SC2402SO-N-TR</v>
          </cell>
          <cell r="P386" t="str">
            <v>STC9H001A</v>
          </cell>
          <cell r="Q386" t="str">
            <v>磁性位置传感器</v>
          </cell>
        </row>
        <row r="387">
          <cell r="O387" t="str">
            <v>SC2402SO-N-TR</v>
          </cell>
          <cell r="P387" t="str">
            <v>STC9H001A</v>
          </cell>
          <cell r="Q387" t="str">
            <v>磁性位置传感器</v>
          </cell>
        </row>
        <row r="388">
          <cell r="O388" t="str">
            <v>SC4923SO-N-TR</v>
          </cell>
          <cell r="P388" t="str">
            <v>SC4009B</v>
          </cell>
          <cell r="Q388" t="str">
            <v>磁性位置传感器</v>
          </cell>
        </row>
        <row r="389">
          <cell r="O389" t="str">
            <v>SC4923SO-N-TR</v>
          </cell>
          <cell r="P389" t="str">
            <v>SC4009D</v>
          </cell>
          <cell r="Q389" t="str">
            <v>磁性位置传感器</v>
          </cell>
        </row>
        <row r="390">
          <cell r="O390" t="str">
            <v>SC4923SO-N-TR</v>
          </cell>
          <cell r="P390" t="str">
            <v>SC4009D</v>
          </cell>
          <cell r="Q390" t="str">
            <v>磁性位置传感器</v>
          </cell>
        </row>
        <row r="391">
          <cell r="O391" t="str">
            <v>SC4015SO-N-TR</v>
          </cell>
          <cell r="P391" t="str">
            <v>STC4011E</v>
          </cell>
          <cell r="Q391" t="str">
            <v>磁性位置传感器</v>
          </cell>
        </row>
        <row r="392">
          <cell r="O392" t="str">
            <v>SC4015SO-N-TR</v>
          </cell>
          <cell r="P392" t="str">
            <v>STC4011E</v>
          </cell>
          <cell r="Q392" t="str">
            <v>磁性位置传感器</v>
          </cell>
        </row>
        <row r="393">
          <cell r="O393" t="str">
            <v>SC4015SO-N-TR</v>
          </cell>
          <cell r="P393" t="str">
            <v>STC4011E</v>
          </cell>
          <cell r="Q393" t="str">
            <v>磁性位置传感器</v>
          </cell>
        </row>
        <row r="394">
          <cell r="O394" t="str">
            <v>SC4015SO-N-TR</v>
          </cell>
          <cell r="P394" t="str">
            <v>STC4011E</v>
          </cell>
          <cell r="Q394" t="str">
            <v>磁性位置传感器</v>
          </cell>
        </row>
        <row r="395">
          <cell r="O395" t="str">
            <v>SC69401-A</v>
          </cell>
          <cell r="P395" t="str">
            <v>STC9H002DQ</v>
          </cell>
          <cell r="Q395" t="str">
            <v>角度传感器</v>
          </cell>
        </row>
        <row r="396">
          <cell r="O396" t="str">
            <v>SC2448SO</v>
          </cell>
          <cell r="P396" t="str">
            <v>STC9906S</v>
          </cell>
          <cell r="Q396" t="str">
            <v>磁性位置传感器</v>
          </cell>
        </row>
        <row r="397">
          <cell r="O397" t="str">
            <v>SC2448SO</v>
          </cell>
          <cell r="P397" t="str">
            <v>STC9906S</v>
          </cell>
          <cell r="Q397" t="str">
            <v>磁性位置传感器</v>
          </cell>
        </row>
        <row r="398">
          <cell r="O398" t="str">
            <v>SC2448SO</v>
          </cell>
          <cell r="P398" t="str">
            <v>STC9906S</v>
          </cell>
          <cell r="Q398" t="str">
            <v>磁性位置传感器</v>
          </cell>
        </row>
        <row r="399">
          <cell r="O399" t="str">
            <v>SC2448SO</v>
          </cell>
          <cell r="P399" t="str">
            <v>STC9906S</v>
          </cell>
          <cell r="Q399" t="str">
            <v>磁性位置传感器</v>
          </cell>
        </row>
        <row r="400">
          <cell r="O400" t="str">
            <v>SC2242SO-TR-Q</v>
          </cell>
          <cell r="P400" t="str">
            <v>STC9906H</v>
          </cell>
          <cell r="Q400" t="str">
            <v>磁性位置传感器</v>
          </cell>
        </row>
        <row r="401">
          <cell r="O401" t="str">
            <v>SC2242SO-TR-Q</v>
          </cell>
          <cell r="P401" t="str">
            <v>STC9906H</v>
          </cell>
          <cell r="Q401" t="str">
            <v>磁性位置传感器</v>
          </cell>
        </row>
        <row r="402">
          <cell r="O402" t="str">
            <v>SC4645VB</v>
          </cell>
          <cell r="P402" t="str">
            <v>STC9D06F</v>
          </cell>
          <cell r="Q402" t="str">
            <v>电流传感器</v>
          </cell>
        </row>
        <row r="403">
          <cell r="O403" t="str">
            <v>SC9641TS-P-TR</v>
          </cell>
          <cell r="P403" t="str">
            <v>STC9A001I</v>
          </cell>
          <cell r="Q403" t="str">
            <v>速度传感器</v>
          </cell>
        </row>
        <row r="404">
          <cell r="O404" t="str">
            <v>SC9641TS-P-TR</v>
          </cell>
          <cell r="P404" t="str">
            <v>STC9A001I</v>
          </cell>
          <cell r="Q404" t="str">
            <v>速度传感器</v>
          </cell>
        </row>
        <row r="405">
          <cell r="O405" t="str">
            <v>SC4019S7-BK</v>
          </cell>
          <cell r="P405" t="str">
            <v>STC4011C</v>
          </cell>
          <cell r="Q405" t="str">
            <v>磁性位置传感器</v>
          </cell>
        </row>
        <row r="406">
          <cell r="O406" t="str">
            <v>SC4019S7-BK</v>
          </cell>
          <cell r="P406" t="str">
            <v>STC4011C</v>
          </cell>
          <cell r="Q406" t="str">
            <v>磁性位置传感器</v>
          </cell>
        </row>
        <row r="407">
          <cell r="O407" t="str">
            <v>SC2442SO</v>
          </cell>
          <cell r="P407" t="str">
            <v>STC11102B</v>
          </cell>
          <cell r="Q407" t="str">
            <v>磁性位置传感器</v>
          </cell>
        </row>
        <row r="408">
          <cell r="O408" t="str">
            <v>SC4688SA-BK-Q</v>
          </cell>
          <cell r="P408" t="str">
            <v>STC9D01C</v>
          </cell>
          <cell r="Q408" t="str">
            <v>角度传感器</v>
          </cell>
        </row>
        <row r="409">
          <cell r="O409" t="str">
            <v>SC4688SA-BK-Q</v>
          </cell>
          <cell r="P409" t="str">
            <v>STC9D01C</v>
          </cell>
          <cell r="Q409" t="str">
            <v>角度传感器</v>
          </cell>
        </row>
        <row r="410">
          <cell r="O410" t="str">
            <v>SC4688SA-BK-Q</v>
          </cell>
          <cell r="P410" t="str">
            <v>STC9D01C</v>
          </cell>
          <cell r="Q410" t="str">
            <v>角度传感器</v>
          </cell>
        </row>
        <row r="411">
          <cell r="O411" t="str">
            <v>SC4688SA-BK-Q</v>
          </cell>
          <cell r="P411" t="str">
            <v>STC9D01C</v>
          </cell>
          <cell r="Q411" t="str">
            <v>角度传感器</v>
          </cell>
        </row>
        <row r="412">
          <cell r="O412" t="str">
            <v>SC4688SA-BK-Q</v>
          </cell>
          <cell r="P412" t="str">
            <v>STC9D01C</v>
          </cell>
          <cell r="Q412" t="str">
            <v>角度传感器</v>
          </cell>
        </row>
        <row r="413">
          <cell r="O413" t="str">
            <v>SC4688SA-BK-Q</v>
          </cell>
          <cell r="P413" t="str">
            <v>STC9D01C</v>
          </cell>
          <cell r="Q413" t="str">
            <v>角度传感器</v>
          </cell>
        </row>
        <row r="414">
          <cell r="O414" t="str">
            <v>SC4643VB</v>
          </cell>
          <cell r="P414" t="str">
            <v>STC9D03E</v>
          </cell>
          <cell r="Q414" t="str">
            <v>电流传感器</v>
          </cell>
        </row>
        <row r="415">
          <cell r="O415" t="str">
            <v>SC69401D</v>
          </cell>
          <cell r="P415" t="str">
            <v>STC9H002DQ</v>
          </cell>
          <cell r="Q415" t="str">
            <v>角度传感器</v>
          </cell>
        </row>
        <row r="416">
          <cell r="O416" t="str">
            <v>SC9632VB-BK</v>
          </cell>
          <cell r="P416" t="str">
            <v>STC9905E</v>
          </cell>
          <cell r="Q416" t="str">
            <v>速度传感器</v>
          </cell>
        </row>
        <row r="417">
          <cell r="O417" t="str">
            <v>SC60340</v>
          </cell>
          <cell r="P417" t="str">
            <v>STC9D05B</v>
          </cell>
          <cell r="Q417" t="str">
            <v>电机编码器</v>
          </cell>
        </row>
        <row r="418">
          <cell r="O418" t="str">
            <v>SC4688DC-TR-Q</v>
          </cell>
          <cell r="P418" t="str">
            <v>STC9D01C</v>
          </cell>
          <cell r="Q418" t="str">
            <v>角度传感器</v>
          </cell>
        </row>
        <row r="419">
          <cell r="O419" t="str">
            <v>SC9641TS-PC</v>
          </cell>
          <cell r="P419" t="str">
            <v>STC9A001I</v>
          </cell>
          <cell r="Q419" t="str">
            <v>速度传感器</v>
          </cell>
        </row>
        <row r="420">
          <cell r="O420" t="str">
            <v>SC1645A1-BK</v>
          </cell>
          <cell r="P420" t="str">
            <v>STC2899AE</v>
          </cell>
          <cell r="Q420" t="str">
            <v>磁性位置传感器</v>
          </cell>
        </row>
        <row r="421">
          <cell r="O421" t="str">
            <v>SC1645A1-BK</v>
          </cell>
          <cell r="P421" t="str">
            <v>STC2899AE</v>
          </cell>
          <cell r="Q421" t="str">
            <v>磁性位置传感器</v>
          </cell>
        </row>
        <row r="422">
          <cell r="O422" t="str">
            <v>SC1645A1-BK</v>
          </cell>
          <cell r="P422" t="str">
            <v>STC2899AE</v>
          </cell>
          <cell r="Q422" t="str">
            <v>磁性位置传感器</v>
          </cell>
        </row>
        <row r="423">
          <cell r="O423" t="str">
            <v>SC1645A1-BK</v>
          </cell>
          <cell r="P423" t="str">
            <v>STC2899AE</v>
          </cell>
          <cell r="Q423" t="str">
            <v>磁性位置传感器</v>
          </cell>
        </row>
        <row r="424">
          <cell r="O424" t="str">
            <v>SC1645S1-BK</v>
          </cell>
          <cell r="P424" t="str">
            <v>STC2899AI</v>
          </cell>
          <cell r="Q424" t="str">
            <v>磁性位置传感器</v>
          </cell>
        </row>
        <row r="425">
          <cell r="O425" t="str">
            <v>SC1645S1-BK</v>
          </cell>
          <cell r="P425" t="str">
            <v>STC2899AI</v>
          </cell>
          <cell r="Q425" t="str">
            <v>磁性位置传感器</v>
          </cell>
        </row>
        <row r="426">
          <cell r="O426" t="str">
            <v>SC1645S1-BK</v>
          </cell>
          <cell r="P426" t="str">
            <v>STC2899AI</v>
          </cell>
          <cell r="Q426" t="str">
            <v>磁性位置传感器</v>
          </cell>
        </row>
        <row r="427">
          <cell r="O427" t="str">
            <v>SC1645B1</v>
          </cell>
          <cell r="P427" t="str">
            <v>STC2899AI</v>
          </cell>
          <cell r="Q427" t="str">
            <v>磁性位置传感器</v>
          </cell>
        </row>
        <row r="428">
          <cell r="O428" t="str">
            <v>SC1645B1</v>
          </cell>
          <cell r="P428" t="str">
            <v>STC2899AI</v>
          </cell>
          <cell r="Q428" t="str">
            <v>磁性位置传感器</v>
          </cell>
        </row>
        <row r="429">
          <cell r="O429" t="str">
            <v>SC1645B1</v>
          </cell>
          <cell r="P429" t="str">
            <v>STC2899AI</v>
          </cell>
          <cell r="Q429" t="str">
            <v>磁性位置传感器</v>
          </cell>
        </row>
        <row r="430">
          <cell r="O430" t="str">
            <v>SC1645B1</v>
          </cell>
          <cell r="P430" t="str">
            <v>STC2899AI</v>
          </cell>
          <cell r="Q430" t="str">
            <v>磁性位置传感器</v>
          </cell>
        </row>
        <row r="431">
          <cell r="O431" t="str">
            <v>SC1645B1</v>
          </cell>
          <cell r="P431" t="str">
            <v>STC2899AI</v>
          </cell>
          <cell r="Q431" t="str">
            <v>磁性位置传感器</v>
          </cell>
        </row>
        <row r="432">
          <cell r="O432" t="str">
            <v>SC1645A1-BK</v>
          </cell>
          <cell r="P432" t="str">
            <v>STC2899AE</v>
          </cell>
          <cell r="Q432" t="str">
            <v>磁性位置传感器</v>
          </cell>
        </row>
        <row r="433">
          <cell r="O433" t="str">
            <v>SC1645A1-BK</v>
          </cell>
          <cell r="P433" t="str">
            <v>STC2899AE</v>
          </cell>
          <cell r="Q433" t="str">
            <v>磁性位置传感器</v>
          </cell>
        </row>
        <row r="434">
          <cell r="O434" t="str">
            <v>SC1645A1-BK</v>
          </cell>
          <cell r="P434" t="str">
            <v>STC2899AE</v>
          </cell>
          <cell r="Q434" t="str">
            <v>磁性位置传感器</v>
          </cell>
        </row>
        <row r="435">
          <cell r="O435" t="str">
            <v>SC1645A1-BK</v>
          </cell>
          <cell r="P435" t="str">
            <v>STC2899AE</v>
          </cell>
          <cell r="Q435" t="str">
            <v>磁性位置传感器</v>
          </cell>
        </row>
        <row r="436">
          <cell r="O436" t="str">
            <v>SC2462SO</v>
          </cell>
          <cell r="P436" t="str">
            <v>STC9906J</v>
          </cell>
          <cell r="Q436" t="str">
            <v>磁性位置传感器</v>
          </cell>
        </row>
        <row r="437">
          <cell r="O437" t="str">
            <v>SC60221-U-P1-256-244-mai</v>
          </cell>
          <cell r="P437" t="str">
            <v>STC9D04C</v>
          </cell>
          <cell r="Q437" t="str">
            <v>电机编码器</v>
          </cell>
        </row>
        <row r="438">
          <cell r="O438" t="str">
            <v>SC60221-U-P1-256-244-mai</v>
          </cell>
          <cell r="P438" t="str">
            <v>STC9D04C</v>
          </cell>
          <cell r="Q438" t="str">
            <v>电机编码器</v>
          </cell>
        </row>
        <row r="439">
          <cell r="O439" t="str">
            <v>SC60221-D-360</v>
          </cell>
          <cell r="P439" t="str">
            <v>STC9D04C</v>
          </cell>
          <cell r="Q439" t="str">
            <v>电机编码器</v>
          </cell>
        </row>
        <row r="440">
          <cell r="O440" t="str">
            <v>SC60224-D-1024</v>
          </cell>
          <cell r="P440" t="str">
            <v>STC9D04C</v>
          </cell>
          <cell r="Q440" t="str">
            <v>电机编码器</v>
          </cell>
        </row>
        <row r="441">
          <cell r="O441" t="str">
            <v>SC60224-D-1024</v>
          </cell>
          <cell r="P441" t="str">
            <v>STC9D04C</v>
          </cell>
          <cell r="Q441" t="str">
            <v>电机编码器</v>
          </cell>
        </row>
        <row r="442">
          <cell r="O442" t="str">
            <v>SC60221-U-P1-256-244-mai</v>
          </cell>
          <cell r="P442" t="str">
            <v>STC9D04C</v>
          </cell>
          <cell r="Q442" t="str">
            <v>电机编码器</v>
          </cell>
        </row>
        <row r="443">
          <cell r="O443" t="str">
            <v>SC1002N1W</v>
          </cell>
          <cell r="P443" t="str">
            <v>STC1002AL</v>
          </cell>
          <cell r="Q443" t="str">
            <v>磁性位置传感器</v>
          </cell>
        </row>
        <row r="444">
          <cell r="O444" t="str">
            <v>SC2063SO-TR</v>
          </cell>
          <cell r="P444" t="str">
            <v>STC9G001C</v>
          </cell>
          <cell r="Q444" t="str">
            <v>磁性位置传感器</v>
          </cell>
        </row>
        <row r="445">
          <cell r="O445" t="str">
            <v>SD477VB-BK</v>
          </cell>
          <cell r="P445" t="str">
            <v>STC22304C</v>
          </cell>
          <cell r="Q445" t="str">
            <v>电机驱动</v>
          </cell>
        </row>
        <row r="446">
          <cell r="O446" t="str">
            <v>SD2276VB-BK</v>
          </cell>
          <cell r="P446" t="str">
            <v>FD1014A</v>
          </cell>
          <cell r="Q446" t="str">
            <v>电机驱动</v>
          </cell>
        </row>
        <row r="447">
          <cell r="O447" t="str">
            <v>SD2276VB-BK</v>
          </cell>
          <cell r="P447" t="str">
            <v>FD1014A</v>
          </cell>
          <cell r="Q447" t="str">
            <v>电机驱动</v>
          </cell>
        </row>
        <row r="448">
          <cell r="O448" t="str">
            <v>SC2064SO-TR</v>
          </cell>
          <cell r="P448" t="str">
            <v>STC9G001C</v>
          </cell>
          <cell r="Q448" t="str">
            <v>磁性位置传感器</v>
          </cell>
        </row>
        <row r="449">
          <cell r="O449" t="str">
            <v>SC1645A1</v>
          </cell>
          <cell r="P449" t="str">
            <v>STC2899AI</v>
          </cell>
          <cell r="Q449" t="str">
            <v>磁性位置传感器</v>
          </cell>
        </row>
        <row r="450">
          <cell r="O450" t="str">
            <v>SC4011SO-N-TR</v>
          </cell>
          <cell r="P450" t="str">
            <v>STC4011B</v>
          </cell>
          <cell r="Q450" t="str">
            <v>磁性位置传感器</v>
          </cell>
        </row>
        <row r="451">
          <cell r="O451" t="str">
            <v>SC4011SO-N-TR</v>
          </cell>
          <cell r="P451" t="str">
            <v>STC4011B</v>
          </cell>
          <cell r="Q451" t="str">
            <v>磁性位置传感器</v>
          </cell>
        </row>
        <row r="452">
          <cell r="O452" t="str">
            <v>SC4011SO-N-TR</v>
          </cell>
          <cell r="P452" t="str">
            <v>STC4011B</v>
          </cell>
          <cell r="Q452" t="str">
            <v>磁性位置传感器</v>
          </cell>
        </row>
        <row r="453">
          <cell r="O453" t="str">
            <v>SC4923SO-N-TR</v>
          </cell>
          <cell r="P453" t="str">
            <v>SC4009D</v>
          </cell>
          <cell r="Q453" t="str">
            <v>磁性位置传感器</v>
          </cell>
        </row>
        <row r="454">
          <cell r="O454" t="str">
            <v>SC4015SO-N-TR</v>
          </cell>
          <cell r="P454" t="str">
            <v>STC4011E</v>
          </cell>
          <cell r="Q454" t="str">
            <v>磁性位置传感器</v>
          </cell>
        </row>
        <row r="455">
          <cell r="O455" t="str">
            <v>SC4015SO-N-TR</v>
          </cell>
          <cell r="P455" t="str">
            <v>STC4011E</v>
          </cell>
          <cell r="Q455" t="str">
            <v>磁性位置传感器</v>
          </cell>
        </row>
        <row r="456">
          <cell r="O456" t="str">
            <v>SC4015SO-N-TR</v>
          </cell>
          <cell r="P456" t="str">
            <v>STC4011E</v>
          </cell>
          <cell r="Q456" t="str">
            <v>磁性位置传感器</v>
          </cell>
        </row>
        <row r="457">
          <cell r="O457" t="str">
            <v>SC4015SO-N-TR</v>
          </cell>
          <cell r="P457" t="str">
            <v>STC4011E</v>
          </cell>
          <cell r="Q457" t="str">
            <v>磁性位置传感器</v>
          </cell>
        </row>
        <row r="458">
          <cell r="O458" t="str">
            <v>SC4015SO-N-TR</v>
          </cell>
          <cell r="P458" t="str">
            <v>STC4011E</v>
          </cell>
          <cell r="Q458" t="str">
            <v>磁性位置传感器</v>
          </cell>
        </row>
        <row r="459">
          <cell r="O459" t="str">
            <v>SC4015SO-N-TR</v>
          </cell>
          <cell r="P459" t="str">
            <v>STC4011E</v>
          </cell>
          <cell r="Q459" t="str">
            <v>磁性位置传感器</v>
          </cell>
        </row>
        <row r="460">
          <cell r="O460" t="str">
            <v>SC4645VB</v>
          </cell>
          <cell r="P460" t="str">
            <v>STC9D06F</v>
          </cell>
          <cell r="Q460" t="str">
            <v>电流传感器</v>
          </cell>
        </row>
        <row r="461">
          <cell r="O461" t="str">
            <v>SC4104SE</v>
          </cell>
          <cell r="P461" t="str">
            <v>STC11201B1</v>
          </cell>
          <cell r="Q461" t="str">
            <v>磁性位置传感器</v>
          </cell>
        </row>
        <row r="462">
          <cell r="O462" t="str">
            <v>SC2242SO-TR-Q</v>
          </cell>
          <cell r="P462" t="str">
            <v>STC9906H</v>
          </cell>
          <cell r="Q462" t="str">
            <v>磁性位置传感器</v>
          </cell>
        </row>
        <row r="463">
          <cell r="O463" t="str">
            <v>SC2402SO-N-TR</v>
          </cell>
          <cell r="P463" t="str">
            <v>STC9G002A</v>
          </cell>
          <cell r="Q463" t="str">
            <v>磁性位置传感器</v>
          </cell>
        </row>
        <row r="464">
          <cell r="O464" t="str">
            <v>STC4011B-DS</v>
          </cell>
          <cell r="P464" t="str">
            <v>STC4011B</v>
          </cell>
          <cell r="Q464" t="str">
            <v>磁性位置传感器</v>
          </cell>
        </row>
        <row r="465">
          <cell r="O465" t="str">
            <v>STC4011B-DS</v>
          </cell>
          <cell r="P465" t="str">
            <v>STC4011B</v>
          </cell>
          <cell r="Q465" t="str">
            <v>磁性位置传感器</v>
          </cell>
        </row>
        <row r="466">
          <cell r="O466" t="str">
            <v>SC9641TS-PC-TR-Q</v>
          </cell>
          <cell r="P466" t="str">
            <v>STC9A001I</v>
          </cell>
          <cell r="Q466" t="str">
            <v>速度传感器</v>
          </cell>
        </row>
        <row r="467">
          <cell r="O467" t="str">
            <v>SC9641TS-PC-TR-Q</v>
          </cell>
          <cell r="P467" t="str">
            <v>STC9A001I</v>
          </cell>
          <cell r="Q467" t="str">
            <v>速度传感器</v>
          </cell>
        </row>
        <row r="468">
          <cell r="O468" t="str">
            <v>SC9641TS-P-TR</v>
          </cell>
          <cell r="P468" t="str">
            <v>STC9A001I</v>
          </cell>
          <cell r="Q468" t="str">
            <v>速度传感器</v>
          </cell>
        </row>
        <row r="469">
          <cell r="O469" t="str">
            <v>SC9641TS-P-TR</v>
          </cell>
          <cell r="P469" t="str">
            <v>STC9A001I</v>
          </cell>
          <cell r="Q469" t="str">
            <v>速度传感器</v>
          </cell>
        </row>
        <row r="470">
          <cell r="O470" t="str">
            <v>SC9641TS-P-TR</v>
          </cell>
          <cell r="P470" t="str">
            <v>STC9A001I</v>
          </cell>
          <cell r="Q470" t="str">
            <v>速度传感器</v>
          </cell>
        </row>
        <row r="471">
          <cell r="O471" t="str">
            <v>SC9641TS-P-TR</v>
          </cell>
          <cell r="P471" t="str">
            <v>STC9A001I</v>
          </cell>
          <cell r="Q471" t="str">
            <v>速度传感器</v>
          </cell>
        </row>
        <row r="472">
          <cell r="O472" t="str">
            <v>SC9641TS-P-TR</v>
          </cell>
          <cell r="P472" t="str">
            <v>STC9A001I</v>
          </cell>
          <cell r="Q472" t="str">
            <v>速度传感器</v>
          </cell>
        </row>
        <row r="473">
          <cell r="O473" t="str">
            <v>SC9641TS-P-TR</v>
          </cell>
          <cell r="P473" t="str">
            <v>STC9A001I</v>
          </cell>
          <cell r="Q473" t="str">
            <v>速度传感器</v>
          </cell>
        </row>
        <row r="474">
          <cell r="O474" t="str">
            <v>SC9641TS-P-TR</v>
          </cell>
          <cell r="P474" t="str">
            <v>STC9A001I</v>
          </cell>
          <cell r="Q474" t="str">
            <v>速度传感器</v>
          </cell>
        </row>
        <row r="475">
          <cell r="O475" t="str">
            <v>SC9641TS-P-TR</v>
          </cell>
          <cell r="P475" t="str">
            <v>STC9A001I</v>
          </cell>
          <cell r="Q475" t="str">
            <v>速度传感器</v>
          </cell>
        </row>
        <row r="476">
          <cell r="O476" t="str">
            <v>SC9641TS-P-TR</v>
          </cell>
          <cell r="P476" t="str">
            <v>STC9A001I</v>
          </cell>
          <cell r="Q476" t="str">
            <v>速度传感器</v>
          </cell>
        </row>
        <row r="477">
          <cell r="O477" t="str">
            <v>SC9641TS-P-TR</v>
          </cell>
          <cell r="P477" t="str">
            <v>STC9A001I</v>
          </cell>
          <cell r="Q477" t="str">
            <v>速度传感器</v>
          </cell>
        </row>
        <row r="478">
          <cell r="O478" t="str">
            <v>SC4688SA-BK-Q</v>
          </cell>
          <cell r="P478" t="str">
            <v>STC9D01C</v>
          </cell>
          <cell r="Q478" t="str">
            <v>角度传感器</v>
          </cell>
        </row>
        <row r="479">
          <cell r="O479" t="str">
            <v>SC4688DC-TR-Q</v>
          </cell>
          <cell r="P479" t="str">
            <v>STC9D01C</v>
          </cell>
          <cell r="Q479" t="str">
            <v>角度传感器</v>
          </cell>
        </row>
        <row r="480">
          <cell r="O480" t="str">
            <v>SC4688SA-BK-Q</v>
          </cell>
          <cell r="P480" t="str">
            <v>STC9D01C</v>
          </cell>
          <cell r="Q480" t="str">
            <v>角度传感器</v>
          </cell>
        </row>
        <row r="481">
          <cell r="O481" t="str">
            <v>SC1138SO-N</v>
          </cell>
          <cell r="P481" t="str">
            <v>STC1898AC</v>
          </cell>
          <cell r="Q481" t="str">
            <v>磁性位置传感器</v>
          </cell>
        </row>
        <row r="482">
          <cell r="O482" t="str">
            <v>SC1138SO-N</v>
          </cell>
          <cell r="P482" t="str">
            <v>STC1898AC</v>
          </cell>
          <cell r="Q482" t="str">
            <v>磁性位置传感器</v>
          </cell>
        </row>
        <row r="483">
          <cell r="O483" t="str">
            <v>SC1138SO-N</v>
          </cell>
          <cell r="P483" t="str">
            <v>STC1898AC</v>
          </cell>
          <cell r="Q483" t="str">
            <v>磁性位置传感器</v>
          </cell>
        </row>
        <row r="484">
          <cell r="O484" t="str">
            <v>SC9314UA</v>
          </cell>
          <cell r="P484" t="str">
            <v>STC9901AF</v>
          </cell>
          <cell r="Q484" t="str">
            <v>速度传感器</v>
          </cell>
        </row>
        <row r="485">
          <cell r="O485" t="str">
            <v>SC9642TS-EC-TR-Q</v>
          </cell>
          <cell r="P485" t="str">
            <v>STC9A001H</v>
          </cell>
          <cell r="Q485" t="str">
            <v>速度传感器</v>
          </cell>
        </row>
        <row r="486">
          <cell r="O486" t="str">
            <v>SC9642TS-EC-TR-Q</v>
          </cell>
          <cell r="P486" t="str">
            <v>STC9A001H</v>
          </cell>
          <cell r="Q486" t="str">
            <v>速度传感器</v>
          </cell>
        </row>
        <row r="487">
          <cell r="O487" t="str">
            <v>SC243X编程器</v>
          </cell>
          <cell r="P487" t="str">
            <v xml:space="preserve"> </v>
          </cell>
          <cell r="Q487" t="str">
            <v>磁性位置传感器</v>
          </cell>
        </row>
        <row r="488">
          <cell r="O488" t="str">
            <v>SC4688SA-BK-Q</v>
          </cell>
          <cell r="P488" t="str">
            <v>STC9D01C</v>
          </cell>
          <cell r="Q488" t="str">
            <v>角度传感器</v>
          </cell>
        </row>
        <row r="489">
          <cell r="O489" t="str">
            <v>SC1134S2-BK</v>
          </cell>
          <cell r="P489" t="str">
            <v>STC1898AI</v>
          </cell>
          <cell r="Q489" t="str">
            <v>磁性位置传感器</v>
          </cell>
        </row>
        <row r="490">
          <cell r="O490" t="str">
            <v>SC1134S2-BK</v>
          </cell>
          <cell r="P490" t="str">
            <v>STC1898AI</v>
          </cell>
          <cell r="Q490" t="str">
            <v>磁性位置传感器</v>
          </cell>
        </row>
        <row r="491">
          <cell r="O491" t="str">
            <v>SC1134S2-BK</v>
          </cell>
          <cell r="P491" t="str">
            <v>STC1898AI</v>
          </cell>
          <cell r="Q491" t="str">
            <v>磁性位置传感器</v>
          </cell>
        </row>
        <row r="492">
          <cell r="O492" t="str">
            <v>SC1134S2-BK</v>
          </cell>
          <cell r="P492" t="str">
            <v>STC1898AI</v>
          </cell>
          <cell r="Q492" t="str">
            <v>磁性位置传感器</v>
          </cell>
        </row>
        <row r="493">
          <cell r="O493" t="str">
            <v>SC1134S2-BK</v>
          </cell>
          <cell r="P493" t="str">
            <v>STC1898AI</v>
          </cell>
          <cell r="Q493" t="str">
            <v>磁性位置传感器</v>
          </cell>
        </row>
        <row r="494">
          <cell r="O494" t="str">
            <v>SC4688SA-BK-Q</v>
          </cell>
          <cell r="P494" t="str">
            <v>STC9D01C</v>
          </cell>
          <cell r="Q494" t="str">
            <v>角度传感器</v>
          </cell>
        </row>
        <row r="495">
          <cell r="O495" t="str">
            <v>SC2064SO-TR</v>
          </cell>
          <cell r="P495" t="str">
            <v>STC9G001C</v>
          </cell>
          <cell r="Q495" t="str">
            <v>磁性位置传感器</v>
          </cell>
        </row>
        <row r="496">
          <cell r="O496" t="str">
            <v>SC2064SO-TR</v>
          </cell>
          <cell r="P496" t="str">
            <v>STC9G001C</v>
          </cell>
          <cell r="Q496" t="str">
            <v>磁性位置传感器</v>
          </cell>
        </row>
        <row r="497">
          <cell r="O497" t="str">
            <v>SC2064SO-TR</v>
          </cell>
          <cell r="P497" t="str">
            <v>STC9G001C</v>
          </cell>
          <cell r="Q497" t="str">
            <v>磁性位置传感器</v>
          </cell>
        </row>
        <row r="498">
          <cell r="O498" t="str">
            <v>SC60370</v>
          </cell>
          <cell r="P498" t="str">
            <v>STC9D05C</v>
          </cell>
          <cell r="Q498" t="str">
            <v>电机编码器</v>
          </cell>
        </row>
        <row r="499">
          <cell r="O499" t="str">
            <v>SD477VB-BK</v>
          </cell>
          <cell r="P499" t="str">
            <v>STC22304C</v>
          </cell>
          <cell r="Q499" t="str">
            <v>电机驱动</v>
          </cell>
        </row>
        <row r="500">
          <cell r="O500" t="str">
            <v>SC4688SA-BK-Q</v>
          </cell>
          <cell r="P500" t="str">
            <v>STC9D01C</v>
          </cell>
          <cell r="Q500" t="str">
            <v>角度传感器</v>
          </cell>
        </row>
        <row r="501">
          <cell r="O501" t="str">
            <v>SC4688SA-BK-Q</v>
          </cell>
          <cell r="P501" t="str">
            <v>STC9D01C</v>
          </cell>
          <cell r="Q501" t="str">
            <v>角度传感器</v>
          </cell>
        </row>
        <row r="502">
          <cell r="O502" t="str">
            <v>SC4688SA-BK-Q</v>
          </cell>
          <cell r="P502" t="str">
            <v>STC9D01C</v>
          </cell>
          <cell r="Q502" t="str">
            <v>角度传感器</v>
          </cell>
        </row>
        <row r="503">
          <cell r="O503" t="str">
            <v>SC2402SO-N-TR</v>
          </cell>
          <cell r="P503" t="str">
            <v>STC9H001A</v>
          </cell>
          <cell r="Q503" t="str">
            <v>磁性位置传感器</v>
          </cell>
        </row>
        <row r="504">
          <cell r="O504" t="str">
            <v>SC4923SO-N-TR</v>
          </cell>
          <cell r="P504" t="str">
            <v>SC4009B</v>
          </cell>
          <cell r="Q504" t="str">
            <v>磁性位置传感器</v>
          </cell>
        </row>
        <row r="505">
          <cell r="O505" t="str">
            <v>SC4923SO-N-TR</v>
          </cell>
          <cell r="P505" t="str">
            <v>SC4009B</v>
          </cell>
          <cell r="Q505" t="str">
            <v>磁性位置传感器</v>
          </cell>
        </row>
        <row r="506">
          <cell r="O506" t="str">
            <v>SC9633VB</v>
          </cell>
          <cell r="P506" t="str">
            <v>STC9905F</v>
          </cell>
          <cell r="Q506" t="str">
            <v>速度传感器</v>
          </cell>
        </row>
        <row r="507">
          <cell r="O507" t="str">
            <v>SC4015SO-N-TR</v>
          </cell>
          <cell r="P507" t="str">
            <v>STC4011E</v>
          </cell>
          <cell r="Q507" t="str">
            <v>磁性位置传感器</v>
          </cell>
        </row>
        <row r="508">
          <cell r="O508" t="str">
            <v>SC4015SO-N-TR</v>
          </cell>
          <cell r="P508" t="str">
            <v>STC4011E</v>
          </cell>
          <cell r="Q508" t="str">
            <v>磁性位置传感器</v>
          </cell>
        </row>
        <row r="509">
          <cell r="O509" t="str">
            <v>SC4015SO-N-TR</v>
          </cell>
          <cell r="P509" t="str">
            <v>STC4011E</v>
          </cell>
          <cell r="Q509" t="str">
            <v>磁性位置传感器</v>
          </cell>
        </row>
        <row r="510">
          <cell r="O510" t="str">
            <v>SC4015SO-N-TR</v>
          </cell>
          <cell r="P510" t="str">
            <v>STC4011E</v>
          </cell>
          <cell r="Q510" t="str">
            <v>磁性位置传感器</v>
          </cell>
        </row>
        <row r="511">
          <cell r="O511" t="str">
            <v>SC4015SO-N-TR</v>
          </cell>
          <cell r="P511" t="str">
            <v>STC4011E</v>
          </cell>
          <cell r="Q511" t="str">
            <v>磁性位置传感器</v>
          </cell>
        </row>
        <row r="512">
          <cell r="O512" t="str">
            <v>SC4015SO-N-TR</v>
          </cell>
          <cell r="P512" t="str">
            <v>STC4011E</v>
          </cell>
          <cell r="Q512" t="str">
            <v>磁性位置传感器</v>
          </cell>
        </row>
        <row r="513">
          <cell r="O513" t="str">
            <v>SC4015SO-N-TR</v>
          </cell>
          <cell r="P513" t="str">
            <v>STC4011E</v>
          </cell>
          <cell r="Q513" t="str">
            <v>磁性位置传感器</v>
          </cell>
        </row>
        <row r="514">
          <cell r="O514" t="str">
            <v>SC4015SO-N-TR</v>
          </cell>
          <cell r="P514" t="str">
            <v>STC4011E</v>
          </cell>
          <cell r="Q514" t="str">
            <v>磁性位置传感器</v>
          </cell>
        </row>
        <row r="515">
          <cell r="O515" t="str">
            <v>SC4103DN</v>
          </cell>
          <cell r="P515" t="str">
            <v>STC11201B</v>
          </cell>
          <cell r="Q515" t="str">
            <v>磁性位置传感器</v>
          </cell>
        </row>
        <row r="516">
          <cell r="O516" t="str">
            <v>SC1134UA</v>
          </cell>
          <cell r="P516" t="str">
            <v>STC1898AI</v>
          </cell>
          <cell r="Q516" t="str">
            <v>磁性位置传感器</v>
          </cell>
        </row>
        <row r="517">
          <cell r="O517" t="str">
            <v>SC1134UA-BK</v>
          </cell>
          <cell r="P517" t="str">
            <v>STC1898AI</v>
          </cell>
          <cell r="Q517" t="str">
            <v>磁性位置传感器</v>
          </cell>
        </row>
        <row r="518">
          <cell r="O518" t="str">
            <v>VE8600A5R</v>
          </cell>
          <cell r="P518" t="str">
            <v>V2302B</v>
          </cell>
          <cell r="Q518" t="str">
            <v>电源管理</v>
          </cell>
        </row>
        <row r="519">
          <cell r="O519" t="str">
            <v>SC9641TS-P-TR</v>
          </cell>
          <cell r="P519" t="str">
            <v>STC9A001I</v>
          </cell>
          <cell r="Q519" t="str">
            <v>速度传感器</v>
          </cell>
        </row>
        <row r="520">
          <cell r="O520" t="str">
            <v>SC4688DC-TR-Q</v>
          </cell>
          <cell r="P520" t="str">
            <v>STC9D01C</v>
          </cell>
          <cell r="Q520" t="str">
            <v>角度传感器</v>
          </cell>
        </row>
        <row r="521">
          <cell r="O521" t="str">
            <v>SC2443SO</v>
          </cell>
          <cell r="P521" t="str">
            <v>STC9906T</v>
          </cell>
          <cell r="Q521" t="str">
            <v>磁性位置传感器</v>
          </cell>
        </row>
        <row r="522">
          <cell r="O522" t="str">
            <v>SC2443UA</v>
          </cell>
          <cell r="P522" t="str">
            <v>STC9906W</v>
          </cell>
          <cell r="Q522" t="str">
            <v>磁性位置传感器</v>
          </cell>
        </row>
        <row r="523">
          <cell r="O523" t="str">
            <v>SC2443UA</v>
          </cell>
          <cell r="P523" t="str">
            <v>STC9906W</v>
          </cell>
          <cell r="Q523" t="str">
            <v>磁性位置传感器</v>
          </cell>
        </row>
        <row r="524">
          <cell r="O524" t="str">
            <v>SC2443UA</v>
          </cell>
          <cell r="P524" t="str">
            <v>STC9906W</v>
          </cell>
          <cell r="Q524" t="str">
            <v>磁性位置传感器</v>
          </cell>
        </row>
        <row r="525">
          <cell r="O525" t="str">
            <v>SC2443UA</v>
          </cell>
          <cell r="P525" t="str">
            <v>STC9906W</v>
          </cell>
          <cell r="Q525" t="str">
            <v>磁性位置传感器</v>
          </cell>
        </row>
        <row r="526">
          <cell r="O526" t="str">
            <v>SC4688SA-BK-Q</v>
          </cell>
          <cell r="P526" t="str">
            <v>STC9D01C</v>
          </cell>
          <cell r="Q526" t="str">
            <v>角度传感器</v>
          </cell>
        </row>
        <row r="527">
          <cell r="O527" t="str">
            <v>SC2464SO</v>
          </cell>
          <cell r="P527" t="str">
            <v>STC9906J</v>
          </cell>
          <cell r="Q527" t="str">
            <v>磁性位置传感器</v>
          </cell>
        </row>
        <row r="528">
          <cell r="O528" t="str">
            <v>SC2464SO</v>
          </cell>
          <cell r="P528" t="str">
            <v>STC9906J</v>
          </cell>
          <cell r="Q528" t="str">
            <v>磁性位置传感器</v>
          </cell>
        </row>
        <row r="529">
          <cell r="O529" t="str">
            <v>SC2464SO</v>
          </cell>
          <cell r="P529" t="str">
            <v>STC9906J</v>
          </cell>
          <cell r="Q529" t="str">
            <v>磁性位置传感器</v>
          </cell>
        </row>
        <row r="530">
          <cell r="O530" t="str">
            <v>SC2464SO</v>
          </cell>
          <cell r="P530" t="str">
            <v>STC9906J</v>
          </cell>
          <cell r="Q530" t="str">
            <v>磁性位置传感器</v>
          </cell>
        </row>
        <row r="531">
          <cell r="O531" t="str">
            <v>SC2464SO</v>
          </cell>
          <cell r="P531" t="str">
            <v>STC9906J</v>
          </cell>
          <cell r="Q531" t="str">
            <v>磁性位置传感器</v>
          </cell>
        </row>
        <row r="532">
          <cell r="O532" t="str">
            <v>SC2464SO</v>
          </cell>
          <cell r="P532" t="str">
            <v>STC9906J</v>
          </cell>
          <cell r="Q532" t="str">
            <v>磁性位置传感器</v>
          </cell>
        </row>
        <row r="533">
          <cell r="O533" t="str">
            <v>SC2464SO</v>
          </cell>
          <cell r="P533" t="str">
            <v>STC9906J</v>
          </cell>
          <cell r="Q533" t="str">
            <v>磁性位置传感器</v>
          </cell>
        </row>
        <row r="534">
          <cell r="O534" t="str">
            <v>SC9675IM-P-LRF01</v>
          </cell>
          <cell r="P534" t="str">
            <v>STC9A002B</v>
          </cell>
          <cell r="Q534" t="str">
            <v>速度传感器</v>
          </cell>
        </row>
        <row r="535">
          <cell r="O535" t="str">
            <v>SC9675IM-P-HRF00</v>
          </cell>
          <cell r="P535" t="str">
            <v>STC9A002B</v>
          </cell>
          <cell r="Q535" t="str">
            <v>速度传感器</v>
          </cell>
        </row>
        <row r="536">
          <cell r="O536" t="str">
            <v>SC9675IM-P-HRF00</v>
          </cell>
          <cell r="P536" t="str">
            <v>STC9A002B</v>
          </cell>
          <cell r="Q536" t="str">
            <v>速度传感器</v>
          </cell>
        </row>
        <row r="537">
          <cell r="O537" t="str">
            <v>SC9675IM-P-HRF00</v>
          </cell>
          <cell r="P537" t="str">
            <v>STC9A002B</v>
          </cell>
          <cell r="Q537" t="str">
            <v>速度传感器</v>
          </cell>
        </row>
        <row r="538">
          <cell r="O538" t="str">
            <v>SC9675IM-P-HRF00</v>
          </cell>
          <cell r="P538" t="str">
            <v>STC9A002B</v>
          </cell>
          <cell r="Q538" t="str">
            <v>速度传感器</v>
          </cell>
        </row>
        <row r="539">
          <cell r="O539" t="str">
            <v>SC9675IM-P-HRF00</v>
          </cell>
          <cell r="P539" t="str">
            <v>STC9A002B</v>
          </cell>
          <cell r="Q539" t="str">
            <v>速度传感器</v>
          </cell>
        </row>
        <row r="540">
          <cell r="O540" t="str">
            <v>SC9675IM-P-LRF01</v>
          </cell>
          <cell r="P540" t="str">
            <v>STC9A002B</v>
          </cell>
          <cell r="Q540" t="str">
            <v>速度传感器</v>
          </cell>
        </row>
        <row r="541">
          <cell r="O541" t="str">
            <v>SC9675IM-P-LRF01</v>
          </cell>
          <cell r="P541" t="str">
            <v>STC9A002B</v>
          </cell>
          <cell r="Q541" t="str">
            <v>速度传感器</v>
          </cell>
        </row>
        <row r="542">
          <cell r="O542" t="str">
            <v>SC9675IM-P-LRF01</v>
          </cell>
          <cell r="P542" t="str">
            <v>STC9A002B</v>
          </cell>
          <cell r="Q542" t="str">
            <v>速度传感器</v>
          </cell>
        </row>
        <row r="543">
          <cell r="O543" t="str">
            <v>SC9675IM-P-LRF01</v>
          </cell>
          <cell r="P543" t="str">
            <v>STC9A002B</v>
          </cell>
          <cell r="Q543" t="str">
            <v>速度传感器</v>
          </cell>
        </row>
        <row r="544">
          <cell r="O544" t="str">
            <v>SC9675IM-P-LRF01</v>
          </cell>
          <cell r="P544" t="str">
            <v>STC9A002B</v>
          </cell>
          <cell r="Q544" t="str">
            <v>速度传感器</v>
          </cell>
        </row>
        <row r="545">
          <cell r="O545" t="str">
            <v>SC9675IM-P-LRF01</v>
          </cell>
          <cell r="P545" t="str">
            <v>STC9A002B</v>
          </cell>
          <cell r="Q545" t="str">
            <v>速度传感器</v>
          </cell>
        </row>
        <row r="546">
          <cell r="O546" t="str">
            <v>SC9675IM-P-LRF01</v>
          </cell>
          <cell r="P546" t="str">
            <v>STC9A002B</v>
          </cell>
          <cell r="Q546" t="str">
            <v>速度传感器</v>
          </cell>
        </row>
        <row r="547">
          <cell r="O547" t="str">
            <v>SC9675IM-P-LRF01</v>
          </cell>
          <cell r="P547" t="str">
            <v>STC9A002B</v>
          </cell>
          <cell r="Q547" t="str">
            <v>速度传感器</v>
          </cell>
        </row>
        <row r="548">
          <cell r="O548" t="str">
            <v>SC9675IM-P-LRF01</v>
          </cell>
          <cell r="P548" t="str">
            <v>STC9A002B</v>
          </cell>
          <cell r="Q548" t="str">
            <v>速度传感器</v>
          </cell>
        </row>
        <row r="549">
          <cell r="O549" t="str">
            <v>SC9675IM-P-LRF01</v>
          </cell>
          <cell r="P549" t="str">
            <v>STC9A002B</v>
          </cell>
          <cell r="Q549" t="str">
            <v>速度传感器</v>
          </cell>
        </row>
        <row r="550">
          <cell r="O550" t="str">
            <v>SC9675IM-P-LRF01</v>
          </cell>
          <cell r="P550" t="str">
            <v>STC9A002B</v>
          </cell>
          <cell r="Q550" t="str">
            <v>速度传感器</v>
          </cell>
        </row>
        <row r="551">
          <cell r="O551" t="str">
            <v>SC9675IM-P-LRF01</v>
          </cell>
          <cell r="P551" t="str">
            <v>STC9A002B</v>
          </cell>
          <cell r="Q551" t="str">
            <v>速度传感器</v>
          </cell>
        </row>
        <row r="552">
          <cell r="O552" t="str">
            <v>SC9675IM-P-LRF00</v>
          </cell>
          <cell r="P552" t="str">
            <v>STC9A002B</v>
          </cell>
          <cell r="Q552" t="str">
            <v>速度传感器</v>
          </cell>
        </row>
        <row r="553">
          <cell r="O553" t="str">
            <v>SC9642TS-EC-TR-Q</v>
          </cell>
          <cell r="P553" t="str">
            <v>STC9A001H</v>
          </cell>
          <cell r="Q553" t="str">
            <v>速度传感器</v>
          </cell>
        </row>
        <row r="554">
          <cell r="O554" t="str">
            <v>SC60221-U-256-976</v>
          </cell>
          <cell r="P554" t="str">
            <v>STC9D04C</v>
          </cell>
          <cell r="Q554" t="str">
            <v>电机编码器</v>
          </cell>
        </row>
        <row r="555">
          <cell r="O555" t="str">
            <v>SC60224-D-1000</v>
          </cell>
          <cell r="P555" t="str">
            <v>STC9D04C</v>
          </cell>
          <cell r="Q555" t="str">
            <v>电机编码器</v>
          </cell>
        </row>
        <row r="556">
          <cell r="O556" t="str">
            <v>SC60221-U-256-976</v>
          </cell>
          <cell r="P556" t="str">
            <v>STC9D04C</v>
          </cell>
          <cell r="Q556" t="str">
            <v>电机编码器</v>
          </cell>
        </row>
        <row r="557">
          <cell r="O557" t="str">
            <v>SC2442UA-BK-Q</v>
          </cell>
          <cell r="P557" t="str">
            <v>STC11102B</v>
          </cell>
          <cell r="Q557" t="str">
            <v>磁性位置传感器</v>
          </cell>
        </row>
        <row r="558">
          <cell r="O558" t="str">
            <v>SC9632VB-BK</v>
          </cell>
          <cell r="P558" t="str">
            <v>STC9905E</v>
          </cell>
          <cell r="Q558" t="str">
            <v>速度传感器</v>
          </cell>
        </row>
        <row r="559">
          <cell r="O559" t="str">
            <v>SC9632VB-BK</v>
          </cell>
          <cell r="P559" t="str">
            <v>STC9905E</v>
          </cell>
          <cell r="Q559" t="str">
            <v>速度传感器</v>
          </cell>
        </row>
        <row r="560">
          <cell r="O560" t="str">
            <v>SC9314UA-BK</v>
          </cell>
          <cell r="P560" t="str">
            <v>STC9901AF</v>
          </cell>
          <cell r="Q560" t="str">
            <v>速度传感器</v>
          </cell>
        </row>
        <row r="561">
          <cell r="O561" t="str">
            <v>SC9314UA-BK</v>
          </cell>
          <cell r="P561" t="str">
            <v>STC9901AF</v>
          </cell>
          <cell r="Q561" t="str">
            <v>速度传感器</v>
          </cell>
        </row>
        <row r="562">
          <cell r="O562" t="str">
            <v>SC1134UA-BK</v>
          </cell>
          <cell r="P562" t="str">
            <v>STC1898AI</v>
          </cell>
          <cell r="Q562" t="str">
            <v>磁性位置传感器</v>
          </cell>
        </row>
        <row r="563">
          <cell r="O563" t="str">
            <v>SC2402UA-BK</v>
          </cell>
          <cell r="P563" t="str">
            <v>STC9G002B</v>
          </cell>
          <cell r="Q563" t="str">
            <v>磁性位置传感器</v>
          </cell>
        </row>
        <row r="564">
          <cell r="O564" t="str">
            <v>SC2402UA-G</v>
          </cell>
          <cell r="P564" t="str">
            <v>STC9G002B</v>
          </cell>
          <cell r="Q564" t="str">
            <v>磁性位置传感器</v>
          </cell>
        </row>
        <row r="565">
          <cell r="O565" t="str">
            <v>SD2276VB-BK</v>
          </cell>
          <cell r="P565" t="str">
            <v>FD1014A</v>
          </cell>
          <cell r="Q565" t="str">
            <v>电机驱动</v>
          </cell>
        </row>
        <row r="566">
          <cell r="O566" t="str">
            <v>SC2442SO-N</v>
          </cell>
          <cell r="P566" t="str">
            <v>STC11102B</v>
          </cell>
          <cell r="Q566" t="str">
            <v>磁性位置传感器</v>
          </cell>
        </row>
        <row r="567">
          <cell r="O567" t="str">
            <v>SC2442SO-N</v>
          </cell>
          <cell r="P567" t="str">
            <v>STC11102B</v>
          </cell>
          <cell r="Q567" t="str">
            <v>磁性位置传感器</v>
          </cell>
        </row>
        <row r="568">
          <cell r="O568" t="str">
            <v>SC9632VB-BK</v>
          </cell>
          <cell r="P568" t="str">
            <v>STC9905E</v>
          </cell>
          <cell r="Q568" t="str">
            <v>速度传感器</v>
          </cell>
        </row>
        <row r="569">
          <cell r="O569" t="str">
            <v>SC4011SO-N-TR</v>
          </cell>
          <cell r="P569" t="str">
            <v>STC4011B</v>
          </cell>
          <cell r="Q569" t="str">
            <v>磁性位置传感器</v>
          </cell>
        </row>
        <row r="570">
          <cell r="O570" t="str">
            <v>SC4015SO-N-TR</v>
          </cell>
          <cell r="P570" t="str">
            <v>STC4011E</v>
          </cell>
          <cell r="Q570" t="str">
            <v>磁性位置传感器</v>
          </cell>
        </row>
        <row r="571">
          <cell r="O571" t="str">
            <v>SC4015SO-N-TR</v>
          </cell>
          <cell r="P571" t="str">
            <v>STC4011E</v>
          </cell>
          <cell r="Q571" t="str">
            <v>磁性位置传感器</v>
          </cell>
        </row>
        <row r="572">
          <cell r="O572" t="str">
            <v>SC4015SO-N-TR</v>
          </cell>
          <cell r="P572" t="str">
            <v>STC4011E</v>
          </cell>
          <cell r="Q572" t="str">
            <v>磁性位置传感器</v>
          </cell>
        </row>
        <row r="573">
          <cell r="O573" t="str">
            <v>SC4015SO-N-TR</v>
          </cell>
          <cell r="P573" t="str">
            <v>STC4011E</v>
          </cell>
          <cell r="Q573" t="str">
            <v>磁性位置传感器</v>
          </cell>
        </row>
        <row r="574">
          <cell r="O574" t="str">
            <v>SC4015SO-N-TR</v>
          </cell>
          <cell r="P574" t="str">
            <v>STC4011E</v>
          </cell>
          <cell r="Q574" t="str">
            <v>磁性位置传感器</v>
          </cell>
        </row>
        <row r="575">
          <cell r="O575" t="str">
            <v>SC4015SO-N-TR</v>
          </cell>
          <cell r="P575" t="str">
            <v>STC4011E</v>
          </cell>
          <cell r="Q575" t="str">
            <v>磁性位置传感器</v>
          </cell>
        </row>
        <row r="576">
          <cell r="O576" t="str">
            <v>SC2402SO-N-TR</v>
          </cell>
          <cell r="P576" t="str">
            <v>STC9G002A</v>
          </cell>
          <cell r="Q576" t="str">
            <v>磁性位置传感器</v>
          </cell>
        </row>
        <row r="577">
          <cell r="O577" t="str">
            <v>SC2402SO-N-TR</v>
          </cell>
          <cell r="P577" t="str">
            <v>STC9G002A</v>
          </cell>
          <cell r="Q577" t="str">
            <v>磁性位置传感器</v>
          </cell>
        </row>
        <row r="578">
          <cell r="O578" t="str">
            <v>SC2402SO-N-TR</v>
          </cell>
          <cell r="P578" t="str">
            <v>STC9G002A</v>
          </cell>
          <cell r="Q578" t="str">
            <v>磁性位置传感器</v>
          </cell>
        </row>
        <row r="579">
          <cell r="O579" t="str">
            <v>V2305C</v>
          </cell>
          <cell r="P579" t="str">
            <v>V2305C</v>
          </cell>
          <cell r="Q579" t="str">
            <v>电源管理</v>
          </cell>
        </row>
        <row r="580">
          <cell r="O580" t="str">
            <v>SC4688SA-BK-Q</v>
          </cell>
          <cell r="P580" t="str">
            <v>STC9D01C</v>
          </cell>
          <cell r="Q580" t="str">
            <v>角度传感器</v>
          </cell>
        </row>
        <row r="581">
          <cell r="O581" t="str">
            <v>SC2442SO-N-TR-Q</v>
          </cell>
          <cell r="P581" t="str">
            <v>STC11102B</v>
          </cell>
          <cell r="Q581" t="str">
            <v>磁性位置传感器</v>
          </cell>
        </row>
        <row r="582">
          <cell r="O582" t="str">
            <v>SC2442SO-N-TR-Q</v>
          </cell>
          <cell r="P582" t="str">
            <v>STC11102B</v>
          </cell>
          <cell r="Q582" t="str">
            <v>磁性位置传感器</v>
          </cell>
        </row>
        <row r="583">
          <cell r="O583" t="str">
            <v>SC2442SO-N-TR-Q</v>
          </cell>
          <cell r="P583" t="str">
            <v>STC11102B</v>
          </cell>
          <cell r="Q583" t="str">
            <v>磁性位置传感器</v>
          </cell>
        </row>
        <row r="584">
          <cell r="O584" t="str">
            <v>SC2442SO-N-TR-Q</v>
          </cell>
          <cell r="P584" t="str">
            <v>STC11102B</v>
          </cell>
          <cell r="Q584" t="str">
            <v>磁性位置传感器</v>
          </cell>
        </row>
        <row r="585">
          <cell r="O585" t="str">
            <v>SC4011SO-N</v>
          </cell>
          <cell r="P585" t="str">
            <v>STC4011B</v>
          </cell>
          <cell r="Q585" t="str">
            <v>磁性位置传感器</v>
          </cell>
        </row>
        <row r="586">
          <cell r="O586" t="str">
            <v>SC2402SO-N-TR</v>
          </cell>
          <cell r="P586" t="str">
            <v>STC9902J</v>
          </cell>
          <cell r="Q586" t="str">
            <v>磁性位置传感器</v>
          </cell>
        </row>
        <row r="587">
          <cell r="O587" t="str">
            <v>SC2462UA-BK</v>
          </cell>
          <cell r="P587" t="str">
            <v>STC9906J</v>
          </cell>
          <cell r="Q587" t="str">
            <v>磁性位置传感器</v>
          </cell>
        </row>
        <row r="588">
          <cell r="O588" t="str">
            <v>SC2462UA-BK</v>
          </cell>
          <cell r="P588" t="str">
            <v>STC9906J</v>
          </cell>
          <cell r="Q588" t="str">
            <v>磁性位置传感器</v>
          </cell>
        </row>
        <row r="589">
          <cell r="O589" t="str">
            <v>SC2462UA-BK</v>
          </cell>
          <cell r="P589" t="str">
            <v>STC9906J</v>
          </cell>
          <cell r="Q589" t="str">
            <v>磁性位置传感器</v>
          </cell>
        </row>
        <row r="590">
          <cell r="O590" t="str">
            <v>SC1845S1-BK</v>
          </cell>
          <cell r="P590" t="str">
            <v>STC2899AI</v>
          </cell>
          <cell r="Q590" t="str">
            <v>磁性位置传感器</v>
          </cell>
        </row>
        <row r="591">
          <cell r="O591" t="str">
            <v>SC1845S1-BK</v>
          </cell>
          <cell r="P591" t="str">
            <v>STC2899AI</v>
          </cell>
          <cell r="Q591" t="str">
            <v>磁性位置传感器</v>
          </cell>
        </row>
        <row r="592">
          <cell r="O592" t="str">
            <v>SC1845S1-BK</v>
          </cell>
          <cell r="P592" t="str">
            <v>STC2899AI</v>
          </cell>
          <cell r="Q592" t="str">
            <v>磁性位置传感器</v>
          </cell>
        </row>
        <row r="593">
          <cell r="O593" t="str">
            <v>SC1845S1-BK</v>
          </cell>
          <cell r="P593" t="str">
            <v>STC2899AI</v>
          </cell>
          <cell r="Q593" t="str">
            <v>磁性位置传感器</v>
          </cell>
        </row>
        <row r="594">
          <cell r="O594" t="str">
            <v>SC4643SA-A</v>
          </cell>
          <cell r="P594" t="str">
            <v>STC9D03E</v>
          </cell>
          <cell r="Q594" t="str">
            <v>电流传感器</v>
          </cell>
        </row>
        <row r="595">
          <cell r="O595" t="str">
            <v>SC60221-D-256</v>
          </cell>
          <cell r="P595" t="str">
            <v>STC9D04C</v>
          </cell>
          <cell r="Q595" t="str">
            <v>电机编码器</v>
          </cell>
        </row>
        <row r="596">
          <cell r="O596" t="str">
            <v>SC60221-D-256</v>
          </cell>
          <cell r="P596" t="str">
            <v>STC9D04C</v>
          </cell>
          <cell r="Q596" t="str">
            <v>电机编码器</v>
          </cell>
        </row>
        <row r="597">
          <cell r="O597" t="str">
            <v>SC60221-D-256</v>
          </cell>
          <cell r="P597" t="str">
            <v>STC9D04C</v>
          </cell>
          <cell r="Q597" t="str">
            <v>电机编码器</v>
          </cell>
        </row>
        <row r="598">
          <cell r="O598" t="str">
            <v>SC2443SO</v>
          </cell>
          <cell r="P598" t="str">
            <v>STC9906T</v>
          </cell>
          <cell r="Q598" t="str">
            <v>磁性位置传感器</v>
          </cell>
        </row>
        <row r="599">
          <cell r="O599" t="str">
            <v>SD2276VB-BK</v>
          </cell>
          <cell r="P599" t="str">
            <v>FD1014A</v>
          </cell>
          <cell r="Q599" t="str">
            <v>电机驱动</v>
          </cell>
        </row>
        <row r="600">
          <cell r="O600" t="str">
            <v>SD2276VB-BK</v>
          </cell>
          <cell r="P600" t="str">
            <v>FD1014A</v>
          </cell>
          <cell r="Q600" t="str">
            <v>电机驱动</v>
          </cell>
        </row>
        <row r="601">
          <cell r="O601" t="str">
            <v>SD2276VB-BK</v>
          </cell>
          <cell r="P601" t="str">
            <v>FD1014A</v>
          </cell>
          <cell r="Q601" t="str">
            <v>电机驱动</v>
          </cell>
        </row>
        <row r="602">
          <cell r="O602" t="str">
            <v>SD2276VB-BK</v>
          </cell>
          <cell r="P602" t="str">
            <v>FD1014A</v>
          </cell>
          <cell r="Q602" t="str">
            <v>电机驱动</v>
          </cell>
        </row>
        <row r="603">
          <cell r="O603" t="str">
            <v>SD2276VB-BK</v>
          </cell>
          <cell r="P603" t="str">
            <v>FD1014A</v>
          </cell>
          <cell r="Q603" t="str">
            <v>电机驱动</v>
          </cell>
        </row>
        <row r="604">
          <cell r="O604" t="str">
            <v>SC4643VB-P-TR-Q</v>
          </cell>
          <cell r="P604" t="str">
            <v>STC9D03E</v>
          </cell>
          <cell r="Q604" t="str">
            <v>电流传感器</v>
          </cell>
        </row>
        <row r="605">
          <cell r="O605" t="str">
            <v>SC4688SA</v>
          </cell>
          <cell r="P605" t="str">
            <v>STC9D01C</v>
          </cell>
          <cell r="Q605" t="str">
            <v>角度传感器</v>
          </cell>
        </row>
        <row r="606">
          <cell r="O606" t="str">
            <v>SC4923SO-N-TR</v>
          </cell>
          <cell r="P606" t="str">
            <v>SC4009B</v>
          </cell>
          <cell r="Q606" t="str">
            <v>磁性位置传感器</v>
          </cell>
        </row>
        <row r="607">
          <cell r="O607" t="str">
            <v>SC4923SO-N-TR</v>
          </cell>
          <cell r="P607" t="str">
            <v>SC4009B</v>
          </cell>
          <cell r="Q607" t="str">
            <v>磁性位置传感器</v>
          </cell>
        </row>
        <row r="608">
          <cell r="O608" t="str">
            <v>49E</v>
          </cell>
          <cell r="P608" t="str">
            <v>STC4011B</v>
          </cell>
          <cell r="Q608" t="str">
            <v>磁性位置传感器</v>
          </cell>
        </row>
        <row r="609">
          <cell r="O609" t="str">
            <v>SC4015SO-N-TR</v>
          </cell>
          <cell r="P609" t="str">
            <v>STC4011E</v>
          </cell>
          <cell r="Q609" t="str">
            <v>磁性位置传感器</v>
          </cell>
        </row>
        <row r="610">
          <cell r="O610" t="str">
            <v>SC4015SO-N-TR</v>
          </cell>
          <cell r="P610" t="str">
            <v>STC4011E</v>
          </cell>
          <cell r="Q610" t="str">
            <v>磁性位置传感器</v>
          </cell>
        </row>
        <row r="611">
          <cell r="O611" t="str">
            <v>SC2462SO</v>
          </cell>
          <cell r="P611" t="str">
            <v>STC9906J</v>
          </cell>
          <cell r="Q611" t="str">
            <v>磁性位置传感器</v>
          </cell>
        </row>
        <row r="612">
          <cell r="O612" t="str">
            <v>SC2462SO</v>
          </cell>
          <cell r="P612" t="str">
            <v>STC9906J</v>
          </cell>
          <cell r="Q612" t="str">
            <v>磁性位置传感器</v>
          </cell>
        </row>
        <row r="613">
          <cell r="O613" t="str">
            <v>SC2462SO</v>
          </cell>
          <cell r="P613" t="str">
            <v>STC9906J</v>
          </cell>
          <cell r="Q613" t="str">
            <v>磁性位置传感器</v>
          </cell>
        </row>
        <row r="614">
          <cell r="O614" t="str">
            <v>SC1134UA-BK</v>
          </cell>
          <cell r="P614" t="str">
            <v>STC1898AI</v>
          </cell>
          <cell r="Q614" t="str">
            <v>磁性位置传感器</v>
          </cell>
        </row>
        <row r="615">
          <cell r="O615" t="str">
            <v>SC2462UA-BK</v>
          </cell>
          <cell r="P615" t="str">
            <v>STC9906J</v>
          </cell>
          <cell r="Q615" t="str">
            <v>磁性位置传感器</v>
          </cell>
        </row>
        <row r="616">
          <cell r="O616" t="str">
            <v>SC4015SO-N-TR</v>
          </cell>
          <cell r="P616" t="str">
            <v>STC4011E</v>
          </cell>
          <cell r="Q616" t="str">
            <v>磁性位置传感器</v>
          </cell>
        </row>
        <row r="617">
          <cell r="O617" t="str">
            <v>SC4015SO-N-TR</v>
          </cell>
          <cell r="P617" t="str">
            <v>STC4011E</v>
          </cell>
          <cell r="Q617" t="str">
            <v>磁性位置传感器</v>
          </cell>
        </row>
        <row r="618">
          <cell r="O618" t="str">
            <v>SC4015SO-N-TR</v>
          </cell>
          <cell r="P618" t="str">
            <v>STC4011E</v>
          </cell>
          <cell r="Q618" t="str">
            <v>磁性位置传感器</v>
          </cell>
        </row>
        <row r="619">
          <cell r="O619" t="str">
            <v>SC4015SO-N-TR</v>
          </cell>
          <cell r="P619" t="str">
            <v>STC4011E</v>
          </cell>
          <cell r="Q619" t="str">
            <v>磁性位置传感器</v>
          </cell>
        </row>
        <row r="620">
          <cell r="O620" t="str">
            <v>SC4015SO-N-TR</v>
          </cell>
          <cell r="P620" t="str">
            <v>STC4011E</v>
          </cell>
          <cell r="Q620" t="str">
            <v>磁性位置传感器</v>
          </cell>
        </row>
        <row r="621">
          <cell r="O621" t="str">
            <v>SC4015SO-N-TR</v>
          </cell>
          <cell r="P621" t="str">
            <v>STC4011E</v>
          </cell>
          <cell r="Q621" t="str">
            <v>磁性位置传感器</v>
          </cell>
        </row>
        <row r="622">
          <cell r="O622" t="str">
            <v>SC4015SO-N-TR</v>
          </cell>
          <cell r="P622" t="str">
            <v>STC4011E</v>
          </cell>
          <cell r="Q622" t="str">
            <v>磁性位置传感器</v>
          </cell>
        </row>
        <row r="623">
          <cell r="O623" t="str">
            <v>SC4015SO-N-TR</v>
          </cell>
          <cell r="P623" t="str">
            <v>STC4011E</v>
          </cell>
          <cell r="Q623" t="str">
            <v>磁性位置传感器</v>
          </cell>
        </row>
        <row r="624">
          <cell r="O624" t="str">
            <v>SC4015SO-N-TR</v>
          </cell>
          <cell r="P624" t="str">
            <v>STC4011E</v>
          </cell>
          <cell r="Q624" t="str">
            <v>磁性位置传感器</v>
          </cell>
        </row>
        <row r="625">
          <cell r="O625" t="str">
            <v>SC4015SO-N-TR</v>
          </cell>
          <cell r="P625" t="str">
            <v>STC4011E</v>
          </cell>
          <cell r="Q625" t="str">
            <v>磁性位置传感器</v>
          </cell>
        </row>
        <row r="626">
          <cell r="O626" t="str">
            <v>SC4015SO-N-TR</v>
          </cell>
          <cell r="P626" t="str">
            <v>STC4011E</v>
          </cell>
          <cell r="Q626" t="str">
            <v>磁性位置传感器</v>
          </cell>
        </row>
        <row r="627">
          <cell r="O627" t="str">
            <v>SC4015SO-N-TR</v>
          </cell>
          <cell r="P627" t="str">
            <v>STC4011E</v>
          </cell>
          <cell r="Q627" t="str">
            <v>磁性位置传感器</v>
          </cell>
        </row>
        <row r="628">
          <cell r="O628" t="str">
            <v>SC4015SO-N-TR</v>
          </cell>
          <cell r="P628" t="str">
            <v>STC4011E</v>
          </cell>
          <cell r="Q628" t="str">
            <v>磁性位置传感器</v>
          </cell>
        </row>
        <row r="629">
          <cell r="O629" t="str">
            <v>SC4015SO-N-TR</v>
          </cell>
          <cell r="P629" t="str">
            <v>STC4011E</v>
          </cell>
          <cell r="Q629" t="str">
            <v>磁性位置传感器</v>
          </cell>
        </row>
        <row r="630">
          <cell r="O630" t="str">
            <v>SC4015SO-N-TR</v>
          </cell>
          <cell r="P630" t="str">
            <v>STC4011E</v>
          </cell>
          <cell r="Q630" t="str">
            <v>磁性位置传感器</v>
          </cell>
        </row>
        <row r="631">
          <cell r="O631" t="str">
            <v>SC4015SO-N-TR</v>
          </cell>
          <cell r="P631" t="str">
            <v>STC4011E</v>
          </cell>
          <cell r="Q631" t="str">
            <v>磁性位置传感器</v>
          </cell>
        </row>
        <row r="632">
          <cell r="O632" t="str">
            <v>SC4015SO-N-TR</v>
          </cell>
          <cell r="P632" t="str">
            <v>STC4011E</v>
          </cell>
          <cell r="Q632" t="str">
            <v>磁性位置传感器</v>
          </cell>
        </row>
        <row r="633">
          <cell r="O633" t="str">
            <v>SC4015SO-N-TR</v>
          </cell>
          <cell r="P633" t="str">
            <v>STC4011E</v>
          </cell>
          <cell r="Q633" t="str">
            <v>磁性位置传感器</v>
          </cell>
        </row>
        <row r="634">
          <cell r="O634" t="str">
            <v>SC9641TS-P-TR</v>
          </cell>
          <cell r="P634" t="str">
            <v>STC9A001I</v>
          </cell>
          <cell r="Q634" t="str">
            <v>速度传感器</v>
          </cell>
        </row>
        <row r="635">
          <cell r="O635" t="str">
            <v>ZH619A0</v>
          </cell>
          <cell r="P635" t="str">
            <v>STC22303</v>
          </cell>
          <cell r="Q635" t="str">
            <v>电机驱动</v>
          </cell>
        </row>
        <row r="636">
          <cell r="O636" t="str">
            <v>SC2443UA</v>
          </cell>
          <cell r="P636" t="str">
            <v>STC9906W</v>
          </cell>
          <cell r="Q636" t="str">
            <v>磁性位置传感器</v>
          </cell>
        </row>
        <row r="637">
          <cell r="O637" t="str">
            <v>SC4688SA-BK-Q</v>
          </cell>
          <cell r="P637" t="str">
            <v>STC9D01C</v>
          </cell>
          <cell r="Q637" t="str">
            <v>角度传感器</v>
          </cell>
        </row>
        <row r="638">
          <cell r="O638" t="str">
            <v>SC1245SO-N-TR</v>
          </cell>
          <cell r="P638" t="str">
            <v>STC1898AD</v>
          </cell>
          <cell r="Q638" t="str">
            <v>磁性位置传感器</v>
          </cell>
        </row>
        <row r="639">
          <cell r="O639" t="str">
            <v>SC1245SO-N-TR</v>
          </cell>
          <cell r="P639" t="str">
            <v>STC1898AD</v>
          </cell>
          <cell r="Q639" t="str">
            <v>磁性位置传感器</v>
          </cell>
        </row>
        <row r="640">
          <cell r="O640" t="str">
            <v>SC1245SO-N-TR</v>
          </cell>
          <cell r="P640" t="str">
            <v>STC1898AD</v>
          </cell>
          <cell r="Q640" t="str">
            <v>磁性位置传感器</v>
          </cell>
        </row>
        <row r="641">
          <cell r="O641" t="str">
            <v>SC2442SO-TR-Q</v>
          </cell>
          <cell r="P641" t="str">
            <v>STC9906R</v>
          </cell>
          <cell r="Q641" t="str">
            <v>磁性位置传感器</v>
          </cell>
        </row>
        <row r="642">
          <cell r="O642" t="str">
            <v>SC2442SO-TR-Q</v>
          </cell>
          <cell r="P642" t="str">
            <v>STC9906R</v>
          </cell>
          <cell r="Q642" t="str">
            <v>磁性位置传感器</v>
          </cell>
        </row>
        <row r="643">
          <cell r="O643" t="str">
            <v>SC2442SO-TR-Q</v>
          </cell>
          <cell r="P643" t="str">
            <v>STC9906R</v>
          </cell>
          <cell r="Q643" t="str">
            <v>磁性位置传感器</v>
          </cell>
        </row>
        <row r="644">
          <cell r="O644" t="str">
            <v>SC2442SO-TR-Q</v>
          </cell>
          <cell r="P644" t="str">
            <v>STC9906R</v>
          </cell>
          <cell r="Q644" t="str">
            <v>磁性位置传感器</v>
          </cell>
        </row>
        <row r="645">
          <cell r="O645" t="str">
            <v>SC2442SO-TR-Q</v>
          </cell>
          <cell r="P645" t="str">
            <v>STC9906R</v>
          </cell>
          <cell r="Q645" t="str">
            <v>磁性位置传感器</v>
          </cell>
        </row>
        <row r="646">
          <cell r="O646" t="str">
            <v>SC9641TS-TR-Q</v>
          </cell>
          <cell r="P646" t="str">
            <v>STC9910BN</v>
          </cell>
          <cell r="Q646" t="str">
            <v>速度传感器</v>
          </cell>
        </row>
        <row r="647">
          <cell r="O647" t="str">
            <v>PSTC1898AD-0</v>
          </cell>
          <cell r="P647" t="str">
            <v>STC1898AD</v>
          </cell>
          <cell r="Q647" t="str">
            <v>磁性位置传感器</v>
          </cell>
        </row>
        <row r="648">
          <cell r="O648" t="str">
            <v>SC4011SO-N</v>
          </cell>
          <cell r="P648" t="str">
            <v>STC4011B</v>
          </cell>
          <cell r="Q648" t="str">
            <v>磁性位置传感器</v>
          </cell>
        </row>
        <row r="649">
          <cell r="O649" t="str">
            <v>SC9675IM-P-HRF00</v>
          </cell>
          <cell r="P649" t="str">
            <v>STC9A002B</v>
          </cell>
          <cell r="Q649" t="str">
            <v>速度传感器</v>
          </cell>
        </row>
        <row r="650">
          <cell r="O650" t="str">
            <v>SC2402UA</v>
          </cell>
          <cell r="P650" t="str">
            <v>STC9902J</v>
          </cell>
          <cell r="Q650" t="str">
            <v>磁性位置传感器</v>
          </cell>
        </row>
        <row r="651">
          <cell r="O651" t="str">
            <v>SC1445A1</v>
          </cell>
          <cell r="P651" t="str">
            <v>STC2899AB</v>
          </cell>
          <cell r="Q651" t="str">
            <v>磁性位置传感器</v>
          </cell>
        </row>
        <row r="652">
          <cell r="O652" t="str">
            <v>SC1645A1</v>
          </cell>
          <cell r="P652" t="str">
            <v>STC2899AI</v>
          </cell>
          <cell r="Q652" t="str">
            <v>磁性位置传感器</v>
          </cell>
        </row>
        <row r="653">
          <cell r="O653" t="str">
            <v>SC1645A1</v>
          </cell>
          <cell r="P653" t="str">
            <v>STC2899AI</v>
          </cell>
          <cell r="Q653" t="str">
            <v>磁性位置传感器</v>
          </cell>
        </row>
        <row r="654">
          <cell r="O654" t="str">
            <v>SC1645A1</v>
          </cell>
          <cell r="P654" t="str">
            <v>STC2899AI</v>
          </cell>
          <cell r="Q654" t="str">
            <v>磁性位置传感器</v>
          </cell>
        </row>
        <row r="655">
          <cell r="O655" t="str">
            <v>SC1645A1</v>
          </cell>
          <cell r="P655" t="str">
            <v>STC2899AI</v>
          </cell>
          <cell r="Q655" t="str">
            <v>磁性位置传感器</v>
          </cell>
        </row>
        <row r="656">
          <cell r="O656" t="str">
            <v>SC4001SE</v>
          </cell>
          <cell r="P656" t="str">
            <v>STC4001AB</v>
          </cell>
          <cell r="Q656" t="str">
            <v>磁性位置传感器</v>
          </cell>
        </row>
        <row r="657">
          <cell r="O657" t="str">
            <v>SC2442SO-N-TR-Q</v>
          </cell>
          <cell r="P657" t="str">
            <v>STC11102B</v>
          </cell>
          <cell r="Q657" t="str">
            <v>磁性位置传感器</v>
          </cell>
        </row>
        <row r="658">
          <cell r="O658" t="str">
            <v>SD2276VB-BK</v>
          </cell>
          <cell r="P658" t="str">
            <v>FD1014A</v>
          </cell>
          <cell r="Q658" t="str">
            <v>电机驱动</v>
          </cell>
        </row>
        <row r="659">
          <cell r="O659" t="str">
            <v>SC4923SO-N-TR</v>
          </cell>
          <cell r="P659" t="str">
            <v>SC4009B</v>
          </cell>
          <cell r="Q659" t="str">
            <v>磁性位置传感器</v>
          </cell>
        </row>
        <row r="660">
          <cell r="O660" t="str">
            <v>49E</v>
          </cell>
          <cell r="P660" t="str">
            <v>STC4011B</v>
          </cell>
          <cell r="Q660" t="str">
            <v>磁性位置传感器</v>
          </cell>
        </row>
        <row r="661">
          <cell r="O661" t="str">
            <v>49E</v>
          </cell>
          <cell r="P661" t="str">
            <v>STC4011B</v>
          </cell>
          <cell r="Q661" t="str">
            <v>磁性位置传感器</v>
          </cell>
        </row>
        <row r="662">
          <cell r="O662" t="str">
            <v>SC4645VB</v>
          </cell>
          <cell r="P662" t="str">
            <v>STC9D06F</v>
          </cell>
          <cell r="Q662" t="str">
            <v>电流传感器</v>
          </cell>
        </row>
        <row r="663">
          <cell r="O663" t="str">
            <v>SC4645VB</v>
          </cell>
          <cell r="P663" t="str">
            <v>STC9D06F</v>
          </cell>
          <cell r="Q663" t="str">
            <v>电流传感器</v>
          </cell>
        </row>
        <row r="664">
          <cell r="O664" t="str">
            <v>SC1138SO-N</v>
          </cell>
          <cell r="P664" t="str">
            <v>STC1898AC</v>
          </cell>
          <cell r="Q664" t="str">
            <v>磁性位置传感器</v>
          </cell>
        </row>
        <row r="665">
          <cell r="O665" t="str">
            <v>SC1138SO-N</v>
          </cell>
          <cell r="P665" t="str">
            <v>STC1898AC</v>
          </cell>
          <cell r="Q665" t="str">
            <v>磁性位置传感器</v>
          </cell>
        </row>
        <row r="666">
          <cell r="O666" t="str">
            <v>SC1134SO-N</v>
          </cell>
          <cell r="P666" t="str">
            <v>STC1002AF</v>
          </cell>
          <cell r="Q666" t="str">
            <v>磁性位置传感器</v>
          </cell>
        </row>
        <row r="667">
          <cell r="O667" t="str">
            <v>SC1134SO-N</v>
          </cell>
          <cell r="P667" t="str">
            <v>STC1002AF</v>
          </cell>
          <cell r="Q667" t="str">
            <v>磁性位置传感器</v>
          </cell>
        </row>
        <row r="668">
          <cell r="O668" t="str">
            <v>SC1134SO-N</v>
          </cell>
          <cell r="P668" t="str">
            <v>STC1002AF</v>
          </cell>
          <cell r="Q668" t="str">
            <v>磁性位置传感器</v>
          </cell>
        </row>
        <row r="669">
          <cell r="O669" t="str">
            <v>SC1134SO-N</v>
          </cell>
          <cell r="P669" t="str">
            <v>STC1002AF</v>
          </cell>
          <cell r="Q669" t="str">
            <v>磁性位置传感器</v>
          </cell>
        </row>
        <row r="670">
          <cell r="O670" t="str">
            <v>SC1138SO-N</v>
          </cell>
          <cell r="P670" t="str">
            <v>STC1898AC</v>
          </cell>
          <cell r="Q670" t="str">
            <v>磁性位置传感器</v>
          </cell>
        </row>
        <row r="671">
          <cell r="O671" t="str">
            <v>SC1138SO-N</v>
          </cell>
          <cell r="P671" t="str">
            <v>STC1898AC</v>
          </cell>
          <cell r="Q671" t="str">
            <v>磁性位置传感器</v>
          </cell>
        </row>
        <row r="672">
          <cell r="O672" t="str">
            <v>SC2402SO-N-TR</v>
          </cell>
          <cell r="P672" t="str">
            <v>STC9H001A</v>
          </cell>
          <cell r="Q672" t="str">
            <v>磁性位置传感器</v>
          </cell>
        </row>
        <row r="673">
          <cell r="O673" t="str">
            <v>SC2442SO-N-TR-Q</v>
          </cell>
          <cell r="P673" t="str">
            <v>STC11102B</v>
          </cell>
          <cell r="Q673" t="str">
            <v>磁性位置传感器</v>
          </cell>
        </row>
        <row r="674">
          <cell r="O674" t="str">
            <v>SC2402SO-N-TR</v>
          </cell>
          <cell r="P674" t="str">
            <v>STC9G002A</v>
          </cell>
          <cell r="Q674" t="str">
            <v>磁性位置传感器</v>
          </cell>
        </row>
        <row r="675">
          <cell r="O675" t="str">
            <v>SC2402SO-N-TR</v>
          </cell>
          <cell r="P675" t="str">
            <v>STC9G002A</v>
          </cell>
          <cell r="Q675" t="str">
            <v>磁性位置传感器</v>
          </cell>
        </row>
        <row r="676">
          <cell r="O676" t="str">
            <v>SC2402SO-N-TR</v>
          </cell>
          <cell r="P676" t="str">
            <v>STC9G002A</v>
          </cell>
          <cell r="Q676" t="str">
            <v>磁性位置传感器</v>
          </cell>
        </row>
        <row r="677">
          <cell r="O677" t="str">
            <v>SC60221-D-256</v>
          </cell>
          <cell r="P677" t="str">
            <v>STC9D04C</v>
          </cell>
          <cell r="Q677" t="str">
            <v>电机编码器</v>
          </cell>
        </row>
        <row r="678">
          <cell r="O678" t="str">
            <v>SC2546VB</v>
          </cell>
          <cell r="P678" t="str">
            <v>STC9906H</v>
          </cell>
          <cell r="Q678" t="str">
            <v>磁性位置传感器</v>
          </cell>
        </row>
        <row r="679">
          <cell r="O679" t="str">
            <v>SC1134UA-BK</v>
          </cell>
          <cell r="P679" t="str">
            <v>STC1898AI</v>
          </cell>
          <cell r="Q679" t="str">
            <v>磁性位置传感器</v>
          </cell>
        </row>
        <row r="680">
          <cell r="O680" t="str">
            <v>SC4001SE</v>
          </cell>
          <cell r="P680" t="str">
            <v>STC4001AB</v>
          </cell>
          <cell r="Q680" t="str">
            <v>磁性位置传感器</v>
          </cell>
        </row>
        <row r="681">
          <cell r="O681" t="str">
            <v>SC9642TS-EC</v>
          </cell>
          <cell r="P681" t="str">
            <v>STC9A001H</v>
          </cell>
          <cell r="Q681" t="str">
            <v>速度传感器</v>
          </cell>
        </row>
        <row r="682">
          <cell r="O682" t="str">
            <v>SC9641TS-PC-TR-Q</v>
          </cell>
          <cell r="P682" t="str">
            <v>STC9A001I</v>
          </cell>
          <cell r="Q682" t="str">
            <v>速度传感器</v>
          </cell>
        </row>
        <row r="683">
          <cell r="O683" t="str">
            <v>SC9641TS-PC-TR-Q</v>
          </cell>
          <cell r="P683" t="str">
            <v>STC9A001I</v>
          </cell>
          <cell r="Q683" t="str">
            <v>速度传感器</v>
          </cell>
        </row>
        <row r="684">
          <cell r="O684" t="str">
            <v>SC9641TS-PC-TR-Q</v>
          </cell>
          <cell r="P684" t="str">
            <v>STC9A001I</v>
          </cell>
          <cell r="Q684" t="str">
            <v>速度传感器</v>
          </cell>
        </row>
        <row r="685">
          <cell r="O685" t="str">
            <v>SC9641TS-PC-TR-Q</v>
          </cell>
          <cell r="P685" t="str">
            <v>STC9A001I</v>
          </cell>
          <cell r="Q685" t="str">
            <v>速度传感器</v>
          </cell>
        </row>
        <row r="686">
          <cell r="O686" t="str">
            <v>SC2443UA</v>
          </cell>
          <cell r="P686" t="str">
            <v>STC9906W</v>
          </cell>
          <cell r="Q686" t="str">
            <v>磁性位置传感器</v>
          </cell>
        </row>
        <row r="687">
          <cell r="O687" t="str">
            <v>SC2443UA</v>
          </cell>
          <cell r="P687" t="str">
            <v>STC9906W</v>
          </cell>
          <cell r="Q687" t="str">
            <v>磁性位置传感器</v>
          </cell>
        </row>
        <row r="688">
          <cell r="O688" t="str">
            <v>SC2443UA</v>
          </cell>
          <cell r="P688" t="str">
            <v>STC9906W</v>
          </cell>
          <cell r="Q688" t="str">
            <v>磁性位置传感器</v>
          </cell>
        </row>
        <row r="689">
          <cell r="O689" t="str">
            <v>SC2443UA</v>
          </cell>
          <cell r="P689" t="str">
            <v>STC9906W</v>
          </cell>
          <cell r="Q689" t="str">
            <v>磁性位置传感器</v>
          </cell>
        </row>
        <row r="690">
          <cell r="O690" t="str">
            <v>SC2443UA</v>
          </cell>
          <cell r="P690" t="str">
            <v>STC9906W</v>
          </cell>
          <cell r="Q690" t="str">
            <v>磁性位置传感器</v>
          </cell>
        </row>
        <row r="691">
          <cell r="O691" t="str">
            <v>SC2498UA-N</v>
          </cell>
          <cell r="P691" t="str">
            <v>SC9915C</v>
          </cell>
          <cell r="Q691" t="str">
            <v>磁性位置传感器</v>
          </cell>
        </row>
        <row r="692">
          <cell r="O692" t="str">
            <v>SC2498UA-N</v>
          </cell>
          <cell r="P692" t="str">
            <v>SC9915C</v>
          </cell>
          <cell r="Q692" t="str">
            <v>磁性位置传感器</v>
          </cell>
        </row>
        <row r="693">
          <cell r="O693" t="str">
            <v>SC2442SO-N-TR-Q</v>
          </cell>
          <cell r="P693" t="str">
            <v>STC11102B</v>
          </cell>
          <cell r="Q693" t="str">
            <v>磁性位置传感器</v>
          </cell>
        </row>
        <row r="694">
          <cell r="O694" t="str">
            <v>SC9642TS-E</v>
          </cell>
          <cell r="P694" t="str">
            <v>STC9A001H</v>
          </cell>
          <cell r="Q694" t="str">
            <v>速度传感器</v>
          </cell>
        </row>
        <row r="695">
          <cell r="O695" t="str">
            <v>SC9641TS-P-TR</v>
          </cell>
          <cell r="P695" t="str">
            <v>STC9A001I</v>
          </cell>
          <cell r="Q695" t="str">
            <v>速度传感器</v>
          </cell>
        </row>
        <row r="696">
          <cell r="O696" t="str">
            <v>SC9641TS-P-TR</v>
          </cell>
          <cell r="P696" t="str">
            <v>STC9A001I</v>
          </cell>
          <cell r="Q696" t="str">
            <v>速度传感器</v>
          </cell>
        </row>
        <row r="697">
          <cell r="O697" t="str">
            <v>SC9641TS-P-TR</v>
          </cell>
          <cell r="P697" t="str">
            <v>STC9A001I</v>
          </cell>
          <cell r="Q697" t="str">
            <v>速度传感器</v>
          </cell>
        </row>
        <row r="698">
          <cell r="O698" t="str">
            <v>SC9641TS-P-TR</v>
          </cell>
          <cell r="P698" t="str">
            <v>STC9A001I</v>
          </cell>
          <cell r="Q698" t="str">
            <v>速度传感器</v>
          </cell>
        </row>
        <row r="699">
          <cell r="O699" t="str">
            <v>SC9641TS-P-TR</v>
          </cell>
          <cell r="P699" t="str">
            <v>STC9A001I</v>
          </cell>
          <cell r="Q699" t="str">
            <v>速度传感器</v>
          </cell>
        </row>
        <row r="700">
          <cell r="O700" t="str">
            <v>SC9641TS-P-TR</v>
          </cell>
          <cell r="P700" t="str">
            <v>STC9A001I</v>
          </cell>
          <cell r="Q700" t="str">
            <v>速度传感器</v>
          </cell>
        </row>
        <row r="701">
          <cell r="O701" t="str">
            <v>SC9641TS-P-TR</v>
          </cell>
          <cell r="P701" t="str">
            <v>STC9A001I</v>
          </cell>
          <cell r="Q701" t="str">
            <v>速度传感器</v>
          </cell>
        </row>
        <row r="702">
          <cell r="O702" t="str">
            <v>SC9641TS-P-TR</v>
          </cell>
          <cell r="P702" t="str">
            <v>STC9A001I</v>
          </cell>
          <cell r="Q702" t="str">
            <v>速度传感器</v>
          </cell>
        </row>
        <row r="703">
          <cell r="O703" t="str">
            <v>SC9641TS-P-TR</v>
          </cell>
          <cell r="P703" t="str">
            <v>STC9A001I</v>
          </cell>
          <cell r="Q703" t="str">
            <v>速度传感器</v>
          </cell>
        </row>
        <row r="704">
          <cell r="O704" t="str">
            <v>SC9641TS-P-TR</v>
          </cell>
          <cell r="P704" t="str">
            <v>STC9A001I</v>
          </cell>
          <cell r="Q704" t="str">
            <v>速度传感器</v>
          </cell>
        </row>
        <row r="705">
          <cell r="O705" t="str">
            <v>SC9641TS-P-TR</v>
          </cell>
          <cell r="P705" t="str">
            <v>STC9A001I</v>
          </cell>
          <cell r="Q705" t="str">
            <v>速度传感器</v>
          </cell>
        </row>
        <row r="706">
          <cell r="O706" t="str">
            <v>SC9641TS-P-TR</v>
          </cell>
          <cell r="P706" t="str">
            <v>STC9A001I</v>
          </cell>
          <cell r="Q706" t="str">
            <v>速度传感器</v>
          </cell>
        </row>
        <row r="707">
          <cell r="O707" t="str">
            <v>SC9641TS-P-TR</v>
          </cell>
          <cell r="P707" t="str">
            <v>STC9A001I</v>
          </cell>
          <cell r="Q707" t="str">
            <v>速度传感器</v>
          </cell>
        </row>
        <row r="708">
          <cell r="O708" t="str">
            <v>SC9641TS-P-TR</v>
          </cell>
          <cell r="P708" t="str">
            <v>STC9A001I</v>
          </cell>
          <cell r="Q708" t="str">
            <v>速度传感器</v>
          </cell>
        </row>
        <row r="709">
          <cell r="O709" t="str">
            <v>SC9641TS-P-TR</v>
          </cell>
          <cell r="P709" t="str">
            <v>STC9A001I</v>
          </cell>
          <cell r="Q709" t="str">
            <v>速度传感器</v>
          </cell>
        </row>
        <row r="710">
          <cell r="O710" t="str">
            <v>SC9641TS-P-TR</v>
          </cell>
          <cell r="P710" t="str">
            <v>STC9A001I</v>
          </cell>
          <cell r="Q710" t="str">
            <v>速度传感器</v>
          </cell>
        </row>
        <row r="711">
          <cell r="O711" t="str">
            <v>SC2242SO-TR-Q</v>
          </cell>
          <cell r="P711" t="str">
            <v>STC9906H</v>
          </cell>
          <cell r="Q711" t="str">
            <v>磁性位置传感器</v>
          </cell>
        </row>
        <row r="712">
          <cell r="O712" t="str">
            <v>SC9641TS-P-TR</v>
          </cell>
          <cell r="P712" t="str">
            <v>STC9A001I</v>
          </cell>
          <cell r="Q712" t="str">
            <v>速度传感器</v>
          </cell>
        </row>
        <row r="713">
          <cell r="O713" t="str">
            <v>SC9641TS-P-TR</v>
          </cell>
          <cell r="P713" t="str">
            <v>STC9A001I</v>
          </cell>
          <cell r="Q713" t="str">
            <v>速度传感器</v>
          </cell>
        </row>
        <row r="714">
          <cell r="O714" t="str">
            <v>SC9641TS-P-TR</v>
          </cell>
          <cell r="P714" t="str">
            <v>STC9A001I</v>
          </cell>
          <cell r="Q714" t="str">
            <v>速度传感器</v>
          </cell>
        </row>
        <row r="715">
          <cell r="O715" t="str">
            <v>SC9641TS-P-TR</v>
          </cell>
          <cell r="P715" t="str">
            <v>STC9A001I</v>
          </cell>
          <cell r="Q715" t="str">
            <v>速度传感器</v>
          </cell>
        </row>
        <row r="716">
          <cell r="O716" t="str">
            <v>SC1134UA</v>
          </cell>
          <cell r="P716" t="str">
            <v>STC1898AI</v>
          </cell>
          <cell r="Q716" t="str">
            <v>磁性位置传感器</v>
          </cell>
        </row>
        <row r="717">
          <cell r="O717" t="str">
            <v>SC4624SP50B5</v>
          </cell>
          <cell r="P717" t="str">
            <v>STC9D06F</v>
          </cell>
          <cell r="Q717" t="str">
            <v>电流传感器</v>
          </cell>
        </row>
        <row r="718">
          <cell r="O718" t="str">
            <v>SD2276VB-BK</v>
          </cell>
          <cell r="P718" t="str">
            <v>FD1014A</v>
          </cell>
          <cell r="Q718" t="str">
            <v>电机驱动</v>
          </cell>
        </row>
        <row r="719">
          <cell r="O719" t="str">
            <v>SD2276VB-BK</v>
          </cell>
          <cell r="P719" t="str">
            <v>FD1014A</v>
          </cell>
          <cell r="Q719" t="str">
            <v>电机驱动</v>
          </cell>
        </row>
        <row r="720">
          <cell r="O720" t="str">
            <v>SD2276VB-BK</v>
          </cell>
          <cell r="P720" t="str">
            <v>FD1014A</v>
          </cell>
          <cell r="Q720" t="str">
            <v>电机驱动</v>
          </cell>
        </row>
        <row r="721">
          <cell r="O721" t="str">
            <v>SD2276VB-BK</v>
          </cell>
          <cell r="P721" t="str">
            <v>FD1014A</v>
          </cell>
          <cell r="Q721" t="str">
            <v>电机驱动</v>
          </cell>
        </row>
        <row r="722">
          <cell r="O722" t="str">
            <v>SC1645A1</v>
          </cell>
          <cell r="P722" t="str">
            <v>STC2899AI</v>
          </cell>
          <cell r="Q722" t="str">
            <v>磁性位置传感器</v>
          </cell>
        </row>
        <row r="723">
          <cell r="O723" t="str">
            <v>SC1645A1</v>
          </cell>
          <cell r="P723" t="str">
            <v>STC2899AI</v>
          </cell>
          <cell r="Q723" t="str">
            <v>磁性位置传感器</v>
          </cell>
        </row>
        <row r="724">
          <cell r="O724" t="str">
            <v>SC4923SO-N-TR</v>
          </cell>
          <cell r="P724" t="str">
            <v>SC4009B</v>
          </cell>
          <cell r="Q724" t="str">
            <v>磁性位置传感器</v>
          </cell>
        </row>
        <row r="725">
          <cell r="O725" t="str">
            <v>SC4015SO-N-TR</v>
          </cell>
          <cell r="P725" t="str">
            <v>STC4011E</v>
          </cell>
          <cell r="Q725" t="str">
            <v>磁性位置传感器</v>
          </cell>
        </row>
        <row r="726">
          <cell r="O726" t="str">
            <v>SC4015SO-N-TR</v>
          </cell>
          <cell r="P726" t="str">
            <v>STC4011E</v>
          </cell>
          <cell r="Q726" t="str">
            <v>磁性位置传感器</v>
          </cell>
        </row>
        <row r="727">
          <cell r="O727" t="str">
            <v>SC4015SO-N-TR</v>
          </cell>
          <cell r="P727" t="str">
            <v>STC4011E</v>
          </cell>
          <cell r="Q727" t="str">
            <v>磁性位置传感器</v>
          </cell>
        </row>
        <row r="728">
          <cell r="O728" t="str">
            <v>SC4015SO-N-TR</v>
          </cell>
          <cell r="P728" t="str">
            <v>STC4011E</v>
          </cell>
          <cell r="Q728" t="str">
            <v>磁性位置传感器</v>
          </cell>
        </row>
        <row r="729">
          <cell r="O729" t="str">
            <v>SC4015SO-N-TR</v>
          </cell>
          <cell r="P729" t="str">
            <v>STC4011E</v>
          </cell>
          <cell r="Q729" t="str">
            <v>磁性位置传感器</v>
          </cell>
        </row>
        <row r="730">
          <cell r="O730" t="str">
            <v>SC4015SO-N-TR</v>
          </cell>
          <cell r="P730" t="str">
            <v>STC4011E</v>
          </cell>
          <cell r="Q730" t="str">
            <v>磁性位置传感器</v>
          </cell>
        </row>
        <row r="731">
          <cell r="O731" t="str">
            <v>SC4015SO-N-TR</v>
          </cell>
          <cell r="P731" t="str">
            <v>STC4011E</v>
          </cell>
          <cell r="Q731" t="str">
            <v>磁性位置传感器</v>
          </cell>
        </row>
        <row r="732">
          <cell r="O732" t="str">
            <v>SC4015SO-N-TR</v>
          </cell>
          <cell r="P732" t="str">
            <v>STC4011E</v>
          </cell>
          <cell r="Q732" t="str">
            <v>磁性位置传感器</v>
          </cell>
        </row>
        <row r="733">
          <cell r="O733" t="str">
            <v>SC4015SO-N-TR</v>
          </cell>
          <cell r="P733" t="str">
            <v>STC4011E</v>
          </cell>
          <cell r="Q733" t="str">
            <v>磁性位置传感器</v>
          </cell>
        </row>
        <row r="734">
          <cell r="O734" t="str">
            <v>SC4015SO-N-TR</v>
          </cell>
          <cell r="P734" t="str">
            <v>STC4011E</v>
          </cell>
          <cell r="Q734" t="str">
            <v>磁性位置传感器</v>
          </cell>
        </row>
        <row r="735">
          <cell r="O735" t="str">
            <v>SC4015SO-N-TR</v>
          </cell>
          <cell r="P735" t="str">
            <v>STC4011E</v>
          </cell>
          <cell r="Q735" t="str">
            <v>磁性位置传感器</v>
          </cell>
        </row>
        <row r="736">
          <cell r="O736" t="str">
            <v>SC4015SO-N-TR</v>
          </cell>
          <cell r="P736" t="str">
            <v>STC4011E</v>
          </cell>
          <cell r="Q736" t="str">
            <v>磁性位置传感器</v>
          </cell>
        </row>
        <row r="737">
          <cell r="O737" t="str">
            <v>SC60224-D-500</v>
          </cell>
          <cell r="P737" t="str">
            <v>STC9D04C</v>
          </cell>
          <cell r="Q737" t="str">
            <v>电机编码器</v>
          </cell>
        </row>
        <row r="738">
          <cell r="O738" t="str">
            <v>SC2064UA</v>
          </cell>
          <cell r="P738" t="str">
            <v>STC9G001C</v>
          </cell>
          <cell r="Q738" t="str">
            <v>磁性位置传感器</v>
          </cell>
        </row>
        <row r="739">
          <cell r="O739" t="str">
            <v>SC4015SO-N-TR</v>
          </cell>
          <cell r="P739" t="str">
            <v>STC4011E</v>
          </cell>
          <cell r="Q739" t="str">
            <v>磁性位置传感器</v>
          </cell>
        </row>
        <row r="740">
          <cell r="O740" t="str">
            <v>SC4015SO-N-TR</v>
          </cell>
          <cell r="P740" t="str">
            <v>STC4011E</v>
          </cell>
          <cell r="Q740" t="str">
            <v>磁性位置传感器</v>
          </cell>
        </row>
        <row r="741">
          <cell r="O741" t="str">
            <v>SC4015SO-N-TR</v>
          </cell>
          <cell r="P741" t="str">
            <v>STC4011E</v>
          </cell>
          <cell r="Q741" t="str">
            <v>磁性位置传感器</v>
          </cell>
        </row>
        <row r="742">
          <cell r="O742" t="str">
            <v>SC4015SO-N-TR</v>
          </cell>
          <cell r="P742" t="str">
            <v>STC4011E</v>
          </cell>
          <cell r="Q742" t="str">
            <v>磁性位置传感器</v>
          </cell>
        </row>
        <row r="743">
          <cell r="O743" t="str">
            <v>SC4015SO-N-TR</v>
          </cell>
          <cell r="P743" t="str">
            <v>STC4011E</v>
          </cell>
          <cell r="Q743" t="str">
            <v>磁性位置传感器</v>
          </cell>
        </row>
        <row r="744">
          <cell r="O744" t="str">
            <v>SC4015SO-N-TR</v>
          </cell>
          <cell r="P744" t="str">
            <v>STC4011E</v>
          </cell>
          <cell r="Q744" t="str">
            <v>磁性位置传感器</v>
          </cell>
        </row>
        <row r="745">
          <cell r="O745" t="str">
            <v>SC4015SO-N-TR</v>
          </cell>
          <cell r="P745" t="str">
            <v>STC4011E</v>
          </cell>
          <cell r="Q745" t="str">
            <v>磁性位置传感器</v>
          </cell>
        </row>
        <row r="746">
          <cell r="O746" t="str">
            <v>SC4015SO-N-TR</v>
          </cell>
          <cell r="P746" t="str">
            <v>STC4011E</v>
          </cell>
          <cell r="Q746" t="str">
            <v>磁性位置传感器</v>
          </cell>
        </row>
        <row r="747">
          <cell r="O747" t="str">
            <v>SC4015SO-N-TR</v>
          </cell>
          <cell r="P747" t="str">
            <v>STC4011E</v>
          </cell>
          <cell r="Q747" t="str">
            <v>磁性位置传感器</v>
          </cell>
        </row>
        <row r="748">
          <cell r="O748" t="str">
            <v>SC4015SO-N-TR</v>
          </cell>
          <cell r="P748" t="str">
            <v>STC4011E</v>
          </cell>
          <cell r="Q748" t="str">
            <v>磁性位置传感器</v>
          </cell>
        </row>
        <row r="749">
          <cell r="O749" t="str">
            <v>SC4015SO-N-TR</v>
          </cell>
          <cell r="P749" t="str">
            <v>STC4011E</v>
          </cell>
          <cell r="Q749" t="str">
            <v>磁性位置传感器</v>
          </cell>
        </row>
        <row r="750">
          <cell r="O750" t="str">
            <v>SC4015SO-N-TR</v>
          </cell>
          <cell r="P750" t="str">
            <v>STC4011E</v>
          </cell>
          <cell r="Q750" t="str">
            <v>磁性位置传感器</v>
          </cell>
        </row>
        <row r="751">
          <cell r="O751" t="str">
            <v>SC4015SO-N-TR</v>
          </cell>
          <cell r="P751" t="str">
            <v>STC4011E</v>
          </cell>
          <cell r="Q751" t="str">
            <v>磁性位置传感器</v>
          </cell>
        </row>
        <row r="752">
          <cell r="O752" t="str">
            <v>SC2442SO-N-TR-Q</v>
          </cell>
          <cell r="P752" t="str">
            <v>STC11102B</v>
          </cell>
          <cell r="Q752" t="str">
            <v>磁性位置传感器</v>
          </cell>
        </row>
        <row r="753">
          <cell r="O753" t="str">
            <v>SC2442SO-N-TR-Q</v>
          </cell>
          <cell r="P753" t="str">
            <v>STC11102B</v>
          </cell>
          <cell r="Q753" t="str">
            <v>磁性位置传感器</v>
          </cell>
        </row>
        <row r="754">
          <cell r="O754" t="str">
            <v>SC2402SO-N-TR</v>
          </cell>
          <cell r="P754" t="str">
            <v>STC9H001A</v>
          </cell>
          <cell r="Q754" t="str">
            <v>磁性位置传感器</v>
          </cell>
        </row>
        <row r="755">
          <cell r="O755" t="str">
            <v>STC4011B-DS</v>
          </cell>
          <cell r="P755" t="str">
            <v>STC4011B</v>
          </cell>
          <cell r="Q755" t="str">
            <v>磁性位置传感器</v>
          </cell>
        </row>
        <row r="756">
          <cell r="O756" t="str">
            <v>STC4011B-DS</v>
          </cell>
          <cell r="P756" t="str">
            <v>STC4011B</v>
          </cell>
          <cell r="Q756" t="str">
            <v>磁性位置传感器</v>
          </cell>
        </row>
        <row r="757">
          <cell r="O757" t="str">
            <v>SC9641TS-P-TR</v>
          </cell>
          <cell r="P757" t="str">
            <v>STC9A001I</v>
          </cell>
          <cell r="Q757" t="str">
            <v>速度传感器</v>
          </cell>
        </row>
        <row r="758">
          <cell r="O758" t="str">
            <v>SC9641TS-P-TR</v>
          </cell>
          <cell r="P758" t="str">
            <v>STC9A001I</v>
          </cell>
          <cell r="Q758" t="str">
            <v>速度传感器</v>
          </cell>
        </row>
        <row r="759">
          <cell r="O759" t="str">
            <v>SC9641TS-P-TR</v>
          </cell>
          <cell r="P759" t="str">
            <v>STC9A001I</v>
          </cell>
          <cell r="Q759" t="str">
            <v>速度传感器</v>
          </cell>
        </row>
        <row r="760">
          <cell r="O760" t="str">
            <v>SC9641TS-P-TR</v>
          </cell>
          <cell r="P760" t="str">
            <v>STC9A001I</v>
          </cell>
          <cell r="Q760" t="str">
            <v>速度传感器</v>
          </cell>
        </row>
        <row r="761">
          <cell r="O761" t="str">
            <v>SC4643VB-P</v>
          </cell>
          <cell r="P761" t="str">
            <v>STC9D03E</v>
          </cell>
          <cell r="Q761" t="str">
            <v>电流传感器</v>
          </cell>
        </row>
        <row r="762">
          <cell r="O762" t="str">
            <v>SC1134SO-N</v>
          </cell>
          <cell r="P762" t="str">
            <v>STC1898AI</v>
          </cell>
          <cell r="Q762" t="str">
            <v>磁性位置传感器</v>
          </cell>
        </row>
        <row r="763">
          <cell r="O763" t="str">
            <v>SC4688SA-BK-Q</v>
          </cell>
          <cell r="P763" t="str">
            <v>STC9D01C</v>
          </cell>
          <cell r="Q763" t="str">
            <v>角度传感器</v>
          </cell>
        </row>
        <row r="764">
          <cell r="O764" t="str">
            <v>PSTC9902B</v>
          </cell>
          <cell r="P764" t="str">
            <v>STC9902B</v>
          </cell>
          <cell r="Q764" t="str">
            <v>磁性位置传感器</v>
          </cell>
        </row>
        <row r="765">
          <cell r="O765" t="str">
            <v>SC9641TS</v>
          </cell>
          <cell r="P765" t="str">
            <v>STC9910BN</v>
          </cell>
          <cell r="Q765" t="str">
            <v>速度传感器</v>
          </cell>
        </row>
        <row r="766">
          <cell r="O766" t="str">
            <v>SC9641TS</v>
          </cell>
          <cell r="P766" t="str">
            <v>STC9910BN</v>
          </cell>
          <cell r="Q766" t="str">
            <v>速度传感器</v>
          </cell>
        </row>
        <row r="767">
          <cell r="O767" t="str">
            <v>SC9641TS</v>
          </cell>
          <cell r="P767" t="str">
            <v>STC9910BN</v>
          </cell>
          <cell r="Q767" t="str">
            <v>速度传感器</v>
          </cell>
        </row>
        <row r="768">
          <cell r="O768" t="str">
            <v>SC9641TS</v>
          </cell>
          <cell r="P768" t="str">
            <v>STC9910BN</v>
          </cell>
          <cell r="Q768" t="str">
            <v>速度传感器</v>
          </cell>
        </row>
        <row r="769">
          <cell r="O769" t="str">
            <v>SC2968S1-N-BK</v>
          </cell>
          <cell r="P769" t="str">
            <v>STC11102C</v>
          </cell>
          <cell r="Q769" t="str">
            <v>磁性位置传感器</v>
          </cell>
        </row>
        <row r="770">
          <cell r="O770" t="str">
            <v>SC69401-A</v>
          </cell>
          <cell r="P770" t="str">
            <v>STC9H002DQ</v>
          </cell>
          <cell r="Q770" t="str">
            <v>角度传感器</v>
          </cell>
        </row>
        <row r="771">
          <cell r="O771" t="str">
            <v>SC60220</v>
          </cell>
          <cell r="P771" t="str">
            <v>STC9D04C</v>
          </cell>
          <cell r="Q771" t="str">
            <v>电机编码器</v>
          </cell>
        </row>
        <row r="772">
          <cell r="O772" t="str">
            <v>SC60220</v>
          </cell>
          <cell r="P772" t="str">
            <v>STC9D04C</v>
          </cell>
          <cell r="Q772" t="str">
            <v>电机编码器</v>
          </cell>
        </row>
        <row r="773">
          <cell r="O773" t="str">
            <v>SC60221-D-64</v>
          </cell>
          <cell r="P773" t="str">
            <v>STC9D04C</v>
          </cell>
          <cell r="Q773" t="str">
            <v>电机编码器</v>
          </cell>
        </row>
        <row r="774">
          <cell r="O774" t="str">
            <v>SC60224-D-500</v>
          </cell>
          <cell r="P774" t="str">
            <v>STC9D04C</v>
          </cell>
          <cell r="Q774" t="str">
            <v>电机编码器</v>
          </cell>
        </row>
        <row r="775">
          <cell r="O775" t="str">
            <v>SC60224-D-500</v>
          </cell>
          <cell r="P775" t="str">
            <v>STC9D04C</v>
          </cell>
          <cell r="Q775" t="str">
            <v>电机编码器</v>
          </cell>
        </row>
        <row r="776">
          <cell r="O776" t="str">
            <v>SC60224-D-500</v>
          </cell>
          <cell r="P776" t="str">
            <v>STC9D04C</v>
          </cell>
          <cell r="Q776" t="str">
            <v>电机编码器</v>
          </cell>
        </row>
        <row r="777">
          <cell r="O777" t="str">
            <v>SC1138SO-N</v>
          </cell>
          <cell r="P777" t="str">
            <v>STC1898AC</v>
          </cell>
          <cell r="Q777" t="str">
            <v>磁性位置传感器</v>
          </cell>
        </row>
        <row r="778">
          <cell r="O778" t="str">
            <v>SC4688SA-BK-Q</v>
          </cell>
          <cell r="P778" t="str">
            <v>STC9D01C</v>
          </cell>
          <cell r="Q778" t="str">
            <v>角度传感器</v>
          </cell>
        </row>
        <row r="779">
          <cell r="O779" t="str">
            <v>STC4011B-DS</v>
          </cell>
          <cell r="P779" t="str">
            <v>STC4011B</v>
          </cell>
          <cell r="Q779" t="str">
            <v>磁性位置传感器</v>
          </cell>
        </row>
        <row r="780">
          <cell r="O780" t="str">
            <v>SC4688SA-BK-Q</v>
          </cell>
          <cell r="P780" t="str">
            <v>STC9D01C</v>
          </cell>
          <cell r="Q780" t="str">
            <v>角度传感器</v>
          </cell>
        </row>
        <row r="781">
          <cell r="O781" t="str">
            <v>SC2443SO</v>
          </cell>
          <cell r="P781" t="str">
            <v>STC9906T</v>
          </cell>
          <cell r="Q781" t="str">
            <v>磁性位置传感器</v>
          </cell>
        </row>
        <row r="782">
          <cell r="O782" t="str">
            <v>SC2443SO</v>
          </cell>
          <cell r="P782" t="str">
            <v>STC9906T</v>
          </cell>
          <cell r="Q782" t="str">
            <v>磁性位置传感器</v>
          </cell>
        </row>
        <row r="783">
          <cell r="O783" t="str">
            <v>SC1645A1</v>
          </cell>
          <cell r="P783" t="str">
            <v>STC2899AI</v>
          </cell>
          <cell r="Q783" t="str">
            <v>磁性位置传感器</v>
          </cell>
        </row>
        <row r="784">
          <cell r="O784" t="str">
            <v>SC1645A1</v>
          </cell>
          <cell r="P784" t="str">
            <v>STC2899AI</v>
          </cell>
          <cell r="Q784" t="str">
            <v>磁性位置传感器</v>
          </cell>
        </row>
        <row r="785">
          <cell r="O785" t="str">
            <v>SC4688SA</v>
          </cell>
          <cell r="P785" t="str">
            <v>STC9D01C</v>
          </cell>
          <cell r="Q785" t="str">
            <v>角度传感器</v>
          </cell>
        </row>
        <row r="786">
          <cell r="O786" t="str">
            <v>SC1139UA</v>
          </cell>
          <cell r="P786" t="str">
            <v>STC1002AF</v>
          </cell>
          <cell r="Q786" t="str">
            <v>磁性位置传感器</v>
          </cell>
        </row>
        <row r="787">
          <cell r="O787" t="str">
            <v>SC1139UA</v>
          </cell>
          <cell r="P787" t="str">
            <v>STC1002AF</v>
          </cell>
          <cell r="Q787" t="str">
            <v>磁性位置传感器</v>
          </cell>
        </row>
        <row r="788">
          <cell r="O788" t="str">
            <v>SC1139UA</v>
          </cell>
          <cell r="P788" t="str">
            <v>STC1002AF</v>
          </cell>
          <cell r="Q788" t="str">
            <v>磁性位置传感器</v>
          </cell>
        </row>
        <row r="789">
          <cell r="O789" t="str">
            <v>SC9641TS-PC-TR-Q</v>
          </cell>
          <cell r="P789" t="str">
            <v>STC9A001I</v>
          </cell>
          <cell r="Q789" t="str">
            <v>速度传感器</v>
          </cell>
        </row>
        <row r="790">
          <cell r="O790" t="str">
            <v>SC9641TS-PC-TR-Q</v>
          </cell>
          <cell r="P790" t="str">
            <v>STC9A001I</v>
          </cell>
          <cell r="Q790" t="str">
            <v>速度传感器</v>
          </cell>
        </row>
        <row r="791">
          <cell r="O791" t="str">
            <v>SC9641TS-PC-TR-Q</v>
          </cell>
          <cell r="P791" t="str">
            <v>STC9A001I</v>
          </cell>
          <cell r="Q791" t="str">
            <v>速度传感器</v>
          </cell>
        </row>
        <row r="792">
          <cell r="O792" t="str">
            <v>SC9641TS-PC-TR-Q</v>
          </cell>
          <cell r="P792" t="str">
            <v>STC9A001I</v>
          </cell>
          <cell r="Q792" t="str">
            <v>速度传感器</v>
          </cell>
        </row>
        <row r="793">
          <cell r="O793" t="str">
            <v>SC9641TS-PC-TR-Q</v>
          </cell>
          <cell r="P793" t="str">
            <v>STC9A001I</v>
          </cell>
          <cell r="Q793" t="str">
            <v>速度传感器</v>
          </cell>
        </row>
        <row r="794">
          <cell r="O794" t="str">
            <v>SC4002UA</v>
          </cell>
          <cell r="P794" t="str">
            <v>STC4000AA</v>
          </cell>
          <cell r="Q794" t="str">
            <v>磁性位置传感器</v>
          </cell>
        </row>
        <row r="795">
          <cell r="O795" t="str">
            <v>SC2434SO-N</v>
          </cell>
          <cell r="P795" t="str">
            <v>STC9906I</v>
          </cell>
          <cell r="Q795" t="str">
            <v>磁性位置传感器</v>
          </cell>
        </row>
        <row r="796">
          <cell r="O796" t="str">
            <v>SC2434SO-N</v>
          </cell>
          <cell r="P796" t="str">
            <v>STC9906I</v>
          </cell>
          <cell r="Q796" t="str">
            <v>磁性位置传感器</v>
          </cell>
        </row>
        <row r="797">
          <cell r="O797" t="str">
            <v>SC4015SO-N-TR</v>
          </cell>
          <cell r="P797" t="str">
            <v>STC4011E</v>
          </cell>
          <cell r="Q797" t="str">
            <v>磁性位置传感器</v>
          </cell>
        </row>
        <row r="798">
          <cell r="O798" t="str">
            <v>SC4015SO-N-TR</v>
          </cell>
          <cell r="P798" t="str">
            <v>STC4011E</v>
          </cell>
          <cell r="Q798" t="str">
            <v>磁性位置传感器</v>
          </cell>
        </row>
        <row r="799">
          <cell r="O799" t="str">
            <v>SC4015SO-N-TR</v>
          </cell>
          <cell r="P799" t="str">
            <v>STC4011E</v>
          </cell>
          <cell r="Q799" t="str">
            <v>磁性位置传感器</v>
          </cell>
        </row>
        <row r="800">
          <cell r="O800" t="str">
            <v>SC4015SO-N-TR</v>
          </cell>
          <cell r="P800" t="str">
            <v>STC4011E</v>
          </cell>
          <cell r="Q800" t="str">
            <v>磁性位置传感器</v>
          </cell>
        </row>
        <row r="801">
          <cell r="O801" t="str">
            <v>SC4015SO-N-TR</v>
          </cell>
          <cell r="P801" t="str">
            <v>STC4011E</v>
          </cell>
          <cell r="Q801" t="str">
            <v>磁性位置传感器</v>
          </cell>
        </row>
        <row r="802">
          <cell r="O802" t="str">
            <v>SC4015SO-N-TR</v>
          </cell>
          <cell r="P802" t="str">
            <v>STC4011E</v>
          </cell>
          <cell r="Q802" t="str">
            <v>磁性位置传感器</v>
          </cell>
        </row>
        <row r="803">
          <cell r="O803" t="str">
            <v>SC4015SO-N-TR</v>
          </cell>
          <cell r="P803" t="str">
            <v>STC4011E</v>
          </cell>
          <cell r="Q803" t="str">
            <v>磁性位置传感器</v>
          </cell>
        </row>
        <row r="804">
          <cell r="O804" t="str">
            <v>SC4015SO-N-TR</v>
          </cell>
          <cell r="P804" t="str">
            <v>STC4011E</v>
          </cell>
          <cell r="Q804" t="str">
            <v>磁性位置传感器</v>
          </cell>
        </row>
        <row r="805">
          <cell r="O805" t="str">
            <v>SC4015SO-N-TR</v>
          </cell>
          <cell r="P805" t="str">
            <v>STC4011E</v>
          </cell>
          <cell r="Q805" t="str">
            <v>磁性位置传感器</v>
          </cell>
        </row>
        <row r="806">
          <cell r="O806" t="str">
            <v>SC4015SO-N-TR</v>
          </cell>
          <cell r="P806" t="str">
            <v>STC4011E</v>
          </cell>
          <cell r="Q806" t="str">
            <v>磁性位置传感器</v>
          </cell>
        </row>
        <row r="807">
          <cell r="O807" t="str">
            <v>SC4015SO-N-TR</v>
          </cell>
          <cell r="P807" t="str">
            <v>STC4011E</v>
          </cell>
          <cell r="Q807" t="str">
            <v>磁性位置传感器</v>
          </cell>
        </row>
        <row r="808">
          <cell r="O808" t="str">
            <v>SC4015SO-N-TR</v>
          </cell>
          <cell r="P808" t="str">
            <v>STC4011E</v>
          </cell>
          <cell r="Q808" t="str">
            <v>磁性位置传感器</v>
          </cell>
        </row>
        <row r="809">
          <cell r="O809" t="str">
            <v>SC4015SO-N-TR</v>
          </cell>
          <cell r="P809" t="str">
            <v>STC4011E</v>
          </cell>
          <cell r="Q809" t="str">
            <v>磁性位置传感器</v>
          </cell>
        </row>
        <row r="810">
          <cell r="O810" t="str">
            <v>SC2442SO-N-TR-Q</v>
          </cell>
          <cell r="P810" t="str">
            <v>STC11102B</v>
          </cell>
          <cell r="Q810" t="str">
            <v>磁性位置传感器</v>
          </cell>
        </row>
        <row r="811">
          <cell r="O811" t="str">
            <v>ZH639D0JT</v>
          </cell>
          <cell r="P811" t="str">
            <v xml:space="preserve"> </v>
          </cell>
          <cell r="Q811" t="str">
            <v>电机驱动</v>
          </cell>
        </row>
        <row r="812">
          <cell r="O812" t="str">
            <v>SL54123APA1R</v>
          </cell>
          <cell r="P812" t="str">
            <v>STC16100B</v>
          </cell>
          <cell r="Q812" t="str">
            <v>电流传感器</v>
          </cell>
        </row>
        <row r="813">
          <cell r="O813" t="str">
            <v>SC9625VB-L</v>
          </cell>
          <cell r="P813" t="str">
            <v>STC9910E</v>
          </cell>
          <cell r="Q813" t="str">
            <v>速度传感器</v>
          </cell>
        </row>
        <row r="814">
          <cell r="O814" t="str">
            <v>SC9621VB</v>
          </cell>
          <cell r="P814" t="str">
            <v>STC9910C</v>
          </cell>
          <cell r="Q814" t="str">
            <v>速度传感器</v>
          </cell>
        </row>
        <row r="815">
          <cell r="O815" t="str">
            <v>SC9314UA</v>
          </cell>
          <cell r="P815" t="str">
            <v>STC9901AF</v>
          </cell>
          <cell r="Q815" t="str">
            <v>速度传感器</v>
          </cell>
        </row>
        <row r="816">
          <cell r="O816" t="str">
            <v>SC9632VB</v>
          </cell>
          <cell r="P816" t="str">
            <v>STC9905E</v>
          </cell>
          <cell r="Q816" t="str">
            <v>速度传感器</v>
          </cell>
        </row>
        <row r="817">
          <cell r="O817" t="str">
            <v>SC9632VB</v>
          </cell>
          <cell r="P817" t="str">
            <v>STC9905E</v>
          </cell>
          <cell r="Q817" t="str">
            <v>速度传感器</v>
          </cell>
        </row>
        <row r="818">
          <cell r="O818" t="str">
            <v>SC9633VB</v>
          </cell>
          <cell r="P818" t="str">
            <v>STC9905F</v>
          </cell>
          <cell r="Q818" t="str">
            <v>速度传感器</v>
          </cell>
        </row>
        <row r="819">
          <cell r="O819" t="str">
            <v>SC9641TS-P</v>
          </cell>
          <cell r="P819" t="str">
            <v>STC9A001I</v>
          </cell>
          <cell r="Q819" t="str">
            <v>速度传感器</v>
          </cell>
        </row>
        <row r="820">
          <cell r="O820" t="str">
            <v>SC4643VB-P</v>
          </cell>
          <cell r="P820" t="str">
            <v>STC9D03E</v>
          </cell>
          <cell r="Q820" t="str">
            <v>电流传感器</v>
          </cell>
        </row>
        <row r="821">
          <cell r="O821" t="str">
            <v>SC4688SA-A</v>
          </cell>
          <cell r="P821" t="str">
            <v>STC9D01C</v>
          </cell>
          <cell r="Q821" t="str">
            <v>角度传感器</v>
          </cell>
        </row>
        <row r="822">
          <cell r="O822" t="str">
            <v>SC69401</v>
          </cell>
          <cell r="P822" t="str">
            <v>STC9H002D</v>
          </cell>
          <cell r="Q822" t="str">
            <v>角度传感器</v>
          </cell>
        </row>
        <row r="823">
          <cell r="O823" t="str">
            <v>SC69401D</v>
          </cell>
          <cell r="P823" t="str">
            <v>STC9H002D</v>
          </cell>
          <cell r="Q823" t="str">
            <v>角度传感器</v>
          </cell>
        </row>
        <row r="824">
          <cell r="O824" t="str">
            <v>SC4101DN</v>
          </cell>
          <cell r="P824" t="str">
            <v>STC11201B</v>
          </cell>
          <cell r="Q824" t="str">
            <v>磁性位置传感器</v>
          </cell>
        </row>
        <row r="825">
          <cell r="O825" t="str">
            <v>SC4103DN</v>
          </cell>
          <cell r="P825" t="str">
            <v>STC11201B</v>
          </cell>
          <cell r="Q825" t="str">
            <v>磁性位置传感器</v>
          </cell>
        </row>
        <row r="826">
          <cell r="O826" t="str">
            <v>SC4104DN</v>
          </cell>
          <cell r="P826" t="str">
            <v>STC11201B</v>
          </cell>
          <cell r="Q826" t="str">
            <v>磁性位置传感器</v>
          </cell>
        </row>
        <row r="827">
          <cell r="O827" t="str">
            <v>SC4102DN</v>
          </cell>
          <cell r="P827" t="str">
            <v>STC11201B</v>
          </cell>
          <cell r="Q827" t="str">
            <v>磁性位置传感器</v>
          </cell>
        </row>
        <row r="828">
          <cell r="O828" t="str">
            <v>SC60228DC</v>
          </cell>
          <cell r="P828" t="str">
            <v>STC9D04C</v>
          </cell>
          <cell r="Q828" t="str">
            <v>电机编码器</v>
          </cell>
        </row>
        <row r="829">
          <cell r="O829" t="str">
            <v>SC60224-D-1024</v>
          </cell>
          <cell r="P829" t="str">
            <v>STC9D04C</v>
          </cell>
          <cell r="Q829" t="str">
            <v>电机编码器</v>
          </cell>
        </row>
        <row r="830">
          <cell r="O830" t="str">
            <v>SC60224-U-P4-1024</v>
          </cell>
          <cell r="P830" t="str">
            <v>STC9D04C</v>
          </cell>
          <cell r="Q830" t="str">
            <v>电机编码器</v>
          </cell>
        </row>
        <row r="831">
          <cell r="O831" t="str">
            <v>SC60224-U-P4-1024</v>
          </cell>
          <cell r="P831" t="str">
            <v>STC9D04C</v>
          </cell>
          <cell r="Q831" t="str">
            <v>电机编码器</v>
          </cell>
        </row>
        <row r="832">
          <cell r="O832" t="str">
            <v>SC2202UA</v>
          </cell>
          <cell r="P832" t="str">
            <v>STC9902E</v>
          </cell>
          <cell r="Q832" t="str">
            <v>磁性位置传感器</v>
          </cell>
        </row>
        <row r="833">
          <cell r="O833" t="str">
            <v>SC2202SO-N</v>
          </cell>
          <cell r="P833" t="str">
            <v>STC9902E</v>
          </cell>
          <cell r="Q833" t="str">
            <v>磁性位置传感器</v>
          </cell>
        </row>
        <row r="834">
          <cell r="O834" t="str">
            <v>SC1134UA</v>
          </cell>
          <cell r="P834" t="str">
            <v>STC1898AI</v>
          </cell>
          <cell r="Q834" t="str">
            <v>磁性位置传感器</v>
          </cell>
        </row>
        <row r="835">
          <cell r="O835" t="str">
            <v>SC1134SO-N</v>
          </cell>
          <cell r="P835" t="str">
            <v>STC1898AI</v>
          </cell>
          <cell r="Q835" t="str">
            <v>磁性位置传感器</v>
          </cell>
        </row>
        <row r="836">
          <cell r="O836" t="str">
            <v>SC1134UA</v>
          </cell>
          <cell r="P836" t="str">
            <v>STC1898AI</v>
          </cell>
          <cell r="Q836" t="str">
            <v>磁性位置传感器</v>
          </cell>
        </row>
        <row r="837">
          <cell r="O837" t="str">
            <v>SC1245A1</v>
          </cell>
          <cell r="P837" t="str">
            <v>STC1898AD</v>
          </cell>
          <cell r="Q837" t="str">
            <v>磁性位置传感器</v>
          </cell>
        </row>
        <row r="838">
          <cell r="O838" t="str">
            <v>SC1245SO-N</v>
          </cell>
          <cell r="P838" t="str">
            <v>STC1898AD</v>
          </cell>
          <cell r="Q838" t="str">
            <v>磁性位置传感器</v>
          </cell>
        </row>
        <row r="839">
          <cell r="O839" t="str">
            <v>SC1245SO-N</v>
          </cell>
          <cell r="P839" t="str">
            <v>STC1898AD</v>
          </cell>
          <cell r="Q839" t="str">
            <v>磁性位置传感器</v>
          </cell>
        </row>
        <row r="840">
          <cell r="O840" t="str">
            <v>SC2442UA</v>
          </cell>
          <cell r="P840" t="str">
            <v>STC9906P</v>
          </cell>
          <cell r="Q840" t="str">
            <v>磁性位置传感器</v>
          </cell>
        </row>
        <row r="841">
          <cell r="O841" t="str">
            <v>SC2242SO</v>
          </cell>
          <cell r="P841" t="str">
            <v>STC9906H</v>
          </cell>
          <cell r="Q841" t="str">
            <v>磁性位置传感器</v>
          </cell>
        </row>
        <row r="842">
          <cell r="O842" t="str">
            <v>SC2242UA</v>
          </cell>
          <cell r="P842" t="str">
            <v>STC9906H</v>
          </cell>
          <cell r="Q842" t="str">
            <v>磁性位置传感器</v>
          </cell>
        </row>
        <row r="843">
          <cell r="O843" t="str">
            <v>SC2442SO-N</v>
          </cell>
          <cell r="P843" t="str">
            <v>STC9906P</v>
          </cell>
          <cell r="Q843" t="str">
            <v>磁性位置传感器</v>
          </cell>
        </row>
        <row r="844">
          <cell r="O844" t="str">
            <v>SC2402UA</v>
          </cell>
          <cell r="P844" t="str">
            <v>STC9902J</v>
          </cell>
          <cell r="Q844" t="str">
            <v>磁性位置传感器</v>
          </cell>
        </row>
        <row r="845">
          <cell r="O845" t="str">
            <v>SC2434SO-N</v>
          </cell>
          <cell r="P845" t="str">
            <v>STC9906I</v>
          </cell>
          <cell r="Q845" t="str">
            <v>磁性位置传感器</v>
          </cell>
        </row>
        <row r="846">
          <cell r="O846" t="str">
            <v>SC2438SO</v>
          </cell>
          <cell r="P846" t="str">
            <v>STC9906I</v>
          </cell>
          <cell r="Q846" t="str">
            <v>磁性位置传感器</v>
          </cell>
        </row>
        <row r="847">
          <cell r="O847" t="str">
            <v>SC2462SO</v>
          </cell>
          <cell r="P847" t="str">
            <v>STC9906J</v>
          </cell>
          <cell r="Q847" t="str">
            <v>磁性位置传感器</v>
          </cell>
        </row>
        <row r="848">
          <cell r="O848" t="str">
            <v>SC2462UA</v>
          </cell>
          <cell r="P848" t="str">
            <v>STC9906J</v>
          </cell>
          <cell r="Q848" t="str">
            <v>磁性位置传感器</v>
          </cell>
        </row>
        <row r="849">
          <cell r="O849" t="str">
            <v>SC2464SO</v>
          </cell>
          <cell r="P849" t="str">
            <v>STC9906J</v>
          </cell>
          <cell r="Q849" t="str">
            <v>磁性位置传感器</v>
          </cell>
        </row>
        <row r="850">
          <cell r="O850" t="str">
            <v>SC2442SO</v>
          </cell>
          <cell r="P850" t="str">
            <v>STC9906R</v>
          </cell>
          <cell r="Q850" t="str">
            <v>磁性位置传感器</v>
          </cell>
        </row>
        <row r="851">
          <cell r="O851" t="str">
            <v>SC4002UA</v>
          </cell>
          <cell r="P851" t="str">
            <v>STC4000AA</v>
          </cell>
          <cell r="Q851" t="str">
            <v>磁性位置传感器</v>
          </cell>
        </row>
        <row r="852">
          <cell r="O852" t="str">
            <v>SC4002UA</v>
          </cell>
          <cell r="P852" t="str">
            <v>STC4000AA</v>
          </cell>
          <cell r="Q852" t="str">
            <v>磁性位置传感器</v>
          </cell>
        </row>
        <row r="853">
          <cell r="O853" t="str">
            <v>SC4001UA</v>
          </cell>
          <cell r="P853" t="str">
            <v>STC4001AB</v>
          </cell>
          <cell r="Q853" t="str">
            <v>磁性位置传感器</v>
          </cell>
        </row>
        <row r="854">
          <cell r="O854" t="str">
            <v>SC4011SO-N</v>
          </cell>
          <cell r="P854" t="str">
            <v>STC4011B</v>
          </cell>
          <cell r="Q854" t="str">
            <v>磁性位置传感器</v>
          </cell>
        </row>
        <row r="855">
          <cell r="O855" t="str">
            <v>SC4011DN</v>
          </cell>
          <cell r="P855" t="str">
            <v>STC4011B</v>
          </cell>
          <cell r="Q855" t="str">
            <v>磁性位置传感器</v>
          </cell>
        </row>
        <row r="856">
          <cell r="O856" t="str">
            <v>SC2442SO-N</v>
          </cell>
          <cell r="P856" t="str">
            <v>STC11102B</v>
          </cell>
          <cell r="Q856" t="str">
            <v>磁性位置传感器</v>
          </cell>
        </row>
        <row r="857">
          <cell r="O857" t="str">
            <v>SC2448SO</v>
          </cell>
          <cell r="P857" t="str">
            <v>STC9906S</v>
          </cell>
          <cell r="Q857" t="str">
            <v>磁性位置传感器</v>
          </cell>
        </row>
        <row r="858">
          <cell r="O858" t="str">
            <v>SC2033SO-N</v>
          </cell>
          <cell r="P858" t="str">
            <v>STC9G001D</v>
          </cell>
          <cell r="Q858" t="str">
            <v>磁性位置传感器</v>
          </cell>
        </row>
        <row r="859">
          <cell r="O859" t="str">
            <v>SC2064SO</v>
          </cell>
          <cell r="P859" t="str">
            <v>STC9G001C</v>
          </cell>
          <cell r="Q859" t="str">
            <v>磁性位置传感器</v>
          </cell>
        </row>
        <row r="860">
          <cell r="O860" t="str">
            <v>SC2063UA</v>
          </cell>
          <cell r="P860" t="str">
            <v>STC9G001C</v>
          </cell>
          <cell r="Q860" t="str">
            <v>磁性位置传感器</v>
          </cell>
        </row>
        <row r="861">
          <cell r="O861" t="str">
            <v>SC2063SO</v>
          </cell>
          <cell r="P861" t="str">
            <v>STC9G001C</v>
          </cell>
          <cell r="Q861" t="str">
            <v>磁性位置传感器</v>
          </cell>
        </row>
        <row r="862">
          <cell r="O862" t="str">
            <v>STC4011B-DS</v>
          </cell>
          <cell r="P862" t="str">
            <v>STC4011B</v>
          </cell>
          <cell r="Q862" t="str">
            <v>磁性位置传感器</v>
          </cell>
        </row>
        <row r="863">
          <cell r="O863" t="str">
            <v>SC2443SO</v>
          </cell>
          <cell r="P863" t="str">
            <v>STC9906T</v>
          </cell>
          <cell r="Q863" t="str">
            <v>磁性位置传感器</v>
          </cell>
        </row>
        <row r="864">
          <cell r="O864" t="str">
            <v>SC2432SO-N</v>
          </cell>
          <cell r="P864" t="str">
            <v>STC9906I</v>
          </cell>
          <cell r="Q864" t="str">
            <v>磁性位置传感器</v>
          </cell>
        </row>
        <row r="865">
          <cell r="O865" t="str">
            <v>SC4002UA-BK</v>
          </cell>
          <cell r="P865" t="str">
            <v>STC4000AA</v>
          </cell>
          <cell r="Q865" t="str">
            <v>磁性位置传感器</v>
          </cell>
        </row>
        <row r="866">
          <cell r="O866" t="str">
            <v>SC2442SO-N-TR-Q</v>
          </cell>
          <cell r="P866" t="str">
            <v>STC11102B</v>
          </cell>
          <cell r="Q866" t="str">
            <v>磁性位置传感器</v>
          </cell>
        </row>
        <row r="867">
          <cell r="O867" t="str">
            <v>SC4688SA-BK-Q</v>
          </cell>
          <cell r="P867" t="str">
            <v>STC9D01C</v>
          </cell>
          <cell r="Q867" t="str">
            <v>角度传感器</v>
          </cell>
        </row>
        <row r="868">
          <cell r="O868" t="str">
            <v>SC4688SA-BK-Q</v>
          </cell>
          <cell r="P868" t="str">
            <v>STC9D01C</v>
          </cell>
          <cell r="Q868" t="str">
            <v>角度传感器</v>
          </cell>
        </row>
        <row r="869">
          <cell r="O869" t="str">
            <v>SC2442SO-TR-Q</v>
          </cell>
          <cell r="P869" t="str">
            <v>STC9906R</v>
          </cell>
          <cell r="Q869" t="str">
            <v>磁性位置传感器</v>
          </cell>
        </row>
        <row r="870">
          <cell r="O870" t="str">
            <v>SC2442SO-TR-Q</v>
          </cell>
          <cell r="P870" t="str">
            <v>STC9906R</v>
          </cell>
          <cell r="Q870" t="str">
            <v>磁性位置传感器</v>
          </cell>
        </row>
        <row r="871">
          <cell r="O871" t="str">
            <v>SC2442SO-TR-Q</v>
          </cell>
          <cell r="P871" t="str">
            <v>STC9906R</v>
          </cell>
          <cell r="Q871" t="str">
            <v>磁性位置传感器</v>
          </cell>
        </row>
        <row r="872">
          <cell r="O872" t="str">
            <v>SC9641TS-P-TR</v>
          </cell>
          <cell r="P872" t="str">
            <v>STC9A001I</v>
          </cell>
          <cell r="Q872" t="str">
            <v>速度传感器</v>
          </cell>
        </row>
        <row r="873">
          <cell r="O873" t="str">
            <v>SC60340</v>
          </cell>
          <cell r="P873" t="str">
            <v>STC9D05C</v>
          </cell>
          <cell r="Q873" t="str">
            <v>电机编码器</v>
          </cell>
        </row>
        <row r="874">
          <cell r="O874" t="str">
            <v>SC60340</v>
          </cell>
          <cell r="P874" t="str">
            <v>STC9D05C</v>
          </cell>
          <cell r="Q874" t="str">
            <v>电机编码器</v>
          </cell>
        </row>
        <row r="875">
          <cell r="O875" t="str">
            <v>SC60340</v>
          </cell>
          <cell r="P875" t="str">
            <v>STC9D05C</v>
          </cell>
          <cell r="Q875" t="str">
            <v>电机编码器</v>
          </cell>
        </row>
        <row r="876">
          <cell r="O876" t="str">
            <v>SC1002S2-BK</v>
          </cell>
          <cell r="P876" t="str">
            <v>STC1002AG</v>
          </cell>
          <cell r="Q876" t="str">
            <v>磁性位置传感器</v>
          </cell>
        </row>
        <row r="877">
          <cell r="O877" t="str">
            <v>SC1002S2-BK</v>
          </cell>
          <cell r="P877" t="str">
            <v>STC1002AG</v>
          </cell>
          <cell r="Q877" t="str">
            <v>磁性位置传感器</v>
          </cell>
        </row>
        <row r="878">
          <cell r="O878" t="str">
            <v>SC1002S2-BK</v>
          </cell>
          <cell r="P878" t="str">
            <v>STC1002AG</v>
          </cell>
          <cell r="Q878" t="str">
            <v>磁性位置传感器</v>
          </cell>
        </row>
        <row r="879">
          <cell r="O879" t="str">
            <v>SC2432SO-TR</v>
          </cell>
          <cell r="P879" t="str">
            <v>STC9906M</v>
          </cell>
          <cell r="Q879" t="str">
            <v>磁性位置传感器</v>
          </cell>
        </row>
        <row r="880">
          <cell r="O880" t="str">
            <v>SC2462SO</v>
          </cell>
          <cell r="P880" t="str">
            <v>STC9906J</v>
          </cell>
          <cell r="Q880" t="str">
            <v>磁性位置传感器</v>
          </cell>
        </row>
        <row r="881">
          <cell r="O881" t="str">
            <v>SC2442SO-N-TR-Q</v>
          </cell>
          <cell r="P881" t="str">
            <v>STC11102B</v>
          </cell>
          <cell r="Q881" t="str">
            <v>磁性位置传感器</v>
          </cell>
        </row>
        <row r="882">
          <cell r="O882" t="str">
            <v>SC2402UA-G</v>
          </cell>
          <cell r="P882" t="str">
            <v>STC9G002B</v>
          </cell>
          <cell r="Q882" t="str">
            <v>磁性位置传感器</v>
          </cell>
        </row>
        <row r="883">
          <cell r="O883" t="str">
            <v>SC2402UA-G</v>
          </cell>
          <cell r="P883" t="str">
            <v>STC9G002B</v>
          </cell>
          <cell r="Q883" t="str">
            <v>磁性位置传感器</v>
          </cell>
        </row>
        <row r="884">
          <cell r="O884" t="str">
            <v>SC9314UA-BK</v>
          </cell>
          <cell r="P884" t="str">
            <v>STC9901AF</v>
          </cell>
          <cell r="Q884" t="str">
            <v>速度传感器</v>
          </cell>
        </row>
        <row r="885">
          <cell r="O885" t="str">
            <v>SC1445A1</v>
          </cell>
          <cell r="P885" t="str">
            <v>STC2899AB</v>
          </cell>
          <cell r="Q885" t="str">
            <v>磁性位置传感器</v>
          </cell>
        </row>
        <row r="886">
          <cell r="O886" t="str">
            <v>SC1445A1</v>
          </cell>
          <cell r="P886" t="str">
            <v>STC2899AB</v>
          </cell>
          <cell r="Q886" t="str">
            <v>磁性位置传感器</v>
          </cell>
        </row>
        <row r="887">
          <cell r="O887" t="str">
            <v>SC1134UA</v>
          </cell>
          <cell r="P887" t="str">
            <v>STC1898AI</v>
          </cell>
          <cell r="Q887" t="str">
            <v>磁性位置传感器</v>
          </cell>
        </row>
        <row r="888">
          <cell r="O888" t="str">
            <v>SC2442SO</v>
          </cell>
          <cell r="P888" t="str">
            <v>STC11102B</v>
          </cell>
          <cell r="Q888" t="str">
            <v>磁性位置传感器</v>
          </cell>
        </row>
        <row r="889">
          <cell r="O889" t="str">
            <v>SC2442SO</v>
          </cell>
          <cell r="P889" t="str">
            <v>STC11102B</v>
          </cell>
          <cell r="Q889" t="str">
            <v>磁性位置传感器</v>
          </cell>
        </row>
        <row r="890">
          <cell r="O890" t="str">
            <v>SC2442SO</v>
          </cell>
          <cell r="P890" t="str">
            <v>STC11102B</v>
          </cell>
          <cell r="Q890" t="str">
            <v>磁性位置传感器</v>
          </cell>
        </row>
        <row r="891">
          <cell r="O891" t="str">
            <v>SC2546VB</v>
          </cell>
          <cell r="P891" t="str">
            <v>STC9906H</v>
          </cell>
          <cell r="Q891" t="str">
            <v>磁性位置传感器</v>
          </cell>
        </row>
        <row r="892">
          <cell r="O892" t="str">
            <v>SC2464SO</v>
          </cell>
          <cell r="P892" t="str">
            <v>STC9906J</v>
          </cell>
          <cell r="Q892" t="str">
            <v>磁性位置传感器</v>
          </cell>
        </row>
        <row r="893">
          <cell r="O893" t="str">
            <v>SC4001SE</v>
          </cell>
          <cell r="P893" t="str">
            <v>STC4001AB</v>
          </cell>
          <cell r="Q893" t="str">
            <v>磁性位置传感器</v>
          </cell>
        </row>
        <row r="894">
          <cell r="O894" t="str">
            <v>SC4001SE</v>
          </cell>
          <cell r="P894" t="str">
            <v>STC4001AB</v>
          </cell>
          <cell r="Q894" t="str">
            <v>磁性位置传感器</v>
          </cell>
        </row>
        <row r="895">
          <cell r="O895" t="str">
            <v>PFD1014A-0</v>
          </cell>
          <cell r="P895" t="str">
            <v>FD1014A</v>
          </cell>
          <cell r="Q895" t="str">
            <v>电机驱动</v>
          </cell>
        </row>
        <row r="896">
          <cell r="O896" t="str">
            <v>PFD1014A-0</v>
          </cell>
          <cell r="P896" t="str">
            <v>FD1014A</v>
          </cell>
          <cell r="Q896" t="str">
            <v>电机驱动</v>
          </cell>
        </row>
        <row r="897">
          <cell r="O897" t="str">
            <v>SC2442SO-N-TR-Q</v>
          </cell>
          <cell r="P897" t="str">
            <v>STC11102B</v>
          </cell>
          <cell r="Q897" t="str">
            <v>磁性位置传感器</v>
          </cell>
        </row>
        <row r="898">
          <cell r="O898" t="str">
            <v>STC4011B-DS</v>
          </cell>
          <cell r="P898" t="str">
            <v>STC4011B</v>
          </cell>
          <cell r="Q898" t="str">
            <v>磁性位置传感器</v>
          </cell>
        </row>
        <row r="899">
          <cell r="O899" t="str">
            <v>STC4011B-DS</v>
          </cell>
          <cell r="P899" t="str">
            <v>STC4011B</v>
          </cell>
          <cell r="Q899" t="str">
            <v>磁性位置传感器</v>
          </cell>
        </row>
        <row r="900">
          <cell r="O900" t="str">
            <v>SC2442SO</v>
          </cell>
          <cell r="P900" t="str">
            <v>STC11102B</v>
          </cell>
          <cell r="Q900" t="str">
            <v>磁性位置传感器</v>
          </cell>
        </row>
        <row r="901">
          <cell r="O901" t="str">
            <v>SC9625VB-L</v>
          </cell>
          <cell r="P901" t="str">
            <v>STC9910E</v>
          </cell>
          <cell r="Q901" t="str">
            <v>速度传感器</v>
          </cell>
        </row>
        <row r="902">
          <cell r="O902" t="str">
            <v>SC9625VB</v>
          </cell>
          <cell r="P902" t="str">
            <v>STC9910E</v>
          </cell>
          <cell r="Q902" t="str">
            <v>速度传感器</v>
          </cell>
        </row>
        <row r="903">
          <cell r="O903" t="str">
            <v>SC9625VB</v>
          </cell>
          <cell r="P903" t="str">
            <v>STC9910E</v>
          </cell>
          <cell r="Q903" t="str">
            <v>速度传感器</v>
          </cell>
        </row>
        <row r="904">
          <cell r="O904" t="str">
            <v>SC9625VB</v>
          </cell>
          <cell r="P904" t="str">
            <v>STC9910E</v>
          </cell>
          <cell r="Q904" t="str">
            <v>速度传感器</v>
          </cell>
        </row>
        <row r="905">
          <cell r="O905" t="str">
            <v>SC9625VB-L</v>
          </cell>
          <cell r="P905" t="str">
            <v>STC9910E</v>
          </cell>
          <cell r="Q905" t="str">
            <v>速度传感器</v>
          </cell>
        </row>
        <row r="906">
          <cell r="O906" t="str">
            <v>SC9314UA-BK</v>
          </cell>
          <cell r="P906" t="str">
            <v>STC9901AF</v>
          </cell>
          <cell r="Q906" t="str">
            <v>速度传感器</v>
          </cell>
        </row>
        <row r="907">
          <cell r="O907" t="str">
            <v>CA-IS23050W</v>
          </cell>
          <cell r="P907" t="str">
            <v>STC9D06F</v>
          </cell>
          <cell r="Q907" t="str">
            <v>电流传感器</v>
          </cell>
        </row>
        <row r="908">
          <cell r="O908" t="str">
            <v>SC2546VB</v>
          </cell>
          <cell r="P908" t="str">
            <v>STC9906H</v>
          </cell>
          <cell r="Q908" t="str">
            <v>磁性位置传感器</v>
          </cell>
        </row>
        <row r="909">
          <cell r="O909" t="str">
            <v>SC2402DN</v>
          </cell>
          <cell r="P909" t="str">
            <v>STC9G002B</v>
          </cell>
          <cell r="Q909" t="str">
            <v>磁性位置传感器</v>
          </cell>
        </row>
        <row r="910">
          <cell r="O910" t="str">
            <v>SC4688SA-BK-Q</v>
          </cell>
          <cell r="P910" t="str">
            <v>STC9D01C</v>
          </cell>
          <cell r="Q910" t="str">
            <v>角度传感器</v>
          </cell>
        </row>
        <row r="911">
          <cell r="O911" t="str">
            <v>SC4688SA-BK-Q</v>
          </cell>
          <cell r="P911" t="str">
            <v>STC9D01C</v>
          </cell>
          <cell r="Q911" t="str">
            <v>角度传感器</v>
          </cell>
        </row>
        <row r="912">
          <cell r="O912" t="str">
            <v>SC9642TS-EC-TR-Q</v>
          </cell>
          <cell r="P912" t="str">
            <v>STC9A001H</v>
          </cell>
          <cell r="Q912" t="str">
            <v>速度传感器</v>
          </cell>
        </row>
        <row r="913">
          <cell r="O913" t="str">
            <v>SC9641TS</v>
          </cell>
          <cell r="P913" t="str">
            <v>STC9910BN</v>
          </cell>
          <cell r="Q913" t="str">
            <v>速度传感器</v>
          </cell>
        </row>
        <row r="914">
          <cell r="O914" t="str">
            <v>SC9641TS</v>
          </cell>
          <cell r="P914" t="str">
            <v>STC9910BN</v>
          </cell>
          <cell r="Q914" t="str">
            <v>速度传感器</v>
          </cell>
        </row>
        <row r="915">
          <cell r="O915" t="str">
            <v>SC9641TS</v>
          </cell>
          <cell r="P915" t="str">
            <v>STC9910BN</v>
          </cell>
          <cell r="Q915" t="str">
            <v>速度传感器</v>
          </cell>
        </row>
        <row r="916">
          <cell r="O916" t="str">
            <v>SC60221-D-256</v>
          </cell>
          <cell r="P916" t="str">
            <v>STC9D04C</v>
          </cell>
          <cell r="Q916" t="str">
            <v>电机编码器</v>
          </cell>
        </row>
        <row r="917">
          <cell r="O917" t="str">
            <v>SC60221-D-256</v>
          </cell>
          <cell r="P917" t="str">
            <v>STC9D04C</v>
          </cell>
          <cell r="Q917" t="str">
            <v>电机编码器</v>
          </cell>
        </row>
        <row r="918">
          <cell r="O918" t="str">
            <v>通用编程器2.0</v>
          </cell>
          <cell r="P918" t="str">
            <v xml:space="preserve"> </v>
          </cell>
          <cell r="Q918" t="str">
            <v>速度传感器</v>
          </cell>
        </row>
        <row r="919">
          <cell r="O919" t="str">
            <v>通用编程器2.0</v>
          </cell>
          <cell r="P919" t="str">
            <v xml:space="preserve"> </v>
          </cell>
          <cell r="Q919" t="str">
            <v>速度传感器</v>
          </cell>
        </row>
        <row r="920">
          <cell r="O920" t="str">
            <v>SC2242SO</v>
          </cell>
          <cell r="P920" t="str">
            <v>STC9906H</v>
          </cell>
          <cell r="Q920" t="str">
            <v>磁性位置传感器</v>
          </cell>
        </row>
        <row r="921">
          <cell r="O921" t="str">
            <v>SC2242SO</v>
          </cell>
          <cell r="P921" t="str">
            <v>STC9906H</v>
          </cell>
          <cell r="Q921" t="str">
            <v>磁性位置传感器</v>
          </cell>
        </row>
        <row r="922">
          <cell r="O922" t="str">
            <v>SC2402SO-N-TR</v>
          </cell>
          <cell r="P922" t="str">
            <v>STC9H001A</v>
          </cell>
          <cell r="Q922" t="str">
            <v>磁性位置传感器</v>
          </cell>
        </row>
        <row r="923">
          <cell r="O923" t="str">
            <v>SC2402SO-N-TR</v>
          </cell>
          <cell r="P923" t="str">
            <v>STC9H001A</v>
          </cell>
          <cell r="Q923" t="str">
            <v>磁性位置传感器</v>
          </cell>
        </row>
        <row r="924">
          <cell r="O924" t="str">
            <v>SC9634VB</v>
          </cell>
          <cell r="P924" t="str">
            <v>STC9905G</v>
          </cell>
          <cell r="Q924" t="str">
            <v>速度传感器</v>
          </cell>
        </row>
        <row r="925">
          <cell r="O925" t="str">
            <v>SC9634VB</v>
          </cell>
          <cell r="P925" t="str">
            <v>STC9905G</v>
          </cell>
          <cell r="Q925" t="str">
            <v>速度传感器</v>
          </cell>
        </row>
        <row r="926">
          <cell r="O926" t="str">
            <v>SC9632VB</v>
          </cell>
          <cell r="P926" t="str">
            <v>STC9905E</v>
          </cell>
          <cell r="Q926" t="str">
            <v>速度传感器</v>
          </cell>
        </row>
        <row r="927">
          <cell r="O927" t="str">
            <v>SI485EDC-TR</v>
          </cell>
          <cell r="P927" t="str">
            <v>STC42302C</v>
          </cell>
          <cell r="Q927" t="str">
            <v>其他数模混合</v>
          </cell>
        </row>
        <row r="928">
          <cell r="O928" t="str">
            <v>SI485EDC-TR</v>
          </cell>
          <cell r="P928" t="str">
            <v>STC42302C</v>
          </cell>
          <cell r="Q928" t="str">
            <v>其他数模混合</v>
          </cell>
        </row>
        <row r="929">
          <cell r="O929" t="str">
            <v>SC1245SO-N</v>
          </cell>
          <cell r="P929" t="str">
            <v>STC1898AD</v>
          </cell>
          <cell r="Q929" t="str">
            <v>磁性位置传感器</v>
          </cell>
        </row>
        <row r="930">
          <cell r="O930" t="str">
            <v>SC1245SO-N</v>
          </cell>
          <cell r="P930" t="str">
            <v>STC1898AD</v>
          </cell>
          <cell r="Q930" t="str">
            <v>磁性位置传感器</v>
          </cell>
        </row>
        <row r="931">
          <cell r="O931" t="str">
            <v>SC2432SO-TR</v>
          </cell>
          <cell r="P931" t="str">
            <v>STC9906M</v>
          </cell>
          <cell r="Q931" t="str">
            <v>磁性位置传感器</v>
          </cell>
        </row>
        <row r="932">
          <cell r="O932" t="str">
            <v>SC2436SO-TR</v>
          </cell>
          <cell r="P932" t="str">
            <v>STC9906M</v>
          </cell>
          <cell r="Q932" t="str">
            <v>磁性位置传感器</v>
          </cell>
        </row>
        <row r="933">
          <cell r="O933" t="str">
            <v>SC2436SO-TR</v>
          </cell>
          <cell r="P933" t="str">
            <v>STC9906M</v>
          </cell>
          <cell r="Q933" t="str">
            <v>磁性位置传感器</v>
          </cell>
        </row>
        <row r="934">
          <cell r="O934" t="str">
            <v>SC1134SO-N</v>
          </cell>
          <cell r="P934" t="str">
            <v>STC1898AI</v>
          </cell>
          <cell r="Q934" t="str">
            <v>磁性位置传感器</v>
          </cell>
        </row>
        <row r="935">
          <cell r="O935" t="str">
            <v>SC1134SO-N</v>
          </cell>
          <cell r="P935" t="str">
            <v>STC1898AI</v>
          </cell>
          <cell r="Q935" t="str">
            <v>磁性位置传感器</v>
          </cell>
        </row>
        <row r="936">
          <cell r="O936" t="str">
            <v>SC4643VB</v>
          </cell>
          <cell r="P936" t="str">
            <v>STC9D03E</v>
          </cell>
          <cell r="Q936" t="str">
            <v>电流传感器</v>
          </cell>
        </row>
        <row r="937">
          <cell r="O937" t="str">
            <v>SC2402UA-BK</v>
          </cell>
          <cell r="P937" t="str">
            <v>STC9G002B</v>
          </cell>
          <cell r="Q937" t="str">
            <v>磁性位置传感器</v>
          </cell>
        </row>
        <row r="938">
          <cell r="O938" t="str">
            <v>SC2402UA-BK</v>
          </cell>
          <cell r="P938" t="str">
            <v>STC9G002B</v>
          </cell>
          <cell r="Q938" t="str">
            <v>磁性位置传感器</v>
          </cell>
        </row>
        <row r="939">
          <cell r="O939" t="str">
            <v>STC4011B-DS</v>
          </cell>
          <cell r="P939" t="str">
            <v>STC4011B</v>
          </cell>
          <cell r="Q939" t="str">
            <v>磁性位置传感器</v>
          </cell>
        </row>
        <row r="940">
          <cell r="O940" t="str">
            <v>SC2442SO-N</v>
          </cell>
          <cell r="P940" t="str">
            <v>STC11102B</v>
          </cell>
          <cell r="Q940" t="str">
            <v>磁性位置传感器</v>
          </cell>
        </row>
        <row r="941">
          <cell r="O941" t="str">
            <v>SC2442SO-N</v>
          </cell>
          <cell r="P941" t="str">
            <v>STC11102B</v>
          </cell>
          <cell r="Q941" t="str">
            <v>磁性位置传感器</v>
          </cell>
        </row>
        <row r="942">
          <cell r="O942" t="str">
            <v>SC9641TS-PC</v>
          </cell>
          <cell r="P942" t="str">
            <v>STC9A001I</v>
          </cell>
          <cell r="Q942" t="str">
            <v>速度传感器</v>
          </cell>
        </row>
        <row r="943">
          <cell r="O943" t="str">
            <v>SC9314UA-BK</v>
          </cell>
          <cell r="P943" t="str">
            <v>STC9901AF</v>
          </cell>
          <cell r="Q943" t="str">
            <v>速度传感器</v>
          </cell>
        </row>
        <row r="944">
          <cell r="O944" t="str">
            <v>SC9314UA-BK</v>
          </cell>
          <cell r="P944" t="str">
            <v>STC9901AF</v>
          </cell>
          <cell r="Q944" t="str">
            <v>速度传感器</v>
          </cell>
        </row>
        <row r="945">
          <cell r="O945" t="str">
            <v>SC9625VB-L</v>
          </cell>
          <cell r="P945" t="str">
            <v>STC9910E</v>
          </cell>
          <cell r="Q945" t="str">
            <v>速度传感器</v>
          </cell>
        </row>
        <row r="946">
          <cell r="O946" t="str">
            <v>SC2436SO-TR</v>
          </cell>
          <cell r="P946" t="str">
            <v>STC9906M</v>
          </cell>
          <cell r="Q946" t="str">
            <v>磁性位置传感器</v>
          </cell>
        </row>
        <row r="947">
          <cell r="O947" t="str">
            <v>SC9648TS-TR</v>
          </cell>
          <cell r="P947" t="str">
            <v>STC9A001I</v>
          </cell>
          <cell r="Q947" t="str">
            <v>速度传感器</v>
          </cell>
        </row>
        <row r="948">
          <cell r="O948" t="str">
            <v>SC9648TS-TR</v>
          </cell>
          <cell r="P948" t="str">
            <v>STC9A001I</v>
          </cell>
          <cell r="Q948" t="str">
            <v>速度传感器</v>
          </cell>
        </row>
        <row r="949">
          <cell r="O949" t="str">
            <v>SC9648TS-TR</v>
          </cell>
          <cell r="P949" t="str">
            <v>STC9A001I</v>
          </cell>
          <cell r="Q949" t="str">
            <v>速度传感器</v>
          </cell>
        </row>
        <row r="950">
          <cell r="O950" t="str">
            <v>SC9648TS-TR</v>
          </cell>
          <cell r="P950" t="str">
            <v>STC9A001I</v>
          </cell>
          <cell r="Q950" t="str">
            <v>速度传感器</v>
          </cell>
        </row>
        <row r="951">
          <cell r="O951" t="str">
            <v>SC9625VB-L</v>
          </cell>
          <cell r="P951" t="str">
            <v>STC9910E</v>
          </cell>
          <cell r="Q951" t="str">
            <v>速度传感器</v>
          </cell>
        </row>
        <row r="952">
          <cell r="O952" t="str">
            <v>SC9625VB-L</v>
          </cell>
          <cell r="P952" t="str">
            <v>STC9910E</v>
          </cell>
          <cell r="Q952" t="str">
            <v>速度传感器</v>
          </cell>
        </row>
        <row r="953">
          <cell r="O953" t="str">
            <v>SC2442SO</v>
          </cell>
          <cell r="P953" t="str">
            <v>STC11102B</v>
          </cell>
          <cell r="Q953" t="str">
            <v>磁性位置传感器</v>
          </cell>
        </row>
        <row r="954">
          <cell r="O954" t="str">
            <v>SC2442SO</v>
          </cell>
          <cell r="P954" t="str">
            <v>STC11102B</v>
          </cell>
          <cell r="Q954" t="str">
            <v>磁性位置传感器</v>
          </cell>
        </row>
        <row r="955">
          <cell r="O955" t="str">
            <v>SC2442SO-N-TR-Q</v>
          </cell>
          <cell r="P955" t="str">
            <v>STC11102B</v>
          </cell>
          <cell r="Q955" t="str">
            <v>磁性位置传感器</v>
          </cell>
        </row>
        <row r="956">
          <cell r="O956" t="str">
            <v>SC2442SO-TR-Q</v>
          </cell>
          <cell r="P956" t="str">
            <v>STC9906R</v>
          </cell>
          <cell r="Q956" t="str">
            <v>磁性位置传感器</v>
          </cell>
        </row>
        <row r="957">
          <cell r="O957" t="str">
            <v>SC2442SO-TR-Q</v>
          </cell>
          <cell r="P957" t="str">
            <v>STC9906R</v>
          </cell>
          <cell r="Q957" t="str">
            <v>磁性位置传感器</v>
          </cell>
        </row>
        <row r="958">
          <cell r="O958" t="str">
            <v>SC2432SO-TR-Q</v>
          </cell>
          <cell r="P958" t="str">
            <v>STC9906M</v>
          </cell>
          <cell r="Q958" t="str">
            <v>磁性位置传感器</v>
          </cell>
        </row>
        <row r="959">
          <cell r="O959" t="str">
            <v>SC2432SO-TR-Q</v>
          </cell>
          <cell r="P959" t="str">
            <v>STC9906M</v>
          </cell>
          <cell r="Q959" t="str">
            <v>磁性位置传感器</v>
          </cell>
        </row>
        <row r="960">
          <cell r="O960" t="str">
            <v>SC2442SO</v>
          </cell>
          <cell r="P960" t="str">
            <v>STC11102B</v>
          </cell>
          <cell r="Q960" t="str">
            <v>磁性位置传感器</v>
          </cell>
        </row>
        <row r="961">
          <cell r="O961" t="str">
            <v>SC2442SO</v>
          </cell>
          <cell r="P961" t="str">
            <v>STC11102B</v>
          </cell>
          <cell r="Q961" t="str">
            <v>磁性位置传感器</v>
          </cell>
        </row>
        <row r="962">
          <cell r="O962" t="str">
            <v>SC9314UA-BK</v>
          </cell>
          <cell r="P962" t="str">
            <v>STC9901AF</v>
          </cell>
          <cell r="Q962" t="str">
            <v>速度传感器</v>
          </cell>
        </row>
        <row r="963">
          <cell r="O963" t="str">
            <v>SC69401D</v>
          </cell>
          <cell r="P963" t="str">
            <v>STC9H002D</v>
          </cell>
          <cell r="Q963" t="str">
            <v>角度传感器</v>
          </cell>
        </row>
        <row r="964">
          <cell r="O964" t="str">
            <v>SC1445A1</v>
          </cell>
          <cell r="P964" t="str">
            <v>STC2899AB</v>
          </cell>
          <cell r="Q964" t="str">
            <v>磁性位置传感器</v>
          </cell>
        </row>
        <row r="965">
          <cell r="O965" t="str">
            <v>SC2402SO-N-TR</v>
          </cell>
          <cell r="P965" t="str">
            <v>STC9H001A</v>
          </cell>
          <cell r="Q965" t="str">
            <v>磁性位置传感器</v>
          </cell>
        </row>
        <row r="966">
          <cell r="O966" t="str">
            <v>SC2402SO-N-TR</v>
          </cell>
          <cell r="P966" t="str">
            <v>STC9H001A</v>
          </cell>
          <cell r="Q966" t="str">
            <v>磁性位置传感器</v>
          </cell>
        </row>
        <row r="967">
          <cell r="O967" t="str">
            <v>SC2402SO-N-TR</v>
          </cell>
          <cell r="P967" t="str">
            <v>STC9H001A</v>
          </cell>
          <cell r="Q967" t="str">
            <v>磁性位置传感器</v>
          </cell>
        </row>
        <row r="968">
          <cell r="O968" t="str">
            <v>SC9633VB</v>
          </cell>
          <cell r="P968" t="str">
            <v>STC9905F</v>
          </cell>
          <cell r="Q968" t="str">
            <v>速度传感器</v>
          </cell>
        </row>
        <row r="969">
          <cell r="O969" t="str">
            <v>SC9633VB</v>
          </cell>
          <cell r="P969" t="str">
            <v>STC9905F</v>
          </cell>
          <cell r="Q969" t="str">
            <v>速度传感器</v>
          </cell>
        </row>
        <row r="970">
          <cell r="O970" t="str">
            <v>SD2276VB-BK</v>
          </cell>
          <cell r="P970" t="str">
            <v>FD1014A</v>
          </cell>
          <cell r="Q970" t="str">
            <v>电机驱动</v>
          </cell>
        </row>
        <row r="971">
          <cell r="O971" t="str">
            <v>SD2276VB-BK</v>
          </cell>
          <cell r="P971" t="str">
            <v>FD1014A</v>
          </cell>
          <cell r="Q971" t="str">
            <v>电机驱动</v>
          </cell>
        </row>
        <row r="972">
          <cell r="O972" t="str">
            <v>SC2402SO-N-TR</v>
          </cell>
          <cell r="P972" t="str">
            <v>STC9H001A</v>
          </cell>
          <cell r="Q972" t="str">
            <v>磁性位置传感器</v>
          </cell>
        </row>
        <row r="973">
          <cell r="O973" t="str">
            <v>SC2402SO-N-TR</v>
          </cell>
          <cell r="P973" t="str">
            <v>STC9H001A</v>
          </cell>
          <cell r="Q973" t="str">
            <v>磁性位置传感器</v>
          </cell>
        </row>
        <row r="974">
          <cell r="O974" t="str">
            <v>SC2402SO-N-TR</v>
          </cell>
          <cell r="P974" t="str">
            <v>STC9H001A</v>
          </cell>
          <cell r="Q974" t="str">
            <v>磁性位置传感器</v>
          </cell>
        </row>
        <row r="975">
          <cell r="O975" t="str">
            <v>SC1134SO-N</v>
          </cell>
          <cell r="P975" t="str">
            <v>STC1898AI</v>
          </cell>
          <cell r="Q975" t="str">
            <v>磁性位置传感器</v>
          </cell>
        </row>
        <row r="976">
          <cell r="O976" t="str">
            <v>SC1134SO-N</v>
          </cell>
          <cell r="P976" t="str">
            <v>STC1898AI</v>
          </cell>
          <cell r="Q976" t="str">
            <v>磁性位置传感器</v>
          </cell>
        </row>
        <row r="977">
          <cell r="O977" t="str">
            <v>SC1134SO-N</v>
          </cell>
          <cell r="P977" t="str">
            <v>STC1898AI</v>
          </cell>
          <cell r="Q977" t="str">
            <v>磁性位置传感器</v>
          </cell>
        </row>
        <row r="978">
          <cell r="O978" t="str">
            <v>SC4923SO-N-TR</v>
          </cell>
          <cell r="P978" t="str">
            <v>SC4009B</v>
          </cell>
          <cell r="Q978" t="str">
            <v>磁性位置传感器</v>
          </cell>
        </row>
        <row r="979">
          <cell r="O979" t="str">
            <v>SC4015SO-N-TR</v>
          </cell>
          <cell r="P979" t="str">
            <v>STC4011E</v>
          </cell>
          <cell r="Q979" t="str">
            <v>磁性位置传感器</v>
          </cell>
        </row>
        <row r="980">
          <cell r="O980" t="str">
            <v>SC4015SO-N-TR</v>
          </cell>
          <cell r="P980" t="str">
            <v>STC4011E</v>
          </cell>
          <cell r="Q980" t="str">
            <v>磁性位置传感器</v>
          </cell>
        </row>
        <row r="981">
          <cell r="O981" t="str">
            <v>SC4015SO-N-TR</v>
          </cell>
          <cell r="P981" t="str">
            <v>STC4011E</v>
          </cell>
          <cell r="Q981" t="str">
            <v>磁性位置传感器</v>
          </cell>
        </row>
        <row r="982">
          <cell r="O982" t="str">
            <v>SC4015SO-N-TR</v>
          </cell>
          <cell r="P982" t="str">
            <v>STC4011E</v>
          </cell>
          <cell r="Q982" t="str">
            <v>磁性位置传感器</v>
          </cell>
        </row>
        <row r="983">
          <cell r="O983" t="str">
            <v>SC4015SO-N-TR</v>
          </cell>
          <cell r="P983" t="str">
            <v>STC4011E</v>
          </cell>
          <cell r="Q983" t="str">
            <v>磁性位置传感器</v>
          </cell>
        </row>
        <row r="984">
          <cell r="O984" t="str">
            <v>SC4015SO-N-TR</v>
          </cell>
          <cell r="P984" t="str">
            <v>STC4011E</v>
          </cell>
          <cell r="Q984" t="str">
            <v>磁性位置传感器</v>
          </cell>
        </row>
        <row r="985">
          <cell r="O985" t="str">
            <v>SC4015SO-N-TR</v>
          </cell>
          <cell r="P985" t="str">
            <v>STC4011E</v>
          </cell>
          <cell r="Q985" t="str">
            <v>磁性位置传感器</v>
          </cell>
        </row>
        <row r="986">
          <cell r="O986" t="str">
            <v>SC4015SO-N-TR</v>
          </cell>
          <cell r="P986" t="str">
            <v>STC4011E</v>
          </cell>
          <cell r="Q986" t="str">
            <v>磁性位置传感器</v>
          </cell>
        </row>
        <row r="987">
          <cell r="O987" t="str">
            <v>SC4015SO-N-TR</v>
          </cell>
          <cell r="P987" t="str">
            <v>STC4011E</v>
          </cell>
          <cell r="Q987" t="str">
            <v>磁性位置传感器</v>
          </cell>
        </row>
        <row r="988">
          <cell r="O988" t="str">
            <v>SC4015SO-N-TR</v>
          </cell>
          <cell r="P988" t="str">
            <v>STC4011E</v>
          </cell>
          <cell r="Q988" t="str">
            <v>磁性位置传感器</v>
          </cell>
        </row>
        <row r="989">
          <cell r="O989" t="str">
            <v>SC4015SO-N-TR</v>
          </cell>
          <cell r="P989" t="str">
            <v>STC4011E</v>
          </cell>
          <cell r="Q989" t="str">
            <v>磁性位置传感器</v>
          </cell>
        </row>
        <row r="990">
          <cell r="O990" t="str">
            <v>SC2434SO-N</v>
          </cell>
          <cell r="P990" t="str">
            <v>STC9906I</v>
          </cell>
          <cell r="Q990" t="str">
            <v>磁性位置传感器</v>
          </cell>
        </row>
        <row r="991">
          <cell r="O991" t="str">
            <v>SC4015SO-N-TR</v>
          </cell>
          <cell r="P991" t="str">
            <v>STC4011E</v>
          </cell>
          <cell r="Q991" t="str">
            <v>磁性位置传感器</v>
          </cell>
        </row>
        <row r="992">
          <cell r="O992" t="str">
            <v>SC4015SO-N-TR</v>
          </cell>
          <cell r="P992" t="str">
            <v>STC4011E</v>
          </cell>
          <cell r="Q992" t="str">
            <v>磁性位置传感器</v>
          </cell>
        </row>
        <row r="993">
          <cell r="O993" t="str">
            <v>SC4015SO-N-TR</v>
          </cell>
          <cell r="P993" t="str">
            <v>STC4011E</v>
          </cell>
          <cell r="Q993" t="str">
            <v>磁性位置传感器</v>
          </cell>
        </row>
        <row r="994">
          <cell r="O994" t="str">
            <v>SC4015SO-N-TR</v>
          </cell>
          <cell r="P994" t="str">
            <v>STC4011E</v>
          </cell>
          <cell r="Q994" t="str">
            <v>磁性位置传感器</v>
          </cell>
        </row>
        <row r="995">
          <cell r="O995" t="str">
            <v>SC4015SO-N-TR</v>
          </cell>
          <cell r="P995" t="str">
            <v>STC4011E</v>
          </cell>
          <cell r="Q995" t="str">
            <v>磁性位置传感器</v>
          </cell>
        </row>
        <row r="996">
          <cell r="O996" t="str">
            <v>SC4015SO-N-TR</v>
          </cell>
          <cell r="P996" t="str">
            <v>STC4011E</v>
          </cell>
          <cell r="Q996" t="str">
            <v>磁性位置传感器</v>
          </cell>
        </row>
        <row r="997">
          <cell r="O997" t="str">
            <v>SC4015SO-N-TR</v>
          </cell>
          <cell r="P997" t="str">
            <v>STC4011E</v>
          </cell>
          <cell r="Q997" t="str">
            <v>磁性位置传感器</v>
          </cell>
        </row>
        <row r="998">
          <cell r="O998" t="str">
            <v>SC4015SO-N-TR</v>
          </cell>
          <cell r="P998" t="str">
            <v>STC4011E</v>
          </cell>
          <cell r="Q998" t="str">
            <v>磁性位置传感器</v>
          </cell>
        </row>
        <row r="999">
          <cell r="O999" t="str">
            <v>SC4015SO-N-TR</v>
          </cell>
          <cell r="P999" t="str">
            <v>STC4011E</v>
          </cell>
          <cell r="Q999" t="str">
            <v>磁性位置传感器</v>
          </cell>
        </row>
        <row r="1000">
          <cell r="O1000" t="str">
            <v>SC4015SO-N-TR</v>
          </cell>
          <cell r="P1000" t="str">
            <v>STC4011E</v>
          </cell>
          <cell r="Q1000" t="str">
            <v>磁性位置传感器</v>
          </cell>
        </row>
        <row r="1001">
          <cell r="O1001" t="str">
            <v>SC4015SO-N-TR</v>
          </cell>
          <cell r="P1001" t="str">
            <v>STC4011E</v>
          </cell>
          <cell r="Q1001" t="str">
            <v>磁性位置传感器</v>
          </cell>
        </row>
        <row r="1002">
          <cell r="O1002" t="str">
            <v>SC4015SO-N-TR</v>
          </cell>
          <cell r="P1002" t="str">
            <v>STC4011E</v>
          </cell>
          <cell r="Q1002" t="str">
            <v>磁性位置传感器</v>
          </cell>
        </row>
        <row r="1003">
          <cell r="O1003" t="str">
            <v>SC4015SO-N-TR</v>
          </cell>
          <cell r="P1003" t="str">
            <v>STC4011E</v>
          </cell>
          <cell r="Q1003" t="str">
            <v>磁性位置传感器</v>
          </cell>
        </row>
        <row r="1004">
          <cell r="O1004" t="str">
            <v>ATK-E512</v>
          </cell>
          <cell r="P1004" t="str">
            <v>STC4011B</v>
          </cell>
          <cell r="Q1004" t="str">
            <v>磁性位置传感器</v>
          </cell>
        </row>
        <row r="1005">
          <cell r="O1005" t="str">
            <v>SC2064UA</v>
          </cell>
          <cell r="P1005" t="str">
            <v>STC9G001C</v>
          </cell>
          <cell r="Q1005" t="str">
            <v>磁性位置传感器</v>
          </cell>
        </row>
        <row r="1006">
          <cell r="O1006" t="str">
            <v>SC2402SO-N-TR</v>
          </cell>
          <cell r="P1006" t="str">
            <v>STC9G002A</v>
          </cell>
          <cell r="Q1006" t="str">
            <v>磁性位置传感器</v>
          </cell>
        </row>
        <row r="1007">
          <cell r="O1007" t="str">
            <v>SC2402SO-N-TR</v>
          </cell>
          <cell r="P1007" t="str">
            <v>STC9G002A</v>
          </cell>
          <cell r="Q1007" t="str">
            <v>磁性位置传感器</v>
          </cell>
        </row>
        <row r="1008">
          <cell r="O1008" t="str">
            <v>SC2402SO-N-TR</v>
          </cell>
          <cell r="P1008" t="str">
            <v>STC9G002A</v>
          </cell>
          <cell r="Q1008" t="str">
            <v>磁性位置传感器</v>
          </cell>
        </row>
        <row r="1009">
          <cell r="O1009" t="str">
            <v>SC2402SO-N-TR</v>
          </cell>
          <cell r="P1009" t="str">
            <v>STC9G002A</v>
          </cell>
          <cell r="Q1009" t="str">
            <v>磁性位置传感器</v>
          </cell>
        </row>
        <row r="1010">
          <cell r="O1010" t="str">
            <v>SC2402SO-N</v>
          </cell>
          <cell r="P1010" t="str">
            <v>STC9G002B</v>
          </cell>
          <cell r="Q1010" t="str">
            <v>磁性位置传感器</v>
          </cell>
        </row>
        <row r="1011">
          <cell r="O1011" t="str">
            <v>STC4011B-DS</v>
          </cell>
          <cell r="P1011" t="str">
            <v>STC4011B</v>
          </cell>
          <cell r="Q1011" t="str">
            <v>磁性位置传感器</v>
          </cell>
        </row>
        <row r="1012">
          <cell r="O1012" t="str">
            <v>STC4011B-DS</v>
          </cell>
          <cell r="P1012" t="str">
            <v>STC4011B</v>
          </cell>
          <cell r="Q1012" t="str">
            <v>磁性位置传感器</v>
          </cell>
        </row>
        <row r="1013">
          <cell r="O1013" t="str">
            <v>SC2442SO-N</v>
          </cell>
          <cell r="P1013" t="str">
            <v>STC11102B</v>
          </cell>
          <cell r="Q1013" t="str">
            <v>磁性位置传感器</v>
          </cell>
        </row>
        <row r="1014">
          <cell r="O1014" t="str">
            <v>SC2442SO</v>
          </cell>
          <cell r="P1014" t="str">
            <v>STC11102B</v>
          </cell>
          <cell r="Q1014" t="str">
            <v>磁性位置传感器</v>
          </cell>
        </row>
        <row r="1015">
          <cell r="O1015" t="str">
            <v>SC2442SO</v>
          </cell>
          <cell r="P1015" t="str">
            <v>STC11102B</v>
          </cell>
          <cell r="Q1015" t="str">
            <v>磁性位置传感器</v>
          </cell>
        </row>
        <row r="1016">
          <cell r="O1016" t="str">
            <v>SC4624SP20B5</v>
          </cell>
          <cell r="P1016" t="str">
            <v>STC9D06F</v>
          </cell>
          <cell r="Q1016" t="str">
            <v>电流传感器</v>
          </cell>
        </row>
        <row r="1017">
          <cell r="O1017" t="str">
            <v>SC9648TS-TR</v>
          </cell>
          <cell r="P1017" t="str">
            <v>STC9A001I</v>
          </cell>
          <cell r="Q1017" t="str">
            <v>速度传感器</v>
          </cell>
        </row>
        <row r="1018">
          <cell r="O1018" t="str">
            <v>SC9648TS-TR</v>
          </cell>
          <cell r="P1018" t="str">
            <v>STC9A001I</v>
          </cell>
          <cell r="Q1018" t="str">
            <v>速度传感器</v>
          </cell>
        </row>
        <row r="1019">
          <cell r="O1019" t="str">
            <v>SC9648TS-TR</v>
          </cell>
          <cell r="P1019" t="str">
            <v>STC9A001I</v>
          </cell>
          <cell r="Q1019" t="str">
            <v>速度传感器</v>
          </cell>
        </row>
        <row r="1020">
          <cell r="O1020" t="str">
            <v>SC9648TS-TR</v>
          </cell>
          <cell r="P1020" t="str">
            <v>STC9A001I</v>
          </cell>
          <cell r="Q1020" t="str">
            <v>速度传感器</v>
          </cell>
        </row>
        <row r="1021">
          <cell r="O1021" t="str">
            <v>SC9648TS-TR</v>
          </cell>
          <cell r="P1021" t="str">
            <v>STC9A001I</v>
          </cell>
          <cell r="Q1021" t="str">
            <v>速度传感器</v>
          </cell>
        </row>
        <row r="1022">
          <cell r="O1022" t="str">
            <v>SC9648TS-TR</v>
          </cell>
          <cell r="P1022" t="str">
            <v>STC9A001I</v>
          </cell>
          <cell r="Q1022" t="str">
            <v>速度传感器</v>
          </cell>
        </row>
        <row r="1023">
          <cell r="O1023" t="str">
            <v>SC2402SO-N</v>
          </cell>
          <cell r="P1023" t="str">
            <v>STC9902J</v>
          </cell>
          <cell r="Q1023" t="str">
            <v>磁性位置传感器</v>
          </cell>
        </row>
        <row r="1024">
          <cell r="O1024" t="str">
            <v>SC2402SO-N</v>
          </cell>
          <cell r="P1024" t="str">
            <v>STC9902J</v>
          </cell>
          <cell r="Q1024" t="str">
            <v>磁性位置传感器</v>
          </cell>
        </row>
        <row r="1025">
          <cell r="O1025" t="str">
            <v>SC2402SO-N</v>
          </cell>
          <cell r="P1025" t="str">
            <v>STC9902J</v>
          </cell>
          <cell r="Q1025" t="str">
            <v>磁性位置传感器</v>
          </cell>
        </row>
        <row r="1026">
          <cell r="O1026" t="str">
            <v>SC2402SO-N</v>
          </cell>
          <cell r="P1026" t="str">
            <v>STC9902J</v>
          </cell>
          <cell r="Q1026" t="str">
            <v>磁性位置传感器</v>
          </cell>
        </row>
        <row r="1027">
          <cell r="O1027" t="str">
            <v>PSTC9G002A-0</v>
          </cell>
          <cell r="P1027" t="str">
            <v>STC9G002A</v>
          </cell>
          <cell r="Q1027" t="str">
            <v>磁性位置传感器</v>
          </cell>
        </row>
        <row r="1028">
          <cell r="O1028" t="str">
            <v>SC9633VB</v>
          </cell>
          <cell r="P1028" t="str">
            <v>STC9905F</v>
          </cell>
          <cell r="Q1028" t="str">
            <v>速度传感器</v>
          </cell>
        </row>
        <row r="1029">
          <cell r="O1029" t="str">
            <v>SC2242UA</v>
          </cell>
          <cell r="P1029" t="str">
            <v>STC9906H</v>
          </cell>
          <cell r="Q1029" t="str">
            <v>磁性位置传感器</v>
          </cell>
        </row>
        <row r="1030">
          <cell r="O1030" t="str">
            <v>SC60340</v>
          </cell>
          <cell r="P1030" t="str">
            <v>STC9D05C</v>
          </cell>
          <cell r="Q1030" t="str">
            <v>电机编码器</v>
          </cell>
        </row>
        <row r="1031">
          <cell r="O1031" t="str">
            <v>SC2443SO</v>
          </cell>
          <cell r="P1031" t="str">
            <v>STC9906T</v>
          </cell>
          <cell r="Q1031" t="str">
            <v>磁性位置传感器</v>
          </cell>
        </row>
        <row r="1032">
          <cell r="O1032" t="str">
            <v>SC1134SO-N</v>
          </cell>
          <cell r="P1032" t="str">
            <v>STC1898AI</v>
          </cell>
          <cell r="Q1032" t="str">
            <v>磁性位置传感器</v>
          </cell>
        </row>
        <row r="1033">
          <cell r="O1033" t="str">
            <v>SC1134SO-N</v>
          </cell>
          <cell r="P1033" t="str">
            <v>STC1898AI</v>
          </cell>
          <cell r="Q1033" t="str">
            <v>磁性位置传感器</v>
          </cell>
        </row>
        <row r="1034">
          <cell r="O1034" t="str">
            <v>SC1134SO-N</v>
          </cell>
          <cell r="P1034" t="str">
            <v>STC1898AI</v>
          </cell>
          <cell r="Q1034" t="str">
            <v>磁性位置传感器</v>
          </cell>
        </row>
        <row r="1035">
          <cell r="O1035" t="str">
            <v>SC9641TS-PC</v>
          </cell>
          <cell r="P1035" t="str">
            <v>STC9A001I</v>
          </cell>
          <cell r="Q1035" t="str">
            <v>速度传感器</v>
          </cell>
        </row>
        <row r="1036">
          <cell r="O1036" t="str">
            <v>SC9641TS-PC</v>
          </cell>
          <cell r="P1036" t="str">
            <v>STC9A001I</v>
          </cell>
          <cell r="Q1036" t="str">
            <v>速度传感器</v>
          </cell>
        </row>
        <row r="1037">
          <cell r="O1037" t="str">
            <v>SC2063UA</v>
          </cell>
          <cell r="P1037" t="str">
            <v>STC9G001C</v>
          </cell>
          <cell r="Q1037" t="str">
            <v>磁性位置传感器</v>
          </cell>
        </row>
        <row r="1038">
          <cell r="O1038" t="str">
            <v>SC2063UA</v>
          </cell>
          <cell r="P1038" t="str">
            <v>STC9G001C</v>
          </cell>
          <cell r="Q1038" t="str">
            <v>磁性位置传感器</v>
          </cell>
        </row>
        <row r="1039">
          <cell r="O1039" t="str">
            <v>SC2063UA</v>
          </cell>
          <cell r="P1039" t="str">
            <v>STC9G001C</v>
          </cell>
          <cell r="Q1039" t="str">
            <v>磁性位置传感器</v>
          </cell>
        </row>
        <row r="1040">
          <cell r="O1040" t="str">
            <v>SC4103DN</v>
          </cell>
          <cell r="P1040" t="str">
            <v>STC11201B</v>
          </cell>
          <cell r="Q1040" t="str">
            <v>磁性位置传感器</v>
          </cell>
        </row>
        <row r="1041">
          <cell r="O1041" t="str">
            <v>SC1134SO-N</v>
          </cell>
          <cell r="P1041" t="str">
            <v>STC1002AF</v>
          </cell>
          <cell r="Q1041" t="str">
            <v>磁性位置传感器</v>
          </cell>
        </row>
        <row r="1042">
          <cell r="O1042" t="str">
            <v>SC1134SO-N</v>
          </cell>
          <cell r="P1042" t="str">
            <v>STC1002AF</v>
          </cell>
          <cell r="Q1042" t="str">
            <v>磁性位置传感器</v>
          </cell>
        </row>
        <row r="1043">
          <cell r="O1043" t="str">
            <v>SC1134UA</v>
          </cell>
          <cell r="P1043" t="str">
            <v>STC1898AI</v>
          </cell>
          <cell r="Q1043" t="str">
            <v>磁性位置传感器</v>
          </cell>
        </row>
        <row r="1044">
          <cell r="O1044" t="str">
            <v>SC2442SO-N</v>
          </cell>
          <cell r="P1044" t="str">
            <v>STC11102B</v>
          </cell>
          <cell r="Q1044" t="str">
            <v>磁性位置传感器</v>
          </cell>
        </row>
        <row r="1045">
          <cell r="O1045" t="str">
            <v>SC2442SO-N</v>
          </cell>
          <cell r="P1045" t="str">
            <v>STC11102B</v>
          </cell>
          <cell r="Q1045" t="str">
            <v>磁性位置传感器</v>
          </cell>
        </row>
        <row r="1046">
          <cell r="O1046" t="str">
            <v>SD2276VB-BK</v>
          </cell>
          <cell r="P1046" t="str">
            <v>FD1014A</v>
          </cell>
          <cell r="Q1046" t="str">
            <v>电机驱动</v>
          </cell>
        </row>
        <row r="1047">
          <cell r="O1047" t="str">
            <v>SD2276VB-BK</v>
          </cell>
          <cell r="P1047" t="str">
            <v>FD1014A</v>
          </cell>
          <cell r="Q1047" t="str">
            <v>电机驱动</v>
          </cell>
        </row>
        <row r="1048">
          <cell r="O1048" t="str">
            <v>SD2276VB-BK</v>
          </cell>
          <cell r="P1048" t="str">
            <v>FD1014A</v>
          </cell>
          <cell r="Q1048" t="str">
            <v>电机驱动</v>
          </cell>
        </row>
        <row r="1049">
          <cell r="O1049" t="str">
            <v>SD2276VB-BK</v>
          </cell>
          <cell r="P1049" t="str">
            <v>FD1014A</v>
          </cell>
          <cell r="Q1049" t="str">
            <v>电机驱动</v>
          </cell>
        </row>
        <row r="1050">
          <cell r="O1050" t="str">
            <v>SC4689SA-A</v>
          </cell>
          <cell r="P1050" t="str">
            <v>STC9D01F</v>
          </cell>
          <cell r="Q1050" t="str">
            <v>角度传感器</v>
          </cell>
        </row>
        <row r="1051">
          <cell r="O1051" t="str">
            <v>SC4689SA-A</v>
          </cell>
          <cell r="P1051" t="str">
            <v>STC9D01F</v>
          </cell>
          <cell r="Q1051" t="str">
            <v>角度传感器</v>
          </cell>
        </row>
        <row r="1052">
          <cell r="O1052" t="str">
            <v>ZH6252C</v>
          </cell>
          <cell r="P1052" t="str">
            <v>ZH6252C</v>
          </cell>
          <cell r="Q1052" t="str">
            <v>电机驱动</v>
          </cell>
        </row>
        <row r="1053">
          <cell r="O1053" t="str">
            <v>SC2432SO-TR-Q</v>
          </cell>
          <cell r="P1053" t="str">
            <v>STC9906M</v>
          </cell>
          <cell r="Q1053" t="str">
            <v>磁性位置传感器</v>
          </cell>
        </row>
        <row r="1054">
          <cell r="O1054" t="str">
            <v>SC2432SO-TR-Q</v>
          </cell>
          <cell r="P1054" t="str">
            <v>STC9906M</v>
          </cell>
          <cell r="Q1054" t="str">
            <v>磁性位置传感器</v>
          </cell>
        </row>
        <row r="1055">
          <cell r="O1055" t="str">
            <v>SC2442SO-N</v>
          </cell>
          <cell r="P1055" t="str">
            <v>STC11102B</v>
          </cell>
          <cell r="Q1055" t="str">
            <v>磁性位置传感器</v>
          </cell>
        </row>
        <row r="1056">
          <cell r="O1056" t="str">
            <v>SC4688SA-BK-Q</v>
          </cell>
          <cell r="P1056" t="str">
            <v>STC9D01C</v>
          </cell>
          <cell r="Q1056" t="str">
            <v>角度传感器</v>
          </cell>
        </row>
        <row r="1057">
          <cell r="O1057" t="str">
            <v>SC4688SA-BK-Q</v>
          </cell>
          <cell r="P1057" t="str">
            <v>STC9D01C</v>
          </cell>
          <cell r="Q1057" t="str">
            <v>角度传感器</v>
          </cell>
        </row>
        <row r="1058">
          <cell r="O1058" t="str">
            <v>SC4688SA-BK-Q</v>
          </cell>
          <cell r="P1058" t="str">
            <v>STC9D01C</v>
          </cell>
          <cell r="Q1058" t="str">
            <v>角度传感器</v>
          </cell>
        </row>
        <row r="1059">
          <cell r="O1059" t="str">
            <v>SC4923SO-N-TR</v>
          </cell>
          <cell r="P1059" t="str">
            <v>SC4009B</v>
          </cell>
          <cell r="Q1059" t="str">
            <v>磁性位置传感器</v>
          </cell>
        </row>
        <row r="1060">
          <cell r="O1060" t="str">
            <v>SC60221</v>
          </cell>
          <cell r="P1060" t="str">
            <v>STC9D04C</v>
          </cell>
          <cell r="Q1060" t="str">
            <v>电机编码器</v>
          </cell>
        </row>
        <row r="1061">
          <cell r="O1061" t="str">
            <v>SC9314UA</v>
          </cell>
          <cell r="P1061" t="str">
            <v>STC9901AF</v>
          </cell>
          <cell r="Q1061" t="str">
            <v>速度传感器</v>
          </cell>
        </row>
        <row r="1062">
          <cell r="O1062" t="str">
            <v>SC4688编程器</v>
          </cell>
          <cell r="P1062" t="str">
            <v xml:space="preserve"> </v>
          </cell>
          <cell r="Q1062" t="str">
            <v>角度传感器</v>
          </cell>
        </row>
        <row r="1063">
          <cell r="O1063" t="str">
            <v>SC2064SO</v>
          </cell>
          <cell r="P1063" t="str">
            <v>STC9G001C</v>
          </cell>
          <cell r="Q1063" t="str">
            <v>磁性位置传感器</v>
          </cell>
        </row>
        <row r="1064">
          <cell r="O1064" t="str">
            <v>ATK-E512</v>
          </cell>
          <cell r="P1064" t="str">
            <v>STC4011B</v>
          </cell>
          <cell r="Q1064" t="str">
            <v>磁性位置传感器</v>
          </cell>
        </row>
        <row r="1065">
          <cell r="O1065" t="str">
            <v>ATK-E512</v>
          </cell>
          <cell r="P1065" t="str">
            <v>STC4011B</v>
          </cell>
          <cell r="Q1065" t="str">
            <v>磁性位置传感器</v>
          </cell>
        </row>
        <row r="1066">
          <cell r="O1066" t="str">
            <v>SC9641TS-PC-TR-Q</v>
          </cell>
          <cell r="P1066" t="str">
            <v>STC9A001I</v>
          </cell>
          <cell r="Q1066" t="str">
            <v>速度传感器</v>
          </cell>
        </row>
        <row r="1067">
          <cell r="O1067" t="str">
            <v>SC9641TS-PC-TR-Q</v>
          </cell>
          <cell r="P1067" t="str">
            <v>STC9A001I</v>
          </cell>
          <cell r="Q1067" t="str">
            <v>速度传感器</v>
          </cell>
        </row>
        <row r="1068">
          <cell r="O1068" t="str">
            <v>SC2443UA</v>
          </cell>
          <cell r="P1068" t="str">
            <v>STC9906W</v>
          </cell>
          <cell r="Q1068" t="str">
            <v>磁性位置传感器</v>
          </cell>
        </row>
        <row r="1069">
          <cell r="O1069" t="str">
            <v>SC2443UA</v>
          </cell>
          <cell r="P1069" t="str">
            <v>STC9906W</v>
          </cell>
          <cell r="Q1069" t="str">
            <v>磁性位置传感器</v>
          </cell>
        </row>
        <row r="1070">
          <cell r="O1070" t="str">
            <v>SC2443UA</v>
          </cell>
          <cell r="P1070" t="str">
            <v>STC9906W</v>
          </cell>
          <cell r="Q1070" t="str">
            <v>磁性位置传感器</v>
          </cell>
        </row>
        <row r="1071">
          <cell r="O1071" t="str">
            <v>SC2443UA</v>
          </cell>
          <cell r="P1071" t="str">
            <v>STC9906W</v>
          </cell>
          <cell r="Q1071" t="str">
            <v>磁性位置传感器</v>
          </cell>
        </row>
        <row r="1072">
          <cell r="O1072" t="str">
            <v>SC2443UA</v>
          </cell>
          <cell r="P1072" t="str">
            <v>STC9906W</v>
          </cell>
          <cell r="Q1072" t="str">
            <v>磁性位置传感器</v>
          </cell>
        </row>
        <row r="1073">
          <cell r="O1073" t="str">
            <v>SC4643VB</v>
          </cell>
          <cell r="P1073" t="str">
            <v>STC9D03E</v>
          </cell>
          <cell r="Q1073" t="str">
            <v>电流传感器</v>
          </cell>
        </row>
        <row r="1074">
          <cell r="O1074" t="str">
            <v>SC4643VB</v>
          </cell>
          <cell r="P1074" t="str">
            <v>STC9D03E</v>
          </cell>
          <cell r="Q1074" t="str">
            <v>电流传感器</v>
          </cell>
        </row>
        <row r="1075">
          <cell r="O1075" t="str">
            <v>SC4688SA-BK-Q</v>
          </cell>
          <cell r="P1075" t="str">
            <v>STC9D01C</v>
          </cell>
          <cell r="Q1075" t="str">
            <v>角度传感器</v>
          </cell>
        </row>
        <row r="1076">
          <cell r="O1076" t="str">
            <v>SC4688SA-BK-Q</v>
          </cell>
          <cell r="P1076" t="str">
            <v>STC9D01C</v>
          </cell>
          <cell r="Q1076" t="str">
            <v>角度传感器</v>
          </cell>
        </row>
        <row r="1077">
          <cell r="O1077" t="str">
            <v>SC4688编程器</v>
          </cell>
          <cell r="P1077" t="str">
            <v xml:space="preserve"> </v>
          </cell>
          <cell r="Q1077" t="str">
            <v>角度传感器</v>
          </cell>
        </row>
        <row r="1078">
          <cell r="O1078" t="str">
            <v>SC1138SO-N</v>
          </cell>
          <cell r="P1078" t="str">
            <v>STC1898AC</v>
          </cell>
          <cell r="Q1078" t="str">
            <v>磁性位置传感器</v>
          </cell>
        </row>
        <row r="1079">
          <cell r="O1079" t="str">
            <v>SC1138SO-N</v>
          </cell>
          <cell r="P1079" t="str">
            <v>STC1898AC</v>
          </cell>
          <cell r="Q1079" t="str">
            <v>磁性位置传感器</v>
          </cell>
        </row>
        <row r="1080">
          <cell r="O1080" t="str">
            <v>SC1138SO-N</v>
          </cell>
          <cell r="P1080" t="str">
            <v>STC1898AC</v>
          </cell>
          <cell r="Q1080" t="str">
            <v>磁性位置传感器</v>
          </cell>
        </row>
        <row r="1081">
          <cell r="O1081" t="str">
            <v>SC1138SO-N</v>
          </cell>
          <cell r="P1081" t="str">
            <v>STC1898AC</v>
          </cell>
          <cell r="Q1081" t="str">
            <v>磁性位置传感器</v>
          </cell>
        </row>
        <row r="1082">
          <cell r="O1082" t="str">
            <v>SC1138SO-N</v>
          </cell>
          <cell r="P1082" t="str">
            <v>STC1898AC</v>
          </cell>
          <cell r="Q1082" t="str">
            <v>磁性位置传感器</v>
          </cell>
        </row>
        <row r="1083">
          <cell r="O1083" t="str">
            <v>SC2464SO</v>
          </cell>
          <cell r="P1083" t="str">
            <v>STC9906J</v>
          </cell>
          <cell r="Q1083" t="str">
            <v>磁性位置传感器</v>
          </cell>
        </row>
        <row r="1084">
          <cell r="O1084" t="str">
            <v>SC2464SO</v>
          </cell>
          <cell r="P1084" t="str">
            <v>STC9906J</v>
          </cell>
          <cell r="Q1084" t="str">
            <v>磁性位置传感器</v>
          </cell>
        </row>
        <row r="1085">
          <cell r="O1085" t="str">
            <v>STC4011B</v>
          </cell>
          <cell r="P1085" t="str">
            <v>STC4011B</v>
          </cell>
          <cell r="Q1085" t="str">
            <v>磁性位置传感器</v>
          </cell>
        </row>
        <row r="1086">
          <cell r="O1086" t="str">
            <v>SC4643SA-A</v>
          </cell>
          <cell r="P1086" t="str">
            <v>STC9D03E</v>
          </cell>
          <cell r="Q1086" t="str">
            <v>电流传感器</v>
          </cell>
        </row>
        <row r="1087">
          <cell r="O1087" t="str">
            <v>SC4643SA-A</v>
          </cell>
          <cell r="P1087" t="str">
            <v>STC9D03E</v>
          </cell>
          <cell r="Q1087" t="str">
            <v>电流传感器</v>
          </cell>
        </row>
        <row r="1088">
          <cell r="O1088" t="str">
            <v>SC9314UA-BK</v>
          </cell>
          <cell r="P1088" t="str">
            <v>STC9901AF</v>
          </cell>
          <cell r="Q1088" t="str">
            <v>速度传感器</v>
          </cell>
        </row>
        <row r="1089">
          <cell r="O1089" t="str">
            <v>SC60221-D-64</v>
          </cell>
          <cell r="P1089" t="str">
            <v>STC9D04C</v>
          </cell>
          <cell r="Q1089" t="str">
            <v>电机编码器</v>
          </cell>
        </row>
        <row r="1090">
          <cell r="O1090" t="str">
            <v>SC60221-D-64</v>
          </cell>
          <cell r="P1090" t="str">
            <v>STC9D04C</v>
          </cell>
          <cell r="Q1090" t="str">
            <v>电机编码器</v>
          </cell>
        </row>
        <row r="1091">
          <cell r="O1091" t="str">
            <v>SC2442SO</v>
          </cell>
          <cell r="P1091" t="str">
            <v>STC11102B</v>
          </cell>
          <cell r="Q1091" t="str">
            <v>磁性位置传感器</v>
          </cell>
        </row>
        <row r="1092">
          <cell r="O1092" t="str">
            <v>SC4688SA</v>
          </cell>
          <cell r="P1092" t="str">
            <v>STC9D01C</v>
          </cell>
          <cell r="Q1092" t="str">
            <v>角度传感器</v>
          </cell>
        </row>
        <row r="1093">
          <cell r="O1093" t="str">
            <v>SC4688SA</v>
          </cell>
          <cell r="P1093" t="str">
            <v>STC9D01C</v>
          </cell>
          <cell r="Q1093" t="str">
            <v>角度传感器</v>
          </cell>
        </row>
        <row r="1094">
          <cell r="O1094" t="str">
            <v>SL54123ADC-TR</v>
          </cell>
          <cell r="P1094" t="str">
            <v>STC16100B</v>
          </cell>
          <cell r="Q1094" t="str">
            <v>电流传感器</v>
          </cell>
        </row>
        <row r="1095">
          <cell r="O1095" t="str">
            <v>SC2402SO-N-TR</v>
          </cell>
          <cell r="P1095" t="str">
            <v>STC9H001A</v>
          </cell>
          <cell r="Q1095" t="str">
            <v>磁性位置传感器</v>
          </cell>
        </row>
        <row r="1096">
          <cell r="O1096" t="str">
            <v>SC2402SO-N-TR</v>
          </cell>
          <cell r="P1096" t="str">
            <v>STC9H001A</v>
          </cell>
          <cell r="Q1096" t="str">
            <v>磁性位置传感器</v>
          </cell>
        </row>
        <row r="1097">
          <cell r="O1097" t="str">
            <v>SC2402SO-N-TR</v>
          </cell>
          <cell r="P1097" t="str">
            <v>STC9H001A</v>
          </cell>
          <cell r="Q1097" t="str">
            <v>磁性位置传感器</v>
          </cell>
        </row>
        <row r="1098">
          <cell r="O1098" t="str">
            <v>SL54123ADC-TR</v>
          </cell>
          <cell r="P1098" t="str">
            <v>STC16100B</v>
          </cell>
          <cell r="Q1098" t="str">
            <v>电流传感器</v>
          </cell>
        </row>
        <row r="1099">
          <cell r="O1099" t="str">
            <v>SL54123ADC-TR</v>
          </cell>
          <cell r="P1099" t="str">
            <v>STC16100B</v>
          </cell>
          <cell r="Q1099" t="str">
            <v>电流传感器</v>
          </cell>
        </row>
        <row r="1100">
          <cell r="O1100" t="str">
            <v>SC9314UA</v>
          </cell>
          <cell r="P1100" t="str">
            <v>STC9901AF</v>
          </cell>
          <cell r="Q1100" t="str">
            <v>速度传感器</v>
          </cell>
        </row>
        <row r="1101">
          <cell r="O1101" t="str">
            <v>SC9314UA</v>
          </cell>
          <cell r="P1101" t="str">
            <v>STC9901AF</v>
          </cell>
          <cell r="Q1101" t="str">
            <v>速度传感器</v>
          </cell>
        </row>
        <row r="1102">
          <cell r="O1102" t="str">
            <v>SC4001UA</v>
          </cell>
          <cell r="P1102" t="str">
            <v>STC4001AB</v>
          </cell>
          <cell r="Q1102" t="str">
            <v>磁性位置传感器</v>
          </cell>
        </row>
        <row r="1103">
          <cell r="O1103" t="str">
            <v>SC2402SO-N-TR</v>
          </cell>
          <cell r="P1103" t="str">
            <v>STC9H001A</v>
          </cell>
          <cell r="Q1103" t="str">
            <v>磁性位置传感器</v>
          </cell>
        </row>
        <row r="1104">
          <cell r="O1104" t="str">
            <v>SD2276VB-BK</v>
          </cell>
          <cell r="P1104" t="str">
            <v>FD1014A</v>
          </cell>
          <cell r="Q1104" t="str">
            <v>电机驱动</v>
          </cell>
        </row>
        <row r="1105">
          <cell r="O1105" t="str">
            <v>SD2276VB-BK</v>
          </cell>
          <cell r="P1105" t="str">
            <v>FD1014A</v>
          </cell>
          <cell r="Q1105" t="str">
            <v>电机驱动</v>
          </cell>
        </row>
        <row r="1106">
          <cell r="O1106" t="str">
            <v>SC2442SO</v>
          </cell>
          <cell r="P1106" t="str">
            <v>STC11102B</v>
          </cell>
          <cell r="Q1106" t="str">
            <v>磁性位置传感器</v>
          </cell>
        </row>
        <row r="1107">
          <cell r="O1107" t="str">
            <v>SC4001SE</v>
          </cell>
          <cell r="P1107" t="str">
            <v>STC4001AB</v>
          </cell>
          <cell r="Q1107" t="str">
            <v>磁性位置传感器</v>
          </cell>
        </row>
        <row r="1108">
          <cell r="O1108" t="str">
            <v>SC2402SO-N-TR</v>
          </cell>
          <cell r="P1108" t="str">
            <v>STC9G002A</v>
          </cell>
          <cell r="Q1108" t="str">
            <v>磁性位置传感器</v>
          </cell>
        </row>
        <row r="1109">
          <cell r="O1109" t="str">
            <v>SC2402UA-G</v>
          </cell>
          <cell r="P1109" t="str">
            <v>STC9G002B</v>
          </cell>
          <cell r="Q1109" t="str">
            <v>磁性位置传感器</v>
          </cell>
        </row>
        <row r="1110">
          <cell r="O1110" t="str">
            <v>SC2402SO-N-TR</v>
          </cell>
          <cell r="P1110" t="str">
            <v>STC9H001A</v>
          </cell>
          <cell r="Q1110" t="str">
            <v>磁性位置传感器</v>
          </cell>
        </row>
        <row r="1111">
          <cell r="O1111" t="str">
            <v>SC1138UA</v>
          </cell>
          <cell r="P1111" t="str">
            <v>STC1898AC</v>
          </cell>
          <cell r="Q1111" t="str">
            <v>磁性位置传感器</v>
          </cell>
        </row>
        <row r="1112">
          <cell r="O1112" t="str">
            <v>SC2442SO-N</v>
          </cell>
          <cell r="P1112" t="str">
            <v>STC11102B</v>
          </cell>
          <cell r="Q1112" t="str">
            <v>磁性位置传感器</v>
          </cell>
        </row>
        <row r="1113">
          <cell r="O1113" t="str">
            <v>SC1134BU</v>
          </cell>
          <cell r="P1113" t="str">
            <v>STC1898AI</v>
          </cell>
          <cell r="Q1113" t="str">
            <v>磁性位置传感器</v>
          </cell>
        </row>
        <row r="1114">
          <cell r="O1114" t="str">
            <v>SC1134BU</v>
          </cell>
          <cell r="P1114" t="str">
            <v>STC1898AI</v>
          </cell>
          <cell r="Q1114" t="str">
            <v>磁性位置传感器</v>
          </cell>
        </row>
        <row r="1115">
          <cell r="O1115" t="str">
            <v>SC1134BU</v>
          </cell>
          <cell r="P1115" t="str">
            <v>STC1898AI</v>
          </cell>
          <cell r="Q1115" t="str">
            <v>磁性位置传感器</v>
          </cell>
        </row>
        <row r="1116">
          <cell r="O1116" t="str">
            <v>SC1134BU</v>
          </cell>
          <cell r="P1116" t="str">
            <v>STC1898AI</v>
          </cell>
          <cell r="Q1116" t="str">
            <v>磁性位置传感器</v>
          </cell>
        </row>
        <row r="1117">
          <cell r="O1117" t="str">
            <v>SC1134BU</v>
          </cell>
          <cell r="P1117" t="str">
            <v>STC1898AI</v>
          </cell>
          <cell r="Q1117" t="str">
            <v>磁性位置传感器</v>
          </cell>
        </row>
        <row r="1118">
          <cell r="O1118" t="str">
            <v>SC1134BU</v>
          </cell>
          <cell r="P1118" t="str">
            <v>STC1898AI</v>
          </cell>
          <cell r="Q1118" t="str">
            <v>磁性位置传感器</v>
          </cell>
        </row>
        <row r="1119">
          <cell r="O1119" t="str">
            <v>SC1134BU</v>
          </cell>
          <cell r="P1119" t="str">
            <v>STC1898AI</v>
          </cell>
          <cell r="Q1119" t="str">
            <v>磁性位置传感器</v>
          </cell>
        </row>
        <row r="1120">
          <cell r="O1120" t="str">
            <v>PSTC9A001I-1</v>
          </cell>
          <cell r="P1120" t="str">
            <v>STC9A001I</v>
          </cell>
          <cell r="Q1120" t="str">
            <v>速度传感器</v>
          </cell>
        </row>
        <row r="1121">
          <cell r="O1121" t="str">
            <v>SC2442UA</v>
          </cell>
          <cell r="P1121" t="str">
            <v>STC11102B</v>
          </cell>
          <cell r="Q1121" t="str">
            <v>磁性位置传感器</v>
          </cell>
        </row>
        <row r="1122">
          <cell r="O1122" t="str">
            <v>SC9642TS-E</v>
          </cell>
          <cell r="P1122" t="str">
            <v>STC9A001H</v>
          </cell>
          <cell r="Q1122" t="str">
            <v>速度传感器</v>
          </cell>
        </row>
        <row r="1123">
          <cell r="O1123" t="str">
            <v>SC9684TS-TR-Q</v>
          </cell>
          <cell r="P1123" t="str">
            <v>STC12100B</v>
          </cell>
          <cell r="Q1123" t="str">
            <v>速度传感器</v>
          </cell>
        </row>
        <row r="1124">
          <cell r="O1124" t="str">
            <v>SC4689SA-A</v>
          </cell>
          <cell r="P1124" t="str">
            <v>STC9D01F</v>
          </cell>
          <cell r="Q1124" t="str">
            <v>角度传感器</v>
          </cell>
        </row>
        <row r="1125">
          <cell r="O1125" t="str">
            <v>SC4689SA-A</v>
          </cell>
          <cell r="P1125" t="str">
            <v>STC9D01F</v>
          </cell>
          <cell r="Q1125" t="str">
            <v>角度传感器</v>
          </cell>
        </row>
        <row r="1126">
          <cell r="O1126" t="str">
            <v>SYLMV321BSOR</v>
          </cell>
          <cell r="P1126" t="str">
            <v>STC9G003B</v>
          </cell>
          <cell r="Q1126" t="str">
            <v>其他数模混合</v>
          </cell>
        </row>
        <row r="1127">
          <cell r="O1127" t="str">
            <v>SC9625VB-L</v>
          </cell>
          <cell r="P1127" t="str">
            <v>STC9910E</v>
          </cell>
          <cell r="Q1127" t="str">
            <v>速度传感器</v>
          </cell>
        </row>
        <row r="1128">
          <cell r="O1128" t="str">
            <v>SC9625VB-L</v>
          </cell>
          <cell r="P1128" t="str">
            <v>STC9910E</v>
          </cell>
          <cell r="Q1128" t="str">
            <v>速度传感器</v>
          </cell>
        </row>
        <row r="1129">
          <cell r="O1129" t="str">
            <v>SC4643VB-P</v>
          </cell>
          <cell r="P1129" t="str">
            <v>STC9D03E</v>
          </cell>
          <cell r="Q1129" t="str">
            <v>电流传感器</v>
          </cell>
        </row>
        <row r="1130">
          <cell r="O1130" t="str">
            <v>SC1134UA</v>
          </cell>
          <cell r="P1130" t="str">
            <v>STC1898AI</v>
          </cell>
          <cell r="Q1130" t="str">
            <v>磁性位置传感器</v>
          </cell>
        </row>
        <row r="1131">
          <cell r="O1131" t="str">
            <v>SC1134UA</v>
          </cell>
          <cell r="P1131" t="str">
            <v>STC1898AI</v>
          </cell>
          <cell r="Q1131" t="str">
            <v>磁性位置传感器</v>
          </cell>
        </row>
        <row r="1132">
          <cell r="O1132" t="str">
            <v>PSTC9D03E-4</v>
          </cell>
          <cell r="P1132" t="str">
            <v>STC9D03E</v>
          </cell>
          <cell r="Q1132" t="str">
            <v>电流传感器</v>
          </cell>
        </row>
        <row r="1133">
          <cell r="O1133" t="str">
            <v>SC4688SA-BK-Q</v>
          </cell>
          <cell r="P1133" t="str">
            <v>STC9D01C</v>
          </cell>
          <cell r="Q1133" t="str">
            <v>角度传感器</v>
          </cell>
        </row>
        <row r="1134">
          <cell r="O1134" t="str">
            <v>SC4688SA-BK-Q</v>
          </cell>
          <cell r="P1134" t="str">
            <v>STC9D01C</v>
          </cell>
          <cell r="Q1134" t="str">
            <v>角度传感器</v>
          </cell>
        </row>
        <row r="1135">
          <cell r="O1135" t="str">
            <v>通用编程器2.0</v>
          </cell>
          <cell r="P1135" t="str">
            <v xml:space="preserve"> </v>
          </cell>
          <cell r="Q1135" t="str">
            <v>速度传感器</v>
          </cell>
        </row>
        <row r="1136">
          <cell r="O1136" t="str">
            <v>SC2402SO-N</v>
          </cell>
          <cell r="P1136" t="str">
            <v>STC9902J</v>
          </cell>
          <cell r="Q1136" t="str">
            <v>磁性位置传感器</v>
          </cell>
        </row>
        <row r="1137">
          <cell r="O1137" t="str">
            <v>SC243XUA</v>
          </cell>
          <cell r="P1137" t="str">
            <v>STC9906I</v>
          </cell>
          <cell r="Q1137" t="str">
            <v>磁性位置传感器</v>
          </cell>
        </row>
        <row r="1138">
          <cell r="O1138" t="str">
            <v>SC9314UA</v>
          </cell>
          <cell r="P1138" t="str">
            <v>STC9901AF</v>
          </cell>
          <cell r="Q1138" t="str">
            <v>速度传感器</v>
          </cell>
        </row>
        <row r="1139">
          <cell r="O1139" t="str">
            <v>SC60221-D-50</v>
          </cell>
          <cell r="P1139" t="str">
            <v>STC9D04C</v>
          </cell>
          <cell r="Q1139" t="str">
            <v>电机编码器</v>
          </cell>
        </row>
        <row r="1140">
          <cell r="O1140" t="str">
            <v>SC60221-D-50</v>
          </cell>
          <cell r="P1140" t="str">
            <v>STC9D04C</v>
          </cell>
          <cell r="Q1140" t="str">
            <v>电机编码器</v>
          </cell>
        </row>
        <row r="1141">
          <cell r="O1141" t="str">
            <v>SC60221-D-50</v>
          </cell>
          <cell r="P1141" t="str">
            <v>STC9D04C</v>
          </cell>
          <cell r="Q1141" t="str">
            <v>电机编码器</v>
          </cell>
        </row>
        <row r="1142">
          <cell r="O1142" t="str">
            <v>SC60221-D-360</v>
          </cell>
          <cell r="P1142" t="str">
            <v>STC9D04C</v>
          </cell>
          <cell r="Q1142" t="str">
            <v>电机编码器</v>
          </cell>
        </row>
        <row r="1143">
          <cell r="O1143" t="str">
            <v>SC60221-D-360</v>
          </cell>
          <cell r="P1143" t="str">
            <v>STC9D04C</v>
          </cell>
          <cell r="Q1143" t="str">
            <v>电机编码器</v>
          </cell>
        </row>
        <row r="1144">
          <cell r="O1144" t="str">
            <v>SC919H</v>
          </cell>
          <cell r="P1144" t="str">
            <v>STC9913D</v>
          </cell>
          <cell r="Q1144" t="str">
            <v>磁性位置传感器</v>
          </cell>
        </row>
        <row r="1145">
          <cell r="O1145" t="str">
            <v>SC919H</v>
          </cell>
          <cell r="P1145" t="str">
            <v>STC9913D</v>
          </cell>
          <cell r="Q1145" t="str">
            <v>磁性位置传感器</v>
          </cell>
        </row>
        <row r="1146">
          <cell r="O1146" t="str">
            <v>SC919H</v>
          </cell>
          <cell r="P1146" t="str">
            <v>STC9913D</v>
          </cell>
          <cell r="Q1146" t="str">
            <v>磁性位置传感器</v>
          </cell>
        </row>
        <row r="1147">
          <cell r="O1147" t="str">
            <v>SC919H</v>
          </cell>
          <cell r="P1147" t="str">
            <v>STC9913D</v>
          </cell>
          <cell r="Q1147" t="str">
            <v>磁性位置传感器</v>
          </cell>
        </row>
        <row r="1148">
          <cell r="O1148" t="str">
            <v>SC919H</v>
          </cell>
          <cell r="P1148" t="str">
            <v>STC9913D</v>
          </cell>
          <cell r="Q1148" t="str">
            <v>磁性位置传感器</v>
          </cell>
        </row>
        <row r="1149">
          <cell r="O1149" t="str">
            <v>SC1134UA</v>
          </cell>
          <cell r="P1149" t="str">
            <v>STC1898AI</v>
          </cell>
          <cell r="Q1149" t="str">
            <v>磁性位置传感器</v>
          </cell>
        </row>
        <row r="1150">
          <cell r="O1150" t="str">
            <v>SC1134UA</v>
          </cell>
          <cell r="P1150" t="str">
            <v>STC1898AI</v>
          </cell>
          <cell r="Q1150" t="str">
            <v>磁性位置传感器</v>
          </cell>
        </row>
        <row r="1151">
          <cell r="O1151" t="str">
            <v>SD2276VB-BK</v>
          </cell>
          <cell r="P1151" t="str">
            <v>FD1014A</v>
          </cell>
          <cell r="Q1151" t="str">
            <v>电机驱动</v>
          </cell>
        </row>
        <row r="1152">
          <cell r="O1152" t="str">
            <v>SD2276VB-BK</v>
          </cell>
          <cell r="P1152" t="str">
            <v>FD1014A</v>
          </cell>
          <cell r="Q1152" t="str">
            <v>电机驱动</v>
          </cell>
        </row>
        <row r="1153">
          <cell r="O1153" t="str">
            <v>SD2276VB-BK</v>
          </cell>
          <cell r="P1153" t="str">
            <v>FD1014A</v>
          </cell>
          <cell r="Q1153" t="str">
            <v>电机驱动</v>
          </cell>
        </row>
        <row r="1154">
          <cell r="O1154" t="str">
            <v>SD2276VB-BK</v>
          </cell>
          <cell r="P1154" t="str">
            <v>FD1014A</v>
          </cell>
          <cell r="Q1154" t="str">
            <v>电机驱动</v>
          </cell>
        </row>
        <row r="1155">
          <cell r="O1155" t="str">
            <v>SC2402SO-N-TR</v>
          </cell>
          <cell r="P1155" t="str">
            <v>STC9H001A</v>
          </cell>
          <cell r="Q1155" t="str">
            <v>磁性位置传感器</v>
          </cell>
        </row>
        <row r="1156">
          <cell r="O1156" t="str">
            <v>SC2242UA</v>
          </cell>
          <cell r="P1156" t="str">
            <v>STC9906H</v>
          </cell>
          <cell r="Q1156" t="str">
            <v>磁性位置传感器</v>
          </cell>
        </row>
        <row r="1157">
          <cell r="O1157" t="str">
            <v>SC4104SO-N-TR</v>
          </cell>
          <cell r="P1157" t="str">
            <v>STC11201B1</v>
          </cell>
          <cell r="Q1157" t="str">
            <v>磁性位置传感器</v>
          </cell>
        </row>
        <row r="1158">
          <cell r="O1158" t="str">
            <v>SC4104SO-N-TR</v>
          </cell>
          <cell r="P1158" t="str">
            <v>STC11201B1</v>
          </cell>
          <cell r="Q1158" t="str">
            <v>磁性位置传感器</v>
          </cell>
        </row>
        <row r="1159">
          <cell r="O1159" t="str">
            <v>SC2432SO-N</v>
          </cell>
          <cell r="P1159" t="str">
            <v>STC9906I</v>
          </cell>
          <cell r="Q1159" t="str">
            <v>磁性位置传感器</v>
          </cell>
        </row>
        <row r="1160">
          <cell r="O1160" t="str">
            <v>SC1134UA</v>
          </cell>
          <cell r="P1160" t="str">
            <v>STC1898AI</v>
          </cell>
          <cell r="Q1160" t="str">
            <v>磁性位置传感器</v>
          </cell>
        </row>
        <row r="1161">
          <cell r="O1161" t="str">
            <v>SC1134UA</v>
          </cell>
          <cell r="P1161" t="str">
            <v>STC1898AI</v>
          </cell>
          <cell r="Q1161" t="str">
            <v>磁性位置传感器</v>
          </cell>
        </row>
        <row r="1162">
          <cell r="O1162" t="str">
            <v>SC1134UA</v>
          </cell>
          <cell r="P1162" t="str">
            <v>STC1898AI</v>
          </cell>
          <cell r="Q1162" t="str">
            <v>磁性位置传感器</v>
          </cell>
        </row>
        <row r="1163">
          <cell r="O1163" t="str">
            <v>SC9641TS-PC-TR-Q</v>
          </cell>
          <cell r="P1163" t="str">
            <v>STC9A001I</v>
          </cell>
          <cell r="Q1163" t="str">
            <v>速度传感器</v>
          </cell>
        </row>
        <row r="1164">
          <cell r="O1164" t="str">
            <v>SC69401-A</v>
          </cell>
          <cell r="P1164" t="str">
            <v>STC9H002DQ</v>
          </cell>
          <cell r="Q1164" t="str">
            <v>角度传感器</v>
          </cell>
        </row>
        <row r="1165">
          <cell r="O1165" t="str">
            <v>通用编程器2.0</v>
          </cell>
          <cell r="P1165" t="str">
            <v xml:space="preserve"> </v>
          </cell>
          <cell r="Q1165" t="str">
            <v>速度传感器</v>
          </cell>
        </row>
        <row r="1166">
          <cell r="O1166" t="str">
            <v>SC4643VB-P</v>
          </cell>
          <cell r="P1166" t="str">
            <v>STC9D03E</v>
          </cell>
          <cell r="Q1166" t="str">
            <v>电流传感器</v>
          </cell>
        </row>
        <row r="1167">
          <cell r="O1167" t="str">
            <v>SC4643VB-P</v>
          </cell>
          <cell r="P1167" t="str">
            <v>STC9D03E</v>
          </cell>
          <cell r="Q1167" t="str">
            <v>电流传感器</v>
          </cell>
        </row>
        <row r="1168">
          <cell r="O1168" t="str">
            <v>SC4643VB-P</v>
          </cell>
          <cell r="P1168" t="str">
            <v>STC9D03E</v>
          </cell>
          <cell r="Q1168" t="str">
            <v>电流传感器</v>
          </cell>
        </row>
        <row r="1169">
          <cell r="O1169" t="str">
            <v>SC9641TS-PC-TR-Q</v>
          </cell>
          <cell r="P1169" t="str">
            <v>STC9A001I</v>
          </cell>
          <cell r="Q1169" t="str">
            <v>速度传感器</v>
          </cell>
        </row>
        <row r="1170">
          <cell r="O1170" t="str">
            <v>SC9641TS-PC</v>
          </cell>
          <cell r="P1170" t="str">
            <v>STC9A001I</v>
          </cell>
          <cell r="Q1170" t="str">
            <v>速度传感器</v>
          </cell>
        </row>
        <row r="1171">
          <cell r="O1171" t="str">
            <v>SC9641TS-PC</v>
          </cell>
          <cell r="P1171" t="str">
            <v>STC9A001I</v>
          </cell>
          <cell r="Q1171" t="str">
            <v>速度传感器</v>
          </cell>
        </row>
        <row r="1172">
          <cell r="O1172" t="str">
            <v>SC2443UA</v>
          </cell>
          <cell r="P1172" t="str">
            <v>STC9906W</v>
          </cell>
          <cell r="Q1172" t="str">
            <v>磁性位置传感器</v>
          </cell>
        </row>
        <row r="1173">
          <cell r="O1173" t="str">
            <v>SC2443UA</v>
          </cell>
          <cell r="P1173" t="str">
            <v>STC9906W</v>
          </cell>
          <cell r="Q1173" t="str">
            <v>磁性位置传感器</v>
          </cell>
        </row>
        <row r="1174">
          <cell r="O1174" t="str">
            <v>SC2443UA</v>
          </cell>
          <cell r="P1174" t="str">
            <v>STC9906W</v>
          </cell>
          <cell r="Q1174" t="str">
            <v>磁性位置传感器</v>
          </cell>
        </row>
        <row r="1175">
          <cell r="O1175" t="str">
            <v>SC2443UA</v>
          </cell>
          <cell r="P1175" t="str">
            <v>STC9906W</v>
          </cell>
          <cell r="Q1175" t="str">
            <v>磁性位置传感器</v>
          </cell>
        </row>
        <row r="1176">
          <cell r="O1176" t="str">
            <v>SC2443UA</v>
          </cell>
          <cell r="P1176" t="str">
            <v>STC9906W</v>
          </cell>
          <cell r="Q1176" t="str">
            <v>磁性位置传感器</v>
          </cell>
        </row>
        <row r="1177">
          <cell r="O1177" t="str">
            <v>SC2443SO</v>
          </cell>
          <cell r="P1177" t="str">
            <v>STC9906T</v>
          </cell>
          <cell r="Q1177" t="str">
            <v>磁性位置传感器</v>
          </cell>
        </row>
        <row r="1178">
          <cell r="O1178" t="str">
            <v>SC4643VB-G-BK-Q</v>
          </cell>
          <cell r="P1178" t="str">
            <v>STC9D03E</v>
          </cell>
          <cell r="Q1178" t="str">
            <v>电流传感器</v>
          </cell>
        </row>
        <row r="1179">
          <cell r="O1179" t="str">
            <v>SC4643VB-G-BK-Q</v>
          </cell>
          <cell r="P1179" t="str">
            <v>STC9D03E</v>
          </cell>
          <cell r="Q1179" t="str">
            <v>电流传感器</v>
          </cell>
        </row>
        <row r="1180">
          <cell r="O1180" t="str">
            <v>SC9641TS-P-TR</v>
          </cell>
          <cell r="P1180" t="str">
            <v>STC9A001I</v>
          </cell>
          <cell r="Q1180" t="str">
            <v>速度传感器</v>
          </cell>
        </row>
        <row r="1181">
          <cell r="O1181" t="str">
            <v>SC9641TS-P-TR</v>
          </cell>
          <cell r="P1181" t="str">
            <v>STC9A001I</v>
          </cell>
          <cell r="Q1181" t="str">
            <v>速度传感器</v>
          </cell>
        </row>
        <row r="1182">
          <cell r="O1182" t="str">
            <v>SC9641TS-P-TR</v>
          </cell>
          <cell r="P1182" t="str">
            <v>STC9A001I</v>
          </cell>
          <cell r="Q1182" t="str">
            <v>速度传感器</v>
          </cell>
        </row>
        <row r="1183">
          <cell r="O1183" t="str">
            <v>SC9675IM-P-HRF00</v>
          </cell>
          <cell r="P1183" t="str">
            <v>STC9A002B</v>
          </cell>
          <cell r="Q1183" t="str">
            <v>速度传感器</v>
          </cell>
        </row>
        <row r="1184">
          <cell r="O1184" t="str">
            <v>SC2242SO-TR-Q</v>
          </cell>
          <cell r="P1184" t="str">
            <v>STC9906H</v>
          </cell>
          <cell r="Q1184" t="str">
            <v>磁性位置传感器</v>
          </cell>
        </row>
        <row r="1185">
          <cell r="O1185" t="str">
            <v>SC1134UA</v>
          </cell>
          <cell r="P1185" t="str">
            <v>STC1898AI</v>
          </cell>
          <cell r="Q1185" t="str">
            <v>磁性位置传感器</v>
          </cell>
        </row>
        <row r="1186">
          <cell r="O1186" t="str">
            <v>SC9642TS-E</v>
          </cell>
          <cell r="P1186" t="str">
            <v>STC9A001H</v>
          </cell>
          <cell r="Q1186" t="str">
            <v>速度传感器</v>
          </cell>
        </row>
        <row r="1187">
          <cell r="O1187" t="str">
            <v>SC4688SA-A</v>
          </cell>
          <cell r="P1187" t="str">
            <v>STC9D01C</v>
          </cell>
          <cell r="Q1187" t="str">
            <v>角度传感器</v>
          </cell>
        </row>
        <row r="1188">
          <cell r="O1188" t="str">
            <v>SC60220</v>
          </cell>
          <cell r="P1188" t="str">
            <v>STC9D04C</v>
          </cell>
          <cell r="Q1188" t="str">
            <v>电机编码器</v>
          </cell>
        </row>
        <row r="1189">
          <cell r="O1189" t="str">
            <v>SC60220</v>
          </cell>
          <cell r="P1189" t="str">
            <v>STC9D04C</v>
          </cell>
          <cell r="Q1189" t="str">
            <v>电机编码器</v>
          </cell>
        </row>
        <row r="1190">
          <cell r="O1190" t="str">
            <v>SC60220</v>
          </cell>
          <cell r="P1190" t="str">
            <v>STC9D04C</v>
          </cell>
          <cell r="Q1190" t="str">
            <v>电机编码器</v>
          </cell>
        </row>
        <row r="1191">
          <cell r="O1191" t="str">
            <v>SC60221-U-256-976</v>
          </cell>
          <cell r="P1191" t="str">
            <v>STC9D04C</v>
          </cell>
          <cell r="Q1191" t="str">
            <v>电机编码器</v>
          </cell>
        </row>
        <row r="1192">
          <cell r="O1192" t="str">
            <v>SC2402SO-N-TR</v>
          </cell>
          <cell r="P1192" t="str">
            <v>STC9H001A</v>
          </cell>
          <cell r="Q1192" t="str">
            <v>磁性位置传感器</v>
          </cell>
        </row>
        <row r="1193">
          <cell r="O1193" t="str">
            <v>SC2402SO-N-TR</v>
          </cell>
          <cell r="P1193" t="str">
            <v>STC9H001A</v>
          </cell>
          <cell r="Q1193" t="str">
            <v>磁性位置传感器</v>
          </cell>
        </row>
        <row r="1194">
          <cell r="O1194" t="str">
            <v>SC2402SO-N</v>
          </cell>
          <cell r="P1194" t="str">
            <v>STC9H001A</v>
          </cell>
          <cell r="Q1194" t="str">
            <v>磁性位置传感器</v>
          </cell>
        </row>
        <row r="1195">
          <cell r="O1195" t="str">
            <v>SC2402SO-N</v>
          </cell>
          <cell r="P1195" t="str">
            <v>STC9H001A</v>
          </cell>
          <cell r="Q1195" t="str">
            <v>磁性位置传感器</v>
          </cell>
        </row>
        <row r="1196">
          <cell r="O1196" t="str">
            <v>SC2448SO</v>
          </cell>
          <cell r="P1196" t="str">
            <v>STC9906S</v>
          </cell>
          <cell r="Q1196" t="str">
            <v>磁性位置传感器</v>
          </cell>
        </row>
        <row r="1197">
          <cell r="O1197" t="str">
            <v>SC2448SO</v>
          </cell>
          <cell r="P1197" t="str">
            <v>STC9906S</v>
          </cell>
          <cell r="Q1197" t="str">
            <v>磁性位置传感器</v>
          </cell>
        </row>
        <row r="1198">
          <cell r="O1198" t="str">
            <v>SC2448SO</v>
          </cell>
          <cell r="P1198" t="str">
            <v>STC9906S</v>
          </cell>
          <cell r="Q1198" t="str">
            <v>磁性位置传感器</v>
          </cell>
        </row>
        <row r="1199">
          <cell r="O1199" t="str">
            <v>SC2448SO</v>
          </cell>
          <cell r="P1199" t="str">
            <v>STC9906S</v>
          </cell>
          <cell r="Q1199" t="str">
            <v>磁性位置传感器</v>
          </cell>
        </row>
        <row r="1200">
          <cell r="O1200" t="str">
            <v>SC2448SO</v>
          </cell>
          <cell r="P1200" t="str">
            <v>STC9906S</v>
          </cell>
          <cell r="Q1200" t="str">
            <v>磁性位置传感器</v>
          </cell>
        </row>
        <row r="1201">
          <cell r="O1201" t="str">
            <v>SC2448SO</v>
          </cell>
          <cell r="P1201" t="str">
            <v>STC9906S</v>
          </cell>
          <cell r="Q1201" t="str">
            <v>磁性位置传感器</v>
          </cell>
        </row>
        <row r="1202">
          <cell r="O1202" t="str">
            <v>SC2448SO</v>
          </cell>
          <cell r="P1202" t="str">
            <v>STC9906S</v>
          </cell>
          <cell r="Q1202" t="str">
            <v>磁性位置传感器</v>
          </cell>
        </row>
        <row r="1203">
          <cell r="O1203" t="str">
            <v>SC2448SO</v>
          </cell>
          <cell r="P1203" t="str">
            <v>STC9906S</v>
          </cell>
          <cell r="Q1203" t="str">
            <v>磁性位置传感器</v>
          </cell>
        </row>
        <row r="1204">
          <cell r="O1204" t="str">
            <v>SC2448SO</v>
          </cell>
          <cell r="P1204" t="str">
            <v>STC9906S</v>
          </cell>
          <cell r="Q1204" t="str">
            <v>磁性位置传感器</v>
          </cell>
        </row>
        <row r="1205">
          <cell r="O1205" t="str">
            <v>SC2448SO</v>
          </cell>
          <cell r="P1205" t="str">
            <v>STC9906S</v>
          </cell>
          <cell r="Q1205" t="str">
            <v>磁性位置传感器</v>
          </cell>
        </row>
        <row r="1206">
          <cell r="O1206" t="str">
            <v>SC9314UA</v>
          </cell>
          <cell r="P1206" t="str">
            <v>STC9901AF</v>
          </cell>
          <cell r="Q1206" t="str">
            <v>速度传感器</v>
          </cell>
        </row>
        <row r="1207">
          <cell r="O1207" t="str">
            <v>SC9314UA</v>
          </cell>
          <cell r="P1207" t="str">
            <v>STC9901AF</v>
          </cell>
          <cell r="Q1207" t="str">
            <v>速度传感器</v>
          </cell>
        </row>
        <row r="1208">
          <cell r="O1208" t="str">
            <v>SD211VB-BK</v>
          </cell>
          <cell r="P1208" t="str">
            <v>FD1016A</v>
          </cell>
          <cell r="Q1208" t="str">
            <v>电机驱动</v>
          </cell>
        </row>
        <row r="1209">
          <cell r="O1209" t="str">
            <v>SD211VB-BK</v>
          </cell>
          <cell r="P1209" t="str">
            <v>FD1016A</v>
          </cell>
          <cell r="Q1209" t="str">
            <v>电机驱动</v>
          </cell>
        </row>
        <row r="1210">
          <cell r="O1210" t="str">
            <v>SD211VB-BK</v>
          </cell>
          <cell r="P1210" t="str">
            <v>FD1016A</v>
          </cell>
          <cell r="Q1210" t="str">
            <v>电机驱动</v>
          </cell>
        </row>
        <row r="1211">
          <cell r="O1211" t="str">
            <v>SD211VB-BK</v>
          </cell>
          <cell r="P1211" t="str">
            <v>FD1016A</v>
          </cell>
          <cell r="Q1211" t="str">
            <v>电机驱动</v>
          </cell>
        </row>
        <row r="1212">
          <cell r="O1212" t="str">
            <v>SD211VB-BK</v>
          </cell>
          <cell r="P1212" t="str">
            <v>FD1016A</v>
          </cell>
          <cell r="Q1212" t="str">
            <v>电机驱动</v>
          </cell>
        </row>
        <row r="1213">
          <cell r="O1213" t="str">
            <v>SD211VB-BK</v>
          </cell>
          <cell r="P1213" t="str">
            <v>FD1016A</v>
          </cell>
          <cell r="Q1213" t="str">
            <v>电机驱动</v>
          </cell>
        </row>
        <row r="1214">
          <cell r="O1214" t="str">
            <v>SC4643VB-P</v>
          </cell>
          <cell r="P1214" t="str">
            <v>STC9D03E</v>
          </cell>
          <cell r="Q1214" t="str">
            <v>电流传感器</v>
          </cell>
        </row>
        <row r="1215">
          <cell r="O1215" t="str">
            <v>SC9632VB</v>
          </cell>
          <cell r="P1215" t="str">
            <v>STC9905E</v>
          </cell>
          <cell r="Q1215" t="str">
            <v>速度传感器</v>
          </cell>
        </row>
        <row r="1216">
          <cell r="O1216" t="str">
            <v>SC9314UA</v>
          </cell>
          <cell r="P1216" t="str">
            <v>STC9901AF</v>
          </cell>
          <cell r="Q1216" t="str">
            <v>速度传感器</v>
          </cell>
        </row>
        <row r="1217">
          <cell r="O1217" t="str">
            <v>49E</v>
          </cell>
          <cell r="P1217" t="str">
            <v>STC4011B</v>
          </cell>
          <cell r="Q1217" t="str">
            <v>磁性位置传感器</v>
          </cell>
        </row>
        <row r="1218">
          <cell r="O1218" t="str">
            <v>49E</v>
          </cell>
          <cell r="P1218" t="str">
            <v>STC4011B</v>
          </cell>
          <cell r="Q1218" t="str">
            <v>磁性位置传感器</v>
          </cell>
        </row>
        <row r="1219">
          <cell r="O1219" t="str">
            <v>49E</v>
          </cell>
          <cell r="P1219" t="str">
            <v>STC4011B</v>
          </cell>
          <cell r="Q1219" t="str">
            <v>磁性位置传感器</v>
          </cell>
        </row>
        <row r="1220">
          <cell r="O1220" t="str">
            <v>SC2202SO-N</v>
          </cell>
          <cell r="P1220" t="str">
            <v>STC9902E</v>
          </cell>
          <cell r="Q1220" t="str">
            <v>磁性位置传感器</v>
          </cell>
        </row>
        <row r="1221">
          <cell r="O1221" t="str">
            <v>SC2464SO</v>
          </cell>
          <cell r="P1221" t="str">
            <v>STC9906J</v>
          </cell>
          <cell r="Q1221" t="str">
            <v>磁性位置传感器</v>
          </cell>
        </row>
        <row r="1222">
          <cell r="O1222" t="str">
            <v>ATK-E512</v>
          </cell>
          <cell r="P1222" t="str">
            <v>STC4011B</v>
          </cell>
          <cell r="Q1222" t="str">
            <v>磁性位置传感器</v>
          </cell>
        </row>
        <row r="1223">
          <cell r="O1223" t="str">
            <v>ATK-E512</v>
          </cell>
          <cell r="P1223" t="str">
            <v>STC4011B</v>
          </cell>
          <cell r="Q1223" t="str">
            <v>磁性位置传感器</v>
          </cell>
        </row>
        <row r="1224">
          <cell r="O1224" t="str">
            <v>SC2498UA-N-BK-Q</v>
          </cell>
          <cell r="P1224" t="str">
            <v>STC11102B</v>
          </cell>
          <cell r="Q1224" t="str">
            <v>磁性位置传感器</v>
          </cell>
        </row>
        <row r="1225">
          <cell r="O1225" t="str">
            <v>SC9641TS-PC</v>
          </cell>
          <cell r="P1225" t="str">
            <v>STC9A001I</v>
          </cell>
          <cell r="Q1225" t="str">
            <v>速度传感器</v>
          </cell>
        </row>
        <row r="1226">
          <cell r="O1226" t="str">
            <v>SC9314UA</v>
          </cell>
          <cell r="P1226" t="str">
            <v>STC9901AF</v>
          </cell>
          <cell r="Q1226" t="str">
            <v>速度传感器</v>
          </cell>
        </row>
        <row r="1227">
          <cell r="O1227" t="str">
            <v>SC4688DC</v>
          </cell>
          <cell r="P1227" t="str">
            <v>STC9D01C</v>
          </cell>
          <cell r="Q1227" t="str">
            <v>角度传感器</v>
          </cell>
        </row>
        <row r="1228">
          <cell r="O1228" t="str">
            <v>SC2402SO-N</v>
          </cell>
          <cell r="P1228" t="str">
            <v>STC9G002B</v>
          </cell>
          <cell r="Q1228" t="str">
            <v>磁性位置传感器</v>
          </cell>
        </row>
        <row r="1229">
          <cell r="O1229" t="str">
            <v>SC4643VB-A</v>
          </cell>
          <cell r="P1229" t="str">
            <v>STC9D03E</v>
          </cell>
          <cell r="Q1229" t="str">
            <v>电流传感器</v>
          </cell>
        </row>
        <row r="1230">
          <cell r="O1230" t="str">
            <v>SC4643VB-A</v>
          </cell>
          <cell r="P1230" t="str">
            <v>STC9D03E</v>
          </cell>
          <cell r="Q1230" t="str">
            <v>电流传感器</v>
          </cell>
        </row>
        <row r="1231">
          <cell r="O1231" t="str">
            <v>SC4643VB-A</v>
          </cell>
          <cell r="P1231" t="str">
            <v>STC9D03E</v>
          </cell>
          <cell r="Q1231" t="str">
            <v>电流传感器</v>
          </cell>
        </row>
        <row r="1232">
          <cell r="O1232" t="str">
            <v>SC4643编程器</v>
          </cell>
          <cell r="P1232" t="str">
            <v xml:space="preserve"> </v>
          </cell>
          <cell r="Q1232" t="str">
            <v>电流传感器</v>
          </cell>
        </row>
        <row r="1233">
          <cell r="O1233" t="str">
            <v>SC9641TS-P-TR</v>
          </cell>
          <cell r="P1233" t="str">
            <v>STC9A001I</v>
          </cell>
          <cell r="Q1233" t="str">
            <v>速度传感器</v>
          </cell>
        </row>
        <row r="1234">
          <cell r="O1234" t="str">
            <v>SC9641TS-P-TR</v>
          </cell>
          <cell r="P1234" t="str">
            <v>STC9A001I</v>
          </cell>
          <cell r="Q1234" t="str">
            <v>速度传感器</v>
          </cell>
        </row>
        <row r="1235">
          <cell r="O1235" t="str">
            <v>SC9641TS-P-TR</v>
          </cell>
          <cell r="P1235" t="str">
            <v>STC9A001I</v>
          </cell>
          <cell r="Q1235" t="str">
            <v>速度传感器</v>
          </cell>
        </row>
        <row r="1236">
          <cell r="O1236" t="str">
            <v>SC9641TS-P-TR</v>
          </cell>
          <cell r="P1236" t="str">
            <v>STC9A001I</v>
          </cell>
          <cell r="Q1236" t="str">
            <v>速度传感器</v>
          </cell>
        </row>
        <row r="1237">
          <cell r="O1237" t="str">
            <v>SC9641TS-P-TR</v>
          </cell>
          <cell r="P1237" t="str">
            <v>STC9A001I</v>
          </cell>
          <cell r="Q1237" t="str">
            <v>速度传感器</v>
          </cell>
        </row>
        <row r="1238">
          <cell r="O1238" t="str">
            <v>SC4695DC</v>
          </cell>
          <cell r="P1238" t="str">
            <v>STC9D01C</v>
          </cell>
          <cell r="Q1238" t="str">
            <v>角度传感器</v>
          </cell>
        </row>
        <row r="1239">
          <cell r="O1239" t="str">
            <v>SC9683TS-TR-Q</v>
          </cell>
          <cell r="P1239" t="str">
            <v>STC12100B</v>
          </cell>
          <cell r="Q1239" t="str">
            <v>速度传感器</v>
          </cell>
        </row>
        <row r="1240">
          <cell r="O1240" t="str">
            <v>SC9642TS-E</v>
          </cell>
          <cell r="P1240" t="str">
            <v>STC9A001H</v>
          </cell>
          <cell r="Q1240" t="str">
            <v>速度传感器</v>
          </cell>
        </row>
        <row r="1241">
          <cell r="O1241" t="str">
            <v>SC69401D</v>
          </cell>
          <cell r="P1241" t="str">
            <v>STC9H002D</v>
          </cell>
          <cell r="Q1241" t="str">
            <v>角度传感器</v>
          </cell>
        </row>
        <row r="1242">
          <cell r="O1242" t="str">
            <v>SC1134BU</v>
          </cell>
          <cell r="P1242" t="str">
            <v>STC1898AI</v>
          </cell>
          <cell r="Q1242" t="str">
            <v>磁性位置传感器</v>
          </cell>
        </row>
        <row r="1243">
          <cell r="O1243" t="str">
            <v>SC60224-D-1024</v>
          </cell>
          <cell r="P1243" t="str">
            <v>STC9D04C</v>
          </cell>
          <cell r="Q1243" t="str">
            <v>电机编码器</v>
          </cell>
        </row>
        <row r="1244">
          <cell r="O1244" t="str">
            <v>SC60224-D-1024</v>
          </cell>
          <cell r="P1244" t="str">
            <v>STC9D04C</v>
          </cell>
          <cell r="Q1244" t="str">
            <v>电机编码器</v>
          </cell>
        </row>
        <row r="1245">
          <cell r="O1245" t="str">
            <v>SC4643VB</v>
          </cell>
          <cell r="P1245" t="str">
            <v>STC9D03E</v>
          </cell>
          <cell r="Q1245" t="str">
            <v>电流传感器</v>
          </cell>
        </row>
        <row r="1246">
          <cell r="O1246" t="str">
            <v>SL54123ADC-TR</v>
          </cell>
          <cell r="P1246" t="str">
            <v>STC16100B</v>
          </cell>
          <cell r="Q1246" t="str">
            <v>电流传感器</v>
          </cell>
        </row>
        <row r="1247">
          <cell r="O1247" t="str">
            <v>SL54123ADC-TR</v>
          </cell>
          <cell r="P1247" t="str">
            <v>STC16100B</v>
          </cell>
          <cell r="Q1247" t="str">
            <v>电流传感器</v>
          </cell>
        </row>
        <row r="1248">
          <cell r="O1248" t="str">
            <v>SL54123ADC-TR</v>
          </cell>
          <cell r="P1248" t="str">
            <v>STC16100B</v>
          </cell>
          <cell r="Q1248" t="str">
            <v>电流传感器</v>
          </cell>
        </row>
        <row r="1249">
          <cell r="O1249" t="str">
            <v>VE2266P</v>
          </cell>
          <cell r="P1249" t="str">
            <v>HC2304C</v>
          </cell>
          <cell r="Q1249" t="str">
            <v>电源管理</v>
          </cell>
        </row>
        <row r="1250">
          <cell r="O1250" t="str">
            <v>SC2498SO</v>
          </cell>
          <cell r="P1250" t="str">
            <v>SC9915C</v>
          </cell>
          <cell r="Q1250" t="str">
            <v>磁性位置传感器</v>
          </cell>
        </row>
        <row r="1251">
          <cell r="O1251" t="str">
            <v>SC2498SO</v>
          </cell>
          <cell r="P1251" t="str">
            <v>SC9915C</v>
          </cell>
          <cell r="Q1251" t="str">
            <v>磁性位置传感器</v>
          </cell>
        </row>
        <row r="1252">
          <cell r="O1252" t="str">
            <v>SC9641TS</v>
          </cell>
          <cell r="P1252" t="str">
            <v>STC9910BN</v>
          </cell>
          <cell r="Q1252" t="str">
            <v>速度传感器</v>
          </cell>
        </row>
        <row r="1253">
          <cell r="O1253" t="str">
            <v>SC9641TS-P</v>
          </cell>
          <cell r="P1253" t="str">
            <v>STC9A001I</v>
          </cell>
          <cell r="Q1253" t="str">
            <v>速度传感器</v>
          </cell>
        </row>
        <row r="1254">
          <cell r="O1254" t="str">
            <v>SC4643VB</v>
          </cell>
          <cell r="P1254" t="str">
            <v>STC9D03E</v>
          </cell>
          <cell r="Q1254" t="str">
            <v>电流传感器</v>
          </cell>
        </row>
        <row r="1255">
          <cell r="O1255" t="str">
            <v>SC4643VB</v>
          </cell>
          <cell r="P1255" t="str">
            <v>STC9D03E</v>
          </cell>
          <cell r="Q1255" t="str">
            <v>电流传感器</v>
          </cell>
        </row>
        <row r="1256">
          <cell r="O1256" t="str">
            <v>SC4643VB</v>
          </cell>
          <cell r="P1256" t="str">
            <v>STC9D03E</v>
          </cell>
          <cell r="Q1256" t="str">
            <v>电流传感器</v>
          </cell>
        </row>
        <row r="1257">
          <cell r="O1257" t="str">
            <v>SC9641TS-PC</v>
          </cell>
          <cell r="P1257" t="str">
            <v>STC9A001I</v>
          </cell>
          <cell r="Q1257" t="str">
            <v>速度传感器</v>
          </cell>
        </row>
        <row r="1258">
          <cell r="O1258" t="str">
            <v>SC9641TS-PC</v>
          </cell>
          <cell r="P1258" t="str">
            <v>STC9A001I</v>
          </cell>
          <cell r="Q1258" t="str">
            <v>速度传感器</v>
          </cell>
        </row>
        <row r="1259">
          <cell r="O1259" t="str">
            <v>SC9641TS-PC</v>
          </cell>
          <cell r="P1259" t="str">
            <v>STC9A001I</v>
          </cell>
          <cell r="Q1259" t="str">
            <v>速度传感器</v>
          </cell>
        </row>
        <row r="1260">
          <cell r="O1260" t="str">
            <v>SC9641TS-PC</v>
          </cell>
          <cell r="P1260" t="str">
            <v>STC9A001I</v>
          </cell>
          <cell r="Q1260" t="str">
            <v>速度传感器</v>
          </cell>
        </row>
        <row r="1261">
          <cell r="O1261" t="str">
            <v>SC9641TS-PC</v>
          </cell>
          <cell r="P1261" t="str">
            <v>STC9A001I</v>
          </cell>
          <cell r="Q1261" t="str">
            <v>速度传感器</v>
          </cell>
        </row>
        <row r="1262">
          <cell r="O1262" t="str">
            <v>SC9641TS-PC</v>
          </cell>
          <cell r="P1262" t="str">
            <v>STC9A001I</v>
          </cell>
          <cell r="Q1262" t="str">
            <v>速度传感器</v>
          </cell>
        </row>
        <row r="1263">
          <cell r="O1263" t="str">
            <v>SC9641TS-PC</v>
          </cell>
          <cell r="P1263" t="str">
            <v>STC9A001I</v>
          </cell>
          <cell r="Q1263" t="str">
            <v>速度传感器</v>
          </cell>
        </row>
        <row r="1264">
          <cell r="O1264" t="str">
            <v>SC9641TS-PC</v>
          </cell>
          <cell r="P1264" t="str">
            <v>STC9A001I</v>
          </cell>
          <cell r="Q1264" t="str">
            <v>速度传感器</v>
          </cell>
        </row>
        <row r="1265">
          <cell r="O1265" t="str">
            <v>SC4688SA</v>
          </cell>
          <cell r="P1265" t="str">
            <v>STC9D01C</v>
          </cell>
          <cell r="Q1265" t="str">
            <v>角度传感器</v>
          </cell>
        </row>
        <row r="1266">
          <cell r="O1266" t="str">
            <v>SC4688SA</v>
          </cell>
          <cell r="P1266" t="str">
            <v>STC9D01C</v>
          </cell>
          <cell r="Q1266" t="str">
            <v>角度传感器</v>
          </cell>
        </row>
        <row r="1267">
          <cell r="O1267" t="str">
            <v>SC9641TS</v>
          </cell>
          <cell r="P1267" t="str">
            <v>STC9910BN</v>
          </cell>
          <cell r="Q1267" t="str">
            <v>速度传感器</v>
          </cell>
        </row>
        <row r="1268">
          <cell r="O1268" t="str">
            <v>SC9641TS</v>
          </cell>
          <cell r="P1268" t="str">
            <v>STC9910BN</v>
          </cell>
          <cell r="Q1268" t="str">
            <v>速度传感器</v>
          </cell>
        </row>
        <row r="1269">
          <cell r="O1269" t="str">
            <v>SC9641TS</v>
          </cell>
          <cell r="P1269" t="str">
            <v>STC9910BN</v>
          </cell>
          <cell r="Q1269" t="str">
            <v>速度传感器</v>
          </cell>
        </row>
        <row r="1270">
          <cell r="O1270" t="str">
            <v>SC9642TS</v>
          </cell>
          <cell r="P1270" t="str">
            <v>STC9A001G</v>
          </cell>
          <cell r="Q1270" t="str">
            <v>速度传感器</v>
          </cell>
        </row>
        <row r="1271">
          <cell r="O1271" t="str">
            <v>SC9632VB</v>
          </cell>
          <cell r="P1271" t="str">
            <v>STC9905E</v>
          </cell>
          <cell r="Q1271" t="str">
            <v>速度传感器</v>
          </cell>
        </row>
        <row r="1272">
          <cell r="O1272" t="str">
            <v>SC9642TS</v>
          </cell>
          <cell r="P1272" t="str">
            <v>STC9A001G</v>
          </cell>
          <cell r="Q1272" t="str">
            <v>速度传感器</v>
          </cell>
        </row>
        <row r="1273">
          <cell r="O1273" t="str">
            <v>SC9642TS</v>
          </cell>
          <cell r="P1273" t="str">
            <v>STC9A001G</v>
          </cell>
          <cell r="Q1273" t="str">
            <v>速度传感器</v>
          </cell>
        </row>
        <row r="1274">
          <cell r="O1274" t="str">
            <v>SC9642TS</v>
          </cell>
          <cell r="P1274" t="str">
            <v>STC9A001G</v>
          </cell>
          <cell r="Q1274" t="str">
            <v>速度传感器</v>
          </cell>
        </row>
        <row r="1275">
          <cell r="O1275" t="str">
            <v>SC9642TS</v>
          </cell>
          <cell r="P1275" t="str">
            <v>STC9A001G</v>
          </cell>
          <cell r="Q1275" t="str">
            <v>速度传感器</v>
          </cell>
        </row>
        <row r="1276">
          <cell r="O1276" t="str">
            <v>SC9642TS</v>
          </cell>
          <cell r="P1276" t="str">
            <v>STC9A001G</v>
          </cell>
          <cell r="Q1276" t="str">
            <v>速度传感器</v>
          </cell>
        </row>
        <row r="1277">
          <cell r="O1277" t="str">
            <v>SC9642TS</v>
          </cell>
          <cell r="P1277" t="str">
            <v>STC9A001G</v>
          </cell>
          <cell r="Q1277" t="str">
            <v>速度传感器</v>
          </cell>
        </row>
        <row r="1278">
          <cell r="O1278" t="str">
            <v>SC9642TS</v>
          </cell>
          <cell r="P1278" t="str">
            <v>STC9A001G</v>
          </cell>
          <cell r="Q1278" t="str">
            <v>速度传感器</v>
          </cell>
        </row>
        <row r="1279">
          <cell r="O1279" t="str">
            <v>SC60224-U-P4-1024</v>
          </cell>
          <cell r="P1279" t="str">
            <v>STC9D04C</v>
          </cell>
          <cell r="Q1279" t="str">
            <v>电机编码器</v>
          </cell>
        </row>
        <row r="1280">
          <cell r="O1280" t="str">
            <v>SC60224-D-500</v>
          </cell>
          <cell r="P1280" t="str">
            <v>STC9D04C</v>
          </cell>
          <cell r="Q1280" t="str">
            <v>电机编码器</v>
          </cell>
        </row>
        <row r="1281">
          <cell r="O1281" t="str">
            <v>SC60224-D-500</v>
          </cell>
          <cell r="P1281" t="str">
            <v>STC9D04C</v>
          </cell>
          <cell r="Q1281" t="str">
            <v>电机编码器</v>
          </cell>
        </row>
        <row r="1282">
          <cell r="O1282" t="str">
            <v>SC60228DC</v>
          </cell>
          <cell r="P1282" t="str">
            <v>STC9D04C</v>
          </cell>
          <cell r="Q1282" t="str">
            <v>电机编码器</v>
          </cell>
        </row>
        <row r="1283">
          <cell r="O1283" t="str">
            <v>SC1002A1</v>
          </cell>
          <cell r="P1283" t="str">
            <v>STC1002AG</v>
          </cell>
          <cell r="Q1283" t="str">
            <v>磁性位置传感器</v>
          </cell>
        </row>
        <row r="1284">
          <cell r="O1284" t="str">
            <v>SC1002A1</v>
          </cell>
          <cell r="P1284" t="str">
            <v>STC1002AG</v>
          </cell>
          <cell r="Q1284" t="str">
            <v>磁性位置传感器</v>
          </cell>
        </row>
        <row r="1285">
          <cell r="O1285" t="str">
            <v>SC1002A1</v>
          </cell>
          <cell r="P1285" t="str">
            <v>STC1002AG</v>
          </cell>
          <cell r="Q1285" t="str">
            <v>磁性位置传感器</v>
          </cell>
        </row>
        <row r="1286">
          <cell r="O1286" t="str">
            <v>SC1002A1</v>
          </cell>
          <cell r="P1286" t="str">
            <v>STC1002AG</v>
          </cell>
          <cell r="Q1286" t="str">
            <v>磁性位置传感器</v>
          </cell>
        </row>
        <row r="1287">
          <cell r="O1287" t="str">
            <v>SC1002A1</v>
          </cell>
          <cell r="P1287" t="str">
            <v>STC1002AG</v>
          </cell>
          <cell r="Q1287" t="str">
            <v>磁性位置传感器</v>
          </cell>
        </row>
        <row r="1288">
          <cell r="O1288" t="str">
            <v>SC1002A1</v>
          </cell>
          <cell r="P1288" t="str">
            <v>STC1002AG</v>
          </cell>
          <cell r="Q1288" t="str">
            <v>磁性位置传感器</v>
          </cell>
        </row>
        <row r="1289">
          <cell r="O1289" t="str">
            <v>SC1002N1W</v>
          </cell>
          <cell r="P1289" t="str">
            <v>STC1002AL</v>
          </cell>
          <cell r="Q1289" t="str">
            <v>磁性位置传感器</v>
          </cell>
        </row>
        <row r="1290">
          <cell r="O1290" t="str">
            <v>SC1002N1W</v>
          </cell>
          <cell r="P1290" t="str">
            <v>STC1002AL</v>
          </cell>
          <cell r="Q1290" t="str">
            <v>磁性位置传感器</v>
          </cell>
        </row>
        <row r="1291">
          <cell r="O1291" t="str">
            <v>SC2464UA</v>
          </cell>
          <cell r="P1291" t="str">
            <v>STC9906J</v>
          </cell>
          <cell r="Q1291" t="str">
            <v>磁性位置传感器</v>
          </cell>
        </row>
        <row r="1292">
          <cell r="O1292" t="str">
            <v>通用编程器2.0</v>
          </cell>
          <cell r="P1292" t="str">
            <v xml:space="preserve"> </v>
          </cell>
          <cell r="Q1292" t="str">
            <v>速度传感器</v>
          </cell>
        </row>
        <row r="1293">
          <cell r="O1293" t="str">
            <v>SC9641TS-PC</v>
          </cell>
          <cell r="P1293" t="str">
            <v>STC9A001I</v>
          </cell>
          <cell r="Q1293" t="str">
            <v>速度传感器</v>
          </cell>
        </row>
        <row r="1294">
          <cell r="O1294" t="str">
            <v>SC9641TS-PC</v>
          </cell>
          <cell r="P1294" t="str">
            <v>STC9A001I</v>
          </cell>
          <cell r="Q1294" t="str">
            <v>速度传感器</v>
          </cell>
        </row>
        <row r="1295">
          <cell r="O1295" t="str">
            <v>SC9641TS-PC</v>
          </cell>
          <cell r="P1295" t="str">
            <v>STC9A001I</v>
          </cell>
          <cell r="Q1295" t="str">
            <v>速度传感器</v>
          </cell>
        </row>
        <row r="1296">
          <cell r="O1296" t="str">
            <v>SC9641TS-PC</v>
          </cell>
          <cell r="P1296" t="str">
            <v>STC9A001I</v>
          </cell>
          <cell r="Q1296" t="str">
            <v>速度传感器</v>
          </cell>
        </row>
        <row r="1297">
          <cell r="O1297" t="str">
            <v>SC9641TS-PC</v>
          </cell>
          <cell r="P1297" t="str">
            <v>STC9A001I</v>
          </cell>
          <cell r="Q1297" t="str">
            <v>速度传感器</v>
          </cell>
        </row>
        <row r="1298">
          <cell r="O1298" t="str">
            <v>SC9641TS-PC</v>
          </cell>
          <cell r="P1298" t="str">
            <v>STC9A001I</v>
          </cell>
          <cell r="Q1298" t="str">
            <v>速度传感器</v>
          </cell>
        </row>
        <row r="1299">
          <cell r="O1299" t="str">
            <v>SC9641TS-PC</v>
          </cell>
          <cell r="P1299" t="str">
            <v>STC9A001I</v>
          </cell>
          <cell r="Q1299" t="str">
            <v>速度传感器</v>
          </cell>
        </row>
        <row r="1300">
          <cell r="O1300" t="str">
            <v>SC9641TS-PC</v>
          </cell>
          <cell r="P1300" t="str">
            <v>STC9A001I</v>
          </cell>
          <cell r="Q1300" t="str">
            <v>速度传感器</v>
          </cell>
        </row>
        <row r="1301">
          <cell r="O1301" t="str">
            <v>SC9641TS-PC</v>
          </cell>
          <cell r="P1301" t="str">
            <v>STC9A001I</v>
          </cell>
          <cell r="Q1301" t="str">
            <v>速度传感器</v>
          </cell>
        </row>
        <row r="1302">
          <cell r="O1302" t="str">
            <v>SC2402UA</v>
          </cell>
          <cell r="P1302" t="str">
            <v>STC9G002B</v>
          </cell>
          <cell r="Q1302" t="str">
            <v>磁性位置传感器</v>
          </cell>
        </row>
        <row r="1303">
          <cell r="O1303" t="str">
            <v>SC2402UA</v>
          </cell>
          <cell r="P1303" t="str">
            <v>STC9G002B</v>
          </cell>
          <cell r="Q1303" t="str">
            <v>磁性位置传感器</v>
          </cell>
        </row>
        <row r="1304">
          <cell r="O1304" t="str">
            <v>SC2402UA</v>
          </cell>
          <cell r="P1304" t="str">
            <v>STC9G002B</v>
          </cell>
          <cell r="Q1304" t="str">
            <v>磁性位置传感器</v>
          </cell>
        </row>
        <row r="1305">
          <cell r="O1305" t="str">
            <v>SC2402UA</v>
          </cell>
          <cell r="P1305" t="str">
            <v>STC9G002B</v>
          </cell>
          <cell r="Q1305" t="str">
            <v>磁性位置传感器</v>
          </cell>
        </row>
        <row r="1306">
          <cell r="O1306" t="str">
            <v>SC2402UA</v>
          </cell>
          <cell r="P1306" t="str">
            <v>STC9G002B</v>
          </cell>
          <cell r="Q1306" t="str">
            <v>磁性位置传感器</v>
          </cell>
        </row>
        <row r="1307">
          <cell r="O1307" t="str">
            <v>SC2402UA</v>
          </cell>
          <cell r="P1307" t="str">
            <v>STC9G002B</v>
          </cell>
          <cell r="Q1307" t="str">
            <v>磁性位置传感器</v>
          </cell>
        </row>
        <row r="1308">
          <cell r="O1308" t="str">
            <v>SC2402UA</v>
          </cell>
          <cell r="P1308" t="str">
            <v>STC9G002B</v>
          </cell>
          <cell r="Q1308" t="str">
            <v>磁性位置传感器</v>
          </cell>
        </row>
        <row r="1309">
          <cell r="O1309" t="str">
            <v>SD211VB-BK</v>
          </cell>
          <cell r="P1309" t="str">
            <v>FD1016A</v>
          </cell>
          <cell r="Q1309" t="str">
            <v>电机驱动</v>
          </cell>
        </row>
        <row r="1310">
          <cell r="O1310" t="str">
            <v>SD211VB-BK</v>
          </cell>
          <cell r="P1310" t="str">
            <v>FD1016A</v>
          </cell>
          <cell r="Q1310" t="str">
            <v>电机驱动</v>
          </cell>
        </row>
        <row r="1311">
          <cell r="O1311" t="str">
            <v>SD2276VB-BK</v>
          </cell>
          <cell r="P1311" t="str">
            <v>FD1014A</v>
          </cell>
          <cell r="Q1311" t="str">
            <v>电机驱动</v>
          </cell>
        </row>
        <row r="1312">
          <cell r="O1312" t="str">
            <v>SD2276VB-BK</v>
          </cell>
          <cell r="P1312" t="str">
            <v>FD1014A</v>
          </cell>
          <cell r="Q1312" t="str">
            <v>电机驱动</v>
          </cell>
        </row>
        <row r="1313">
          <cell r="O1313" t="str">
            <v>SD2276VB-BK</v>
          </cell>
          <cell r="P1313" t="str">
            <v>FD1014A</v>
          </cell>
          <cell r="Q1313" t="str">
            <v>电机驱动</v>
          </cell>
        </row>
        <row r="1314">
          <cell r="O1314" t="str">
            <v>SD2276VB-BK</v>
          </cell>
          <cell r="P1314" t="str">
            <v>FD1014A</v>
          </cell>
          <cell r="Q1314" t="str">
            <v>电机驱动</v>
          </cell>
        </row>
        <row r="1315">
          <cell r="O1315" t="str">
            <v>SD2276VB-BK</v>
          </cell>
          <cell r="P1315" t="str">
            <v>FD1014A</v>
          </cell>
          <cell r="Q1315" t="str">
            <v>电机驱动</v>
          </cell>
        </row>
        <row r="1316">
          <cell r="O1316" t="str">
            <v>SC9621VB</v>
          </cell>
          <cell r="P1316" t="str">
            <v>STC9910C</v>
          </cell>
          <cell r="Q1316" t="str">
            <v>速度传感器</v>
          </cell>
        </row>
        <row r="1317">
          <cell r="O1317" t="str">
            <v>SC2402SO-N</v>
          </cell>
          <cell r="P1317" t="str">
            <v>STC9G002A</v>
          </cell>
          <cell r="Q1317" t="str">
            <v>磁性位置传感器</v>
          </cell>
        </row>
        <row r="1318">
          <cell r="O1318" t="str">
            <v>SC2402SO-N</v>
          </cell>
          <cell r="P1318" t="str">
            <v>STC9G002A</v>
          </cell>
          <cell r="Q1318" t="str">
            <v>磁性位置传感器</v>
          </cell>
        </row>
        <row r="1319">
          <cell r="O1319" t="str">
            <v>SC2402SO-N</v>
          </cell>
          <cell r="P1319" t="str">
            <v>STC9G002A</v>
          </cell>
          <cell r="Q1319" t="str">
            <v>磁性位置传感器</v>
          </cell>
        </row>
        <row r="1320">
          <cell r="O1320" t="str">
            <v>SC2402SO-N</v>
          </cell>
          <cell r="P1320" t="str">
            <v>STC9G002A</v>
          </cell>
          <cell r="Q1320" t="str">
            <v>磁性位置传感器</v>
          </cell>
        </row>
        <row r="1321">
          <cell r="O1321" t="str">
            <v>SC2402SO-N</v>
          </cell>
          <cell r="P1321" t="str">
            <v>STC9G002A</v>
          </cell>
          <cell r="Q1321" t="str">
            <v>磁性位置传感器</v>
          </cell>
        </row>
        <row r="1322">
          <cell r="O1322" t="str">
            <v>SC2402SO-N</v>
          </cell>
          <cell r="P1322" t="str">
            <v>STC9G002A</v>
          </cell>
          <cell r="Q1322" t="str">
            <v>磁性位置传感器</v>
          </cell>
        </row>
        <row r="1323">
          <cell r="O1323" t="str">
            <v>SC2402SO-N</v>
          </cell>
          <cell r="P1323" t="str">
            <v>STC9G002A</v>
          </cell>
          <cell r="Q1323" t="str">
            <v>磁性位置传感器</v>
          </cell>
        </row>
        <row r="1324">
          <cell r="O1324" t="str">
            <v>SC2402SO-N</v>
          </cell>
          <cell r="P1324" t="str">
            <v>STC9G002A</v>
          </cell>
          <cell r="Q1324" t="str">
            <v>磁性位置传感器</v>
          </cell>
        </row>
        <row r="1325">
          <cell r="O1325" t="str">
            <v>SC2402SO-N</v>
          </cell>
          <cell r="P1325" t="str">
            <v>STC9G002A</v>
          </cell>
          <cell r="Q1325" t="str">
            <v>磁性位置传感器</v>
          </cell>
        </row>
        <row r="1326">
          <cell r="O1326" t="str">
            <v>SC2402SO-N</v>
          </cell>
          <cell r="P1326" t="str">
            <v>STC9G002A</v>
          </cell>
          <cell r="Q1326" t="str">
            <v>磁性位置传感器</v>
          </cell>
        </row>
        <row r="1327">
          <cell r="O1327" t="str">
            <v>SC2402SO-N</v>
          </cell>
          <cell r="P1327" t="str">
            <v>STC9G002A</v>
          </cell>
          <cell r="Q1327" t="str">
            <v>磁性位置传感器</v>
          </cell>
        </row>
        <row r="1328">
          <cell r="O1328" t="str">
            <v>SC2242SO</v>
          </cell>
          <cell r="P1328" t="str">
            <v>STC9906H</v>
          </cell>
          <cell r="Q1328" t="str">
            <v>磁性位置传感器</v>
          </cell>
        </row>
        <row r="1329">
          <cell r="O1329" t="str">
            <v>SC2546VB</v>
          </cell>
          <cell r="P1329" t="str">
            <v>STC9906H</v>
          </cell>
          <cell r="Q1329" t="str">
            <v>磁性位置传感器</v>
          </cell>
        </row>
        <row r="1330">
          <cell r="O1330" t="str">
            <v>SC2546VB</v>
          </cell>
          <cell r="P1330" t="str">
            <v>STC9906H</v>
          </cell>
          <cell r="Q1330" t="str">
            <v>磁性位置传感器</v>
          </cell>
        </row>
        <row r="1331">
          <cell r="O1331" t="str">
            <v>SC2402UA</v>
          </cell>
          <cell r="P1331" t="str">
            <v>STC9902J</v>
          </cell>
          <cell r="Q1331" t="str">
            <v>磁性位置传感器</v>
          </cell>
        </row>
        <row r="1332">
          <cell r="O1332" t="str">
            <v>SC2402UA</v>
          </cell>
          <cell r="P1332" t="str">
            <v>STC9902J</v>
          </cell>
          <cell r="Q1332" t="str">
            <v>磁性位置传感器</v>
          </cell>
        </row>
        <row r="1333">
          <cell r="O1333" t="str">
            <v>SC2402UA</v>
          </cell>
          <cell r="P1333" t="str">
            <v>STC9902J</v>
          </cell>
          <cell r="Q1333" t="str">
            <v>磁性位置传感器</v>
          </cell>
        </row>
        <row r="1334">
          <cell r="O1334" t="str">
            <v>SC2402UA</v>
          </cell>
          <cell r="P1334" t="str">
            <v>STC9902J</v>
          </cell>
          <cell r="Q1334" t="str">
            <v>磁性位置传感器</v>
          </cell>
        </row>
        <row r="1335">
          <cell r="O1335" t="str">
            <v>SC2442UA</v>
          </cell>
          <cell r="P1335" t="str">
            <v>STC11102B</v>
          </cell>
          <cell r="Q1335" t="str">
            <v>磁性位置传感器</v>
          </cell>
        </row>
        <row r="1336">
          <cell r="O1336" t="str">
            <v>SC9625VB</v>
          </cell>
          <cell r="P1336" t="str">
            <v>STC9910E</v>
          </cell>
          <cell r="Q1336" t="str">
            <v>速度传感器</v>
          </cell>
        </row>
        <row r="1337">
          <cell r="O1337" t="str">
            <v>SC9641TS</v>
          </cell>
          <cell r="P1337" t="str">
            <v>STC9910BN</v>
          </cell>
          <cell r="Q1337" t="str">
            <v>速度传感器</v>
          </cell>
        </row>
        <row r="1338">
          <cell r="O1338" t="str">
            <v>SC9641TS</v>
          </cell>
          <cell r="P1338" t="str">
            <v>STC9910BN</v>
          </cell>
          <cell r="Q1338" t="str">
            <v>速度传感器</v>
          </cell>
        </row>
        <row r="1339">
          <cell r="O1339" t="str">
            <v>SC9641TS</v>
          </cell>
          <cell r="P1339" t="str">
            <v>STC9910BN</v>
          </cell>
          <cell r="Q1339" t="str">
            <v>速度传感器</v>
          </cell>
        </row>
        <row r="1340">
          <cell r="O1340" t="str">
            <v>SC9641TS</v>
          </cell>
          <cell r="P1340" t="str">
            <v>STC9910BN</v>
          </cell>
          <cell r="Q1340" t="str">
            <v>速度传感器</v>
          </cell>
        </row>
        <row r="1341">
          <cell r="O1341" t="str">
            <v>SC9642TS-E</v>
          </cell>
          <cell r="P1341" t="str">
            <v>STC9A001H</v>
          </cell>
          <cell r="Q1341" t="str">
            <v>速度传感器</v>
          </cell>
        </row>
        <row r="1342">
          <cell r="O1342" t="str">
            <v>SC9642TS-E</v>
          </cell>
          <cell r="P1342" t="str">
            <v>STC9A001H</v>
          </cell>
          <cell r="Q1342" t="str">
            <v>速度传感器</v>
          </cell>
        </row>
        <row r="1343">
          <cell r="O1343" t="str">
            <v>SC9642TS-E</v>
          </cell>
          <cell r="P1343" t="str">
            <v>STC9A001H</v>
          </cell>
          <cell r="Q1343" t="str">
            <v>速度传感器</v>
          </cell>
        </row>
        <row r="1344">
          <cell r="O1344" t="str">
            <v>SC60220</v>
          </cell>
          <cell r="P1344" t="str">
            <v>STC9D04C</v>
          </cell>
          <cell r="Q1344" t="str">
            <v>电机编码器</v>
          </cell>
        </row>
        <row r="1345">
          <cell r="O1345" t="str">
            <v>49E</v>
          </cell>
          <cell r="P1345" t="str">
            <v>STC4011B</v>
          </cell>
          <cell r="Q1345" t="str">
            <v>磁性位置传感器</v>
          </cell>
        </row>
        <row r="1346">
          <cell r="O1346" t="str">
            <v>49E</v>
          </cell>
          <cell r="P1346" t="str">
            <v>STC4011B</v>
          </cell>
          <cell r="Q1346" t="str">
            <v>磁性位置传感器</v>
          </cell>
        </row>
        <row r="1347">
          <cell r="O1347" t="str">
            <v>49E</v>
          </cell>
          <cell r="P1347" t="str">
            <v>STC4011B</v>
          </cell>
          <cell r="Q1347" t="str">
            <v>磁性位置传感器</v>
          </cell>
        </row>
        <row r="1348">
          <cell r="O1348" t="str">
            <v>49E</v>
          </cell>
          <cell r="P1348" t="str">
            <v>STC4011B</v>
          </cell>
          <cell r="Q1348" t="str">
            <v>磁性位置传感器</v>
          </cell>
        </row>
        <row r="1349">
          <cell r="O1349" t="str">
            <v>49E</v>
          </cell>
          <cell r="P1349" t="str">
            <v>STC4011B</v>
          </cell>
          <cell r="Q1349" t="str">
            <v>磁性位置传感器</v>
          </cell>
        </row>
        <row r="1350">
          <cell r="O1350" t="str">
            <v>49E</v>
          </cell>
          <cell r="P1350" t="str">
            <v>STC4011B</v>
          </cell>
          <cell r="Q1350" t="str">
            <v>磁性位置传感器</v>
          </cell>
        </row>
        <row r="1351">
          <cell r="O1351" t="str">
            <v>49E</v>
          </cell>
          <cell r="P1351" t="str">
            <v>STC4011B</v>
          </cell>
          <cell r="Q1351" t="str">
            <v>磁性位置传感器</v>
          </cell>
        </row>
        <row r="1352">
          <cell r="O1352" t="str">
            <v>49E</v>
          </cell>
          <cell r="P1352" t="str">
            <v>STC4011B</v>
          </cell>
          <cell r="Q1352" t="str">
            <v>磁性位置传感器</v>
          </cell>
        </row>
        <row r="1353">
          <cell r="O1353" t="str">
            <v>49E</v>
          </cell>
          <cell r="P1353" t="str">
            <v>STC4011B</v>
          </cell>
          <cell r="Q1353" t="str">
            <v>磁性位置传感器</v>
          </cell>
        </row>
        <row r="1354">
          <cell r="O1354" t="str">
            <v>49E</v>
          </cell>
          <cell r="P1354" t="str">
            <v>STC4011B</v>
          </cell>
          <cell r="Q1354" t="str">
            <v>磁性位置传感器</v>
          </cell>
        </row>
        <row r="1355">
          <cell r="O1355" t="str">
            <v>49E</v>
          </cell>
          <cell r="P1355" t="str">
            <v>STC4011B</v>
          </cell>
          <cell r="Q1355" t="str">
            <v>磁性位置传感器</v>
          </cell>
        </row>
        <row r="1356">
          <cell r="O1356" t="str">
            <v>49E</v>
          </cell>
          <cell r="P1356" t="str">
            <v>STC4011B</v>
          </cell>
          <cell r="Q1356" t="str">
            <v>磁性位置传感器</v>
          </cell>
        </row>
        <row r="1357">
          <cell r="O1357" t="str">
            <v>49E</v>
          </cell>
          <cell r="P1357" t="str">
            <v>STC4011B</v>
          </cell>
          <cell r="Q1357" t="str">
            <v>磁性位置传感器</v>
          </cell>
        </row>
        <row r="1358">
          <cell r="O1358" t="str">
            <v>49E</v>
          </cell>
          <cell r="P1358" t="str">
            <v>STC4011B</v>
          </cell>
          <cell r="Q1358" t="str">
            <v>磁性位置传感器</v>
          </cell>
        </row>
        <row r="1359">
          <cell r="O1359" t="str">
            <v>49E</v>
          </cell>
          <cell r="P1359" t="str">
            <v>STC4011B</v>
          </cell>
          <cell r="Q1359" t="str">
            <v>磁性位置传感器</v>
          </cell>
        </row>
        <row r="1360">
          <cell r="O1360" t="str">
            <v>49E</v>
          </cell>
          <cell r="P1360" t="str">
            <v>STC4011B</v>
          </cell>
          <cell r="Q1360" t="str">
            <v>磁性位置传感器</v>
          </cell>
        </row>
        <row r="1361">
          <cell r="O1361" t="str">
            <v>49E</v>
          </cell>
          <cell r="P1361" t="str">
            <v>STC4011B</v>
          </cell>
          <cell r="Q1361" t="str">
            <v>磁性位置传感器</v>
          </cell>
        </row>
        <row r="1362">
          <cell r="O1362" t="str">
            <v>49E</v>
          </cell>
          <cell r="P1362" t="str">
            <v>STC4011B</v>
          </cell>
          <cell r="Q1362" t="str">
            <v>磁性位置传感器</v>
          </cell>
        </row>
        <row r="1363">
          <cell r="O1363" t="str">
            <v>49E</v>
          </cell>
          <cell r="P1363" t="str">
            <v>STC4011B</v>
          </cell>
          <cell r="Q1363" t="str">
            <v>磁性位置传感器</v>
          </cell>
        </row>
        <row r="1364">
          <cell r="O1364" t="str">
            <v>49E</v>
          </cell>
          <cell r="P1364" t="str">
            <v>STC4011B</v>
          </cell>
          <cell r="Q1364" t="str">
            <v>磁性位置传感器</v>
          </cell>
        </row>
        <row r="1365">
          <cell r="O1365" t="str">
            <v>49E</v>
          </cell>
          <cell r="P1365" t="str">
            <v>STC4011B</v>
          </cell>
          <cell r="Q1365" t="str">
            <v>磁性位置传感器</v>
          </cell>
        </row>
        <row r="1366">
          <cell r="O1366" t="str">
            <v>49E</v>
          </cell>
          <cell r="P1366" t="str">
            <v>STC4011B</v>
          </cell>
          <cell r="Q1366" t="str">
            <v>磁性位置传感器</v>
          </cell>
        </row>
        <row r="1367">
          <cell r="O1367" t="str">
            <v>SL54123ADC-TR</v>
          </cell>
          <cell r="P1367" t="str">
            <v>STC16100B</v>
          </cell>
          <cell r="Q1367" t="str">
            <v>电流传感器</v>
          </cell>
        </row>
        <row r="1368">
          <cell r="O1368" t="str">
            <v>SL54123ADC-TR</v>
          </cell>
          <cell r="P1368" t="str">
            <v>STC16100B</v>
          </cell>
          <cell r="Q1368" t="str">
            <v>电流传感器</v>
          </cell>
        </row>
        <row r="1369">
          <cell r="O1369" t="str">
            <v>SL54123ADC-TR</v>
          </cell>
          <cell r="P1369" t="str">
            <v>STC16100B</v>
          </cell>
          <cell r="Q1369" t="str">
            <v>电流传感器</v>
          </cell>
        </row>
        <row r="1370">
          <cell r="O1370" t="str">
            <v>SC1245UA</v>
          </cell>
          <cell r="P1370" t="str">
            <v>STC1898AD</v>
          </cell>
          <cell r="Q1370" t="str">
            <v>磁性位置传感器</v>
          </cell>
        </row>
        <row r="1371">
          <cell r="O1371" t="str">
            <v>SC1134SO-N</v>
          </cell>
          <cell r="P1371" t="str">
            <v>STC1898AI</v>
          </cell>
          <cell r="Q1371" t="str">
            <v>磁性位置传感器</v>
          </cell>
        </row>
        <row r="1372">
          <cell r="O1372" t="str">
            <v>SC1134SO-N</v>
          </cell>
          <cell r="P1372" t="str">
            <v>STC1898AI</v>
          </cell>
          <cell r="Q1372" t="str">
            <v>磁性位置传感器</v>
          </cell>
        </row>
        <row r="1373">
          <cell r="O1373" t="str">
            <v>SC1134SO-N</v>
          </cell>
          <cell r="P1373" t="str">
            <v>STC1898AI</v>
          </cell>
          <cell r="Q1373" t="str">
            <v>磁性位置传感器</v>
          </cell>
        </row>
        <row r="1374">
          <cell r="O1374" t="str">
            <v>SC1134SO-N</v>
          </cell>
          <cell r="P1374" t="str">
            <v>STC1898AI</v>
          </cell>
          <cell r="Q1374" t="str">
            <v>磁性位置传感器</v>
          </cell>
        </row>
        <row r="1375">
          <cell r="O1375" t="str">
            <v>SC1134SO-N</v>
          </cell>
          <cell r="P1375" t="str">
            <v>STC1898AI</v>
          </cell>
          <cell r="Q1375" t="str">
            <v>磁性位置传感器</v>
          </cell>
        </row>
        <row r="1376">
          <cell r="O1376" t="str">
            <v>SC1134SO-N</v>
          </cell>
          <cell r="P1376" t="str">
            <v>STC1898AI</v>
          </cell>
          <cell r="Q1376" t="str">
            <v>磁性位置传感器</v>
          </cell>
        </row>
        <row r="1377">
          <cell r="O1377" t="str">
            <v>SC1134SO-N</v>
          </cell>
          <cell r="P1377" t="str">
            <v>STC1898AI</v>
          </cell>
          <cell r="Q1377" t="str">
            <v>磁性位置传感器</v>
          </cell>
        </row>
        <row r="1378">
          <cell r="O1378" t="str">
            <v>SC4643VB</v>
          </cell>
          <cell r="P1378" t="str">
            <v>STC9D03E</v>
          </cell>
          <cell r="Q1378" t="str">
            <v>电流传感器</v>
          </cell>
        </row>
        <row r="1379">
          <cell r="O1379" t="str">
            <v>SC4643VB</v>
          </cell>
          <cell r="P1379" t="str">
            <v>STC9D03E</v>
          </cell>
          <cell r="Q1379" t="str">
            <v>电流传感器</v>
          </cell>
        </row>
        <row r="1380">
          <cell r="O1380" t="str">
            <v>SC4643VB</v>
          </cell>
          <cell r="P1380" t="str">
            <v>STC9D03E</v>
          </cell>
          <cell r="Q1380" t="str">
            <v>电流传感器</v>
          </cell>
        </row>
        <row r="1381">
          <cell r="O1381" t="str">
            <v>SC4645VB</v>
          </cell>
          <cell r="P1381" t="str">
            <v>STC9D06F</v>
          </cell>
          <cell r="Q1381" t="str">
            <v>电流传感器</v>
          </cell>
        </row>
        <row r="1382">
          <cell r="O1382" t="str">
            <v>SC1134BU</v>
          </cell>
          <cell r="P1382" t="str">
            <v>STC1898AI</v>
          </cell>
          <cell r="Q1382" t="str">
            <v>磁性位置传感器</v>
          </cell>
        </row>
        <row r="1383">
          <cell r="O1383" t="str">
            <v>SC2063SO</v>
          </cell>
          <cell r="P1383" t="str">
            <v>STC9G001C</v>
          </cell>
          <cell r="Q1383" t="str">
            <v>磁性位置传感器</v>
          </cell>
        </row>
        <row r="1384">
          <cell r="O1384" t="str">
            <v>SC4015SO-N-TR</v>
          </cell>
          <cell r="P1384" t="str">
            <v>STC4011E</v>
          </cell>
          <cell r="Q1384" t="str">
            <v>磁性位置传感器</v>
          </cell>
        </row>
        <row r="1385">
          <cell r="O1385" t="str">
            <v>SC4015SO-N-TR</v>
          </cell>
          <cell r="P1385" t="str">
            <v>STC4011E</v>
          </cell>
          <cell r="Q1385" t="str">
            <v>磁性位置传感器</v>
          </cell>
        </row>
        <row r="1386">
          <cell r="O1386" t="str">
            <v>SC4015SO-N-TR</v>
          </cell>
          <cell r="P1386" t="str">
            <v>STC4011E</v>
          </cell>
          <cell r="Q1386" t="str">
            <v>磁性位置传感器</v>
          </cell>
        </row>
        <row r="1387">
          <cell r="O1387" t="str">
            <v>SC4015SO-N-TR</v>
          </cell>
          <cell r="P1387" t="str">
            <v>STC4011E</v>
          </cell>
          <cell r="Q1387" t="str">
            <v>磁性位置传感器</v>
          </cell>
        </row>
        <row r="1388">
          <cell r="O1388" t="str">
            <v>SC4015SO-N-TR</v>
          </cell>
          <cell r="P1388" t="str">
            <v>STC4011E</v>
          </cell>
          <cell r="Q1388" t="str">
            <v>磁性位置传感器</v>
          </cell>
        </row>
        <row r="1389">
          <cell r="O1389" t="str">
            <v>SC2462SO</v>
          </cell>
          <cell r="P1389" t="str">
            <v>STC9906J</v>
          </cell>
          <cell r="Q1389" t="str">
            <v>磁性位置传感器</v>
          </cell>
        </row>
        <row r="1390">
          <cell r="O1390" t="str">
            <v>SC9648TS-TR</v>
          </cell>
          <cell r="P1390" t="str">
            <v>STC9A001I</v>
          </cell>
          <cell r="Q1390" t="str">
            <v>速度传感器</v>
          </cell>
        </row>
        <row r="1391">
          <cell r="O1391" t="str">
            <v>SC9648TS-TR</v>
          </cell>
          <cell r="P1391" t="str">
            <v>STC9A001I</v>
          </cell>
          <cell r="Q1391" t="str">
            <v>速度传感器</v>
          </cell>
        </row>
        <row r="1392">
          <cell r="O1392" t="str">
            <v>SC9648TS-TR</v>
          </cell>
          <cell r="P1392" t="str">
            <v>STC9A001I</v>
          </cell>
          <cell r="Q1392" t="str">
            <v>速度传感器</v>
          </cell>
        </row>
        <row r="1393">
          <cell r="O1393" t="str">
            <v>SC9648TS-P</v>
          </cell>
          <cell r="P1393" t="str">
            <v>STC9A001I</v>
          </cell>
          <cell r="Q1393" t="str">
            <v>速度传感器</v>
          </cell>
        </row>
        <row r="1394">
          <cell r="O1394" t="str">
            <v>SC9648TS-P</v>
          </cell>
          <cell r="P1394" t="str">
            <v>STC9A001I</v>
          </cell>
          <cell r="Q1394" t="str">
            <v>速度传感器</v>
          </cell>
        </row>
        <row r="1395">
          <cell r="O1395" t="str">
            <v>SC9648TS-P</v>
          </cell>
          <cell r="P1395" t="str">
            <v>STC9A001I</v>
          </cell>
          <cell r="Q1395" t="str">
            <v>速度传感器</v>
          </cell>
        </row>
        <row r="1396">
          <cell r="O1396" t="str">
            <v>SC9648TS-P</v>
          </cell>
          <cell r="P1396" t="str">
            <v>STC9A001I</v>
          </cell>
          <cell r="Q1396" t="str">
            <v>速度传感器</v>
          </cell>
        </row>
        <row r="1397">
          <cell r="O1397" t="str">
            <v>SC4688SA-A</v>
          </cell>
          <cell r="P1397" t="str">
            <v>STC9D01C</v>
          </cell>
          <cell r="Q1397" t="str">
            <v>角度传感器</v>
          </cell>
        </row>
        <row r="1398">
          <cell r="O1398" t="str">
            <v>SC9625VB-L</v>
          </cell>
          <cell r="P1398" t="str">
            <v>STC9910E</v>
          </cell>
          <cell r="Q1398" t="str">
            <v>速度传感器</v>
          </cell>
        </row>
        <row r="1399">
          <cell r="O1399" t="str">
            <v>SC9625VB-L</v>
          </cell>
          <cell r="P1399" t="str">
            <v>STC9910E</v>
          </cell>
          <cell r="Q1399" t="str">
            <v>速度传感器</v>
          </cell>
        </row>
        <row r="1400">
          <cell r="O1400" t="str">
            <v>SC9625VB</v>
          </cell>
          <cell r="P1400" t="str">
            <v>STC9910E</v>
          </cell>
          <cell r="Q1400" t="str">
            <v>速度传感器</v>
          </cell>
        </row>
        <row r="1401">
          <cell r="O1401" t="str">
            <v>SC4643VB-P</v>
          </cell>
          <cell r="P1401" t="str">
            <v>STC9D03E</v>
          </cell>
          <cell r="Q1401" t="str">
            <v>电流传感器</v>
          </cell>
        </row>
        <row r="1402">
          <cell r="O1402" t="str">
            <v>SC2442UA</v>
          </cell>
          <cell r="P1402" t="str">
            <v>STC11102B</v>
          </cell>
          <cell r="Q1402" t="str">
            <v>磁性位置传感器</v>
          </cell>
        </row>
        <row r="1403">
          <cell r="O1403" t="str">
            <v>SC9642TS-E</v>
          </cell>
          <cell r="P1403" t="str">
            <v>STC9A001H</v>
          </cell>
          <cell r="Q1403" t="str">
            <v>速度传感器</v>
          </cell>
        </row>
        <row r="1404">
          <cell r="O1404" t="str">
            <v>ZH6252C</v>
          </cell>
          <cell r="P1404" t="str">
            <v>ZH6252C</v>
          </cell>
          <cell r="Q1404" t="str">
            <v>电机驱动</v>
          </cell>
        </row>
        <row r="1405">
          <cell r="O1405" t="str">
            <v>SC2498UA-N-BK-Q</v>
          </cell>
          <cell r="P1405" t="str">
            <v>STC11102B</v>
          </cell>
          <cell r="Q1405" t="str">
            <v>磁性位置传感器</v>
          </cell>
        </row>
        <row r="1406">
          <cell r="O1406" t="str">
            <v>SC2498UA-N-BK-Q</v>
          </cell>
          <cell r="P1406" t="str">
            <v>STC11102B</v>
          </cell>
          <cell r="Q1406" t="str">
            <v>磁性位置传感器</v>
          </cell>
        </row>
        <row r="1407">
          <cell r="O1407" t="str">
            <v>SC1245UA</v>
          </cell>
          <cell r="P1407" t="str">
            <v>STC1898AD</v>
          </cell>
          <cell r="Q1407" t="str">
            <v>磁性位置传感器</v>
          </cell>
        </row>
        <row r="1408">
          <cell r="O1408" t="str">
            <v>SC1245UA</v>
          </cell>
          <cell r="P1408" t="str">
            <v>STC1898AD</v>
          </cell>
          <cell r="Q1408" t="str">
            <v>磁性位置传感器</v>
          </cell>
        </row>
        <row r="1409">
          <cell r="O1409" t="str">
            <v>SC1245UA</v>
          </cell>
          <cell r="P1409" t="str">
            <v>STC1898AD</v>
          </cell>
          <cell r="Q1409" t="str">
            <v>磁性位置传感器</v>
          </cell>
        </row>
        <row r="1410">
          <cell r="O1410" t="str">
            <v>SC1245UA</v>
          </cell>
          <cell r="P1410" t="str">
            <v>STC1898AD</v>
          </cell>
          <cell r="Q1410" t="str">
            <v>磁性位置传感器</v>
          </cell>
        </row>
        <row r="1411">
          <cell r="O1411" t="str">
            <v>SC1245UA</v>
          </cell>
          <cell r="P1411" t="str">
            <v>STC1898AD</v>
          </cell>
          <cell r="Q1411" t="str">
            <v>磁性位置传感器</v>
          </cell>
        </row>
        <row r="1412">
          <cell r="O1412" t="str">
            <v>SC1245UA</v>
          </cell>
          <cell r="P1412" t="str">
            <v>STC1898AD</v>
          </cell>
          <cell r="Q1412" t="str">
            <v>磁性位置传感器</v>
          </cell>
        </row>
        <row r="1413">
          <cell r="O1413" t="str">
            <v>SC1245UA</v>
          </cell>
          <cell r="P1413" t="str">
            <v>STC1898AD</v>
          </cell>
          <cell r="Q1413" t="str">
            <v>磁性位置传感器</v>
          </cell>
        </row>
        <row r="1414">
          <cell r="O1414" t="str">
            <v>SC9641TS</v>
          </cell>
          <cell r="P1414" t="str">
            <v>STC9910BN</v>
          </cell>
          <cell r="Q1414" t="str">
            <v>速度传感器</v>
          </cell>
        </row>
        <row r="1415">
          <cell r="O1415" t="str">
            <v>SC9641TS</v>
          </cell>
          <cell r="P1415" t="str">
            <v>STC9910BN</v>
          </cell>
          <cell r="Q1415" t="str">
            <v>速度传感器</v>
          </cell>
        </row>
        <row r="1416">
          <cell r="O1416" t="str">
            <v>SC9641TS</v>
          </cell>
          <cell r="P1416" t="str">
            <v>STC9910BN</v>
          </cell>
          <cell r="Q1416" t="str">
            <v>速度传感器</v>
          </cell>
        </row>
        <row r="1417">
          <cell r="O1417" t="str">
            <v>SC4688SA-A</v>
          </cell>
          <cell r="P1417" t="str">
            <v>STC9D01C</v>
          </cell>
          <cell r="Q1417" t="str">
            <v>角度传感器</v>
          </cell>
        </row>
        <row r="1418">
          <cell r="O1418" t="str">
            <v>SC9632VB</v>
          </cell>
          <cell r="P1418" t="str">
            <v>STC9905E</v>
          </cell>
          <cell r="Q1418" t="str">
            <v>速度传感器</v>
          </cell>
        </row>
        <row r="1419">
          <cell r="O1419" t="str">
            <v>SC9641TS-P</v>
          </cell>
          <cell r="P1419" t="str">
            <v>STC9A001I</v>
          </cell>
          <cell r="Q1419" t="str">
            <v>速度传感器</v>
          </cell>
        </row>
        <row r="1420">
          <cell r="O1420" t="str">
            <v>SC9641TS-PC</v>
          </cell>
          <cell r="P1420" t="str">
            <v>STC9A001I</v>
          </cell>
          <cell r="Q1420" t="str">
            <v>速度传感器</v>
          </cell>
        </row>
        <row r="1421">
          <cell r="O1421" t="str">
            <v>SC9641TS-PC</v>
          </cell>
          <cell r="P1421" t="str">
            <v>STC9A001I</v>
          </cell>
          <cell r="Q1421" t="str">
            <v>速度传感器</v>
          </cell>
        </row>
        <row r="1422">
          <cell r="O1422" t="str">
            <v>SC9641TS-PC</v>
          </cell>
          <cell r="P1422" t="str">
            <v>STC9A001I</v>
          </cell>
          <cell r="Q1422" t="str">
            <v>速度传感器</v>
          </cell>
        </row>
        <row r="1423">
          <cell r="O1423" t="str">
            <v>SC9641TS-PC</v>
          </cell>
          <cell r="P1423" t="str">
            <v>STC9A001I</v>
          </cell>
          <cell r="Q1423" t="str">
            <v>速度传感器</v>
          </cell>
        </row>
        <row r="1424">
          <cell r="O1424" t="str">
            <v>SC9641TS-PC</v>
          </cell>
          <cell r="P1424" t="str">
            <v>STC9A001I</v>
          </cell>
          <cell r="Q1424" t="str">
            <v>速度传感器</v>
          </cell>
        </row>
        <row r="1425">
          <cell r="O1425" t="str">
            <v>SC9641TS-PC</v>
          </cell>
          <cell r="P1425" t="str">
            <v>STC9A001I</v>
          </cell>
          <cell r="Q1425" t="str">
            <v>速度传感器</v>
          </cell>
        </row>
        <row r="1426">
          <cell r="O1426" t="str">
            <v>SC9675IM-P-LRF00</v>
          </cell>
          <cell r="P1426" t="str">
            <v>STC9A002B</v>
          </cell>
          <cell r="Q1426" t="str">
            <v>速度传感器</v>
          </cell>
        </row>
        <row r="1427">
          <cell r="O1427" t="str">
            <v>SC9642TS-E</v>
          </cell>
          <cell r="P1427" t="str">
            <v>STC9A001H</v>
          </cell>
          <cell r="Q1427" t="str">
            <v>速度传感器</v>
          </cell>
        </row>
        <row r="1428">
          <cell r="O1428" t="str">
            <v>SC9642TS</v>
          </cell>
          <cell r="P1428" t="str">
            <v>STC9A001G</v>
          </cell>
          <cell r="Q1428" t="str">
            <v>速度传感器</v>
          </cell>
        </row>
        <row r="1429">
          <cell r="O1429" t="str">
            <v>SC9642TS</v>
          </cell>
          <cell r="P1429" t="str">
            <v>STC9A001G</v>
          </cell>
          <cell r="Q1429" t="str">
            <v>速度传感器</v>
          </cell>
        </row>
        <row r="1430">
          <cell r="O1430" t="str">
            <v>SC9642TS</v>
          </cell>
          <cell r="P1430" t="str">
            <v>STC9A001G</v>
          </cell>
          <cell r="Q1430" t="str">
            <v>速度传感器</v>
          </cell>
        </row>
        <row r="1431">
          <cell r="O1431" t="str">
            <v>SC9642TS</v>
          </cell>
          <cell r="P1431" t="str">
            <v>STC9A001G</v>
          </cell>
          <cell r="Q1431" t="str">
            <v>速度传感器</v>
          </cell>
        </row>
        <row r="1432">
          <cell r="O1432" t="str">
            <v>SC4645VB</v>
          </cell>
          <cell r="P1432" t="str">
            <v>STC9D06F</v>
          </cell>
          <cell r="Q1432" t="str">
            <v>电流传感器</v>
          </cell>
        </row>
        <row r="1433">
          <cell r="O1433" t="str">
            <v>SC9642TS</v>
          </cell>
          <cell r="P1433" t="str">
            <v>STC9A001G</v>
          </cell>
          <cell r="Q1433" t="str">
            <v>速度传感器</v>
          </cell>
        </row>
        <row r="1434">
          <cell r="O1434" t="str">
            <v>SC9642TS</v>
          </cell>
          <cell r="P1434" t="str">
            <v>STC9A001G</v>
          </cell>
          <cell r="Q1434" t="str">
            <v>速度传感器</v>
          </cell>
        </row>
        <row r="1435">
          <cell r="O1435" t="str">
            <v>SC9642TS</v>
          </cell>
          <cell r="P1435" t="str">
            <v>STC9A001G</v>
          </cell>
          <cell r="Q1435" t="str">
            <v>速度传感器</v>
          </cell>
        </row>
        <row r="1436">
          <cell r="O1436" t="str">
            <v>SC9641TS</v>
          </cell>
          <cell r="P1436" t="str">
            <v>STC9910BN</v>
          </cell>
          <cell r="Q1436" t="str">
            <v>速度传感器</v>
          </cell>
        </row>
        <row r="1437">
          <cell r="O1437" t="str">
            <v>SC9641TS</v>
          </cell>
          <cell r="P1437" t="str">
            <v>STC9910BN</v>
          </cell>
          <cell r="Q1437" t="str">
            <v>速度传感器</v>
          </cell>
        </row>
        <row r="1438">
          <cell r="O1438" t="str">
            <v>SC60220</v>
          </cell>
          <cell r="P1438" t="str">
            <v>STC9D04C</v>
          </cell>
          <cell r="Q1438" t="str">
            <v>电机编码器</v>
          </cell>
        </row>
        <row r="1439">
          <cell r="O1439" t="str">
            <v>SC4923SO-N-TR</v>
          </cell>
          <cell r="P1439" t="str">
            <v>SC4009B</v>
          </cell>
          <cell r="Q1439" t="str">
            <v>磁性位置传感器</v>
          </cell>
        </row>
        <row r="1440">
          <cell r="O1440" t="str">
            <v>SC4015SO-N-TR</v>
          </cell>
          <cell r="P1440" t="str">
            <v>STC4011E</v>
          </cell>
          <cell r="Q1440" t="str">
            <v>磁性位置传感器</v>
          </cell>
        </row>
        <row r="1441">
          <cell r="O1441" t="str">
            <v>SC4015SO-N-TR</v>
          </cell>
          <cell r="P1441" t="str">
            <v>STC4011E</v>
          </cell>
          <cell r="Q1441" t="str">
            <v>磁性位置传感器</v>
          </cell>
        </row>
        <row r="1442">
          <cell r="O1442" t="str">
            <v>SC4015SO-N-TR</v>
          </cell>
          <cell r="P1442" t="str">
            <v>STC4011E</v>
          </cell>
          <cell r="Q1442" t="str">
            <v>磁性位置传感器</v>
          </cell>
        </row>
        <row r="1443">
          <cell r="O1443" t="str">
            <v>SC4015SO-N-TR</v>
          </cell>
          <cell r="P1443" t="str">
            <v>STC4011E</v>
          </cell>
          <cell r="Q1443" t="str">
            <v>磁性位置传感器</v>
          </cell>
        </row>
        <row r="1444">
          <cell r="O1444" t="str">
            <v>SC4015SO-N-TR</v>
          </cell>
          <cell r="P1444" t="str">
            <v>STC4011E</v>
          </cell>
          <cell r="Q1444" t="str">
            <v>磁性位置传感器</v>
          </cell>
        </row>
        <row r="1445">
          <cell r="O1445" t="str">
            <v>SC4015SO-N-TR</v>
          </cell>
          <cell r="P1445" t="str">
            <v>STC4011E</v>
          </cell>
          <cell r="Q1445" t="str">
            <v>磁性位置传感器</v>
          </cell>
        </row>
        <row r="1446">
          <cell r="O1446" t="str">
            <v>SC4015SO-N-TR</v>
          </cell>
          <cell r="P1446" t="str">
            <v>STC4011E</v>
          </cell>
          <cell r="Q1446" t="str">
            <v>磁性位置传感器</v>
          </cell>
        </row>
        <row r="1447">
          <cell r="O1447" t="str">
            <v>SC4015SO-N-TR</v>
          </cell>
          <cell r="P1447" t="str">
            <v>STC4011E</v>
          </cell>
          <cell r="Q1447" t="str">
            <v>磁性位置传感器</v>
          </cell>
        </row>
        <row r="1448">
          <cell r="O1448" t="str">
            <v>SC4015SO-N-TR</v>
          </cell>
          <cell r="P1448" t="str">
            <v>STC4011E</v>
          </cell>
          <cell r="Q1448" t="str">
            <v>磁性位置传感器</v>
          </cell>
        </row>
        <row r="1449">
          <cell r="O1449" t="str">
            <v>SC4015SO-N-TR</v>
          </cell>
          <cell r="P1449" t="str">
            <v>STC4011E</v>
          </cell>
          <cell r="Q1449" t="str">
            <v>磁性位置传感器</v>
          </cell>
        </row>
        <row r="1450">
          <cell r="O1450" t="str">
            <v>SC4015SO-N-TR</v>
          </cell>
          <cell r="P1450" t="str">
            <v>STC4011E</v>
          </cell>
          <cell r="Q1450" t="str">
            <v>磁性位置传感器</v>
          </cell>
        </row>
        <row r="1451">
          <cell r="O1451" t="str">
            <v>SC4688DC</v>
          </cell>
          <cell r="P1451" t="str">
            <v>STC9D01C</v>
          </cell>
          <cell r="Q1451" t="str">
            <v>角度传感器</v>
          </cell>
        </row>
        <row r="1452">
          <cell r="O1452" t="str">
            <v>SC2462UA</v>
          </cell>
          <cell r="P1452" t="str">
            <v>STC9906J</v>
          </cell>
          <cell r="Q1452" t="str">
            <v>磁性位置传感器</v>
          </cell>
        </row>
        <row r="1453">
          <cell r="O1453" t="str">
            <v>SC4001SE</v>
          </cell>
          <cell r="P1453" t="str">
            <v>STC4001AB</v>
          </cell>
          <cell r="Q1453" t="str">
            <v>磁性位置传感器</v>
          </cell>
        </row>
        <row r="1454">
          <cell r="O1454" t="str">
            <v>SC2442SO-N</v>
          </cell>
          <cell r="P1454" t="str">
            <v>STC11102B</v>
          </cell>
          <cell r="Q1454" t="str">
            <v>磁性位置传感器</v>
          </cell>
        </row>
        <row r="1455">
          <cell r="O1455" t="str">
            <v>SC2442SO-N</v>
          </cell>
          <cell r="P1455" t="str">
            <v>STC11102B</v>
          </cell>
          <cell r="Q1455" t="str">
            <v>磁性位置传感器</v>
          </cell>
        </row>
        <row r="1456">
          <cell r="O1456" t="str">
            <v>SC4015SO-N-TR</v>
          </cell>
          <cell r="P1456" t="str">
            <v>STC4011E</v>
          </cell>
          <cell r="Q1456" t="str">
            <v>磁性位置传感器</v>
          </cell>
        </row>
        <row r="1457">
          <cell r="O1457" t="str">
            <v>SC2436SO</v>
          </cell>
          <cell r="P1457" t="str">
            <v>STC9906M</v>
          </cell>
          <cell r="Q1457" t="str">
            <v>磁性位置传感器</v>
          </cell>
        </row>
        <row r="1458">
          <cell r="O1458" t="str">
            <v>SC4689SA-A</v>
          </cell>
          <cell r="P1458" t="str">
            <v>STC9D01F</v>
          </cell>
          <cell r="Q1458" t="str">
            <v>角度传感器</v>
          </cell>
        </row>
        <row r="1459">
          <cell r="O1459" t="str">
            <v>SC4689SA-A</v>
          </cell>
          <cell r="P1459" t="str">
            <v>STC9D01F</v>
          </cell>
          <cell r="Q1459" t="str">
            <v>角度传感器</v>
          </cell>
        </row>
        <row r="1460">
          <cell r="O1460" t="str">
            <v>SC69401D</v>
          </cell>
          <cell r="P1460" t="str">
            <v>STC9H002DQ</v>
          </cell>
          <cell r="Q1460" t="str">
            <v>角度传感器</v>
          </cell>
        </row>
        <row r="1461">
          <cell r="O1461" t="str">
            <v>SC4688SA</v>
          </cell>
          <cell r="P1461" t="str">
            <v>STC9D01C</v>
          </cell>
          <cell r="Q1461" t="str">
            <v>角度传感器</v>
          </cell>
        </row>
        <row r="1462">
          <cell r="O1462" t="str">
            <v>SC2442SO-TR-Q</v>
          </cell>
          <cell r="P1462" t="str">
            <v>STC9906R</v>
          </cell>
          <cell r="Q1462" t="str">
            <v>磁性位置传感器</v>
          </cell>
        </row>
        <row r="1463">
          <cell r="O1463" t="str">
            <v>SC9642TS-E</v>
          </cell>
          <cell r="P1463" t="str">
            <v>STC9A001H</v>
          </cell>
          <cell r="Q1463" t="str">
            <v>速度传感器</v>
          </cell>
        </row>
        <row r="1464">
          <cell r="O1464" t="str">
            <v>SC9642TS-E</v>
          </cell>
          <cell r="P1464" t="str">
            <v>STC9A001H</v>
          </cell>
          <cell r="Q1464" t="str">
            <v>速度传感器</v>
          </cell>
        </row>
        <row r="1465">
          <cell r="O1465" t="str">
            <v>SC9642TS-E</v>
          </cell>
          <cell r="P1465" t="str">
            <v>STC9A001H</v>
          </cell>
          <cell r="Q1465" t="str">
            <v>速度传感器</v>
          </cell>
        </row>
        <row r="1466">
          <cell r="O1466" t="str">
            <v>SC9641TS-PC</v>
          </cell>
          <cell r="P1466" t="str">
            <v>STC9A001I</v>
          </cell>
          <cell r="Q1466" t="str">
            <v>速度传感器</v>
          </cell>
        </row>
        <row r="1467">
          <cell r="O1467" t="str">
            <v>SC9641TS-PC</v>
          </cell>
          <cell r="P1467" t="str">
            <v>STC9A001I</v>
          </cell>
          <cell r="Q1467" t="str">
            <v>速度传感器</v>
          </cell>
        </row>
        <row r="1468">
          <cell r="O1468" t="str">
            <v>SC9641TS-PC</v>
          </cell>
          <cell r="P1468" t="str">
            <v>STC9A001I</v>
          </cell>
          <cell r="Q1468" t="str">
            <v>速度传感器</v>
          </cell>
        </row>
        <row r="1469">
          <cell r="O1469" t="str">
            <v>SC9641TS-PC</v>
          </cell>
          <cell r="P1469" t="str">
            <v>STC9A001I</v>
          </cell>
          <cell r="Q1469" t="str">
            <v>速度传感器</v>
          </cell>
        </row>
        <row r="1470">
          <cell r="O1470" t="str">
            <v>SC9641TS-PC</v>
          </cell>
          <cell r="P1470" t="str">
            <v>STC9A001I</v>
          </cell>
          <cell r="Q1470" t="str">
            <v>速度传感器</v>
          </cell>
        </row>
        <row r="1471">
          <cell r="O1471" t="str">
            <v>SC9641TS-PC</v>
          </cell>
          <cell r="P1471" t="str">
            <v>STC9A001I</v>
          </cell>
          <cell r="Q1471" t="str">
            <v>速度传感器</v>
          </cell>
        </row>
        <row r="1472">
          <cell r="O1472" t="str">
            <v>SC4688DC</v>
          </cell>
          <cell r="P1472" t="str">
            <v>STC9D01C</v>
          </cell>
          <cell r="Q1472" t="str">
            <v>角度传感器</v>
          </cell>
        </row>
        <row r="1473">
          <cell r="O1473" t="str">
            <v>通用编程器2.0</v>
          </cell>
          <cell r="P1473" t="str">
            <v xml:space="preserve"> </v>
          </cell>
          <cell r="Q1473" t="str">
            <v>速度传感器</v>
          </cell>
        </row>
        <row r="1474">
          <cell r="O1474" t="str">
            <v>SC9641TS-PC</v>
          </cell>
          <cell r="P1474" t="str">
            <v>STC9A001I</v>
          </cell>
          <cell r="Q1474" t="str">
            <v>速度传感器</v>
          </cell>
        </row>
        <row r="1475">
          <cell r="O1475" t="str">
            <v>SC2432UA</v>
          </cell>
          <cell r="P1475" t="str">
            <v>STC9906I</v>
          </cell>
          <cell r="Q1475" t="str">
            <v>磁性位置传感器</v>
          </cell>
        </row>
        <row r="1476">
          <cell r="O1476" t="str">
            <v>SC2442UA</v>
          </cell>
          <cell r="P1476" t="str">
            <v>STC11102B</v>
          </cell>
          <cell r="Q1476" t="str">
            <v>磁性位置传感器</v>
          </cell>
        </row>
        <row r="1477">
          <cell r="O1477" t="str">
            <v>SC60370</v>
          </cell>
          <cell r="P1477" t="str">
            <v>STC9D05C</v>
          </cell>
          <cell r="Q1477" t="str">
            <v>电机编码器</v>
          </cell>
        </row>
        <row r="1478">
          <cell r="O1478" t="str">
            <v>SC2064SO</v>
          </cell>
          <cell r="P1478" t="str">
            <v>STC9G001C</v>
          </cell>
          <cell r="Q1478" t="str">
            <v>磁性位置传感器</v>
          </cell>
        </row>
        <row r="1479">
          <cell r="O1479" t="str">
            <v>SC4015SO-N-TR</v>
          </cell>
          <cell r="P1479" t="str">
            <v>STC4011E</v>
          </cell>
          <cell r="Q1479" t="str">
            <v>磁性位置传感器</v>
          </cell>
        </row>
        <row r="1480">
          <cell r="O1480" t="str">
            <v>SC4015SO-N-TR</v>
          </cell>
          <cell r="P1480" t="str">
            <v>STC4011E</v>
          </cell>
          <cell r="Q1480" t="str">
            <v>磁性位置传感器</v>
          </cell>
        </row>
        <row r="1481">
          <cell r="O1481" t="str">
            <v>SC4015SO-N-TR</v>
          </cell>
          <cell r="P1481" t="str">
            <v>STC4011E</v>
          </cell>
          <cell r="Q1481" t="str">
            <v>磁性位置传感器</v>
          </cell>
        </row>
        <row r="1482">
          <cell r="O1482" t="str">
            <v>SL54123ADC-TR</v>
          </cell>
          <cell r="P1482" t="str">
            <v>STC16100B</v>
          </cell>
          <cell r="Q1482" t="str">
            <v>电流传感器</v>
          </cell>
        </row>
        <row r="1483">
          <cell r="O1483" t="str">
            <v>SC4923SO-N-TR</v>
          </cell>
          <cell r="P1483" t="str">
            <v>SC4009B</v>
          </cell>
          <cell r="Q1483" t="str">
            <v>磁性位置传感器</v>
          </cell>
        </row>
        <row r="1484">
          <cell r="O1484" t="str">
            <v>SC2546VB</v>
          </cell>
          <cell r="P1484" t="str">
            <v>STC9906H</v>
          </cell>
          <cell r="Q1484" t="str">
            <v>磁性位置传感器</v>
          </cell>
        </row>
        <row r="1485">
          <cell r="O1485" t="str">
            <v>SC2442UA</v>
          </cell>
          <cell r="P1485" t="str">
            <v>STC11102B</v>
          </cell>
          <cell r="Q1485" t="str">
            <v>磁性位置传感器</v>
          </cell>
        </row>
        <row r="1486">
          <cell r="O1486" t="str">
            <v>SC2442UA</v>
          </cell>
          <cell r="P1486" t="str">
            <v>STC11102B</v>
          </cell>
          <cell r="Q1486" t="str">
            <v>磁性位置传感器</v>
          </cell>
        </row>
        <row r="1487">
          <cell r="O1487" t="str">
            <v>SC2442UA</v>
          </cell>
          <cell r="P1487" t="str">
            <v>STC11102B</v>
          </cell>
          <cell r="Q1487" t="str">
            <v>磁性位置传感器</v>
          </cell>
        </row>
        <row r="1488">
          <cell r="O1488" t="str">
            <v>SC2063UA</v>
          </cell>
          <cell r="P1488" t="str">
            <v>STC9G001C</v>
          </cell>
          <cell r="Q1488" t="str">
            <v>磁性位置传感器</v>
          </cell>
        </row>
        <row r="1489">
          <cell r="O1489" t="str">
            <v>ATK-E512</v>
          </cell>
          <cell r="P1489" t="str">
            <v>STC4011B</v>
          </cell>
          <cell r="Q1489" t="str">
            <v>磁性位置传感器</v>
          </cell>
        </row>
        <row r="1490">
          <cell r="O1490" t="str">
            <v>ATK-E512</v>
          </cell>
          <cell r="P1490" t="str">
            <v>STC4011B</v>
          </cell>
          <cell r="Q1490" t="str">
            <v>磁性位置传感器</v>
          </cell>
        </row>
        <row r="1491">
          <cell r="O1491" t="str">
            <v>ATK-E512</v>
          </cell>
          <cell r="P1491" t="str">
            <v>STC4011B</v>
          </cell>
          <cell r="Q1491" t="str">
            <v>磁性位置传感器</v>
          </cell>
        </row>
        <row r="1492">
          <cell r="O1492" t="str">
            <v>ATK-E512</v>
          </cell>
          <cell r="P1492" t="str">
            <v>STC4011B</v>
          </cell>
          <cell r="Q1492" t="str">
            <v>磁性位置传感器</v>
          </cell>
        </row>
        <row r="1493">
          <cell r="O1493" t="str">
            <v>ATK-E512</v>
          </cell>
          <cell r="P1493" t="str">
            <v>STC4011B</v>
          </cell>
          <cell r="Q1493" t="str">
            <v>磁性位置传感器</v>
          </cell>
        </row>
        <row r="1494">
          <cell r="O1494" t="str">
            <v>ATK-E512</v>
          </cell>
          <cell r="P1494" t="str">
            <v>STC4011B</v>
          </cell>
          <cell r="Q1494" t="str">
            <v>磁性位置传感器</v>
          </cell>
        </row>
        <row r="1495">
          <cell r="O1495" t="str">
            <v>ATK-E512</v>
          </cell>
          <cell r="P1495" t="str">
            <v>STC4011B</v>
          </cell>
          <cell r="Q1495" t="str">
            <v>磁性位置传感器</v>
          </cell>
        </row>
        <row r="1496">
          <cell r="O1496" t="str">
            <v>ATK-E512</v>
          </cell>
          <cell r="P1496" t="str">
            <v>STC4011B</v>
          </cell>
          <cell r="Q1496" t="str">
            <v>磁性位置传感器</v>
          </cell>
        </row>
        <row r="1497">
          <cell r="O1497" t="str">
            <v>ATK-E512</v>
          </cell>
          <cell r="P1497" t="str">
            <v>STC4011B</v>
          </cell>
          <cell r="Q1497" t="str">
            <v>磁性位置传感器</v>
          </cell>
        </row>
        <row r="1498">
          <cell r="O1498" t="str">
            <v>ATK-E512</v>
          </cell>
          <cell r="P1498" t="str">
            <v>STC4011B</v>
          </cell>
          <cell r="Q1498" t="str">
            <v>磁性位置传感器</v>
          </cell>
        </row>
        <row r="1499">
          <cell r="O1499" t="str">
            <v>ATK-E512</v>
          </cell>
          <cell r="P1499" t="str">
            <v>STC4011B</v>
          </cell>
          <cell r="Q1499" t="str">
            <v>磁性位置传感器</v>
          </cell>
        </row>
        <row r="1500">
          <cell r="O1500" t="str">
            <v>ATK-E512</v>
          </cell>
          <cell r="P1500" t="str">
            <v>STC4011B</v>
          </cell>
          <cell r="Q1500" t="str">
            <v>磁性位置传感器</v>
          </cell>
        </row>
        <row r="1501">
          <cell r="O1501" t="str">
            <v>SC2064SO</v>
          </cell>
          <cell r="P1501" t="str">
            <v>STC9G001C</v>
          </cell>
          <cell r="Q1501" t="str">
            <v>磁性位置传感器</v>
          </cell>
        </row>
        <row r="1502">
          <cell r="O1502" t="str">
            <v>SC2443SO</v>
          </cell>
          <cell r="P1502" t="str">
            <v>STC9906T</v>
          </cell>
          <cell r="Q1502" t="str">
            <v>磁性位置传感器</v>
          </cell>
        </row>
        <row r="1503">
          <cell r="O1503" t="str">
            <v>SC2443SO</v>
          </cell>
          <cell r="P1503" t="str">
            <v>STC9906T</v>
          </cell>
          <cell r="Q1503" t="str">
            <v>磁性位置传感器</v>
          </cell>
        </row>
        <row r="1504">
          <cell r="O1504" t="str">
            <v>SC9642TS-EC</v>
          </cell>
          <cell r="P1504" t="str">
            <v>STC9A001H</v>
          </cell>
          <cell r="Q1504" t="str">
            <v>速度传感器</v>
          </cell>
        </row>
        <row r="1505">
          <cell r="O1505" t="str">
            <v>SC4688SA-A</v>
          </cell>
          <cell r="P1505" t="str">
            <v>STC9D01C</v>
          </cell>
          <cell r="Q1505" t="str">
            <v>角度传感器</v>
          </cell>
        </row>
        <row r="1506">
          <cell r="O1506" t="str">
            <v>SC2443SO</v>
          </cell>
          <cell r="P1506" t="str">
            <v>STC9906T</v>
          </cell>
          <cell r="Q1506" t="str">
            <v>磁性位置传感器</v>
          </cell>
        </row>
        <row r="1507">
          <cell r="O1507" t="str">
            <v>SC2443SO</v>
          </cell>
          <cell r="P1507" t="str">
            <v>STC9906T</v>
          </cell>
          <cell r="Q1507" t="str">
            <v>磁性位置传感器</v>
          </cell>
        </row>
        <row r="1508">
          <cell r="O1508" t="str">
            <v>SC2443UA</v>
          </cell>
          <cell r="P1508" t="str">
            <v>STC9906W</v>
          </cell>
          <cell r="Q1508" t="str">
            <v>磁性位置传感器</v>
          </cell>
        </row>
        <row r="1509">
          <cell r="O1509" t="str">
            <v>SC2443UA</v>
          </cell>
          <cell r="P1509" t="str">
            <v>STC9906W</v>
          </cell>
          <cell r="Q1509" t="str">
            <v>磁性位置传感器</v>
          </cell>
        </row>
        <row r="1510">
          <cell r="O1510" t="str">
            <v>SC2443UA</v>
          </cell>
          <cell r="P1510" t="str">
            <v>STC9906W</v>
          </cell>
          <cell r="Q1510" t="str">
            <v>磁性位置传感器</v>
          </cell>
        </row>
        <row r="1511">
          <cell r="O1511" t="str">
            <v>SC2443UA</v>
          </cell>
          <cell r="P1511" t="str">
            <v>STC9906W</v>
          </cell>
          <cell r="Q1511" t="str">
            <v>磁性位置传感器</v>
          </cell>
        </row>
        <row r="1512">
          <cell r="O1512" t="str">
            <v>SC4643VB-A</v>
          </cell>
          <cell r="P1512" t="str">
            <v>STC9D03E</v>
          </cell>
          <cell r="Q1512" t="str">
            <v>电流传感器</v>
          </cell>
        </row>
        <row r="1513">
          <cell r="O1513" t="str">
            <v>SC4643VB-A</v>
          </cell>
          <cell r="P1513" t="str">
            <v>STC9D03E</v>
          </cell>
          <cell r="Q1513" t="str">
            <v>电流传感器</v>
          </cell>
        </row>
        <row r="1514">
          <cell r="O1514" t="str">
            <v>SC4643VB-A</v>
          </cell>
          <cell r="P1514" t="str">
            <v>STC9D03E</v>
          </cell>
          <cell r="Q1514" t="str">
            <v>电流传感器</v>
          </cell>
        </row>
        <row r="1515">
          <cell r="O1515" t="str">
            <v>SC4643VB-A</v>
          </cell>
          <cell r="P1515" t="str">
            <v>STC9D03E</v>
          </cell>
          <cell r="Q1515" t="str">
            <v>电流传感器</v>
          </cell>
        </row>
        <row r="1516">
          <cell r="O1516" t="str">
            <v>SC4643VB-A</v>
          </cell>
          <cell r="P1516" t="str">
            <v>STC9D03E</v>
          </cell>
          <cell r="Q1516" t="str">
            <v>电流传感器</v>
          </cell>
        </row>
        <row r="1517">
          <cell r="O1517" t="str">
            <v>SC4643VB-A</v>
          </cell>
          <cell r="P1517" t="str">
            <v>STC9D03E</v>
          </cell>
          <cell r="Q1517" t="str">
            <v>电流传感器</v>
          </cell>
        </row>
        <row r="1518">
          <cell r="O1518" t="str">
            <v>SC4688SA</v>
          </cell>
          <cell r="P1518" t="str">
            <v>STC9D01C</v>
          </cell>
          <cell r="Q1518" t="str">
            <v>角度传感器</v>
          </cell>
        </row>
        <row r="1519">
          <cell r="O1519" t="str">
            <v>SC4688SA</v>
          </cell>
          <cell r="P1519" t="str">
            <v>STC9D01C</v>
          </cell>
          <cell r="Q1519" t="str">
            <v>角度传感器</v>
          </cell>
        </row>
        <row r="1520">
          <cell r="O1520" t="str">
            <v>SC4643编程器</v>
          </cell>
          <cell r="P1520" t="str">
            <v xml:space="preserve"> </v>
          </cell>
          <cell r="Q1520" t="str">
            <v>电流传感器</v>
          </cell>
        </row>
        <row r="1521">
          <cell r="O1521" t="str">
            <v>SC2498CUA-N</v>
          </cell>
          <cell r="P1521" t="str">
            <v>SC9915C</v>
          </cell>
          <cell r="Q1521" t="str">
            <v>磁性位置传感器</v>
          </cell>
        </row>
        <row r="1522">
          <cell r="O1522" t="str">
            <v>SC2498CUA-N</v>
          </cell>
          <cell r="P1522" t="str">
            <v>SC9915C</v>
          </cell>
          <cell r="Q1522" t="str">
            <v>磁性位置传感器</v>
          </cell>
        </row>
        <row r="1523">
          <cell r="O1523" t="str">
            <v>SC2498CUA-N</v>
          </cell>
          <cell r="P1523" t="str">
            <v>SC9915C</v>
          </cell>
          <cell r="Q1523" t="str">
            <v>磁性位置传感器</v>
          </cell>
        </row>
        <row r="1524">
          <cell r="O1524" t="str">
            <v>SC2498CUA-N</v>
          </cell>
          <cell r="P1524" t="str">
            <v>SC9915C</v>
          </cell>
          <cell r="Q1524" t="str">
            <v>磁性位置传感器</v>
          </cell>
        </row>
        <row r="1525">
          <cell r="O1525" t="str">
            <v>SC2498CUA-N</v>
          </cell>
          <cell r="P1525" t="str">
            <v>SC9915C</v>
          </cell>
          <cell r="Q1525" t="str">
            <v>磁性位置传感器</v>
          </cell>
        </row>
        <row r="1526">
          <cell r="O1526" t="str">
            <v>SC2498CUA-N</v>
          </cell>
          <cell r="P1526" t="str">
            <v>SC9915C</v>
          </cell>
          <cell r="Q1526" t="str">
            <v>磁性位置传感器</v>
          </cell>
        </row>
        <row r="1527">
          <cell r="O1527" t="str">
            <v>SC2498CUA-N</v>
          </cell>
          <cell r="P1527" t="str">
            <v>SC9915C</v>
          </cell>
          <cell r="Q1527" t="str">
            <v>磁性位置传感器</v>
          </cell>
        </row>
        <row r="1528">
          <cell r="O1528" t="str">
            <v>SC2498CUA-N</v>
          </cell>
          <cell r="P1528" t="str">
            <v>SC9915C</v>
          </cell>
          <cell r="Q1528" t="str">
            <v>磁性位置传感器</v>
          </cell>
        </row>
        <row r="1529">
          <cell r="O1529" t="str">
            <v>SC2498CUA-N</v>
          </cell>
          <cell r="P1529" t="str">
            <v>SC9915C</v>
          </cell>
          <cell r="Q1529" t="str">
            <v>磁性位置传感器</v>
          </cell>
        </row>
        <row r="1530">
          <cell r="O1530" t="str">
            <v>SC9314UA</v>
          </cell>
          <cell r="P1530" t="str">
            <v>STC9901AF</v>
          </cell>
          <cell r="Q1530" t="str">
            <v>速度传感器</v>
          </cell>
        </row>
        <row r="1531">
          <cell r="O1531" t="str">
            <v>SC9642TS-E</v>
          </cell>
          <cell r="P1531" t="str">
            <v>STC9A001H</v>
          </cell>
          <cell r="Q1531" t="str">
            <v>速度传感器</v>
          </cell>
        </row>
        <row r="1532">
          <cell r="O1532" t="str">
            <v>SC9642TS-E</v>
          </cell>
          <cell r="P1532" t="str">
            <v>STC9A001H</v>
          </cell>
          <cell r="Q1532" t="str">
            <v>速度传感器</v>
          </cell>
        </row>
        <row r="1533">
          <cell r="O1533" t="str">
            <v>SC9642TS-E</v>
          </cell>
          <cell r="P1533" t="str">
            <v>STC9A001H</v>
          </cell>
          <cell r="Q1533" t="str">
            <v>速度传感器</v>
          </cell>
        </row>
        <row r="1534">
          <cell r="O1534" t="str">
            <v>SC9642TS-E</v>
          </cell>
          <cell r="P1534" t="str">
            <v>STC9A001H</v>
          </cell>
          <cell r="Q1534" t="str">
            <v>速度传感器</v>
          </cell>
        </row>
        <row r="1535">
          <cell r="O1535" t="str">
            <v>SC9642TS-E</v>
          </cell>
          <cell r="P1535" t="str">
            <v>STC9A001H</v>
          </cell>
          <cell r="Q1535" t="str">
            <v>速度传感器</v>
          </cell>
        </row>
        <row r="1536">
          <cell r="O1536" t="str">
            <v>SC1645B1</v>
          </cell>
          <cell r="P1536" t="str">
            <v>STC2899AE</v>
          </cell>
          <cell r="Q1536" t="str">
            <v>磁性位置传感器</v>
          </cell>
        </row>
        <row r="1537">
          <cell r="O1537" t="str">
            <v>SC1645B1</v>
          </cell>
          <cell r="P1537" t="str">
            <v>STC2899AE</v>
          </cell>
          <cell r="Q1537" t="str">
            <v>磁性位置传感器</v>
          </cell>
        </row>
        <row r="1538">
          <cell r="O1538" t="str">
            <v>SC60220</v>
          </cell>
          <cell r="P1538" t="str">
            <v>STC9D04C</v>
          </cell>
          <cell r="Q1538" t="str">
            <v>电机编码器</v>
          </cell>
        </row>
        <row r="1539">
          <cell r="O1539" t="str">
            <v>SC69401-A</v>
          </cell>
          <cell r="P1539" t="str">
            <v>STC9H002DQ</v>
          </cell>
          <cell r="Q1539" t="str">
            <v>角度传感器</v>
          </cell>
        </row>
        <row r="1540">
          <cell r="O1540" t="str">
            <v>SC4624SP50B5</v>
          </cell>
          <cell r="P1540" t="str">
            <v>STC9D06F</v>
          </cell>
          <cell r="Q1540" t="str">
            <v>电流传感器</v>
          </cell>
        </row>
        <row r="1541">
          <cell r="O1541" t="str">
            <v>SC60370</v>
          </cell>
          <cell r="P1541" t="str">
            <v>STC9D05C</v>
          </cell>
          <cell r="Q1541" t="str">
            <v>电机编码器</v>
          </cell>
        </row>
        <row r="1542">
          <cell r="O1542" t="str">
            <v>SC60224-D-1024</v>
          </cell>
          <cell r="P1542" t="str">
            <v>STC9D04C</v>
          </cell>
          <cell r="Q1542" t="str">
            <v>电机编码器</v>
          </cell>
        </row>
        <row r="1543">
          <cell r="O1543" t="str">
            <v>SL54123ADC-TR</v>
          </cell>
          <cell r="P1543" t="str">
            <v>STC16100B</v>
          </cell>
          <cell r="Q1543" t="str">
            <v>电流传感器</v>
          </cell>
        </row>
        <row r="1544">
          <cell r="O1544" t="str">
            <v>SD2276VB-BK</v>
          </cell>
          <cell r="P1544" t="str">
            <v>FD1014A</v>
          </cell>
          <cell r="Q1544" t="str">
            <v>电机驱动</v>
          </cell>
        </row>
        <row r="1545">
          <cell r="O1545" t="str">
            <v>VE8602AKR</v>
          </cell>
          <cell r="P1545" t="str">
            <v>V2302C</v>
          </cell>
          <cell r="Q1545" t="str">
            <v>电源管理</v>
          </cell>
        </row>
        <row r="1546">
          <cell r="O1546" t="str">
            <v>SC9314UA</v>
          </cell>
          <cell r="P1546" t="str">
            <v>STC9901AF</v>
          </cell>
          <cell r="Q1546" t="str">
            <v>速度传感器</v>
          </cell>
        </row>
        <row r="1547">
          <cell r="O1547" t="str">
            <v>SC9633VB</v>
          </cell>
          <cell r="P1547" t="str">
            <v>STC9905F</v>
          </cell>
          <cell r="Q1547" t="str">
            <v>速度传感器</v>
          </cell>
        </row>
        <row r="1548">
          <cell r="O1548" t="str">
            <v>SC4015SO-N-TR</v>
          </cell>
          <cell r="P1548" t="str">
            <v>STC4011E</v>
          </cell>
          <cell r="Q1548" t="str">
            <v>磁性位置传感器</v>
          </cell>
        </row>
        <row r="1549">
          <cell r="O1549" t="str">
            <v>SC4015SO-N-TR</v>
          </cell>
          <cell r="P1549" t="str">
            <v>STC4011E</v>
          </cell>
          <cell r="Q1549" t="str">
            <v>磁性位置传感器</v>
          </cell>
        </row>
        <row r="1550">
          <cell r="O1550" t="str">
            <v>SC4104SO</v>
          </cell>
          <cell r="P1550" t="str">
            <v>STC11201B1</v>
          </cell>
          <cell r="Q1550" t="str">
            <v>磁性位置传感器</v>
          </cell>
        </row>
        <row r="1551">
          <cell r="O1551" t="str">
            <v>SC2064SO</v>
          </cell>
          <cell r="P1551" t="str">
            <v>STC9G001C</v>
          </cell>
          <cell r="Q1551" t="str">
            <v>磁性位置传感器</v>
          </cell>
        </row>
        <row r="1552">
          <cell r="O1552" t="str">
            <v>SC2402SO-N</v>
          </cell>
          <cell r="P1552" t="str">
            <v>STC9G002A</v>
          </cell>
          <cell r="Q1552" t="str">
            <v>磁性位置传感器</v>
          </cell>
        </row>
        <row r="1553">
          <cell r="O1553" t="str">
            <v>SC9625VB-L</v>
          </cell>
          <cell r="P1553" t="str">
            <v>STC9910E</v>
          </cell>
          <cell r="Q1553" t="str">
            <v>速度传感器</v>
          </cell>
        </row>
        <row r="1554">
          <cell r="O1554" t="str">
            <v>SC9641TS-PC</v>
          </cell>
          <cell r="P1554" t="str">
            <v>STC9A001I</v>
          </cell>
          <cell r="Q1554" t="str">
            <v>速度传感器</v>
          </cell>
        </row>
        <row r="1555">
          <cell r="O1555" t="str">
            <v>SC9641TS-PC</v>
          </cell>
          <cell r="P1555" t="str">
            <v>STC9A001I</v>
          </cell>
          <cell r="Q1555" t="str">
            <v>速度传感器</v>
          </cell>
        </row>
        <row r="1556">
          <cell r="O1556" t="str">
            <v>SC9641TS-PC</v>
          </cell>
          <cell r="P1556" t="str">
            <v>STC9A001I</v>
          </cell>
          <cell r="Q1556" t="str">
            <v>速度传感器</v>
          </cell>
        </row>
        <row r="1557">
          <cell r="O1557" t="str">
            <v>SC9641TS-PC</v>
          </cell>
          <cell r="P1557" t="str">
            <v>STC9A001I</v>
          </cell>
          <cell r="Q1557" t="str">
            <v>速度传感器</v>
          </cell>
        </row>
        <row r="1558">
          <cell r="O1558" t="str">
            <v>SC9641TS-PC</v>
          </cell>
          <cell r="P1558" t="str">
            <v>STC9A001I</v>
          </cell>
          <cell r="Q1558" t="str">
            <v>速度传感器</v>
          </cell>
        </row>
        <row r="1559">
          <cell r="O1559" t="str">
            <v>SC2546VB</v>
          </cell>
          <cell r="P1559" t="str">
            <v>STC9906H</v>
          </cell>
          <cell r="Q1559" t="str">
            <v>磁性位置传感器</v>
          </cell>
        </row>
        <row r="1560">
          <cell r="O1560" t="str">
            <v>SC1134SO-N</v>
          </cell>
          <cell r="P1560" t="str">
            <v>STC1002AF</v>
          </cell>
          <cell r="Q1560" t="str">
            <v>磁性位置传感器</v>
          </cell>
        </row>
        <row r="1561">
          <cell r="O1561" t="str">
            <v>SC1134SO-N</v>
          </cell>
          <cell r="P1561" t="str">
            <v>STC1002AF</v>
          </cell>
          <cell r="Q1561" t="str">
            <v>磁性位置传感器</v>
          </cell>
        </row>
        <row r="1562">
          <cell r="O1562" t="str">
            <v>SC1134SO-N</v>
          </cell>
          <cell r="P1562" t="str">
            <v>STC1002AF</v>
          </cell>
          <cell r="Q1562" t="str">
            <v>磁性位置传感器</v>
          </cell>
        </row>
        <row r="1563">
          <cell r="O1563" t="str">
            <v>SC1134SO-N</v>
          </cell>
          <cell r="P1563" t="str">
            <v>STC1002AF</v>
          </cell>
          <cell r="Q1563" t="str">
            <v>磁性位置传感器</v>
          </cell>
        </row>
        <row r="1564">
          <cell r="O1564" t="str">
            <v>SC2434SO</v>
          </cell>
          <cell r="P1564" t="str">
            <v>STC9906I</v>
          </cell>
          <cell r="Q1564" t="str">
            <v>磁性位置传感器</v>
          </cell>
        </row>
        <row r="1565">
          <cell r="O1565" t="str">
            <v>SC2442SO-N</v>
          </cell>
          <cell r="P1565" t="str">
            <v>STC11102B</v>
          </cell>
          <cell r="Q1565" t="str">
            <v>磁性位置传感器</v>
          </cell>
        </row>
        <row r="1566">
          <cell r="O1566" t="str">
            <v>SC2442SO-N</v>
          </cell>
          <cell r="P1566" t="str">
            <v>STC11102B</v>
          </cell>
          <cell r="Q1566" t="str">
            <v>磁性位置传感器</v>
          </cell>
        </row>
        <row r="1567">
          <cell r="O1567" t="str">
            <v>SC4688SA</v>
          </cell>
          <cell r="P1567" t="str">
            <v>STC9D01C</v>
          </cell>
          <cell r="Q1567" t="str">
            <v>角度传感器</v>
          </cell>
        </row>
        <row r="1568">
          <cell r="O1568" t="str">
            <v>SC4688SA</v>
          </cell>
          <cell r="P1568" t="str">
            <v>STC9D01C</v>
          </cell>
          <cell r="Q1568" t="str">
            <v>角度传感器</v>
          </cell>
        </row>
        <row r="1569">
          <cell r="O1569" t="str">
            <v>SC9634VB</v>
          </cell>
          <cell r="P1569" t="str">
            <v>STC9905G</v>
          </cell>
          <cell r="Q1569" t="str">
            <v>速度传感器</v>
          </cell>
        </row>
        <row r="1570">
          <cell r="O1570" t="str">
            <v>SC60221-U-P1-256-244-mai</v>
          </cell>
          <cell r="P1570" t="str">
            <v>STC9D04C</v>
          </cell>
          <cell r="Q1570" t="str">
            <v>电机编码器</v>
          </cell>
        </row>
        <row r="1571">
          <cell r="O1571" t="str">
            <v>SC919H</v>
          </cell>
          <cell r="P1571" t="str">
            <v>STC9913D</v>
          </cell>
          <cell r="Q1571" t="str">
            <v>磁性位置传感器</v>
          </cell>
        </row>
        <row r="1572">
          <cell r="O1572" t="str">
            <v>SC919H</v>
          </cell>
          <cell r="P1572" t="str">
            <v>STC9913D</v>
          </cell>
          <cell r="Q1572" t="str">
            <v>磁性位置传感器</v>
          </cell>
        </row>
        <row r="1573">
          <cell r="O1573" t="str">
            <v>SC1134BU</v>
          </cell>
          <cell r="P1573" t="str">
            <v>STC1898AI</v>
          </cell>
          <cell r="Q1573" t="str">
            <v>磁性位置传感器</v>
          </cell>
        </row>
        <row r="1574">
          <cell r="O1574" t="str">
            <v>SC1134BU</v>
          </cell>
          <cell r="P1574" t="str">
            <v>STC1898AI</v>
          </cell>
          <cell r="Q1574" t="str">
            <v>磁性位置传感器</v>
          </cell>
        </row>
        <row r="1575">
          <cell r="O1575" t="str">
            <v>SC1134BU</v>
          </cell>
          <cell r="P1575" t="str">
            <v>STC1898AI</v>
          </cell>
          <cell r="Q1575" t="str">
            <v>磁性位置传感器</v>
          </cell>
        </row>
        <row r="1576">
          <cell r="O1576" t="str">
            <v>SD2276VB-BK</v>
          </cell>
          <cell r="P1576" t="str">
            <v>FD1014A</v>
          </cell>
          <cell r="Q1576" t="str">
            <v>电机驱动</v>
          </cell>
        </row>
        <row r="1577">
          <cell r="O1577" t="str">
            <v>SD2276VB-BK</v>
          </cell>
          <cell r="P1577" t="str">
            <v>FD1014A</v>
          </cell>
          <cell r="Q1577" t="str">
            <v>电机驱动</v>
          </cell>
        </row>
        <row r="1578">
          <cell r="O1578" t="str">
            <v>SC9314UA</v>
          </cell>
          <cell r="P1578" t="str">
            <v>STC9901AF</v>
          </cell>
          <cell r="Q1578" t="str">
            <v>速度传感器</v>
          </cell>
        </row>
        <row r="1579">
          <cell r="O1579" t="str">
            <v>SL54123ADC-TR</v>
          </cell>
          <cell r="P1579" t="str">
            <v>STC16100B</v>
          </cell>
          <cell r="Q1579" t="str">
            <v>电流传感器</v>
          </cell>
        </row>
        <row r="1580">
          <cell r="O1580" t="str">
            <v>SC4902SO-N-TR</v>
          </cell>
          <cell r="P1580" t="str">
            <v>SC4009A</v>
          </cell>
          <cell r="Q1580" t="str">
            <v>磁性位置传感器</v>
          </cell>
        </row>
        <row r="1581">
          <cell r="O1581" t="str">
            <v>SC4902SO-N-TR</v>
          </cell>
          <cell r="P1581" t="str">
            <v>SC4009A</v>
          </cell>
          <cell r="Q1581" t="str">
            <v>磁性位置传感器</v>
          </cell>
        </row>
        <row r="1582">
          <cell r="O1582" t="str">
            <v>SC4902SO-N-TR</v>
          </cell>
          <cell r="P1582" t="str">
            <v>SC4009A</v>
          </cell>
          <cell r="Q1582" t="str">
            <v>磁性位置传感器</v>
          </cell>
        </row>
        <row r="1583">
          <cell r="O1583" t="str">
            <v>SC4015SO-N-TR</v>
          </cell>
          <cell r="P1583" t="str">
            <v>STC4011E</v>
          </cell>
          <cell r="Q1583" t="str">
            <v>磁性位置传感器</v>
          </cell>
        </row>
        <row r="1584">
          <cell r="O1584" t="str">
            <v>SC4015SO-N-TR</v>
          </cell>
          <cell r="P1584" t="str">
            <v>STC4011E</v>
          </cell>
          <cell r="Q1584" t="str">
            <v>磁性位置传感器</v>
          </cell>
        </row>
        <row r="1585">
          <cell r="O1585" t="str">
            <v>SC4015SO-N-TR</v>
          </cell>
          <cell r="P1585" t="str">
            <v>STC4011E</v>
          </cell>
          <cell r="Q1585" t="str">
            <v>磁性位置传感器</v>
          </cell>
        </row>
        <row r="1586">
          <cell r="O1586" t="str">
            <v>SC2462SO</v>
          </cell>
          <cell r="P1586" t="str">
            <v>STC9906J</v>
          </cell>
          <cell r="Q1586" t="str">
            <v>磁性位置传感器</v>
          </cell>
        </row>
        <row r="1587">
          <cell r="O1587" t="str">
            <v>PFD1014A-0</v>
          </cell>
          <cell r="P1587" t="str">
            <v>FD1014A</v>
          </cell>
          <cell r="Q1587" t="str">
            <v>电机驱动</v>
          </cell>
        </row>
        <row r="1588">
          <cell r="O1588" t="str">
            <v>SC4015SO-N-TR</v>
          </cell>
          <cell r="P1588" t="str">
            <v>STC4011E</v>
          </cell>
          <cell r="Q1588" t="str">
            <v>磁性位置传感器</v>
          </cell>
        </row>
        <row r="1589">
          <cell r="O1589" t="str">
            <v>SC4015SO-N-TR</v>
          </cell>
          <cell r="P1589" t="str">
            <v>STC4011E</v>
          </cell>
          <cell r="Q1589" t="str">
            <v>磁性位置传感器</v>
          </cell>
        </row>
        <row r="1590">
          <cell r="O1590" t="str">
            <v>SC4015SO-N-TR</v>
          </cell>
          <cell r="P1590" t="str">
            <v>STC4011E</v>
          </cell>
          <cell r="Q1590" t="str">
            <v>磁性位置传感器</v>
          </cell>
        </row>
        <row r="1591">
          <cell r="O1591" t="str">
            <v>SC2442SO</v>
          </cell>
          <cell r="P1591" t="str">
            <v>STC11102B</v>
          </cell>
          <cell r="Q1591" t="str">
            <v>磁性位置传感器</v>
          </cell>
        </row>
        <row r="1592">
          <cell r="O1592" t="str">
            <v>SC2498SO</v>
          </cell>
          <cell r="P1592" t="str">
            <v>SC9915C</v>
          </cell>
          <cell r="Q1592" t="str">
            <v>磁性位置传感器</v>
          </cell>
        </row>
        <row r="1593">
          <cell r="O1593" t="str">
            <v>SC2498SO</v>
          </cell>
          <cell r="P1593" t="str">
            <v>SC9915C</v>
          </cell>
          <cell r="Q1593" t="str">
            <v>磁性位置传感器</v>
          </cell>
        </row>
        <row r="1594">
          <cell r="O1594" t="str">
            <v>SC2498SO</v>
          </cell>
          <cell r="P1594" t="str">
            <v>SC9915C</v>
          </cell>
          <cell r="Q1594" t="str">
            <v>磁性位置传感器</v>
          </cell>
        </row>
        <row r="1595">
          <cell r="O1595" t="str">
            <v>SC2498SO</v>
          </cell>
          <cell r="P1595" t="str">
            <v>SC9915C</v>
          </cell>
          <cell r="Q1595" t="str">
            <v>磁性位置传感器</v>
          </cell>
        </row>
        <row r="1596">
          <cell r="O1596" t="str">
            <v>SC2498SO</v>
          </cell>
          <cell r="P1596" t="str">
            <v>SC9915C</v>
          </cell>
          <cell r="Q1596" t="str">
            <v>磁性位置传感器</v>
          </cell>
        </row>
        <row r="1597">
          <cell r="O1597" t="str">
            <v>SC2498SO</v>
          </cell>
          <cell r="P1597" t="str">
            <v>SC9915C</v>
          </cell>
          <cell r="Q1597" t="str">
            <v>磁性位置传感器</v>
          </cell>
        </row>
        <row r="1598">
          <cell r="O1598" t="str">
            <v>SC2498SO</v>
          </cell>
          <cell r="P1598" t="str">
            <v>SC9915C</v>
          </cell>
          <cell r="Q1598" t="str">
            <v>磁性位置传感器</v>
          </cell>
        </row>
        <row r="1599">
          <cell r="O1599" t="str">
            <v>SC2498TSO</v>
          </cell>
          <cell r="P1599" t="str">
            <v>STC11300C</v>
          </cell>
          <cell r="Q1599" t="str">
            <v>磁性位置传感器</v>
          </cell>
        </row>
        <row r="1600">
          <cell r="O1600" t="str">
            <v>SC2498TSO</v>
          </cell>
          <cell r="P1600" t="str">
            <v>STC11300C</v>
          </cell>
          <cell r="Q1600" t="str">
            <v>磁性位置传感器</v>
          </cell>
        </row>
        <row r="1601">
          <cell r="O1601" t="str">
            <v>SC2498TSO</v>
          </cell>
          <cell r="P1601" t="str">
            <v>STC11300C</v>
          </cell>
          <cell r="Q1601" t="str">
            <v>磁性位置传感器</v>
          </cell>
        </row>
        <row r="1602">
          <cell r="O1602" t="str">
            <v>SC4688编程器</v>
          </cell>
          <cell r="P1602" t="str">
            <v xml:space="preserve"> </v>
          </cell>
          <cell r="Q1602" t="str">
            <v>角度传感器</v>
          </cell>
        </row>
        <row r="1603">
          <cell r="O1603" t="str">
            <v>SC9642TS-E</v>
          </cell>
          <cell r="P1603" t="str">
            <v>STC9A001H</v>
          </cell>
          <cell r="Q1603" t="str">
            <v>速度传感器</v>
          </cell>
        </row>
        <row r="1604">
          <cell r="O1604" t="str">
            <v>SC9642TS-E</v>
          </cell>
          <cell r="P1604" t="str">
            <v>STC9A001H</v>
          </cell>
          <cell r="Q1604" t="str">
            <v>速度传感器</v>
          </cell>
        </row>
        <row r="1605">
          <cell r="O1605" t="str">
            <v>SC9642TS-E</v>
          </cell>
          <cell r="P1605" t="str">
            <v>STC9A001H</v>
          </cell>
          <cell r="Q1605" t="str">
            <v>速度传感器</v>
          </cell>
        </row>
        <row r="1606">
          <cell r="O1606" t="str">
            <v>SC9641TS</v>
          </cell>
          <cell r="P1606" t="str">
            <v>STC9910BN</v>
          </cell>
          <cell r="Q1606" t="str">
            <v>速度传感器</v>
          </cell>
        </row>
        <row r="1607">
          <cell r="O1607" t="str">
            <v>SC2432SO-N</v>
          </cell>
          <cell r="P1607" t="str">
            <v>STC9906I</v>
          </cell>
          <cell r="Q1607" t="str">
            <v>磁性位置传感器</v>
          </cell>
        </row>
        <row r="1608">
          <cell r="O1608" t="str">
            <v>SC1245UA</v>
          </cell>
          <cell r="P1608" t="str">
            <v>STC1898AD</v>
          </cell>
          <cell r="Q1608" t="str">
            <v>磁性位置传感器</v>
          </cell>
        </row>
        <row r="1609">
          <cell r="O1609" t="str">
            <v>SC41HL-A2</v>
          </cell>
          <cell r="P1609" t="str">
            <v>STC1898AD</v>
          </cell>
          <cell r="Q1609" t="str">
            <v>磁性位置传感器</v>
          </cell>
        </row>
        <row r="1610">
          <cell r="O1610" t="str">
            <v>SC41HL-A2</v>
          </cell>
          <cell r="P1610" t="str">
            <v>STC1898AD</v>
          </cell>
          <cell r="Q1610" t="str">
            <v>磁性位置传感器</v>
          </cell>
        </row>
        <row r="1611">
          <cell r="O1611" t="str">
            <v>SC41HL-A2</v>
          </cell>
          <cell r="P1611" t="str">
            <v>STC1898AD</v>
          </cell>
          <cell r="Q1611" t="str">
            <v>磁性位置传感器</v>
          </cell>
        </row>
        <row r="1612">
          <cell r="O1612" t="str">
            <v>SL54123ADC-TR</v>
          </cell>
          <cell r="P1612" t="str">
            <v>STC16100B</v>
          </cell>
          <cell r="Q1612" t="str">
            <v>电流传感器</v>
          </cell>
        </row>
        <row r="1613">
          <cell r="O1613" t="str">
            <v>SL54123ADC-TR</v>
          </cell>
          <cell r="P1613" t="str">
            <v>STC16100B</v>
          </cell>
          <cell r="Q1613" t="str">
            <v>电流传感器</v>
          </cell>
        </row>
        <row r="1614">
          <cell r="O1614" t="str">
            <v>49E</v>
          </cell>
          <cell r="P1614" t="str">
            <v>STC4011B</v>
          </cell>
          <cell r="Q1614" t="str">
            <v>磁性位置传感器</v>
          </cell>
        </row>
        <row r="1615">
          <cell r="O1615" t="str">
            <v>49E</v>
          </cell>
          <cell r="P1615" t="str">
            <v>STC4011B</v>
          </cell>
          <cell r="Q1615" t="str">
            <v>磁性位置传感器</v>
          </cell>
        </row>
        <row r="1616">
          <cell r="O1616" t="str">
            <v>49E</v>
          </cell>
          <cell r="P1616" t="str">
            <v>STC4011B</v>
          </cell>
          <cell r="Q1616" t="str">
            <v>磁性位置传感器</v>
          </cell>
        </row>
        <row r="1617">
          <cell r="O1617" t="str">
            <v>49E</v>
          </cell>
          <cell r="P1617" t="str">
            <v>STC4011B</v>
          </cell>
          <cell r="Q1617" t="str">
            <v>磁性位置传感器</v>
          </cell>
        </row>
        <row r="1618">
          <cell r="O1618" t="str">
            <v>49E</v>
          </cell>
          <cell r="P1618" t="str">
            <v>STC4011B</v>
          </cell>
          <cell r="Q1618" t="str">
            <v>磁性位置传感器</v>
          </cell>
        </row>
        <row r="1619">
          <cell r="O1619" t="str">
            <v>49E</v>
          </cell>
          <cell r="P1619" t="str">
            <v>STC4011B</v>
          </cell>
          <cell r="Q1619" t="str">
            <v>磁性位置传感器</v>
          </cell>
        </row>
        <row r="1620">
          <cell r="O1620" t="str">
            <v>49E</v>
          </cell>
          <cell r="P1620" t="str">
            <v>STC4011B</v>
          </cell>
          <cell r="Q1620" t="str">
            <v>磁性位置传感器</v>
          </cell>
        </row>
        <row r="1621">
          <cell r="O1621" t="str">
            <v>49E</v>
          </cell>
          <cell r="P1621" t="str">
            <v>STC4011B</v>
          </cell>
          <cell r="Q1621" t="str">
            <v>磁性位置传感器</v>
          </cell>
        </row>
        <row r="1622">
          <cell r="O1622" t="str">
            <v>49E</v>
          </cell>
          <cell r="P1622" t="str">
            <v>STC4011B</v>
          </cell>
          <cell r="Q1622" t="str">
            <v>磁性位置传感器</v>
          </cell>
        </row>
        <row r="1623">
          <cell r="O1623" t="str">
            <v>49E</v>
          </cell>
          <cell r="P1623" t="str">
            <v>STC4011B</v>
          </cell>
          <cell r="Q1623" t="str">
            <v>磁性位置传感器</v>
          </cell>
        </row>
        <row r="1624">
          <cell r="O1624" t="str">
            <v>49E</v>
          </cell>
          <cell r="P1624" t="str">
            <v>STC4011B</v>
          </cell>
          <cell r="Q1624" t="str">
            <v>磁性位置传感器</v>
          </cell>
        </row>
        <row r="1625">
          <cell r="O1625" t="str">
            <v>49E</v>
          </cell>
          <cell r="P1625" t="str">
            <v>STC4011B</v>
          </cell>
          <cell r="Q1625" t="str">
            <v>磁性位置传感器</v>
          </cell>
        </row>
        <row r="1626">
          <cell r="O1626" t="str">
            <v>49E</v>
          </cell>
          <cell r="P1626" t="str">
            <v>STC4011B</v>
          </cell>
          <cell r="Q1626" t="str">
            <v>磁性位置传感器</v>
          </cell>
        </row>
        <row r="1627">
          <cell r="O1627" t="str">
            <v>49E</v>
          </cell>
          <cell r="P1627" t="str">
            <v>STC4011B</v>
          </cell>
          <cell r="Q1627" t="str">
            <v>磁性位置传感器</v>
          </cell>
        </row>
        <row r="1628">
          <cell r="O1628" t="str">
            <v>49E</v>
          </cell>
          <cell r="P1628" t="str">
            <v>STC4011B</v>
          </cell>
          <cell r="Q1628" t="str">
            <v>磁性位置传感器</v>
          </cell>
        </row>
        <row r="1629">
          <cell r="O1629" t="str">
            <v>49E</v>
          </cell>
          <cell r="P1629" t="str">
            <v>STC4011B</v>
          </cell>
          <cell r="Q1629" t="str">
            <v>磁性位置传感器</v>
          </cell>
        </row>
        <row r="1630">
          <cell r="O1630" t="str">
            <v>49E</v>
          </cell>
          <cell r="P1630" t="str">
            <v>STC4011B</v>
          </cell>
          <cell r="Q1630" t="str">
            <v>磁性位置传感器</v>
          </cell>
        </row>
        <row r="1631">
          <cell r="O1631" t="str">
            <v>49E</v>
          </cell>
          <cell r="P1631" t="str">
            <v>STC4011B</v>
          </cell>
          <cell r="Q1631" t="str">
            <v>磁性位置传感器</v>
          </cell>
        </row>
        <row r="1632">
          <cell r="O1632" t="str">
            <v>49E</v>
          </cell>
          <cell r="P1632" t="str">
            <v>STC4011B</v>
          </cell>
          <cell r="Q1632" t="str">
            <v>磁性位置传感器</v>
          </cell>
        </row>
        <row r="1633">
          <cell r="O1633" t="str">
            <v>49E</v>
          </cell>
          <cell r="P1633" t="str">
            <v>STC4011B</v>
          </cell>
          <cell r="Q1633" t="str">
            <v>磁性位置传感器</v>
          </cell>
        </row>
        <row r="1634">
          <cell r="O1634" t="str">
            <v>49E</v>
          </cell>
          <cell r="P1634" t="str">
            <v>STC4011B</v>
          </cell>
          <cell r="Q1634" t="str">
            <v>磁性位置传感器</v>
          </cell>
        </row>
        <row r="1635">
          <cell r="O1635" t="str">
            <v>SD2276VB-BK</v>
          </cell>
          <cell r="P1635" t="str">
            <v>FD1014A</v>
          </cell>
          <cell r="Q1635" t="str">
            <v>电机驱动</v>
          </cell>
        </row>
        <row r="1636">
          <cell r="O1636" t="str">
            <v>SC1645A1</v>
          </cell>
          <cell r="P1636" t="str">
            <v>STC2899AE</v>
          </cell>
          <cell r="Q1636" t="str">
            <v>磁性位置传感器</v>
          </cell>
        </row>
        <row r="1637">
          <cell r="O1637" t="str">
            <v>SC1645A1</v>
          </cell>
          <cell r="P1637" t="str">
            <v>STC2899AE</v>
          </cell>
          <cell r="Q1637" t="str">
            <v>磁性位置传感器</v>
          </cell>
        </row>
        <row r="1638">
          <cell r="O1638" t="str">
            <v>SD2276VB-BK</v>
          </cell>
          <cell r="P1638" t="str">
            <v>FD1014A</v>
          </cell>
          <cell r="Q1638" t="str">
            <v>电机驱动</v>
          </cell>
        </row>
        <row r="1639">
          <cell r="O1639" t="str">
            <v>SC2402SO-N</v>
          </cell>
          <cell r="P1639" t="str">
            <v>STC9H001A</v>
          </cell>
          <cell r="Q1639" t="str">
            <v>磁性位置传感器</v>
          </cell>
        </row>
        <row r="1640">
          <cell r="O1640" t="str">
            <v>SC2402SO-N</v>
          </cell>
          <cell r="P1640" t="str">
            <v>STC9H001A</v>
          </cell>
          <cell r="Q1640" t="str">
            <v>磁性位置传感器</v>
          </cell>
        </row>
        <row r="1641">
          <cell r="O1641" t="str">
            <v>SC1134SO-N</v>
          </cell>
          <cell r="P1641" t="str">
            <v>STC1898AI</v>
          </cell>
          <cell r="Q1641" t="str">
            <v>磁性位置传感器</v>
          </cell>
        </row>
        <row r="1642">
          <cell r="O1642" t="str">
            <v>SC1445A1</v>
          </cell>
          <cell r="P1642" t="str">
            <v>STC2899AB</v>
          </cell>
          <cell r="Q1642" t="str">
            <v>磁性位置传感器</v>
          </cell>
        </row>
        <row r="1643">
          <cell r="O1643" t="str">
            <v>SI485EDC-TR</v>
          </cell>
          <cell r="P1643" t="str">
            <v>STC42302C</v>
          </cell>
          <cell r="Q1643" t="str">
            <v>其他数模混合</v>
          </cell>
        </row>
        <row r="1644">
          <cell r="O1644" t="str">
            <v>SI485EDC-TR</v>
          </cell>
          <cell r="P1644" t="str">
            <v>STC42302C</v>
          </cell>
          <cell r="Q1644" t="str">
            <v>其他数模混合</v>
          </cell>
        </row>
        <row r="1645">
          <cell r="O1645" t="str">
            <v>SI485EDC-TR</v>
          </cell>
          <cell r="P1645" t="str">
            <v>STC42302C</v>
          </cell>
          <cell r="Q1645" t="str">
            <v>其他数模混合</v>
          </cell>
        </row>
        <row r="1646">
          <cell r="O1646" t="str">
            <v>SC4015SO-N-TR</v>
          </cell>
          <cell r="P1646" t="str">
            <v>STC4011E</v>
          </cell>
          <cell r="Q1646" t="str">
            <v>磁性位置传感器</v>
          </cell>
        </row>
        <row r="1647">
          <cell r="O1647" t="str">
            <v>SC4015SO-N-TR</v>
          </cell>
          <cell r="P1647" t="str">
            <v>STC4011E</v>
          </cell>
          <cell r="Q1647" t="str">
            <v>磁性位置传感器</v>
          </cell>
        </row>
        <row r="1648">
          <cell r="O1648" t="str">
            <v>SC2448SO</v>
          </cell>
          <cell r="P1648" t="str">
            <v>STC9906S</v>
          </cell>
          <cell r="Q1648" t="str">
            <v>磁性位置传感器</v>
          </cell>
        </row>
        <row r="1649">
          <cell r="O1649" t="str">
            <v>SC2448SO</v>
          </cell>
          <cell r="P1649" t="str">
            <v>STC9906S</v>
          </cell>
          <cell r="Q1649" t="str">
            <v>磁性位置传感器</v>
          </cell>
        </row>
        <row r="1650">
          <cell r="O1650" t="str">
            <v>SC2442UA</v>
          </cell>
          <cell r="P1650" t="str">
            <v>STC11102B</v>
          </cell>
          <cell r="Q1650" t="str">
            <v>磁性位置传感器</v>
          </cell>
        </row>
        <row r="1651">
          <cell r="O1651" t="str">
            <v>SC1134SO-N</v>
          </cell>
          <cell r="P1651" t="str">
            <v>STC1002AF</v>
          </cell>
          <cell r="Q1651" t="str">
            <v>磁性位置传感器</v>
          </cell>
        </row>
        <row r="1652">
          <cell r="O1652" t="str">
            <v>SC1245UA</v>
          </cell>
          <cell r="P1652" t="str">
            <v>STC1898AD</v>
          </cell>
          <cell r="Q1652" t="str">
            <v>磁性位置传感器</v>
          </cell>
        </row>
        <row r="1653">
          <cell r="O1653" t="str">
            <v>SC1134SO-N</v>
          </cell>
          <cell r="P1653" t="str">
            <v>STC1898AI</v>
          </cell>
          <cell r="Q1653" t="str">
            <v>磁性位置传感器</v>
          </cell>
        </row>
        <row r="1654">
          <cell r="O1654" t="str">
            <v>SC1134SO-N</v>
          </cell>
          <cell r="P1654" t="str">
            <v>STC1898AI</v>
          </cell>
          <cell r="Q1654" t="str">
            <v>磁性位置传感器</v>
          </cell>
        </row>
        <row r="1655">
          <cell r="O1655" t="str">
            <v>SC1134SO-N</v>
          </cell>
          <cell r="P1655" t="str">
            <v>STC1898AI</v>
          </cell>
          <cell r="Q1655" t="str">
            <v>磁性位置传感器</v>
          </cell>
        </row>
        <row r="1656">
          <cell r="O1656" t="str">
            <v>SC2438SO</v>
          </cell>
          <cell r="P1656" t="str">
            <v>STC9906I</v>
          </cell>
          <cell r="Q1656" t="str">
            <v>磁性位置传感器</v>
          </cell>
        </row>
        <row r="1657">
          <cell r="O1657" t="str">
            <v>SC2464UA</v>
          </cell>
          <cell r="P1657" t="str">
            <v>STC9906J</v>
          </cell>
          <cell r="Q1657" t="str">
            <v>磁性位置传感器</v>
          </cell>
        </row>
        <row r="1658">
          <cell r="O1658" t="str">
            <v>SC9632VB</v>
          </cell>
          <cell r="P1658" t="str">
            <v>STC9905E</v>
          </cell>
          <cell r="Q1658" t="str">
            <v>速度传感器</v>
          </cell>
        </row>
        <row r="1659">
          <cell r="O1659" t="str">
            <v>SC2442SO-N</v>
          </cell>
          <cell r="P1659" t="str">
            <v>STC11102B</v>
          </cell>
          <cell r="Q1659" t="str">
            <v>磁性位置传感器</v>
          </cell>
        </row>
        <row r="1660">
          <cell r="O1660" t="str">
            <v>SC2442SO-N</v>
          </cell>
          <cell r="P1660" t="str">
            <v>STC11102B</v>
          </cell>
          <cell r="Q1660" t="str">
            <v>磁性位置传感器</v>
          </cell>
        </row>
        <row r="1661">
          <cell r="O1661" t="str">
            <v>SC2442SO-N</v>
          </cell>
          <cell r="P1661" t="str">
            <v>STC11102B</v>
          </cell>
          <cell r="Q1661" t="str">
            <v>磁性位置传感器</v>
          </cell>
        </row>
        <row r="1662">
          <cell r="O1662" t="str">
            <v>KH211</v>
          </cell>
          <cell r="P1662" t="str">
            <v>FD1016A</v>
          </cell>
          <cell r="Q1662" t="str">
            <v>电机驱动</v>
          </cell>
        </row>
        <row r="1663">
          <cell r="O1663" t="str">
            <v>KH211</v>
          </cell>
          <cell r="P1663" t="str">
            <v>FD1016A</v>
          </cell>
          <cell r="Q1663" t="str">
            <v>电机驱动</v>
          </cell>
        </row>
        <row r="1664">
          <cell r="O1664" t="str">
            <v>KH276</v>
          </cell>
          <cell r="P1664" t="str">
            <v>FD1014A</v>
          </cell>
          <cell r="Q1664" t="str">
            <v>电机驱动</v>
          </cell>
        </row>
        <row r="1665">
          <cell r="O1665" t="str">
            <v>SD2276VB-BK</v>
          </cell>
          <cell r="P1665" t="str">
            <v>FD1014A</v>
          </cell>
          <cell r="Q1665" t="str">
            <v>电机驱动</v>
          </cell>
        </row>
        <row r="1666">
          <cell r="O1666" t="str">
            <v>SD2276VB-BK</v>
          </cell>
          <cell r="P1666" t="str">
            <v>FD1014A</v>
          </cell>
          <cell r="Q1666" t="str">
            <v>电机驱动</v>
          </cell>
        </row>
        <row r="1667">
          <cell r="O1667" t="str">
            <v>SD2276VB-BK</v>
          </cell>
          <cell r="P1667" t="str">
            <v>FD1014A</v>
          </cell>
          <cell r="Q1667" t="str">
            <v>电机驱动</v>
          </cell>
        </row>
        <row r="1668">
          <cell r="O1668" t="str">
            <v>SD2276VB-BK</v>
          </cell>
          <cell r="P1668" t="str">
            <v>FD1014A</v>
          </cell>
          <cell r="Q1668" t="str">
            <v>电机驱动</v>
          </cell>
        </row>
        <row r="1669">
          <cell r="O1669" t="str">
            <v>KH276</v>
          </cell>
          <cell r="P1669" t="str">
            <v>FD1014A</v>
          </cell>
          <cell r="Q1669" t="str">
            <v>电机驱动</v>
          </cell>
        </row>
        <row r="1670">
          <cell r="O1670" t="str">
            <v>KH276</v>
          </cell>
          <cell r="P1670" t="str">
            <v>FD1014A</v>
          </cell>
          <cell r="Q1670" t="str">
            <v>电机驱动</v>
          </cell>
        </row>
        <row r="1671">
          <cell r="O1671" t="str">
            <v>SC4015SO-N-TR</v>
          </cell>
          <cell r="P1671" t="str">
            <v>STC4011E</v>
          </cell>
          <cell r="Q1671" t="str">
            <v>磁性位置传感器</v>
          </cell>
        </row>
        <row r="1672">
          <cell r="O1672" t="str">
            <v>SC4015SO-N-TR</v>
          </cell>
          <cell r="P1672" t="str">
            <v>STC4011E</v>
          </cell>
          <cell r="Q1672" t="str">
            <v>磁性位置传感器</v>
          </cell>
        </row>
        <row r="1673">
          <cell r="O1673" t="str">
            <v>SC4015SO-N-TR</v>
          </cell>
          <cell r="P1673" t="str">
            <v>STC4011E</v>
          </cell>
          <cell r="Q1673" t="str">
            <v>磁性位置传感器</v>
          </cell>
        </row>
        <row r="1674">
          <cell r="O1674" t="str">
            <v>SC4015SO-N-TR</v>
          </cell>
          <cell r="P1674" t="str">
            <v>STC4011E</v>
          </cell>
          <cell r="Q1674" t="str">
            <v>磁性位置传感器</v>
          </cell>
        </row>
        <row r="1675">
          <cell r="O1675" t="str">
            <v>SC4015SO-N-TR</v>
          </cell>
          <cell r="P1675" t="str">
            <v>STC4011E</v>
          </cell>
          <cell r="Q1675" t="str">
            <v>磁性位置传感器</v>
          </cell>
        </row>
        <row r="1676">
          <cell r="O1676" t="str">
            <v>SC4015SO-N-TR</v>
          </cell>
          <cell r="P1676" t="str">
            <v>STC4011E</v>
          </cell>
          <cell r="Q1676" t="str">
            <v>磁性位置传感器</v>
          </cell>
        </row>
        <row r="1677">
          <cell r="O1677" t="str">
            <v>SC4015SO-N-TR</v>
          </cell>
          <cell r="P1677" t="str">
            <v>STC4011E</v>
          </cell>
          <cell r="Q1677" t="str">
            <v>磁性位置传感器</v>
          </cell>
        </row>
        <row r="1678">
          <cell r="O1678" t="str">
            <v>SC9675IM-P-LRF00</v>
          </cell>
          <cell r="P1678" t="str">
            <v>STC9A002B</v>
          </cell>
          <cell r="Q1678" t="str">
            <v>速度传感器</v>
          </cell>
        </row>
        <row r="1679">
          <cell r="O1679" t="str">
            <v>SC9675IM-P-LRF00</v>
          </cell>
          <cell r="P1679" t="str">
            <v>STC9A002B</v>
          </cell>
          <cell r="Q1679" t="str">
            <v>速度传感器</v>
          </cell>
        </row>
        <row r="1680">
          <cell r="O1680" t="str">
            <v>SC9675IM-P-LRF00</v>
          </cell>
          <cell r="P1680" t="str">
            <v>STC9A002B</v>
          </cell>
          <cell r="Q1680" t="str">
            <v>速度传感器</v>
          </cell>
        </row>
        <row r="1681">
          <cell r="O1681" t="str">
            <v>SC1134SO-N</v>
          </cell>
          <cell r="P1681" t="str">
            <v>STC1002AF</v>
          </cell>
          <cell r="Q1681" t="str">
            <v>磁性位置传感器</v>
          </cell>
        </row>
        <row r="1682">
          <cell r="O1682" t="str">
            <v>SC1134SO-N</v>
          </cell>
          <cell r="P1682" t="str">
            <v>STC1002AF</v>
          </cell>
          <cell r="Q1682" t="str">
            <v>磁性位置传感器</v>
          </cell>
        </row>
        <row r="1683">
          <cell r="O1683" t="str">
            <v>SC1134SO-N</v>
          </cell>
          <cell r="P1683" t="str">
            <v>STC1898AI</v>
          </cell>
          <cell r="Q1683" t="str">
            <v>磁性位置传感器</v>
          </cell>
        </row>
        <row r="1684">
          <cell r="O1684" t="str">
            <v>SC4688SA</v>
          </cell>
          <cell r="P1684" t="str">
            <v>STC9D01C</v>
          </cell>
          <cell r="Q1684" t="str">
            <v>角度传感器</v>
          </cell>
        </row>
        <row r="1685">
          <cell r="O1685" t="str">
            <v>SC9642TS-E</v>
          </cell>
          <cell r="P1685" t="str">
            <v>STC9A001H</v>
          </cell>
          <cell r="Q1685" t="str">
            <v>速度传感器</v>
          </cell>
        </row>
        <row r="1686">
          <cell r="O1686" t="str">
            <v>SC2416SE</v>
          </cell>
          <cell r="P1686" t="str">
            <v>STC9902B</v>
          </cell>
          <cell r="Q1686" t="str">
            <v>磁性位置传感器</v>
          </cell>
        </row>
        <row r="1687">
          <cell r="O1687" t="str">
            <v>SC2416SE</v>
          </cell>
          <cell r="P1687" t="str">
            <v>STC9902B</v>
          </cell>
          <cell r="Q1687" t="str">
            <v>磁性位置传感器</v>
          </cell>
        </row>
        <row r="1688">
          <cell r="O1688" t="str">
            <v>SC1134UA</v>
          </cell>
          <cell r="P1688" t="str">
            <v>STC1898AI</v>
          </cell>
          <cell r="Q1688" t="str">
            <v>磁性位置传感器</v>
          </cell>
        </row>
        <row r="1689">
          <cell r="O1689" t="str">
            <v>SC1134UA</v>
          </cell>
          <cell r="P1689" t="str">
            <v>STC1898AI</v>
          </cell>
          <cell r="Q1689" t="str">
            <v>磁性位置传感器</v>
          </cell>
        </row>
        <row r="1690">
          <cell r="O1690" t="str">
            <v>SC2063SO</v>
          </cell>
          <cell r="P1690" t="str">
            <v>STC9G001C</v>
          </cell>
          <cell r="Q1690" t="str">
            <v>磁性位置传感器</v>
          </cell>
        </row>
        <row r="1691">
          <cell r="O1691" t="str">
            <v>SC2063SO</v>
          </cell>
          <cell r="P1691" t="str">
            <v>STC9G001C</v>
          </cell>
          <cell r="Q1691" t="str">
            <v>磁性位置传感器</v>
          </cell>
        </row>
        <row r="1692">
          <cell r="O1692" t="str">
            <v>SC2063SO-TR</v>
          </cell>
          <cell r="P1692" t="str">
            <v>STC9G001C</v>
          </cell>
          <cell r="Q1692" t="str">
            <v>磁性位置传感器</v>
          </cell>
        </row>
        <row r="1693">
          <cell r="O1693" t="str">
            <v>SD2276VB-BK</v>
          </cell>
          <cell r="P1693" t="str">
            <v>FD1014A</v>
          </cell>
          <cell r="Q1693" t="str">
            <v>电机驱动</v>
          </cell>
        </row>
        <row r="1694">
          <cell r="O1694" t="str">
            <v>SD2276VB-BK</v>
          </cell>
          <cell r="P1694" t="str">
            <v>FD1014A</v>
          </cell>
          <cell r="Q1694" t="str">
            <v>电机驱动</v>
          </cell>
        </row>
        <row r="1695">
          <cell r="O1695" t="str">
            <v>SD2276VB-BK</v>
          </cell>
          <cell r="P1695" t="str">
            <v>FD1014A</v>
          </cell>
          <cell r="Q1695" t="str">
            <v>电机驱动</v>
          </cell>
        </row>
        <row r="1696">
          <cell r="O1696" t="str">
            <v>SD2276VB-BK</v>
          </cell>
          <cell r="P1696" t="str">
            <v>FD1014A</v>
          </cell>
          <cell r="Q1696" t="str">
            <v>电机驱动</v>
          </cell>
        </row>
        <row r="1697">
          <cell r="O1697" t="str">
            <v>SC1134SO-N</v>
          </cell>
          <cell r="P1697" t="str">
            <v>STC1898AI</v>
          </cell>
          <cell r="Q1697" t="str">
            <v>磁性位置传感器</v>
          </cell>
        </row>
        <row r="1698">
          <cell r="O1698" t="str">
            <v>SC2432SO</v>
          </cell>
          <cell r="P1698" t="str">
            <v>STC9906M</v>
          </cell>
          <cell r="Q1698" t="str">
            <v>磁性位置传感器</v>
          </cell>
        </row>
        <row r="1699">
          <cell r="O1699" t="str">
            <v>SC2432SO</v>
          </cell>
          <cell r="P1699" t="str">
            <v>STC9906M</v>
          </cell>
          <cell r="Q1699" t="str">
            <v>磁性位置传感器</v>
          </cell>
        </row>
        <row r="1700">
          <cell r="O1700" t="str">
            <v>STC4011B-DS</v>
          </cell>
          <cell r="P1700" t="str">
            <v>STC4011B</v>
          </cell>
          <cell r="Q1700" t="str">
            <v>磁性位置传感器</v>
          </cell>
        </row>
        <row r="1701">
          <cell r="O1701" t="str">
            <v>STC4011B-DS</v>
          </cell>
          <cell r="P1701" t="str">
            <v>STC4011B</v>
          </cell>
          <cell r="Q1701" t="str">
            <v>磁性位置传感器</v>
          </cell>
        </row>
        <row r="1702">
          <cell r="O1702" t="str">
            <v>SC4015SO-N-TR</v>
          </cell>
          <cell r="P1702" t="str">
            <v>STC4011E</v>
          </cell>
          <cell r="Q1702" t="str">
            <v>磁性位置传感器</v>
          </cell>
        </row>
        <row r="1703">
          <cell r="O1703" t="str">
            <v>SC4015SO-N-TR</v>
          </cell>
          <cell r="P1703" t="str">
            <v>STC4011E</v>
          </cell>
          <cell r="Q1703" t="str">
            <v>磁性位置传感器</v>
          </cell>
        </row>
        <row r="1704">
          <cell r="O1704" t="str">
            <v>SC4015SO-N-TR</v>
          </cell>
          <cell r="P1704" t="str">
            <v>STC4011E</v>
          </cell>
          <cell r="Q1704" t="str">
            <v>磁性位置传感器</v>
          </cell>
        </row>
        <row r="1705">
          <cell r="O1705" t="str">
            <v>SC4015SO-N-TR</v>
          </cell>
          <cell r="P1705" t="str">
            <v>STC4011E</v>
          </cell>
          <cell r="Q1705" t="str">
            <v>磁性位置传感器</v>
          </cell>
        </row>
        <row r="1706">
          <cell r="O1706" t="str">
            <v>SC4015SO-N-TR</v>
          </cell>
          <cell r="P1706" t="str">
            <v>STC4011E</v>
          </cell>
          <cell r="Q1706" t="str">
            <v>磁性位置传感器</v>
          </cell>
        </row>
        <row r="1707">
          <cell r="O1707" t="str">
            <v>SC4015SO-N-TR</v>
          </cell>
          <cell r="P1707" t="str">
            <v>STC4011E</v>
          </cell>
          <cell r="Q1707" t="str">
            <v>磁性位置传感器</v>
          </cell>
        </row>
        <row r="1708">
          <cell r="O1708" t="str">
            <v>SC9641TS-P</v>
          </cell>
          <cell r="P1708" t="str">
            <v>STC9A001I</v>
          </cell>
          <cell r="Q1708" t="str">
            <v>速度传感器</v>
          </cell>
        </row>
        <row r="1709">
          <cell r="O1709" t="str">
            <v>SC9641TS-P</v>
          </cell>
          <cell r="P1709" t="str">
            <v>STC9A001I</v>
          </cell>
          <cell r="Q1709" t="str">
            <v>速度传感器</v>
          </cell>
        </row>
        <row r="1710">
          <cell r="O1710" t="str">
            <v>SC9641TS-P</v>
          </cell>
          <cell r="P1710" t="str">
            <v>STC9A001I</v>
          </cell>
          <cell r="Q1710" t="str">
            <v>速度传感器</v>
          </cell>
        </row>
        <row r="1711">
          <cell r="O1711" t="str">
            <v>SC9641TS-P</v>
          </cell>
          <cell r="P1711" t="str">
            <v>STC9A001I</v>
          </cell>
          <cell r="Q1711" t="str">
            <v>速度传感器</v>
          </cell>
        </row>
        <row r="1712">
          <cell r="O1712" t="str">
            <v>SC9641TS-P</v>
          </cell>
          <cell r="P1712" t="str">
            <v>STC9A001I</v>
          </cell>
          <cell r="Q1712" t="str">
            <v>速度传感器</v>
          </cell>
        </row>
        <row r="1713">
          <cell r="O1713" t="str">
            <v>SC9641TS-P</v>
          </cell>
          <cell r="P1713" t="str">
            <v>STC9A001I</v>
          </cell>
          <cell r="Q1713" t="str">
            <v>速度传感器</v>
          </cell>
        </row>
        <row r="1714">
          <cell r="O1714" t="str">
            <v>SC9641TS-P</v>
          </cell>
          <cell r="P1714" t="str">
            <v>STC9A001I</v>
          </cell>
          <cell r="Q1714" t="str">
            <v>速度传感器</v>
          </cell>
        </row>
        <row r="1715">
          <cell r="O1715" t="str">
            <v>SC9641TS-P</v>
          </cell>
          <cell r="P1715" t="str">
            <v>STC9A001I</v>
          </cell>
          <cell r="Q1715" t="str">
            <v>速度传感器</v>
          </cell>
        </row>
        <row r="1716">
          <cell r="O1716" t="str">
            <v>SC9641TS-P</v>
          </cell>
          <cell r="P1716" t="str">
            <v>STC9A001I</v>
          </cell>
          <cell r="Q1716" t="str">
            <v>速度传感器</v>
          </cell>
        </row>
        <row r="1717">
          <cell r="O1717" t="str">
            <v>SC9641TS-P</v>
          </cell>
          <cell r="P1717" t="str">
            <v>STC9A001I</v>
          </cell>
          <cell r="Q1717" t="str">
            <v>速度传感器</v>
          </cell>
        </row>
        <row r="1718">
          <cell r="O1718" t="str">
            <v>SC9641TS-P</v>
          </cell>
          <cell r="P1718" t="str">
            <v>STC9A001I</v>
          </cell>
          <cell r="Q1718" t="str">
            <v>速度传感器</v>
          </cell>
        </row>
        <row r="1719">
          <cell r="O1719" t="str">
            <v>SC9641TS-P</v>
          </cell>
          <cell r="P1719" t="str">
            <v>STC9A001I</v>
          </cell>
          <cell r="Q1719" t="str">
            <v>速度传感器</v>
          </cell>
        </row>
        <row r="1720">
          <cell r="O1720" t="str">
            <v>SC9641TS-P</v>
          </cell>
          <cell r="P1720" t="str">
            <v>STC9A001I</v>
          </cell>
          <cell r="Q1720" t="str">
            <v>速度传感器</v>
          </cell>
        </row>
        <row r="1721">
          <cell r="O1721" t="str">
            <v>SC9641TS-P</v>
          </cell>
          <cell r="P1721" t="str">
            <v>STC9A001I</v>
          </cell>
          <cell r="Q1721" t="str">
            <v>速度传感器</v>
          </cell>
        </row>
        <row r="1722">
          <cell r="O1722" t="str">
            <v>SC9641TS-P</v>
          </cell>
          <cell r="P1722" t="str">
            <v>STC9A001I</v>
          </cell>
          <cell r="Q1722" t="str">
            <v>速度传感器</v>
          </cell>
        </row>
        <row r="1723">
          <cell r="O1723" t="str">
            <v>SC2436SO</v>
          </cell>
          <cell r="P1723" t="str">
            <v>STC9906M</v>
          </cell>
          <cell r="Q1723" t="str">
            <v>磁性位置传感器</v>
          </cell>
        </row>
        <row r="1724">
          <cell r="O1724" t="str">
            <v>SC2436SO</v>
          </cell>
          <cell r="P1724" t="str">
            <v>STC9906M</v>
          </cell>
          <cell r="Q1724" t="str">
            <v>磁性位置传感器</v>
          </cell>
        </row>
        <row r="1725">
          <cell r="O1725" t="str">
            <v>SC2443UA</v>
          </cell>
          <cell r="P1725" t="str">
            <v>STC9906W</v>
          </cell>
          <cell r="Q1725" t="str">
            <v>磁性位置传感器</v>
          </cell>
        </row>
        <row r="1726">
          <cell r="O1726" t="str">
            <v>SC2443UA</v>
          </cell>
          <cell r="P1726" t="str">
            <v>STC9906W</v>
          </cell>
          <cell r="Q1726" t="str">
            <v>磁性位置传感器</v>
          </cell>
        </row>
        <row r="1727">
          <cell r="O1727" t="str">
            <v>SC2443UA</v>
          </cell>
          <cell r="P1727" t="str">
            <v>STC9906W</v>
          </cell>
          <cell r="Q1727" t="str">
            <v>磁性位置传感器</v>
          </cell>
        </row>
        <row r="1728">
          <cell r="O1728" t="str">
            <v>SC2443UA</v>
          </cell>
          <cell r="P1728" t="str">
            <v>STC9906W</v>
          </cell>
          <cell r="Q1728" t="str">
            <v>磁性位置传感器</v>
          </cell>
        </row>
        <row r="1729">
          <cell r="O1729" t="str">
            <v>SC2443UA</v>
          </cell>
          <cell r="P1729" t="str">
            <v>STC9906W</v>
          </cell>
          <cell r="Q1729" t="str">
            <v>磁性位置传感器</v>
          </cell>
        </row>
        <row r="1730">
          <cell r="O1730" t="str">
            <v>SC2443UA</v>
          </cell>
          <cell r="P1730" t="str">
            <v>STC9906W</v>
          </cell>
          <cell r="Q1730" t="str">
            <v>磁性位置传感器</v>
          </cell>
        </row>
        <row r="1731">
          <cell r="O1731" t="str">
            <v>SC2443UA</v>
          </cell>
          <cell r="P1731" t="str">
            <v>STC9906W</v>
          </cell>
          <cell r="Q1731" t="str">
            <v>磁性位置传感器</v>
          </cell>
        </row>
        <row r="1732">
          <cell r="O1732" t="str">
            <v>SC2443UA</v>
          </cell>
          <cell r="P1732" t="str">
            <v>STC9906W</v>
          </cell>
          <cell r="Q1732" t="str">
            <v>磁性位置传感器</v>
          </cell>
        </row>
        <row r="1733">
          <cell r="O1733" t="str">
            <v>SC2443UA</v>
          </cell>
          <cell r="P1733" t="str">
            <v>STC9906W</v>
          </cell>
          <cell r="Q1733" t="str">
            <v>磁性位置传感器</v>
          </cell>
        </row>
        <row r="1734">
          <cell r="O1734" t="str">
            <v>S41F1</v>
          </cell>
          <cell r="P1734" t="str">
            <v>STC2899AI</v>
          </cell>
          <cell r="Q1734" t="str">
            <v>磁性位置传感器</v>
          </cell>
        </row>
        <row r="1735">
          <cell r="O1735" t="str">
            <v>S41F1</v>
          </cell>
          <cell r="P1735" t="str">
            <v>STC2899AI</v>
          </cell>
          <cell r="Q1735" t="str">
            <v>磁性位置传感器</v>
          </cell>
        </row>
        <row r="1736">
          <cell r="O1736" t="str">
            <v>SC2430UA-BK</v>
          </cell>
          <cell r="P1736" t="str">
            <v>STC9906I</v>
          </cell>
          <cell r="Q1736" t="str">
            <v>磁性位置传感器</v>
          </cell>
        </row>
        <row r="1737">
          <cell r="O1737" t="str">
            <v>SC4688SA-A</v>
          </cell>
          <cell r="P1737" t="str">
            <v>STC9D01C</v>
          </cell>
          <cell r="Q1737" t="str">
            <v>角度传感器</v>
          </cell>
        </row>
        <row r="1738">
          <cell r="O1738" t="str">
            <v>SC60224-D-16</v>
          </cell>
          <cell r="P1738" t="str">
            <v>STC9D04C</v>
          </cell>
          <cell r="Q1738" t="str">
            <v>电机编码器</v>
          </cell>
        </row>
        <row r="1739">
          <cell r="O1739" t="str">
            <v>SC2063SO</v>
          </cell>
          <cell r="P1739" t="str">
            <v>STC9G001C</v>
          </cell>
          <cell r="Q1739" t="str">
            <v>磁性位置传感器</v>
          </cell>
        </row>
        <row r="1740">
          <cell r="O1740" t="str">
            <v>SC2498UA-N-BK-Q</v>
          </cell>
          <cell r="P1740" t="str">
            <v>STC11102B</v>
          </cell>
          <cell r="Q1740" t="str">
            <v>磁性位置传感器</v>
          </cell>
        </row>
        <row r="1741">
          <cell r="O1741" t="str">
            <v>STC4011B-DS</v>
          </cell>
          <cell r="P1741" t="str">
            <v>STC4011B</v>
          </cell>
          <cell r="Q1741" t="str">
            <v>磁性位置传感器</v>
          </cell>
        </row>
        <row r="1742">
          <cell r="O1742" t="str">
            <v>SC4015SO-N-TR</v>
          </cell>
          <cell r="P1742" t="str">
            <v>STC4011E</v>
          </cell>
          <cell r="Q1742" t="str">
            <v>磁性位置传感器</v>
          </cell>
        </row>
        <row r="1743">
          <cell r="O1743" t="str">
            <v>SC4015SO-N-TR</v>
          </cell>
          <cell r="P1743" t="str">
            <v>STC4011E</v>
          </cell>
          <cell r="Q1743" t="str">
            <v>磁性位置传感器</v>
          </cell>
        </row>
        <row r="1744">
          <cell r="O1744" t="str">
            <v>SC4015SO-N-TR</v>
          </cell>
          <cell r="P1744" t="str">
            <v>STC4011E</v>
          </cell>
          <cell r="Q1744" t="str">
            <v>磁性位置传感器</v>
          </cell>
        </row>
        <row r="1745">
          <cell r="O1745" t="str">
            <v>SC4015SO-N-TR</v>
          </cell>
          <cell r="P1745" t="str">
            <v>STC4011E</v>
          </cell>
          <cell r="Q1745" t="str">
            <v>磁性位置传感器</v>
          </cell>
        </row>
        <row r="1746">
          <cell r="O1746" t="str">
            <v>SC4015SO-N-TR</v>
          </cell>
          <cell r="P1746" t="str">
            <v>STC4011E</v>
          </cell>
          <cell r="Q1746" t="str">
            <v>磁性位置传感器</v>
          </cell>
        </row>
        <row r="1747">
          <cell r="O1747" t="str">
            <v>SC4015SO-N-TR</v>
          </cell>
          <cell r="P1747" t="str">
            <v>STC4011E</v>
          </cell>
          <cell r="Q1747" t="str">
            <v>磁性位置传感器</v>
          </cell>
        </row>
        <row r="1748">
          <cell r="O1748" t="str">
            <v>SC9641TS</v>
          </cell>
          <cell r="P1748" t="str">
            <v>STC9910BN</v>
          </cell>
          <cell r="Q1748" t="str">
            <v>速度传感器</v>
          </cell>
        </row>
        <row r="1749">
          <cell r="O1749" t="str">
            <v>SC9641TS</v>
          </cell>
          <cell r="P1749" t="str">
            <v>STC9910BN</v>
          </cell>
          <cell r="Q1749" t="str">
            <v>速度传感器</v>
          </cell>
        </row>
        <row r="1750">
          <cell r="O1750" t="str">
            <v>SC9641TS</v>
          </cell>
          <cell r="P1750" t="str">
            <v>STC9910BN</v>
          </cell>
          <cell r="Q1750" t="str">
            <v>速度传感器</v>
          </cell>
        </row>
        <row r="1751">
          <cell r="O1751" t="str">
            <v>SC9641TS</v>
          </cell>
          <cell r="P1751" t="str">
            <v>STC9910BN</v>
          </cell>
          <cell r="Q1751" t="str">
            <v>速度传感器</v>
          </cell>
        </row>
        <row r="1752">
          <cell r="O1752" t="str">
            <v>SC9641TS</v>
          </cell>
          <cell r="P1752" t="str">
            <v>STC9910BN</v>
          </cell>
          <cell r="Q1752" t="str">
            <v>速度传感器</v>
          </cell>
        </row>
        <row r="1753">
          <cell r="O1753" t="str">
            <v>SC9641TS</v>
          </cell>
          <cell r="P1753" t="str">
            <v>STC9910BN</v>
          </cell>
          <cell r="Q1753" t="str">
            <v>速度传感器</v>
          </cell>
        </row>
        <row r="1754">
          <cell r="O1754" t="str">
            <v>SC9641TS</v>
          </cell>
          <cell r="P1754" t="str">
            <v>STC9910BN</v>
          </cell>
          <cell r="Q1754" t="str">
            <v>速度传感器</v>
          </cell>
        </row>
        <row r="1755">
          <cell r="O1755" t="str">
            <v>SC9641TS</v>
          </cell>
          <cell r="P1755" t="str">
            <v>STC9910BN</v>
          </cell>
          <cell r="Q1755" t="str">
            <v>速度传感器</v>
          </cell>
        </row>
        <row r="1756">
          <cell r="O1756" t="str">
            <v>SC9641TS</v>
          </cell>
          <cell r="P1756" t="str">
            <v>STC9910BN</v>
          </cell>
          <cell r="Q1756" t="str">
            <v>速度传感器</v>
          </cell>
        </row>
        <row r="1757">
          <cell r="O1757" t="str">
            <v>SD2276VB-BK</v>
          </cell>
          <cell r="P1757" t="str">
            <v>FD1014A</v>
          </cell>
          <cell r="Q1757" t="str">
            <v>电机驱动</v>
          </cell>
        </row>
        <row r="1758">
          <cell r="O1758" t="str">
            <v>SC4688SA-A</v>
          </cell>
          <cell r="P1758" t="str">
            <v>STC9D01C</v>
          </cell>
          <cell r="Q1758" t="str">
            <v>角度传感器</v>
          </cell>
        </row>
        <row r="1759">
          <cell r="O1759" t="str">
            <v>SC1645B1</v>
          </cell>
          <cell r="P1759" t="str">
            <v>STC2899AE</v>
          </cell>
          <cell r="Q1759" t="str">
            <v>磁性位置传感器</v>
          </cell>
        </row>
        <row r="1760">
          <cell r="O1760" t="str">
            <v>SC1645B1</v>
          </cell>
          <cell r="P1760" t="str">
            <v>STC2899AE</v>
          </cell>
          <cell r="Q1760" t="str">
            <v>磁性位置传感器</v>
          </cell>
        </row>
        <row r="1761">
          <cell r="O1761" t="str">
            <v>SC2402UA</v>
          </cell>
          <cell r="P1761" t="str">
            <v>STC9902J</v>
          </cell>
          <cell r="Q1761" t="str">
            <v>磁性位置传感器</v>
          </cell>
        </row>
        <row r="1762">
          <cell r="O1762" t="str">
            <v>SC2402UA</v>
          </cell>
          <cell r="P1762" t="str">
            <v>STC9902J</v>
          </cell>
          <cell r="Q1762" t="str">
            <v>磁性位置传感器</v>
          </cell>
        </row>
        <row r="1763">
          <cell r="O1763" t="str">
            <v>SD2276VB-BK</v>
          </cell>
          <cell r="P1763" t="str">
            <v>FD1014A</v>
          </cell>
          <cell r="Q1763" t="str">
            <v>电机驱动</v>
          </cell>
        </row>
        <row r="1764">
          <cell r="O1764" t="str">
            <v>SYLMV321BSOR</v>
          </cell>
          <cell r="P1764" t="str">
            <v>STC9G003B</v>
          </cell>
          <cell r="Q1764" t="str">
            <v>其他数模混合</v>
          </cell>
        </row>
        <row r="1765">
          <cell r="O1765" t="str">
            <v>SC2443SO</v>
          </cell>
          <cell r="P1765" t="str">
            <v>STC9906T</v>
          </cell>
          <cell r="Q1765" t="str">
            <v>磁性位置传感器</v>
          </cell>
        </row>
        <row r="1766">
          <cell r="O1766" t="str">
            <v>SC2443SO</v>
          </cell>
          <cell r="P1766" t="str">
            <v>STC9906T</v>
          </cell>
          <cell r="Q1766" t="str">
            <v>磁性位置传感器</v>
          </cell>
        </row>
        <row r="1767">
          <cell r="O1767" t="str">
            <v>SC2402SO-N-H</v>
          </cell>
          <cell r="P1767" t="str">
            <v>STC9H001A</v>
          </cell>
          <cell r="Q1767" t="str">
            <v>磁性位置传感器</v>
          </cell>
        </row>
        <row r="1768">
          <cell r="O1768" t="str">
            <v>SC2402SO-N</v>
          </cell>
          <cell r="P1768" t="str">
            <v>STC9G002A</v>
          </cell>
          <cell r="Q1768" t="str">
            <v>磁性位置传感器</v>
          </cell>
        </row>
        <row r="1769">
          <cell r="O1769" t="str">
            <v>SC2402SO-N</v>
          </cell>
          <cell r="P1769" t="str">
            <v>STC9G002A</v>
          </cell>
          <cell r="Q1769" t="str">
            <v>磁性位置传感器</v>
          </cell>
        </row>
        <row r="1770">
          <cell r="O1770" t="str">
            <v>SC2402SO-N</v>
          </cell>
          <cell r="P1770" t="str">
            <v>STC9G002A</v>
          </cell>
          <cell r="Q1770" t="str">
            <v>磁性位置传感器</v>
          </cell>
        </row>
        <row r="1771">
          <cell r="O1771" t="str">
            <v>SC4015SO-N-TR</v>
          </cell>
          <cell r="P1771" t="str">
            <v>STC4011E</v>
          </cell>
          <cell r="Q1771" t="str">
            <v>磁性位置传感器</v>
          </cell>
        </row>
        <row r="1772">
          <cell r="O1772" t="str">
            <v>SC4015SO-N-TR</v>
          </cell>
          <cell r="P1772" t="str">
            <v>STC4011E</v>
          </cell>
          <cell r="Q1772" t="str">
            <v>磁性位置传感器</v>
          </cell>
        </row>
        <row r="1773">
          <cell r="O1773" t="str">
            <v>SC4015SO-N-TR</v>
          </cell>
          <cell r="P1773" t="str">
            <v>STC4011E</v>
          </cell>
          <cell r="Q1773" t="str">
            <v>磁性位置传感器</v>
          </cell>
        </row>
        <row r="1774">
          <cell r="O1774" t="str">
            <v>SC4015SO-N-TR</v>
          </cell>
          <cell r="P1774" t="str">
            <v>STC4011E</v>
          </cell>
          <cell r="Q1774" t="str">
            <v>磁性位置传感器</v>
          </cell>
        </row>
        <row r="1775">
          <cell r="O1775" t="str">
            <v>SC4015SO-N-TR</v>
          </cell>
          <cell r="P1775" t="str">
            <v>STC4011E</v>
          </cell>
          <cell r="Q1775" t="str">
            <v>磁性位置传感器</v>
          </cell>
        </row>
        <row r="1776">
          <cell r="O1776" t="str">
            <v>SC4015SO-N-TR</v>
          </cell>
          <cell r="P1776" t="str">
            <v>STC4011E</v>
          </cell>
          <cell r="Q1776" t="str">
            <v>磁性位置传感器</v>
          </cell>
        </row>
        <row r="1777">
          <cell r="O1777" t="str">
            <v>SC724SP30B5</v>
          </cell>
          <cell r="P1777" t="str">
            <v>STC9D06F</v>
          </cell>
          <cell r="Q1777" t="str">
            <v>电流传感器</v>
          </cell>
        </row>
        <row r="1778">
          <cell r="O1778" t="str">
            <v>SC69401-A</v>
          </cell>
          <cell r="P1778" t="str">
            <v>STC9H002DQ</v>
          </cell>
          <cell r="Q1778" t="str">
            <v>角度传感器</v>
          </cell>
        </row>
        <row r="1779">
          <cell r="O1779" t="str">
            <v>SC69401D</v>
          </cell>
          <cell r="P1779" t="str">
            <v>STC9H002DQ</v>
          </cell>
          <cell r="Q1779" t="str">
            <v>角度传感器</v>
          </cell>
        </row>
        <row r="1780">
          <cell r="O1780" t="str">
            <v>SC69401-A</v>
          </cell>
          <cell r="P1780" t="str">
            <v>STC9H002DQ</v>
          </cell>
          <cell r="Q1780" t="str">
            <v>角度传感器</v>
          </cell>
        </row>
        <row r="1781">
          <cell r="O1781" t="str">
            <v>SC2443SO</v>
          </cell>
          <cell r="P1781" t="str">
            <v>STC9906T</v>
          </cell>
          <cell r="Q1781" t="str">
            <v>磁性位置传感器</v>
          </cell>
        </row>
        <row r="1782">
          <cell r="O1782" t="str">
            <v>SC1138SO-N</v>
          </cell>
          <cell r="P1782" t="str">
            <v>STC1898AC</v>
          </cell>
          <cell r="Q1782" t="str">
            <v>磁性位置传感器</v>
          </cell>
        </row>
        <row r="1783">
          <cell r="O1783" t="str">
            <v>SC1138SO-N</v>
          </cell>
          <cell r="P1783" t="str">
            <v>STC1898AC</v>
          </cell>
          <cell r="Q1783" t="str">
            <v>磁性位置传感器</v>
          </cell>
        </row>
        <row r="1784">
          <cell r="O1784" t="str">
            <v>SC2442SO</v>
          </cell>
          <cell r="P1784" t="str">
            <v>STC11102B</v>
          </cell>
          <cell r="Q1784" t="str">
            <v>磁性位置传感器</v>
          </cell>
        </row>
        <row r="1785">
          <cell r="O1785" t="str">
            <v>SC2442SO</v>
          </cell>
          <cell r="P1785" t="str">
            <v>STC11102B</v>
          </cell>
          <cell r="Q1785" t="str">
            <v>磁性位置传感器</v>
          </cell>
        </row>
        <row r="1786">
          <cell r="O1786" t="str">
            <v>SC2442SO</v>
          </cell>
          <cell r="P1786" t="str">
            <v>STC11102B</v>
          </cell>
          <cell r="Q1786" t="str">
            <v>磁性位置传感器</v>
          </cell>
        </row>
        <row r="1787">
          <cell r="O1787" t="str">
            <v>SC9625VB</v>
          </cell>
          <cell r="P1787" t="str">
            <v>STC9910E</v>
          </cell>
          <cell r="Q1787" t="str">
            <v>速度传感器</v>
          </cell>
        </row>
        <row r="1788">
          <cell r="O1788" t="str">
            <v>SC9642TS-E</v>
          </cell>
          <cell r="P1788" t="str">
            <v>STC9A001H</v>
          </cell>
          <cell r="Q1788" t="str">
            <v>速度传感器</v>
          </cell>
        </row>
        <row r="1789">
          <cell r="O1789" t="str">
            <v>SC9642TS-E</v>
          </cell>
          <cell r="P1789" t="str">
            <v>STC9A001H</v>
          </cell>
          <cell r="Q1789" t="str">
            <v>速度传感器</v>
          </cell>
        </row>
        <row r="1790">
          <cell r="O1790" t="str">
            <v>SC9642TS-E</v>
          </cell>
          <cell r="P1790" t="str">
            <v>STC9A001H</v>
          </cell>
          <cell r="Q1790" t="str">
            <v>速度传感器</v>
          </cell>
        </row>
        <row r="1791">
          <cell r="O1791" t="str">
            <v>SC9642TS-E</v>
          </cell>
          <cell r="P1791" t="str">
            <v>STC9A001H</v>
          </cell>
          <cell r="Q1791" t="str">
            <v>速度传感器</v>
          </cell>
        </row>
        <row r="1792">
          <cell r="O1792" t="str">
            <v>SC2432SO</v>
          </cell>
          <cell r="P1792" t="str">
            <v>STC9906M</v>
          </cell>
          <cell r="Q1792" t="str">
            <v>磁性位置传感器</v>
          </cell>
        </row>
        <row r="1793">
          <cell r="O1793" t="str">
            <v>SC1645B1</v>
          </cell>
          <cell r="P1793" t="str">
            <v>STC2899AE</v>
          </cell>
          <cell r="Q1793" t="str">
            <v>磁性位置传感器</v>
          </cell>
        </row>
        <row r="1794">
          <cell r="O1794" t="str">
            <v>SC1645B1</v>
          </cell>
          <cell r="P1794" t="str">
            <v>STC2899AE</v>
          </cell>
          <cell r="Q1794" t="str">
            <v>磁性位置传感器</v>
          </cell>
        </row>
        <row r="1795">
          <cell r="O1795" t="str">
            <v>SC1645B1</v>
          </cell>
          <cell r="P1795" t="str">
            <v>STC2899AE</v>
          </cell>
          <cell r="Q1795" t="str">
            <v>磁性位置传感器</v>
          </cell>
        </row>
        <row r="1796">
          <cell r="O1796" t="str">
            <v>SC1645B1</v>
          </cell>
          <cell r="P1796" t="str">
            <v>STC2899AE</v>
          </cell>
          <cell r="Q1796" t="str">
            <v>磁性位置传感器</v>
          </cell>
        </row>
        <row r="1797">
          <cell r="O1797" t="str">
            <v>SC1645B1</v>
          </cell>
          <cell r="P1797" t="str">
            <v>STC2899AE</v>
          </cell>
          <cell r="Q1797" t="str">
            <v>磁性位置传感器</v>
          </cell>
        </row>
        <row r="1798">
          <cell r="O1798" t="str">
            <v>SC1645B1</v>
          </cell>
          <cell r="P1798" t="str">
            <v>STC2899AE</v>
          </cell>
          <cell r="Q1798" t="str">
            <v>磁性位置传感器</v>
          </cell>
        </row>
        <row r="1799">
          <cell r="O1799" t="str">
            <v>SC1645B1</v>
          </cell>
          <cell r="P1799" t="str">
            <v>STC2899AE</v>
          </cell>
          <cell r="Q1799" t="str">
            <v>磁性位置传感器</v>
          </cell>
        </row>
        <row r="1800">
          <cell r="O1800" t="str">
            <v>SC60224-D-1024-976-BSD-01</v>
          </cell>
          <cell r="P1800" t="str">
            <v>STC9D04C</v>
          </cell>
          <cell r="Q1800" t="str">
            <v>电机编码器</v>
          </cell>
        </row>
        <row r="1801">
          <cell r="O1801" t="str">
            <v>SC60220</v>
          </cell>
          <cell r="P1801" t="str">
            <v>STC9D04C</v>
          </cell>
          <cell r="Q1801" t="str">
            <v>电机编码器</v>
          </cell>
        </row>
        <row r="1802">
          <cell r="O1802" t="str">
            <v>SC2442UA</v>
          </cell>
          <cell r="P1802" t="str">
            <v>STC11102B</v>
          </cell>
          <cell r="Q1802" t="str">
            <v>磁性位置传感器</v>
          </cell>
        </row>
        <row r="1803">
          <cell r="O1803" t="str">
            <v>SC2442UA</v>
          </cell>
          <cell r="P1803" t="str">
            <v>STC11102B</v>
          </cell>
          <cell r="Q1803" t="str">
            <v>磁性位置传感器</v>
          </cell>
        </row>
        <row r="1804">
          <cell r="O1804" t="str">
            <v>SC2442UA</v>
          </cell>
          <cell r="P1804" t="str">
            <v>STC11102B</v>
          </cell>
          <cell r="Q1804" t="str">
            <v>磁性位置传感器</v>
          </cell>
        </row>
        <row r="1805">
          <cell r="O1805" t="str">
            <v>SC2402SO-N</v>
          </cell>
          <cell r="P1805" t="str">
            <v>STC9H001A</v>
          </cell>
          <cell r="Q1805" t="str">
            <v>磁性位置传感器</v>
          </cell>
        </row>
        <row r="1806">
          <cell r="O1806" t="str">
            <v>SC2462UA</v>
          </cell>
          <cell r="P1806" t="str">
            <v>STC9906J</v>
          </cell>
          <cell r="Q1806" t="str">
            <v>磁性位置传感器</v>
          </cell>
        </row>
        <row r="1807">
          <cell r="O1807" t="str">
            <v>SC2402SO-N</v>
          </cell>
          <cell r="P1807" t="str">
            <v>STC9H001A</v>
          </cell>
          <cell r="Q1807" t="str">
            <v>磁性位置传感器</v>
          </cell>
        </row>
        <row r="1808">
          <cell r="O1808" t="str">
            <v>SC2402SO-N</v>
          </cell>
          <cell r="P1808" t="str">
            <v>STC9H001A</v>
          </cell>
          <cell r="Q1808" t="str">
            <v>磁性位置传感器</v>
          </cell>
        </row>
        <row r="1809">
          <cell r="O1809" t="str">
            <v>SD2276VB-BK</v>
          </cell>
          <cell r="P1809" t="str">
            <v>FD1014A</v>
          </cell>
          <cell r="Q1809" t="str">
            <v>电机驱动</v>
          </cell>
        </row>
        <row r="1810">
          <cell r="O1810" t="str">
            <v>SD2276VB-BK</v>
          </cell>
          <cell r="P1810" t="str">
            <v>FD1014A</v>
          </cell>
          <cell r="Q1810" t="str">
            <v>电机驱动</v>
          </cell>
        </row>
        <row r="1811">
          <cell r="O1811" t="str">
            <v>SD2276VB-BK</v>
          </cell>
          <cell r="P1811" t="str">
            <v>FD1014A</v>
          </cell>
          <cell r="Q1811" t="str">
            <v>电机驱动</v>
          </cell>
        </row>
        <row r="1812">
          <cell r="O1812" t="str">
            <v>49E</v>
          </cell>
          <cell r="P1812" t="str">
            <v>STC4011B</v>
          </cell>
          <cell r="Q1812" t="str">
            <v>磁性位置传感器</v>
          </cell>
        </row>
        <row r="1813">
          <cell r="O1813" t="str">
            <v>SC1134SO-N</v>
          </cell>
          <cell r="P1813" t="str">
            <v>STC1898AI</v>
          </cell>
          <cell r="Q1813" t="str">
            <v>磁性位置传感器</v>
          </cell>
        </row>
        <row r="1814">
          <cell r="O1814" t="str">
            <v>SC1134SO-N</v>
          </cell>
          <cell r="P1814" t="str">
            <v>STC1898AI</v>
          </cell>
          <cell r="Q1814" t="str">
            <v>磁性位置传感器</v>
          </cell>
        </row>
        <row r="1815">
          <cell r="O1815" t="str">
            <v>SC2442UA</v>
          </cell>
          <cell r="P1815" t="str">
            <v>STC11102B</v>
          </cell>
          <cell r="Q1815" t="str">
            <v>磁性位置传感器</v>
          </cell>
        </row>
        <row r="1816">
          <cell r="O1816" t="str">
            <v>SC2063UA</v>
          </cell>
          <cell r="P1816" t="str">
            <v>STC9G001C</v>
          </cell>
          <cell r="Q1816" t="str">
            <v>磁性位置传感器</v>
          </cell>
        </row>
        <row r="1817">
          <cell r="O1817" t="str">
            <v>SC2063UA</v>
          </cell>
          <cell r="P1817" t="str">
            <v>STC9G001C</v>
          </cell>
          <cell r="Q1817" t="str">
            <v>磁性位置传感器</v>
          </cell>
        </row>
        <row r="1818">
          <cell r="O1818" t="str">
            <v>SC2464SO</v>
          </cell>
          <cell r="P1818" t="str">
            <v>STC9906J</v>
          </cell>
          <cell r="Q1818" t="str">
            <v>磁性位置传感器</v>
          </cell>
        </row>
        <row r="1819">
          <cell r="O1819" t="str">
            <v>SC2432SO</v>
          </cell>
          <cell r="P1819" t="str">
            <v>STC9906I</v>
          </cell>
          <cell r="Q1819" t="str">
            <v>磁性位置传感器</v>
          </cell>
        </row>
        <row r="1820">
          <cell r="O1820" t="str">
            <v>SC9633VB</v>
          </cell>
          <cell r="P1820" t="str">
            <v>STC9905F</v>
          </cell>
          <cell r="Q1820" t="str">
            <v>速度传感器</v>
          </cell>
        </row>
        <row r="1821">
          <cell r="O1821" t="str">
            <v>49E</v>
          </cell>
          <cell r="P1821" t="str">
            <v>STC4011B</v>
          </cell>
          <cell r="Q1821" t="str">
            <v>磁性位置传感器</v>
          </cell>
        </row>
        <row r="1822">
          <cell r="O1822" t="str">
            <v>SC4015SO-N-TR</v>
          </cell>
          <cell r="P1822" t="str">
            <v>STC4011E</v>
          </cell>
          <cell r="Q1822" t="str">
            <v>磁性位置传感器</v>
          </cell>
        </row>
        <row r="1823">
          <cell r="O1823" t="str">
            <v>SC4015SO-N-TR</v>
          </cell>
          <cell r="P1823" t="str">
            <v>STC4011E</v>
          </cell>
          <cell r="Q1823" t="str">
            <v>磁性位置传感器</v>
          </cell>
        </row>
        <row r="1824">
          <cell r="O1824" t="str">
            <v>SC4015SO-N-TR</v>
          </cell>
          <cell r="P1824" t="str">
            <v>STC4011E</v>
          </cell>
          <cell r="Q1824" t="str">
            <v>磁性位置传感器</v>
          </cell>
        </row>
        <row r="1825">
          <cell r="O1825" t="str">
            <v>SC4015SO-N-TR</v>
          </cell>
          <cell r="P1825" t="str">
            <v>STC4011E</v>
          </cell>
          <cell r="Q1825" t="str">
            <v>磁性位置传感器</v>
          </cell>
        </row>
        <row r="1826">
          <cell r="O1826" t="str">
            <v>SC4015SO-N-TR</v>
          </cell>
          <cell r="P1826" t="str">
            <v>STC4011E</v>
          </cell>
          <cell r="Q1826" t="str">
            <v>磁性位置传感器</v>
          </cell>
        </row>
        <row r="1827">
          <cell r="O1827" t="str">
            <v>VE2220P</v>
          </cell>
          <cell r="P1827" t="str">
            <v>HC2303C</v>
          </cell>
          <cell r="Q1827" t="str">
            <v>电源管理</v>
          </cell>
        </row>
        <row r="1828">
          <cell r="O1828" t="str">
            <v>SC4688SA-A</v>
          </cell>
          <cell r="P1828" t="str">
            <v>STC9D01C</v>
          </cell>
          <cell r="Q1828" t="str">
            <v>角度传感器</v>
          </cell>
        </row>
        <row r="1829">
          <cell r="O1829" t="str">
            <v>SC4643VB-P</v>
          </cell>
          <cell r="P1829" t="str">
            <v>STC9D03E</v>
          </cell>
          <cell r="Q1829" t="str">
            <v>电流传感器</v>
          </cell>
        </row>
        <row r="1830">
          <cell r="O1830" t="str">
            <v>ZH6352</v>
          </cell>
          <cell r="P1830" t="str">
            <v>ZH6352</v>
          </cell>
          <cell r="Q1830" t="str">
            <v>电机驱动</v>
          </cell>
        </row>
        <row r="1831">
          <cell r="O1831" t="str">
            <v>SC2442UA</v>
          </cell>
          <cell r="P1831" t="str">
            <v>STC11102B</v>
          </cell>
          <cell r="Q1831" t="str">
            <v>磁性位置传感器</v>
          </cell>
        </row>
        <row r="1832">
          <cell r="O1832" t="str">
            <v>SC2443SO</v>
          </cell>
          <cell r="P1832" t="str">
            <v>STC9906T</v>
          </cell>
          <cell r="Q1832" t="str">
            <v>磁性位置传感器</v>
          </cell>
        </row>
        <row r="1833">
          <cell r="O1833" t="str">
            <v>SC2402SO-N</v>
          </cell>
          <cell r="P1833" t="str">
            <v>STC9G002A</v>
          </cell>
          <cell r="Q1833" t="str">
            <v>磁性位置传感器</v>
          </cell>
        </row>
        <row r="1834">
          <cell r="O1834" t="str">
            <v>SC1134UA</v>
          </cell>
          <cell r="P1834" t="str">
            <v>STC1898AI</v>
          </cell>
          <cell r="Q1834" t="str">
            <v>磁性位置传感器</v>
          </cell>
        </row>
        <row r="1835">
          <cell r="O1835" t="str">
            <v>SC4643VB-A</v>
          </cell>
          <cell r="P1835" t="str">
            <v>STC9D03E</v>
          </cell>
          <cell r="Q1835" t="str">
            <v>电流传感器</v>
          </cell>
        </row>
        <row r="1836">
          <cell r="O1836" t="str">
            <v>SC4643VB-A</v>
          </cell>
          <cell r="P1836" t="str">
            <v>STC9D03E</v>
          </cell>
          <cell r="Q1836" t="str">
            <v>电流传感器</v>
          </cell>
        </row>
        <row r="1837">
          <cell r="O1837" t="str">
            <v>SC4643VB-A</v>
          </cell>
          <cell r="P1837" t="str">
            <v>STC9D03E</v>
          </cell>
          <cell r="Q1837" t="str">
            <v>电流传感器</v>
          </cell>
        </row>
        <row r="1838">
          <cell r="O1838" t="str">
            <v>SC4643VB-A</v>
          </cell>
          <cell r="P1838" t="str">
            <v>STC9D03E</v>
          </cell>
          <cell r="Q1838" t="str">
            <v>电流传感器</v>
          </cell>
        </row>
        <row r="1839">
          <cell r="O1839" t="str">
            <v>SC4643VB-A</v>
          </cell>
          <cell r="P1839" t="str">
            <v>STC9D03E</v>
          </cell>
          <cell r="Q1839" t="str">
            <v>电流传感器</v>
          </cell>
        </row>
        <row r="1840">
          <cell r="O1840" t="str">
            <v>SC4643VB-A</v>
          </cell>
          <cell r="P1840" t="str">
            <v>STC9D03E</v>
          </cell>
          <cell r="Q1840" t="str">
            <v>电流传感器</v>
          </cell>
        </row>
        <row r="1841">
          <cell r="O1841" t="str">
            <v>SC4643VB-A</v>
          </cell>
          <cell r="P1841" t="str">
            <v>STC9D03E</v>
          </cell>
          <cell r="Q1841" t="str">
            <v>电流传感器</v>
          </cell>
        </row>
        <row r="1842">
          <cell r="O1842" t="str">
            <v>SC4643VB-A</v>
          </cell>
          <cell r="P1842" t="str">
            <v>STC9D03E</v>
          </cell>
          <cell r="Q1842" t="str">
            <v>电流传感器</v>
          </cell>
        </row>
        <row r="1843">
          <cell r="O1843" t="str">
            <v>SC4643VB-A</v>
          </cell>
          <cell r="P1843" t="str">
            <v>STC9D03E</v>
          </cell>
          <cell r="Q1843" t="str">
            <v>电流传感器</v>
          </cell>
        </row>
        <row r="1844">
          <cell r="O1844" t="str">
            <v>SC4643VB</v>
          </cell>
          <cell r="P1844" t="str">
            <v>STC9D03E</v>
          </cell>
          <cell r="Q1844" t="str">
            <v>电流传感器</v>
          </cell>
        </row>
        <row r="1845">
          <cell r="O1845" t="str">
            <v>SC4643VB-G-BK-Q</v>
          </cell>
          <cell r="P1845" t="str">
            <v>STC9D03E</v>
          </cell>
          <cell r="Q1845" t="str">
            <v>电流传感器</v>
          </cell>
        </row>
        <row r="1846">
          <cell r="O1846" t="str">
            <v>SC69401-A</v>
          </cell>
          <cell r="P1846" t="str">
            <v>STC9H002DQ</v>
          </cell>
          <cell r="Q1846" t="str">
            <v>角度传感器</v>
          </cell>
        </row>
        <row r="1847">
          <cell r="O1847" t="str">
            <v>SC9642TS-E</v>
          </cell>
          <cell r="P1847" t="str">
            <v>STC9A001H</v>
          </cell>
          <cell r="Q1847" t="str">
            <v>速度传感器</v>
          </cell>
        </row>
        <row r="1848">
          <cell r="O1848" t="str">
            <v>SC9642TS-E</v>
          </cell>
          <cell r="P1848" t="str">
            <v>STC9A001H</v>
          </cell>
          <cell r="Q1848" t="str">
            <v>速度传感器</v>
          </cell>
        </row>
        <row r="1849">
          <cell r="O1849" t="str">
            <v>SC9621VB</v>
          </cell>
          <cell r="P1849" t="str">
            <v>STC9910C</v>
          </cell>
          <cell r="Q1849" t="str">
            <v>速度传感器</v>
          </cell>
        </row>
        <row r="1850">
          <cell r="O1850" t="str">
            <v>SC9675IM-P-LRF00</v>
          </cell>
          <cell r="P1850" t="str">
            <v>STC9A002B</v>
          </cell>
          <cell r="Q1850" t="str">
            <v>速度传感器</v>
          </cell>
        </row>
        <row r="1851">
          <cell r="O1851" t="str">
            <v>SC1134UA</v>
          </cell>
          <cell r="P1851" t="str">
            <v>STC1898AI</v>
          </cell>
          <cell r="Q1851" t="str">
            <v>磁性位置传感器</v>
          </cell>
        </row>
        <row r="1852">
          <cell r="O1852" t="str">
            <v>SC4643VB-P</v>
          </cell>
          <cell r="P1852" t="str">
            <v>STC9D03E</v>
          </cell>
          <cell r="Q1852" t="str">
            <v>电流传感器</v>
          </cell>
        </row>
        <row r="1853">
          <cell r="O1853" t="str">
            <v>SC4643VB-P</v>
          </cell>
          <cell r="P1853" t="str">
            <v>STC9D03E</v>
          </cell>
          <cell r="Q1853" t="str">
            <v>电流传感器</v>
          </cell>
        </row>
        <row r="1854">
          <cell r="O1854" t="str">
            <v>SC4643VB-P</v>
          </cell>
          <cell r="P1854" t="str">
            <v>STC9D03E</v>
          </cell>
          <cell r="Q1854" t="str">
            <v>电流传感器</v>
          </cell>
        </row>
        <row r="1855">
          <cell r="O1855" t="str">
            <v>SC1134UA</v>
          </cell>
          <cell r="P1855" t="str">
            <v>STC1898AI</v>
          </cell>
          <cell r="Q1855" t="str">
            <v>磁性位置传感器</v>
          </cell>
        </row>
        <row r="1856">
          <cell r="O1856" t="str">
            <v>SC4015SO-N-TR</v>
          </cell>
          <cell r="P1856" t="str">
            <v>STC4011E</v>
          </cell>
          <cell r="Q1856" t="str">
            <v>磁性位置传感器</v>
          </cell>
        </row>
        <row r="1857">
          <cell r="O1857" t="str">
            <v>SC4015SO-N-TR</v>
          </cell>
          <cell r="P1857" t="str">
            <v>STC4011E</v>
          </cell>
          <cell r="Q1857" t="str">
            <v>磁性位置传感器</v>
          </cell>
        </row>
        <row r="1858">
          <cell r="O1858" t="str">
            <v>SC4015SO-N-TR</v>
          </cell>
          <cell r="P1858" t="str">
            <v>STC4011E</v>
          </cell>
          <cell r="Q1858" t="str">
            <v>磁性位置传感器</v>
          </cell>
        </row>
        <row r="1859">
          <cell r="O1859" t="str">
            <v>SC4015SO-N-TR</v>
          </cell>
          <cell r="P1859" t="str">
            <v>STC4011E</v>
          </cell>
          <cell r="Q1859" t="str">
            <v>磁性位置传感器</v>
          </cell>
        </row>
        <row r="1860">
          <cell r="O1860" t="str">
            <v>SC4015SO-N-TR</v>
          </cell>
          <cell r="P1860" t="str">
            <v>STC4011E</v>
          </cell>
          <cell r="Q1860" t="str">
            <v>磁性位置传感器</v>
          </cell>
        </row>
        <row r="1861">
          <cell r="O1861" t="str">
            <v>SC4015SO-N-TR</v>
          </cell>
          <cell r="P1861" t="str">
            <v>STC4011E</v>
          </cell>
          <cell r="Q1861" t="str">
            <v>磁性位置传感器</v>
          </cell>
        </row>
        <row r="1862">
          <cell r="O1862" t="str">
            <v>SC4015SO-N-TR</v>
          </cell>
          <cell r="P1862" t="str">
            <v>STC4011E</v>
          </cell>
          <cell r="Q1862" t="str">
            <v>磁性位置传感器</v>
          </cell>
        </row>
        <row r="1863">
          <cell r="O1863" t="str">
            <v>SC4015SO-N-TR</v>
          </cell>
          <cell r="P1863" t="str">
            <v>STC4011E</v>
          </cell>
          <cell r="Q1863" t="str">
            <v>磁性位置传感器</v>
          </cell>
        </row>
        <row r="1864">
          <cell r="O1864" t="str">
            <v>SC4645VB</v>
          </cell>
          <cell r="P1864" t="str">
            <v>STC9D06F</v>
          </cell>
          <cell r="Q1864" t="str">
            <v>电流传感器</v>
          </cell>
        </row>
        <row r="1865">
          <cell r="O1865" t="str">
            <v>SC4645VB</v>
          </cell>
          <cell r="P1865" t="str">
            <v>STC9D06F</v>
          </cell>
          <cell r="Q1865" t="str">
            <v>电流传感器</v>
          </cell>
        </row>
        <row r="1866">
          <cell r="O1866" t="str">
            <v>ATK-E512</v>
          </cell>
          <cell r="P1866" t="str">
            <v>STC4011B</v>
          </cell>
          <cell r="Q1866" t="str">
            <v>磁性位置传感器</v>
          </cell>
        </row>
        <row r="1867">
          <cell r="O1867" t="str">
            <v>ATK-E512</v>
          </cell>
          <cell r="P1867" t="str">
            <v>STC4011B</v>
          </cell>
          <cell r="Q1867" t="str">
            <v>磁性位置传感器</v>
          </cell>
        </row>
        <row r="1868">
          <cell r="O1868" t="str">
            <v>ATK-E512</v>
          </cell>
          <cell r="P1868" t="str">
            <v>STC4011B</v>
          </cell>
          <cell r="Q1868" t="str">
            <v>磁性位置传感器</v>
          </cell>
        </row>
        <row r="1869">
          <cell r="O1869" t="str">
            <v>ATK-E512</v>
          </cell>
          <cell r="P1869" t="str">
            <v>STC4011B</v>
          </cell>
          <cell r="Q1869" t="str">
            <v>磁性位置传感器</v>
          </cell>
        </row>
        <row r="1870">
          <cell r="O1870" t="str">
            <v>ATK-E512</v>
          </cell>
          <cell r="P1870" t="str">
            <v>STC4011B</v>
          </cell>
          <cell r="Q1870" t="str">
            <v>磁性位置传感器</v>
          </cell>
        </row>
        <row r="1871">
          <cell r="O1871" t="str">
            <v>ATK-E512</v>
          </cell>
          <cell r="P1871" t="str">
            <v>STC4011B</v>
          </cell>
          <cell r="Q1871" t="str">
            <v>磁性位置传感器</v>
          </cell>
        </row>
        <row r="1872">
          <cell r="O1872" t="str">
            <v>ATK-E512</v>
          </cell>
          <cell r="P1872" t="str">
            <v>STC4011B</v>
          </cell>
          <cell r="Q1872" t="str">
            <v>磁性位置传感器</v>
          </cell>
        </row>
        <row r="1873">
          <cell r="O1873" t="str">
            <v>ATK-E512</v>
          </cell>
          <cell r="P1873" t="str">
            <v>STC4011B</v>
          </cell>
          <cell r="Q1873" t="str">
            <v>磁性位置传感器</v>
          </cell>
        </row>
        <row r="1874">
          <cell r="O1874" t="str">
            <v>ATK-E512</v>
          </cell>
          <cell r="P1874" t="str">
            <v>STC4011B</v>
          </cell>
          <cell r="Q1874" t="str">
            <v>磁性位置传感器</v>
          </cell>
        </row>
        <row r="1875">
          <cell r="O1875" t="str">
            <v>ATK-E512</v>
          </cell>
          <cell r="P1875" t="str">
            <v>STC4011B</v>
          </cell>
          <cell r="Q1875" t="str">
            <v>磁性位置传感器</v>
          </cell>
        </row>
        <row r="1876">
          <cell r="O1876" t="str">
            <v>ATK-E512</v>
          </cell>
          <cell r="P1876" t="str">
            <v>STC4011B</v>
          </cell>
          <cell r="Q1876" t="str">
            <v>磁性位置传感器</v>
          </cell>
        </row>
        <row r="1877">
          <cell r="O1877" t="str">
            <v>ATK-E512</v>
          </cell>
          <cell r="P1877" t="str">
            <v>STC4011B</v>
          </cell>
          <cell r="Q1877" t="str">
            <v>磁性位置传感器</v>
          </cell>
        </row>
        <row r="1878">
          <cell r="O1878" t="str">
            <v>ATK-E512</v>
          </cell>
          <cell r="P1878" t="str">
            <v>STC4011B</v>
          </cell>
          <cell r="Q1878" t="str">
            <v>磁性位置传感器</v>
          </cell>
        </row>
        <row r="1879">
          <cell r="O1879" t="str">
            <v>ATK-E512</v>
          </cell>
          <cell r="P1879" t="str">
            <v>STC4011B</v>
          </cell>
          <cell r="Q1879" t="str">
            <v>磁性位置传感器</v>
          </cell>
        </row>
        <row r="1880">
          <cell r="O1880" t="str">
            <v>ATK-E512</v>
          </cell>
          <cell r="P1880" t="str">
            <v>STC4011B</v>
          </cell>
          <cell r="Q1880" t="str">
            <v>磁性位置传感器</v>
          </cell>
        </row>
        <row r="1881">
          <cell r="O1881" t="str">
            <v>ATK-E512</v>
          </cell>
          <cell r="P1881" t="str">
            <v>STC4011B</v>
          </cell>
          <cell r="Q1881" t="str">
            <v>磁性位置传感器</v>
          </cell>
        </row>
        <row r="1882">
          <cell r="O1882" t="str">
            <v>ATK-E512</v>
          </cell>
          <cell r="P1882" t="str">
            <v>STC4011B</v>
          </cell>
          <cell r="Q1882" t="str">
            <v>磁性位置传感器</v>
          </cell>
        </row>
        <row r="1883">
          <cell r="O1883" t="str">
            <v>ATK-E512</v>
          </cell>
          <cell r="P1883" t="str">
            <v>STC4011B</v>
          </cell>
          <cell r="Q1883" t="str">
            <v>磁性位置传感器</v>
          </cell>
        </row>
        <row r="1884">
          <cell r="O1884" t="str">
            <v>ATK-E512</v>
          </cell>
          <cell r="P1884" t="str">
            <v>STC4011B</v>
          </cell>
          <cell r="Q1884" t="str">
            <v>磁性位置传感器</v>
          </cell>
        </row>
        <row r="1885">
          <cell r="O1885" t="str">
            <v>ATK-E512</v>
          </cell>
          <cell r="P1885" t="str">
            <v>STC4011B</v>
          </cell>
          <cell r="Q1885" t="str">
            <v>磁性位置传感器</v>
          </cell>
        </row>
        <row r="1886">
          <cell r="O1886" t="str">
            <v>ATK-E512</v>
          </cell>
          <cell r="P1886" t="str">
            <v>STC4011B</v>
          </cell>
          <cell r="Q1886" t="str">
            <v>磁性位置传感器</v>
          </cell>
        </row>
        <row r="1887">
          <cell r="O1887" t="str">
            <v>ATK-E512</v>
          </cell>
          <cell r="P1887" t="str">
            <v>STC4011B</v>
          </cell>
          <cell r="Q1887" t="str">
            <v>磁性位置传感器</v>
          </cell>
        </row>
        <row r="1888">
          <cell r="O1888" t="str">
            <v>ATK-E512</v>
          </cell>
          <cell r="P1888" t="str">
            <v>STC4011B</v>
          </cell>
          <cell r="Q1888" t="str">
            <v>磁性位置传感器</v>
          </cell>
        </row>
        <row r="1889">
          <cell r="O1889" t="str">
            <v>ATK-E512</v>
          </cell>
          <cell r="P1889" t="str">
            <v>STC4011B</v>
          </cell>
          <cell r="Q1889" t="str">
            <v>磁性位置传感器</v>
          </cell>
        </row>
        <row r="1890">
          <cell r="O1890" t="str">
            <v>ATK-E512</v>
          </cell>
          <cell r="P1890" t="str">
            <v>STC4011B</v>
          </cell>
          <cell r="Q1890" t="str">
            <v>磁性位置传感器</v>
          </cell>
        </row>
        <row r="1891">
          <cell r="O1891" t="str">
            <v>ATK-E512</v>
          </cell>
          <cell r="P1891" t="str">
            <v>STC4011B</v>
          </cell>
          <cell r="Q1891" t="str">
            <v>磁性位置传感器</v>
          </cell>
        </row>
        <row r="1892">
          <cell r="O1892" t="str">
            <v>ATK-E512</v>
          </cell>
          <cell r="P1892" t="str">
            <v>STC4011B</v>
          </cell>
          <cell r="Q1892" t="str">
            <v>磁性位置传感器</v>
          </cell>
        </row>
        <row r="1893">
          <cell r="O1893" t="str">
            <v>ATK-E512</v>
          </cell>
          <cell r="P1893" t="str">
            <v>STC4011B</v>
          </cell>
          <cell r="Q1893" t="str">
            <v>磁性位置传感器</v>
          </cell>
        </row>
        <row r="1894">
          <cell r="O1894" t="str">
            <v>ATK-E512</v>
          </cell>
          <cell r="P1894" t="str">
            <v>STC4011B</v>
          </cell>
          <cell r="Q1894" t="str">
            <v>磁性位置传感器</v>
          </cell>
        </row>
        <row r="1895">
          <cell r="O1895" t="str">
            <v>ATK-E512</v>
          </cell>
          <cell r="P1895" t="str">
            <v>STC4011B</v>
          </cell>
          <cell r="Q1895" t="str">
            <v>磁性位置传感器</v>
          </cell>
        </row>
        <row r="1896">
          <cell r="O1896" t="str">
            <v>ATK-E512</v>
          </cell>
          <cell r="P1896" t="str">
            <v>STC4011B</v>
          </cell>
          <cell r="Q1896" t="str">
            <v>磁性位置传感器</v>
          </cell>
        </row>
        <row r="1897">
          <cell r="O1897" t="str">
            <v>ATK-E512</v>
          </cell>
          <cell r="P1897" t="str">
            <v>STC4011B</v>
          </cell>
          <cell r="Q1897" t="str">
            <v>磁性位置传感器</v>
          </cell>
        </row>
        <row r="1898">
          <cell r="O1898" t="str">
            <v>ATK-E512</v>
          </cell>
          <cell r="P1898" t="str">
            <v>STC4011B</v>
          </cell>
          <cell r="Q1898" t="str">
            <v>磁性位置传感器</v>
          </cell>
        </row>
        <row r="1899">
          <cell r="O1899" t="str">
            <v>ATK-E512</v>
          </cell>
          <cell r="P1899" t="str">
            <v>STC4011B</v>
          </cell>
          <cell r="Q1899" t="str">
            <v>磁性位置传感器</v>
          </cell>
        </row>
        <row r="1900">
          <cell r="O1900" t="str">
            <v>ATK-E512</v>
          </cell>
          <cell r="P1900" t="str">
            <v>STC4011B</v>
          </cell>
          <cell r="Q1900" t="str">
            <v>磁性位置传感器</v>
          </cell>
        </row>
        <row r="1901">
          <cell r="O1901" t="str">
            <v>ATK-E512</v>
          </cell>
          <cell r="P1901" t="str">
            <v>STC4011B</v>
          </cell>
          <cell r="Q1901" t="str">
            <v>磁性位置传感器</v>
          </cell>
        </row>
        <row r="1902">
          <cell r="O1902" t="str">
            <v>ATK-E512</v>
          </cell>
          <cell r="P1902" t="str">
            <v>STC4011B</v>
          </cell>
          <cell r="Q1902" t="str">
            <v>磁性位置传感器</v>
          </cell>
        </row>
        <row r="1903">
          <cell r="O1903" t="str">
            <v>ATK-E512</v>
          </cell>
          <cell r="P1903" t="str">
            <v>STC4011B</v>
          </cell>
          <cell r="Q1903" t="str">
            <v>磁性位置传感器</v>
          </cell>
        </row>
        <row r="1904">
          <cell r="O1904" t="str">
            <v>ATK-E512</v>
          </cell>
          <cell r="P1904" t="str">
            <v>STC4011B</v>
          </cell>
          <cell r="Q1904" t="str">
            <v>磁性位置传感器</v>
          </cell>
        </row>
        <row r="1905">
          <cell r="O1905" t="str">
            <v>ATK-E512</v>
          </cell>
          <cell r="P1905" t="str">
            <v>STC4011B</v>
          </cell>
          <cell r="Q1905" t="str">
            <v>磁性位置传感器</v>
          </cell>
        </row>
        <row r="1906">
          <cell r="O1906" t="str">
            <v>ATK-E512</v>
          </cell>
          <cell r="P1906" t="str">
            <v>STC4011B</v>
          </cell>
          <cell r="Q1906" t="str">
            <v>磁性位置传感器</v>
          </cell>
        </row>
        <row r="1907">
          <cell r="O1907" t="str">
            <v>ATK-E512</v>
          </cell>
          <cell r="P1907" t="str">
            <v>STC4011B</v>
          </cell>
          <cell r="Q1907" t="str">
            <v>磁性位置传感器</v>
          </cell>
        </row>
        <row r="1908">
          <cell r="O1908" t="str">
            <v>ATK-E512</v>
          </cell>
          <cell r="P1908" t="str">
            <v>STC4011B</v>
          </cell>
          <cell r="Q1908" t="str">
            <v>磁性位置传感器</v>
          </cell>
        </row>
        <row r="1909">
          <cell r="O1909" t="str">
            <v>ATK-E512</v>
          </cell>
          <cell r="P1909" t="str">
            <v>STC4011B</v>
          </cell>
          <cell r="Q1909" t="str">
            <v>磁性位置传感器</v>
          </cell>
        </row>
        <row r="1910">
          <cell r="O1910" t="str">
            <v>ATK-E512</v>
          </cell>
          <cell r="P1910" t="str">
            <v>STC4011B</v>
          </cell>
          <cell r="Q1910" t="str">
            <v>磁性位置传感器</v>
          </cell>
        </row>
        <row r="1911">
          <cell r="O1911" t="str">
            <v>SC4015SO-N-TR</v>
          </cell>
          <cell r="P1911" t="str">
            <v>STC4011E</v>
          </cell>
          <cell r="Q1911" t="str">
            <v>磁性位置传感器</v>
          </cell>
        </row>
        <row r="1912">
          <cell r="O1912" t="str">
            <v>SC4015SO-N-TR</v>
          </cell>
          <cell r="P1912" t="str">
            <v>STC4011E</v>
          </cell>
          <cell r="Q1912" t="str">
            <v>磁性位置传感器</v>
          </cell>
        </row>
        <row r="1913">
          <cell r="O1913" t="str">
            <v>SC4015SO-N-TR</v>
          </cell>
          <cell r="P1913" t="str">
            <v>STC4011E</v>
          </cell>
          <cell r="Q1913" t="str">
            <v>磁性位置传感器</v>
          </cell>
        </row>
        <row r="1914">
          <cell r="O1914" t="str">
            <v>SC4015SO-N-TR</v>
          </cell>
          <cell r="P1914" t="str">
            <v>STC4011E</v>
          </cell>
          <cell r="Q1914" t="str">
            <v>磁性位置传感器</v>
          </cell>
        </row>
        <row r="1915">
          <cell r="O1915" t="str">
            <v>SC2442UA</v>
          </cell>
          <cell r="P1915" t="str">
            <v>STC11102B</v>
          </cell>
          <cell r="Q1915" t="str">
            <v>磁性位置传感器</v>
          </cell>
        </row>
        <row r="1916">
          <cell r="O1916" t="str">
            <v>SD95109B</v>
          </cell>
          <cell r="P1916" t="str">
            <v>S22302A</v>
          </cell>
          <cell r="Q1916" t="str">
            <v>电机驱动</v>
          </cell>
        </row>
        <row r="1917">
          <cell r="O1917" t="str">
            <v>SC724SP30B5</v>
          </cell>
          <cell r="P1917" t="str">
            <v>STC9D06F</v>
          </cell>
          <cell r="Q1917" t="str">
            <v>电流传感器</v>
          </cell>
        </row>
        <row r="1918">
          <cell r="O1918" t="str">
            <v>SC4002UA</v>
          </cell>
          <cell r="P1918" t="str">
            <v>STC4000AA</v>
          </cell>
          <cell r="Q1918" t="str">
            <v>磁性位置传感器</v>
          </cell>
        </row>
        <row r="1919">
          <cell r="O1919" t="str">
            <v>SC4002UA</v>
          </cell>
          <cell r="P1919" t="str">
            <v>STC4000AA</v>
          </cell>
          <cell r="Q1919" t="str">
            <v>磁性位置传感器</v>
          </cell>
        </row>
        <row r="1920">
          <cell r="O1920" t="str">
            <v>SC4002UA</v>
          </cell>
          <cell r="P1920" t="str">
            <v>STC4000AA</v>
          </cell>
          <cell r="Q1920" t="str">
            <v>磁性位置传感器</v>
          </cell>
        </row>
        <row r="1921">
          <cell r="O1921" t="str">
            <v>ZH639D0B</v>
          </cell>
          <cell r="P1921" t="str">
            <v>ZH639D0B</v>
          </cell>
          <cell r="Q1921" t="str">
            <v>电机驱动</v>
          </cell>
        </row>
        <row r="1922">
          <cell r="O1922" t="str">
            <v>ZH639D0B</v>
          </cell>
          <cell r="P1922" t="str">
            <v>ZH639D0B</v>
          </cell>
          <cell r="Q1922" t="str">
            <v>电机驱动</v>
          </cell>
        </row>
        <row r="1923">
          <cell r="O1923" t="str">
            <v>SC2442SO</v>
          </cell>
          <cell r="P1923" t="str">
            <v>STC9906R</v>
          </cell>
          <cell r="Q1923" t="str">
            <v>磁性位置传感器</v>
          </cell>
        </row>
        <row r="1924">
          <cell r="O1924" t="str">
            <v>SC4011SO-N</v>
          </cell>
          <cell r="P1924" t="str">
            <v>STC4011B</v>
          </cell>
          <cell r="Q1924" t="str">
            <v>磁性位置传感器</v>
          </cell>
        </row>
        <row r="1925">
          <cell r="O1925" t="str">
            <v>SC4011SO-N</v>
          </cell>
          <cell r="P1925" t="str">
            <v>STC4011B</v>
          </cell>
          <cell r="Q1925" t="str">
            <v>磁性位置传感器</v>
          </cell>
        </row>
        <row r="1926">
          <cell r="O1926" t="str">
            <v>SC4011SO-N</v>
          </cell>
          <cell r="P1926" t="str">
            <v>STC4011B</v>
          </cell>
          <cell r="Q1926" t="str">
            <v>磁性位置传感器</v>
          </cell>
        </row>
        <row r="1927">
          <cell r="O1927" t="str">
            <v>SC4011SO-N</v>
          </cell>
          <cell r="P1927" t="str">
            <v>STC4011B</v>
          </cell>
          <cell r="Q1927" t="str">
            <v>磁性位置传感器</v>
          </cell>
        </row>
        <row r="1928">
          <cell r="O1928" t="str">
            <v>SC4011SO-N</v>
          </cell>
          <cell r="P1928" t="str">
            <v>STC4011B</v>
          </cell>
          <cell r="Q1928" t="str">
            <v>磁性位置传感器</v>
          </cell>
        </row>
        <row r="1929">
          <cell r="O1929" t="str">
            <v>SC4011SO-N</v>
          </cell>
          <cell r="P1929" t="str">
            <v>STC4011B</v>
          </cell>
          <cell r="Q1929" t="str">
            <v>磁性位置传感器</v>
          </cell>
        </row>
        <row r="1930">
          <cell r="O1930" t="str">
            <v>SC4011SO-N</v>
          </cell>
          <cell r="P1930" t="str">
            <v>STC4011B</v>
          </cell>
          <cell r="Q1930" t="str">
            <v>磁性位置传感器</v>
          </cell>
        </row>
        <row r="1931">
          <cell r="O1931" t="str">
            <v>SC4011SO-N</v>
          </cell>
          <cell r="P1931" t="str">
            <v>STC4011B</v>
          </cell>
          <cell r="Q1931" t="str">
            <v>磁性位置传感器</v>
          </cell>
        </row>
        <row r="1932">
          <cell r="O1932" t="str">
            <v>SC4011SO-N</v>
          </cell>
          <cell r="P1932" t="str">
            <v>STC4011B</v>
          </cell>
          <cell r="Q1932" t="str">
            <v>磁性位置传感器</v>
          </cell>
        </row>
        <row r="1933">
          <cell r="O1933" t="str">
            <v>SC4011SO-N</v>
          </cell>
          <cell r="P1933" t="str">
            <v>STC4011B</v>
          </cell>
          <cell r="Q1933" t="str">
            <v>磁性位置传感器</v>
          </cell>
        </row>
        <row r="1934">
          <cell r="O1934" t="str">
            <v>SC4011SO-N</v>
          </cell>
          <cell r="P1934" t="str">
            <v>STC4011B</v>
          </cell>
          <cell r="Q1934" t="str">
            <v>磁性位置传感器</v>
          </cell>
        </row>
        <row r="1935">
          <cell r="O1935" t="str">
            <v>SC4011SO-N</v>
          </cell>
          <cell r="P1935" t="str">
            <v>STC4011B</v>
          </cell>
          <cell r="Q1935" t="str">
            <v>磁性位置传感器</v>
          </cell>
        </row>
        <row r="1936">
          <cell r="O1936" t="str">
            <v>SC4011SO-N</v>
          </cell>
          <cell r="P1936" t="str">
            <v>STC4011B</v>
          </cell>
          <cell r="Q1936" t="str">
            <v>磁性位置传感器</v>
          </cell>
        </row>
        <row r="1937">
          <cell r="O1937" t="str">
            <v>SC4011SO-N</v>
          </cell>
          <cell r="P1937" t="str">
            <v>STC4011B</v>
          </cell>
          <cell r="Q1937" t="str">
            <v>磁性位置传感器</v>
          </cell>
        </row>
        <row r="1938">
          <cell r="O1938" t="str">
            <v>SC4011SO-N</v>
          </cell>
          <cell r="P1938" t="str">
            <v>STC4011B</v>
          </cell>
          <cell r="Q1938" t="str">
            <v>磁性位置传感器</v>
          </cell>
        </row>
        <row r="1939">
          <cell r="O1939" t="str">
            <v>SC4011SO-N</v>
          </cell>
          <cell r="P1939" t="str">
            <v>STC4011B</v>
          </cell>
          <cell r="Q1939" t="str">
            <v>磁性位置传感器</v>
          </cell>
        </row>
        <row r="1940">
          <cell r="O1940" t="str">
            <v>SC4011SO-N</v>
          </cell>
          <cell r="P1940" t="str">
            <v>STC4011B</v>
          </cell>
          <cell r="Q1940" t="str">
            <v>磁性位置传感器</v>
          </cell>
        </row>
        <row r="1941">
          <cell r="O1941" t="str">
            <v>SC4011SO-N</v>
          </cell>
          <cell r="P1941" t="str">
            <v>STC4011B</v>
          </cell>
          <cell r="Q1941" t="str">
            <v>磁性位置传感器</v>
          </cell>
        </row>
        <row r="1942">
          <cell r="O1942" t="str">
            <v>SC4011SO-N</v>
          </cell>
          <cell r="P1942" t="str">
            <v>STC4011B</v>
          </cell>
          <cell r="Q1942" t="str">
            <v>磁性位置传感器</v>
          </cell>
        </row>
        <row r="1943">
          <cell r="O1943" t="str">
            <v>SC2943A2-BK</v>
          </cell>
          <cell r="P1943" t="str">
            <v>STC11102B</v>
          </cell>
          <cell r="Q1943" t="str">
            <v>磁性位置传感器</v>
          </cell>
        </row>
        <row r="1944">
          <cell r="O1944" t="str">
            <v>SC2943A2-BK</v>
          </cell>
          <cell r="P1944" t="str">
            <v>STC11102B</v>
          </cell>
          <cell r="Q1944" t="str">
            <v>磁性位置传感器</v>
          </cell>
        </row>
        <row r="1945">
          <cell r="O1945" t="str">
            <v>SC2402UA-BK</v>
          </cell>
          <cell r="P1945" t="str">
            <v>STC9G002B</v>
          </cell>
          <cell r="Q1945" t="str">
            <v>磁性位置传感器</v>
          </cell>
        </row>
        <row r="1946">
          <cell r="O1946" t="str">
            <v>SC2402UA-BK</v>
          </cell>
          <cell r="P1946" t="str">
            <v>STC9G002B</v>
          </cell>
          <cell r="Q1946" t="str">
            <v>磁性位置传感器</v>
          </cell>
        </row>
        <row r="1947">
          <cell r="O1947" t="str">
            <v>SC2402UA-BK</v>
          </cell>
          <cell r="P1947" t="str">
            <v>STC9G002B</v>
          </cell>
          <cell r="Q1947" t="str">
            <v>磁性位置传感器</v>
          </cell>
        </row>
        <row r="1948">
          <cell r="O1948" t="str">
            <v>SC2402UA-BK</v>
          </cell>
          <cell r="P1948" t="str">
            <v>STC9G002B</v>
          </cell>
          <cell r="Q1948" t="str">
            <v>磁性位置传感器</v>
          </cell>
        </row>
        <row r="1949">
          <cell r="O1949" t="str">
            <v>SC2402UA-BK</v>
          </cell>
          <cell r="P1949" t="str">
            <v>STC9G002B</v>
          </cell>
          <cell r="Q1949" t="str">
            <v>磁性位置传感器</v>
          </cell>
        </row>
        <row r="1950">
          <cell r="O1950" t="str">
            <v>SC2402UA-BK</v>
          </cell>
          <cell r="P1950" t="str">
            <v>STC9G002B</v>
          </cell>
          <cell r="Q1950" t="str">
            <v>磁性位置传感器</v>
          </cell>
        </row>
        <row r="1951">
          <cell r="O1951" t="str">
            <v>SC1845F1-BK</v>
          </cell>
          <cell r="P1951" t="str">
            <v>STC2899AI</v>
          </cell>
          <cell r="Q1951" t="str">
            <v>磁性位置传感器</v>
          </cell>
        </row>
        <row r="1952">
          <cell r="O1952" t="str">
            <v>SC1845F1-BK</v>
          </cell>
          <cell r="P1952" t="str">
            <v>STC2899AI</v>
          </cell>
          <cell r="Q1952" t="str">
            <v>磁性位置传感器</v>
          </cell>
        </row>
        <row r="1953">
          <cell r="O1953" t="str">
            <v>SC1845F1-BK</v>
          </cell>
          <cell r="P1953" t="str">
            <v>STC2899AI</v>
          </cell>
          <cell r="Q1953" t="str">
            <v>磁性位置传感器</v>
          </cell>
        </row>
        <row r="1954">
          <cell r="O1954" t="str">
            <v>SC1845F1-BK</v>
          </cell>
          <cell r="P1954" t="str">
            <v>STC2899AI</v>
          </cell>
          <cell r="Q1954" t="str">
            <v>磁性位置传感器</v>
          </cell>
        </row>
        <row r="1955">
          <cell r="O1955" t="str">
            <v>SC1845F1-BK</v>
          </cell>
          <cell r="P1955" t="str">
            <v>STC2899AI</v>
          </cell>
          <cell r="Q1955" t="str">
            <v>磁性位置传感器</v>
          </cell>
        </row>
        <row r="1956">
          <cell r="O1956" t="str">
            <v>SC60221-D-400</v>
          </cell>
          <cell r="P1956" t="str">
            <v>STC9D04C</v>
          </cell>
          <cell r="Q1956" t="str">
            <v>电机编码器</v>
          </cell>
        </row>
        <row r="1957">
          <cell r="O1957" t="str">
            <v>SC2438UA</v>
          </cell>
          <cell r="P1957" t="str">
            <v>STC9906I</v>
          </cell>
          <cell r="Q1957" t="str">
            <v>磁性位置传感器</v>
          </cell>
        </row>
        <row r="1958">
          <cell r="O1958" t="str">
            <v>SC2416SE</v>
          </cell>
          <cell r="P1958" t="str">
            <v>STC9902B</v>
          </cell>
          <cell r="Q1958" t="str">
            <v>磁性位置传感器</v>
          </cell>
        </row>
        <row r="1959">
          <cell r="O1959" t="str">
            <v>SC2443SO</v>
          </cell>
          <cell r="P1959" t="str">
            <v>STC9906T</v>
          </cell>
          <cell r="Q1959" t="str">
            <v>磁性位置传感器</v>
          </cell>
        </row>
        <row r="1960">
          <cell r="O1960" t="str">
            <v>SD2276VB-BK</v>
          </cell>
          <cell r="P1960" t="str">
            <v>FD1014A</v>
          </cell>
          <cell r="Q1960" t="str">
            <v>电机驱动</v>
          </cell>
        </row>
        <row r="1961">
          <cell r="O1961" t="str">
            <v>SC2438UA</v>
          </cell>
          <cell r="P1961" t="str">
            <v>STC9906I</v>
          </cell>
          <cell r="Q1961" t="str">
            <v>磁性位置传感器</v>
          </cell>
        </row>
        <row r="1962">
          <cell r="O1962" t="str">
            <v>SC9641TS-PC</v>
          </cell>
          <cell r="P1962" t="str">
            <v>STC9A001I</v>
          </cell>
          <cell r="Q1962" t="str">
            <v>速度传感器</v>
          </cell>
        </row>
        <row r="1963">
          <cell r="O1963" t="str">
            <v>SC1134UA</v>
          </cell>
          <cell r="P1963" t="str">
            <v>STC1898AI</v>
          </cell>
          <cell r="Q1963" t="str">
            <v>磁性位置传感器</v>
          </cell>
        </row>
        <row r="1964">
          <cell r="O1964" t="str">
            <v>SC2402SO-N</v>
          </cell>
          <cell r="P1964" t="str">
            <v>STC9902J</v>
          </cell>
          <cell r="Q1964" t="str">
            <v>磁性位置传感器</v>
          </cell>
        </row>
        <row r="1965">
          <cell r="O1965" t="str">
            <v>SC2402SO-N</v>
          </cell>
          <cell r="P1965" t="str">
            <v>STC9902J</v>
          </cell>
          <cell r="Q1965" t="str">
            <v>磁性位置传感器</v>
          </cell>
        </row>
        <row r="1966">
          <cell r="O1966" t="str">
            <v>SC2402SO-N</v>
          </cell>
          <cell r="P1966" t="str">
            <v>STC9902J</v>
          </cell>
          <cell r="Q1966" t="str">
            <v>磁性位置传感器</v>
          </cell>
        </row>
        <row r="1967">
          <cell r="O1967" t="str">
            <v>SC2462SO</v>
          </cell>
          <cell r="P1967" t="str">
            <v>STC9906J</v>
          </cell>
          <cell r="Q1967" t="str">
            <v>磁性位置传感器</v>
          </cell>
        </row>
        <row r="1968">
          <cell r="O1968" t="str">
            <v>SC2402SO-N</v>
          </cell>
          <cell r="P1968" t="str">
            <v>STC9G002A</v>
          </cell>
          <cell r="Q1968" t="str">
            <v>磁性位置传感器</v>
          </cell>
        </row>
        <row r="1969">
          <cell r="O1969" t="str">
            <v>SC4015SO-N-TR</v>
          </cell>
          <cell r="P1969" t="str">
            <v>STC4011E</v>
          </cell>
          <cell r="Q1969" t="str">
            <v>磁性位置传感器</v>
          </cell>
        </row>
        <row r="1970">
          <cell r="O1970" t="str">
            <v>SC4015SO-N-TR</v>
          </cell>
          <cell r="P1970" t="str">
            <v>STC4011E</v>
          </cell>
          <cell r="Q1970" t="str">
            <v>磁性位置传感器</v>
          </cell>
        </row>
        <row r="1971">
          <cell r="O1971" t="str">
            <v>SC4015SO-N-TR</v>
          </cell>
          <cell r="P1971" t="str">
            <v>STC4011E</v>
          </cell>
          <cell r="Q1971" t="str">
            <v>磁性位置传感器</v>
          </cell>
        </row>
        <row r="1972">
          <cell r="O1972" t="str">
            <v>SC9648TS-P</v>
          </cell>
          <cell r="P1972" t="str">
            <v>STC9A001I</v>
          </cell>
          <cell r="Q1972" t="str">
            <v>速度传感器</v>
          </cell>
        </row>
        <row r="1973">
          <cell r="O1973" t="str">
            <v>SC9648TS-P</v>
          </cell>
          <cell r="P1973" t="str">
            <v>STC9A001I</v>
          </cell>
          <cell r="Q1973" t="str">
            <v>速度传感器</v>
          </cell>
        </row>
        <row r="1974">
          <cell r="O1974" t="str">
            <v>SC9648TS-P</v>
          </cell>
          <cell r="P1974" t="str">
            <v>STC9A001I</v>
          </cell>
          <cell r="Q1974" t="str">
            <v>速度传感器</v>
          </cell>
        </row>
        <row r="1975">
          <cell r="O1975" t="str">
            <v>SC9648TS-P</v>
          </cell>
          <cell r="P1975" t="str">
            <v>STC9A001I</v>
          </cell>
          <cell r="Q1975" t="str">
            <v>速度传感器</v>
          </cell>
        </row>
        <row r="1976">
          <cell r="O1976" t="str">
            <v>SC9648TS-P</v>
          </cell>
          <cell r="P1976" t="str">
            <v>STC9A001I</v>
          </cell>
          <cell r="Q1976" t="str">
            <v>速度传感器</v>
          </cell>
        </row>
        <row r="1977">
          <cell r="O1977" t="str">
            <v>SC9648TS-P</v>
          </cell>
          <cell r="P1977" t="str">
            <v>STC9A001I</v>
          </cell>
          <cell r="Q1977" t="str">
            <v>速度传感器</v>
          </cell>
        </row>
        <row r="1978">
          <cell r="O1978" t="str">
            <v>SC9648TS-P</v>
          </cell>
          <cell r="P1978" t="str">
            <v>STC9A001I</v>
          </cell>
          <cell r="Q1978" t="str">
            <v>速度传感器</v>
          </cell>
        </row>
        <row r="1979">
          <cell r="O1979" t="str">
            <v>SC9648TS-P</v>
          </cell>
          <cell r="P1979" t="str">
            <v>STC9A001I</v>
          </cell>
          <cell r="Q1979" t="str">
            <v>速度传感器</v>
          </cell>
        </row>
        <row r="1980">
          <cell r="O1980" t="str">
            <v>SC9648TS-P</v>
          </cell>
          <cell r="P1980" t="str">
            <v>STC9A001I</v>
          </cell>
          <cell r="Q1980" t="str">
            <v>速度传感器</v>
          </cell>
        </row>
        <row r="1981">
          <cell r="O1981" t="str">
            <v>SC9648TS-P</v>
          </cell>
          <cell r="P1981" t="str">
            <v>STC9A001I</v>
          </cell>
          <cell r="Q1981" t="str">
            <v>速度传感器</v>
          </cell>
        </row>
        <row r="1982">
          <cell r="O1982" t="str">
            <v>SC9648TS-P</v>
          </cell>
          <cell r="P1982" t="str">
            <v>STC9A001I</v>
          </cell>
          <cell r="Q1982" t="str">
            <v>速度传感器</v>
          </cell>
        </row>
        <row r="1983">
          <cell r="O1983" t="str">
            <v>SC9648TS-P</v>
          </cell>
          <cell r="P1983" t="str">
            <v>STC9A001I</v>
          </cell>
          <cell r="Q1983" t="str">
            <v>速度传感器</v>
          </cell>
        </row>
        <row r="1984">
          <cell r="O1984" t="str">
            <v>SC4643编程器</v>
          </cell>
          <cell r="P1984" t="str">
            <v xml:space="preserve"> </v>
          </cell>
          <cell r="Q1984" t="str">
            <v>电流传感器</v>
          </cell>
        </row>
        <row r="1985">
          <cell r="O1985" t="str">
            <v>SC9641TS-PC</v>
          </cell>
          <cell r="P1985" t="str">
            <v>STC9A001I</v>
          </cell>
          <cell r="Q1985" t="str">
            <v>速度传感器</v>
          </cell>
        </row>
        <row r="1986">
          <cell r="O1986" t="str">
            <v>SC9641TS-PC</v>
          </cell>
          <cell r="P1986" t="str">
            <v>STC9A001I</v>
          </cell>
          <cell r="Q1986" t="str">
            <v>速度传感器</v>
          </cell>
        </row>
        <row r="1987">
          <cell r="O1987" t="str">
            <v>SC9641TS-PC</v>
          </cell>
          <cell r="P1987" t="str">
            <v>STC9A001I</v>
          </cell>
          <cell r="Q1987" t="str">
            <v>速度传感器</v>
          </cell>
        </row>
        <row r="1988">
          <cell r="O1988" t="str">
            <v>SC9641TS-PC</v>
          </cell>
          <cell r="P1988" t="str">
            <v>STC9A001I</v>
          </cell>
          <cell r="Q1988" t="str">
            <v>速度传感器</v>
          </cell>
        </row>
        <row r="1989">
          <cell r="O1989" t="str">
            <v>SC9641TS-PC</v>
          </cell>
          <cell r="P1989" t="str">
            <v>STC9A001I</v>
          </cell>
          <cell r="Q1989" t="str">
            <v>速度传感器</v>
          </cell>
        </row>
        <row r="1990">
          <cell r="O1990" t="str">
            <v>通用编程器2.0</v>
          </cell>
          <cell r="P1990" t="str">
            <v xml:space="preserve"> </v>
          </cell>
          <cell r="Q1990" t="str">
            <v>速度传感器</v>
          </cell>
        </row>
        <row r="1991">
          <cell r="O1991" t="str">
            <v>SC4688DC</v>
          </cell>
          <cell r="P1991" t="str">
            <v>STC9D01C</v>
          </cell>
          <cell r="Q1991" t="str">
            <v>角度传感器</v>
          </cell>
        </row>
        <row r="1992">
          <cell r="O1992" t="str">
            <v>SC2443UA</v>
          </cell>
          <cell r="P1992" t="str">
            <v>STC9906W</v>
          </cell>
          <cell r="Q1992" t="str">
            <v>磁性位置传感器</v>
          </cell>
        </row>
        <row r="1993">
          <cell r="O1993" t="str">
            <v>SC2443UA</v>
          </cell>
          <cell r="P1993" t="str">
            <v>STC9906W</v>
          </cell>
          <cell r="Q1993" t="str">
            <v>磁性位置传感器</v>
          </cell>
        </row>
        <row r="1994">
          <cell r="O1994" t="str">
            <v>SC2443UA</v>
          </cell>
          <cell r="P1994" t="str">
            <v>STC9906W</v>
          </cell>
          <cell r="Q1994" t="str">
            <v>磁性位置传感器</v>
          </cell>
        </row>
        <row r="1995">
          <cell r="O1995" t="str">
            <v>SC2443UA</v>
          </cell>
          <cell r="P1995" t="str">
            <v>STC9906W</v>
          </cell>
          <cell r="Q1995" t="str">
            <v>磁性位置传感器</v>
          </cell>
        </row>
        <row r="1996">
          <cell r="O1996" t="str">
            <v>SC1138SO-N</v>
          </cell>
          <cell r="P1996" t="str">
            <v>STC1898AC</v>
          </cell>
          <cell r="Q1996" t="str">
            <v>磁性位置传感器</v>
          </cell>
        </row>
        <row r="1997">
          <cell r="O1997" t="str">
            <v>SC1138SO-N</v>
          </cell>
          <cell r="P1997" t="str">
            <v>STC1898AC</v>
          </cell>
          <cell r="Q1997" t="str">
            <v>磁性位置传感器</v>
          </cell>
        </row>
        <row r="1998">
          <cell r="O1998" t="str">
            <v>SC1138SO-N</v>
          </cell>
          <cell r="P1998" t="str">
            <v>STC1898AC</v>
          </cell>
          <cell r="Q1998" t="str">
            <v>磁性位置传感器</v>
          </cell>
        </row>
        <row r="1999">
          <cell r="O1999" t="str">
            <v>SC1138SO-N</v>
          </cell>
          <cell r="P1999" t="str">
            <v>STC1898AC</v>
          </cell>
          <cell r="Q1999" t="str">
            <v>磁性位置传感器</v>
          </cell>
        </row>
        <row r="2000">
          <cell r="O2000" t="str">
            <v>SC9642TS-E</v>
          </cell>
          <cell r="P2000" t="str">
            <v>STC9A001H</v>
          </cell>
          <cell r="Q2000" t="str">
            <v>速度传感器</v>
          </cell>
        </row>
        <row r="2001">
          <cell r="O2001" t="str">
            <v>SC9641TS</v>
          </cell>
          <cell r="P2001" t="str">
            <v>STC9910BN</v>
          </cell>
          <cell r="Q2001" t="str">
            <v>速度传感器</v>
          </cell>
        </row>
        <row r="2002">
          <cell r="O2002" t="str">
            <v>SC9641TS</v>
          </cell>
          <cell r="P2002" t="str">
            <v>STC9910BN</v>
          </cell>
          <cell r="Q2002" t="str">
            <v>速度传感器</v>
          </cell>
        </row>
        <row r="2003">
          <cell r="O2003" t="str">
            <v>SC9641TS</v>
          </cell>
          <cell r="P2003" t="str">
            <v>STC9910BN</v>
          </cell>
          <cell r="Q2003" t="str">
            <v>速度传感器</v>
          </cell>
        </row>
        <row r="2004">
          <cell r="O2004" t="str">
            <v>SC9641TS</v>
          </cell>
          <cell r="P2004" t="str">
            <v>STC9910BN</v>
          </cell>
          <cell r="Q2004" t="str">
            <v>速度传感器</v>
          </cell>
        </row>
        <row r="2005">
          <cell r="O2005" t="str">
            <v>SC9641TS</v>
          </cell>
          <cell r="P2005" t="str">
            <v>STC9910BN</v>
          </cell>
          <cell r="Q2005" t="str">
            <v>速度传感器</v>
          </cell>
        </row>
        <row r="2006">
          <cell r="O2006" t="str">
            <v>SC2416SE</v>
          </cell>
          <cell r="P2006" t="str">
            <v>STC9902B</v>
          </cell>
          <cell r="Q2006" t="str">
            <v>磁性位置传感器</v>
          </cell>
        </row>
        <row r="2007">
          <cell r="O2007" t="str">
            <v>SC9314UA</v>
          </cell>
          <cell r="P2007" t="str">
            <v>STC9901AF</v>
          </cell>
          <cell r="Q2007" t="str">
            <v>速度传感器</v>
          </cell>
        </row>
        <row r="2008">
          <cell r="O2008" t="str">
            <v>SC9314UA</v>
          </cell>
          <cell r="P2008" t="str">
            <v>STC9901AF</v>
          </cell>
          <cell r="Q2008" t="str">
            <v>速度传感器</v>
          </cell>
        </row>
        <row r="2009">
          <cell r="O2009" t="str">
            <v>SC9314UA</v>
          </cell>
          <cell r="P2009" t="str">
            <v>STC9901AF</v>
          </cell>
          <cell r="Q2009" t="str">
            <v>速度传感器</v>
          </cell>
        </row>
        <row r="2010">
          <cell r="O2010" t="str">
            <v>SC4688编程器</v>
          </cell>
          <cell r="P2010" t="str">
            <v xml:space="preserve"> </v>
          </cell>
          <cell r="Q2010" t="str">
            <v>角度传感器</v>
          </cell>
        </row>
        <row r="2011">
          <cell r="O2011" t="str">
            <v>SC4688编程器</v>
          </cell>
          <cell r="P2011" t="str">
            <v xml:space="preserve"> </v>
          </cell>
          <cell r="Q2011" t="str">
            <v>角度传感器</v>
          </cell>
        </row>
        <row r="2012">
          <cell r="O2012" t="str">
            <v>SC4643VB</v>
          </cell>
          <cell r="P2012" t="str">
            <v>STC9D03E</v>
          </cell>
          <cell r="Q2012" t="str">
            <v>电流传感器</v>
          </cell>
        </row>
        <row r="2013">
          <cell r="O2013" t="str">
            <v>SC9641TS-PC</v>
          </cell>
          <cell r="P2013" t="str">
            <v>STC9A001I</v>
          </cell>
          <cell r="Q2013" t="str">
            <v>速度传感器</v>
          </cell>
        </row>
        <row r="2014">
          <cell r="O2014" t="str">
            <v>SC9641TS-PC</v>
          </cell>
          <cell r="P2014" t="str">
            <v>STC9A001I</v>
          </cell>
          <cell r="Q2014" t="str">
            <v>速度传感器</v>
          </cell>
        </row>
        <row r="2015">
          <cell r="O2015" t="str">
            <v>SD2276VB-BK</v>
          </cell>
          <cell r="P2015" t="str">
            <v>FD1014A</v>
          </cell>
          <cell r="Q2015" t="str">
            <v>电机驱动</v>
          </cell>
        </row>
        <row r="2016">
          <cell r="O2016" t="str">
            <v>SD2276VB-BK</v>
          </cell>
          <cell r="P2016" t="str">
            <v>FD1014A</v>
          </cell>
          <cell r="Q2016" t="str">
            <v>电机驱动</v>
          </cell>
        </row>
        <row r="2017">
          <cell r="O2017" t="str">
            <v>SL54123A</v>
          </cell>
          <cell r="P2017" t="str">
            <v>STC16100A</v>
          </cell>
          <cell r="Q2017" t="str">
            <v>电流传感器</v>
          </cell>
        </row>
        <row r="2018">
          <cell r="O2018" t="str">
            <v>SL002147</v>
          </cell>
          <cell r="P2018" t="str">
            <v>STC16100A</v>
          </cell>
          <cell r="Q2018" t="str">
            <v>电流传感器</v>
          </cell>
        </row>
        <row r="2019">
          <cell r="O2019" t="str">
            <v>SL002147</v>
          </cell>
          <cell r="P2019" t="str">
            <v>STC16100A</v>
          </cell>
          <cell r="Q2019" t="str">
            <v>电流传感器</v>
          </cell>
        </row>
        <row r="2020">
          <cell r="O2020" t="str">
            <v>SL54123A</v>
          </cell>
          <cell r="P2020" t="str">
            <v>STC16100A</v>
          </cell>
          <cell r="Q2020" t="str">
            <v>电流传感器</v>
          </cell>
        </row>
        <row r="2021">
          <cell r="O2021" t="str">
            <v>SC4015SO-N-TR</v>
          </cell>
          <cell r="P2021" t="str">
            <v>STC4011E</v>
          </cell>
          <cell r="Q2021" t="str">
            <v>磁性位置传感器</v>
          </cell>
        </row>
        <row r="2022">
          <cell r="O2022" t="str">
            <v>SC4015SO-N-TR</v>
          </cell>
          <cell r="P2022" t="str">
            <v>STC4011E</v>
          </cell>
          <cell r="Q2022" t="str">
            <v>磁性位置传感器</v>
          </cell>
        </row>
        <row r="2023">
          <cell r="O2023" t="str">
            <v>SC4015SO-N-TR</v>
          </cell>
          <cell r="P2023" t="str">
            <v>STC4011E</v>
          </cell>
          <cell r="Q2023" t="str">
            <v>磁性位置传感器</v>
          </cell>
        </row>
        <row r="2024">
          <cell r="O2024" t="str">
            <v>SC4015SO-N-TR</v>
          </cell>
          <cell r="P2024" t="str">
            <v>STC4011E</v>
          </cell>
          <cell r="Q2024" t="str">
            <v>磁性位置传感器</v>
          </cell>
        </row>
        <row r="2025">
          <cell r="O2025" t="str">
            <v>SC9641TS-PC</v>
          </cell>
          <cell r="P2025" t="str">
            <v>STC9A001I</v>
          </cell>
          <cell r="Q2025" t="str">
            <v>速度传感器</v>
          </cell>
        </row>
        <row r="2026">
          <cell r="O2026" t="str">
            <v>SC9641TS-PC</v>
          </cell>
          <cell r="P2026" t="str">
            <v>STC9A001I</v>
          </cell>
          <cell r="Q2026" t="str">
            <v>速度传感器</v>
          </cell>
        </row>
        <row r="2027">
          <cell r="O2027" t="str">
            <v>SC2064UA</v>
          </cell>
          <cell r="P2027" t="str">
            <v>STC9G001C</v>
          </cell>
          <cell r="Q2027" t="str">
            <v>磁性位置传感器</v>
          </cell>
        </row>
        <row r="2028">
          <cell r="O2028" t="str">
            <v>SC2402SO-N</v>
          </cell>
          <cell r="P2028" t="str">
            <v>STC9902J</v>
          </cell>
          <cell r="Q2028" t="str">
            <v>磁性位置传感器</v>
          </cell>
        </row>
        <row r="2029">
          <cell r="O2029" t="str">
            <v>SC2402UA</v>
          </cell>
          <cell r="P2029" t="str">
            <v>STC9902J</v>
          </cell>
          <cell r="Q2029" t="str">
            <v>磁性位置传感器</v>
          </cell>
        </row>
        <row r="2030">
          <cell r="O2030" t="str">
            <v>SC4015SO-N-TR</v>
          </cell>
          <cell r="P2030" t="str">
            <v>STC4011E</v>
          </cell>
          <cell r="Q2030" t="str">
            <v>磁性位置传感器</v>
          </cell>
        </row>
        <row r="2031">
          <cell r="O2031" t="str">
            <v>SC4015SO-N-TR</v>
          </cell>
          <cell r="P2031" t="str">
            <v>STC4011E</v>
          </cell>
          <cell r="Q2031" t="str">
            <v>磁性位置传感器</v>
          </cell>
        </row>
        <row r="2032">
          <cell r="O2032" t="str">
            <v>SC4015SO-N-TR</v>
          </cell>
          <cell r="P2032" t="str">
            <v>STC4011E</v>
          </cell>
          <cell r="Q2032" t="str">
            <v>磁性位置传感器</v>
          </cell>
        </row>
        <row r="2033">
          <cell r="O2033" t="str">
            <v>SC1445A1</v>
          </cell>
          <cell r="P2033" t="str">
            <v>STC2899AB</v>
          </cell>
          <cell r="Q2033" t="str">
            <v>磁性位置传感器</v>
          </cell>
        </row>
        <row r="2034">
          <cell r="O2034" t="str">
            <v>SC2498TSO</v>
          </cell>
          <cell r="P2034" t="str">
            <v>STC11300C</v>
          </cell>
          <cell r="Q2034" t="str">
            <v>磁性位置传感器</v>
          </cell>
        </row>
        <row r="2035">
          <cell r="O2035" t="str">
            <v>SC2443SO</v>
          </cell>
          <cell r="P2035" t="str">
            <v>STC9906T</v>
          </cell>
          <cell r="Q2035" t="str">
            <v>磁性位置传感器</v>
          </cell>
        </row>
        <row r="2036">
          <cell r="O2036" t="str">
            <v>SC4002BU</v>
          </cell>
          <cell r="P2036" t="str">
            <v>STC4000AA</v>
          </cell>
          <cell r="Q2036" t="str">
            <v>磁性位置传感器</v>
          </cell>
        </row>
        <row r="2037">
          <cell r="O2037" t="str">
            <v>SC4002BU</v>
          </cell>
          <cell r="P2037" t="str">
            <v>STC4000AA</v>
          </cell>
          <cell r="Q2037" t="str">
            <v>磁性位置传感器</v>
          </cell>
        </row>
        <row r="2038">
          <cell r="O2038" t="str">
            <v>SC4002BU</v>
          </cell>
          <cell r="P2038" t="str">
            <v>STC4000AA</v>
          </cell>
          <cell r="Q2038" t="str">
            <v>磁性位置传感器</v>
          </cell>
        </row>
        <row r="2039">
          <cell r="O2039" t="str">
            <v>SC4002BU</v>
          </cell>
          <cell r="P2039" t="str">
            <v>STC4000AA</v>
          </cell>
          <cell r="Q2039" t="str">
            <v>磁性位置传感器</v>
          </cell>
        </row>
        <row r="2040">
          <cell r="O2040" t="str">
            <v>SC4002BU</v>
          </cell>
          <cell r="P2040" t="str">
            <v>STC4000AA</v>
          </cell>
          <cell r="Q2040" t="str">
            <v>磁性位置传感器</v>
          </cell>
        </row>
        <row r="2041">
          <cell r="O2041" t="str">
            <v>SC4002BU</v>
          </cell>
          <cell r="P2041" t="str">
            <v>STC4000AA</v>
          </cell>
          <cell r="Q2041" t="str">
            <v>磁性位置传感器</v>
          </cell>
        </row>
        <row r="2042">
          <cell r="O2042" t="str">
            <v>SC4002BU</v>
          </cell>
          <cell r="P2042" t="str">
            <v>STC4000AA</v>
          </cell>
          <cell r="Q2042" t="str">
            <v>磁性位置传感器</v>
          </cell>
        </row>
        <row r="2043">
          <cell r="O2043" t="str">
            <v>SC2442UA</v>
          </cell>
          <cell r="P2043" t="str">
            <v>STC11102B</v>
          </cell>
          <cell r="Q2043" t="str">
            <v>磁性位置传感器</v>
          </cell>
        </row>
        <row r="2044">
          <cell r="O2044" t="str">
            <v>SC9648TS-P</v>
          </cell>
          <cell r="P2044" t="str">
            <v>STC9A001I</v>
          </cell>
          <cell r="Q2044" t="str">
            <v>速度传感器</v>
          </cell>
        </row>
        <row r="2045">
          <cell r="O2045" t="str">
            <v>SC9648TS-P</v>
          </cell>
          <cell r="P2045" t="str">
            <v>STC9A001I</v>
          </cell>
          <cell r="Q2045" t="str">
            <v>速度传感器</v>
          </cell>
        </row>
        <row r="2046">
          <cell r="O2046" t="str">
            <v>SC9648TS-P</v>
          </cell>
          <cell r="P2046" t="str">
            <v>STC9A001I</v>
          </cell>
          <cell r="Q2046" t="str">
            <v>速度传感器</v>
          </cell>
        </row>
        <row r="2047">
          <cell r="O2047" t="str">
            <v>SC9648TS-P</v>
          </cell>
          <cell r="P2047" t="str">
            <v>STC9A001I</v>
          </cell>
          <cell r="Q2047" t="str">
            <v>速度传感器</v>
          </cell>
        </row>
        <row r="2048">
          <cell r="O2048" t="str">
            <v>SC9648TS-P</v>
          </cell>
          <cell r="P2048" t="str">
            <v>STC9A001I</v>
          </cell>
          <cell r="Q2048" t="str">
            <v>速度传感器</v>
          </cell>
        </row>
        <row r="2049">
          <cell r="O2049" t="str">
            <v>SC9648TS-P</v>
          </cell>
          <cell r="P2049" t="str">
            <v>STC9A001I</v>
          </cell>
          <cell r="Q2049" t="str">
            <v>速度传感器</v>
          </cell>
        </row>
        <row r="2050">
          <cell r="O2050" t="str">
            <v>SC9642TS-EC</v>
          </cell>
          <cell r="P2050" t="str">
            <v>STC9A001H</v>
          </cell>
          <cell r="Q2050" t="str">
            <v>速度传感器</v>
          </cell>
        </row>
        <row r="2051">
          <cell r="O2051" t="str">
            <v>SC9642TS-EC</v>
          </cell>
          <cell r="P2051" t="str">
            <v>STC9A001H</v>
          </cell>
          <cell r="Q2051" t="str">
            <v>速度传感器</v>
          </cell>
        </row>
        <row r="2052">
          <cell r="O2052" t="str">
            <v>SC9641TS-PC</v>
          </cell>
          <cell r="P2052" t="str">
            <v>STC9A001I</v>
          </cell>
          <cell r="Q2052" t="str">
            <v>速度传感器</v>
          </cell>
        </row>
        <row r="2053">
          <cell r="O2053" t="str">
            <v>SC9683TS-TR-Q</v>
          </cell>
          <cell r="P2053" t="str">
            <v>STC12100B</v>
          </cell>
          <cell r="Q2053" t="str">
            <v>速度传感器</v>
          </cell>
        </row>
        <row r="2054">
          <cell r="O2054" t="str">
            <v>SC9683TS-TR-Q</v>
          </cell>
          <cell r="P2054" t="str">
            <v>STC12100B</v>
          </cell>
          <cell r="Q2054" t="str">
            <v>速度传感器</v>
          </cell>
        </row>
        <row r="2055">
          <cell r="O2055" t="str">
            <v>SC9642TS-E</v>
          </cell>
          <cell r="P2055" t="str">
            <v>STC9A001H</v>
          </cell>
          <cell r="Q2055" t="str">
            <v>速度传感器</v>
          </cell>
        </row>
        <row r="2056">
          <cell r="O2056" t="str">
            <v>SC9634VB</v>
          </cell>
          <cell r="P2056" t="str">
            <v>STC9905G</v>
          </cell>
          <cell r="Q2056" t="str">
            <v>速度传感器</v>
          </cell>
        </row>
        <row r="2057">
          <cell r="O2057" t="str">
            <v>SC60340</v>
          </cell>
          <cell r="P2057" t="str">
            <v>STC9D05C</v>
          </cell>
          <cell r="Q2057" t="str">
            <v>电机编码器</v>
          </cell>
        </row>
        <row r="2058">
          <cell r="O2058" t="str">
            <v>SC60224-D-500</v>
          </cell>
          <cell r="P2058" t="str">
            <v>STC9D04C</v>
          </cell>
          <cell r="Q2058" t="str">
            <v>电机编码器</v>
          </cell>
        </row>
        <row r="2059">
          <cell r="O2059" t="str">
            <v>SC60224-U-P4-1024</v>
          </cell>
          <cell r="P2059" t="str">
            <v>STC9D04C</v>
          </cell>
          <cell r="Q2059" t="str">
            <v>电机编码器</v>
          </cell>
        </row>
        <row r="2060">
          <cell r="O2060" t="str">
            <v>SC4643VB-G-BK-Q</v>
          </cell>
          <cell r="P2060" t="str">
            <v>STC9D03E</v>
          </cell>
          <cell r="Q2060" t="str">
            <v>电流传感器</v>
          </cell>
        </row>
        <row r="2061">
          <cell r="O2061" t="str">
            <v>SC4643VB-G-BK-Q</v>
          </cell>
          <cell r="P2061" t="str">
            <v>STC9D03E</v>
          </cell>
          <cell r="Q2061" t="str">
            <v>电流传感器</v>
          </cell>
        </row>
        <row r="2062">
          <cell r="O2062" t="str">
            <v>SC2402SO-N</v>
          </cell>
          <cell r="P2062" t="str">
            <v>STC9H001A</v>
          </cell>
          <cell r="Q2062" t="str">
            <v>磁性位置传感器</v>
          </cell>
        </row>
        <row r="2063">
          <cell r="O2063" t="str">
            <v>SD2276VB-BK</v>
          </cell>
          <cell r="P2063" t="str">
            <v>FD1014A</v>
          </cell>
          <cell r="Q2063" t="str">
            <v>电机驱动</v>
          </cell>
        </row>
        <row r="2064">
          <cell r="O2064" t="str">
            <v>SD2276VB-BK</v>
          </cell>
          <cell r="P2064" t="str">
            <v>FD1014A</v>
          </cell>
          <cell r="Q2064" t="str">
            <v>电机驱动</v>
          </cell>
        </row>
        <row r="2065">
          <cell r="O2065" t="str">
            <v>SC4688SA-A</v>
          </cell>
          <cell r="P2065" t="str">
            <v>STC9D01C</v>
          </cell>
          <cell r="Q2065" t="str">
            <v>角度传感器</v>
          </cell>
        </row>
        <row r="2066">
          <cell r="O2066" t="str">
            <v>SC9634VB</v>
          </cell>
          <cell r="P2066" t="str">
            <v>STC9905G</v>
          </cell>
          <cell r="Q2066" t="str">
            <v>速度传感器</v>
          </cell>
        </row>
        <row r="2067">
          <cell r="O2067" t="str">
            <v>SC9634VB</v>
          </cell>
          <cell r="P2067" t="str">
            <v>STC9905G</v>
          </cell>
          <cell r="Q2067" t="str">
            <v>速度传感器</v>
          </cell>
        </row>
        <row r="2068">
          <cell r="O2068" t="str">
            <v>SC9621VB</v>
          </cell>
          <cell r="P2068" t="str">
            <v>STC9910C</v>
          </cell>
          <cell r="Q2068" t="str">
            <v>速度传感器</v>
          </cell>
        </row>
        <row r="2069">
          <cell r="O2069" t="str">
            <v>SC9621VB</v>
          </cell>
          <cell r="P2069" t="str">
            <v>STC9910C</v>
          </cell>
          <cell r="Q2069" t="str">
            <v>速度传感器</v>
          </cell>
        </row>
        <row r="2070">
          <cell r="O2070" t="str">
            <v>SC4002BU</v>
          </cell>
          <cell r="P2070" t="str">
            <v>STC4000AA</v>
          </cell>
          <cell r="Q2070" t="str">
            <v>磁性位置传感器</v>
          </cell>
        </row>
        <row r="2071">
          <cell r="O2071" t="str">
            <v>SC4015SO-N-TR</v>
          </cell>
          <cell r="P2071" t="str">
            <v>STC4011E</v>
          </cell>
          <cell r="Q2071" t="str">
            <v>磁性位置传感器</v>
          </cell>
        </row>
        <row r="2072">
          <cell r="O2072" t="str">
            <v>SC4015SO-N-TR</v>
          </cell>
          <cell r="P2072" t="str">
            <v>STC4011E</v>
          </cell>
          <cell r="Q2072" t="str">
            <v>磁性位置传感器</v>
          </cell>
        </row>
        <row r="2073">
          <cell r="O2073" t="str">
            <v>SC4015SO-N-TR</v>
          </cell>
          <cell r="P2073" t="str">
            <v>STC4011E</v>
          </cell>
          <cell r="Q2073" t="str">
            <v>磁性位置传感器</v>
          </cell>
        </row>
        <row r="2074">
          <cell r="O2074" t="str">
            <v>SC1245UA</v>
          </cell>
          <cell r="P2074" t="str">
            <v>STC1898AD</v>
          </cell>
          <cell r="Q2074" t="str">
            <v>磁性位置传感器</v>
          </cell>
        </row>
        <row r="2075">
          <cell r="O2075" t="str">
            <v>SC1245UA</v>
          </cell>
          <cell r="P2075" t="str">
            <v>STC1898AD</v>
          </cell>
          <cell r="Q2075" t="str">
            <v>磁性位置传感器</v>
          </cell>
        </row>
        <row r="2076">
          <cell r="O2076" t="str">
            <v>SC1245UA</v>
          </cell>
          <cell r="P2076" t="str">
            <v>STC1898AD</v>
          </cell>
          <cell r="Q2076" t="str">
            <v>磁性位置传感器</v>
          </cell>
        </row>
        <row r="2077">
          <cell r="O2077" t="str">
            <v>SC1245UA</v>
          </cell>
          <cell r="P2077" t="str">
            <v>STC1898AD</v>
          </cell>
          <cell r="Q2077" t="str">
            <v>磁性位置传感器</v>
          </cell>
        </row>
        <row r="2078">
          <cell r="O2078" t="str">
            <v>SC1245UA</v>
          </cell>
          <cell r="P2078" t="str">
            <v>STC1898AD</v>
          </cell>
          <cell r="Q2078" t="str">
            <v>磁性位置传感器</v>
          </cell>
        </row>
        <row r="2079">
          <cell r="O2079" t="str">
            <v>SC1245UA</v>
          </cell>
          <cell r="P2079" t="str">
            <v>STC1898AD</v>
          </cell>
          <cell r="Q2079" t="str">
            <v>磁性位置传感器</v>
          </cell>
        </row>
        <row r="2080">
          <cell r="O2080" t="str">
            <v>SC1245UA</v>
          </cell>
          <cell r="P2080" t="str">
            <v>STC1898AD</v>
          </cell>
          <cell r="Q2080" t="str">
            <v>磁性位置传感器</v>
          </cell>
        </row>
        <row r="2081">
          <cell r="O2081" t="str">
            <v>SC1245UA</v>
          </cell>
          <cell r="P2081" t="str">
            <v>STC1898AD</v>
          </cell>
          <cell r="Q2081" t="str">
            <v>磁性位置传感器</v>
          </cell>
        </row>
        <row r="2082">
          <cell r="O2082" t="str">
            <v>SC1445A1-BK</v>
          </cell>
          <cell r="P2082" t="str">
            <v>STC2899AB</v>
          </cell>
          <cell r="Q2082" t="str">
            <v>磁性位置传感器</v>
          </cell>
        </row>
        <row r="2083">
          <cell r="O2083" t="str">
            <v>SC1445A1-BK</v>
          </cell>
          <cell r="P2083" t="str">
            <v>STC2899AB</v>
          </cell>
          <cell r="Q2083" t="str">
            <v>磁性位置传感器</v>
          </cell>
        </row>
        <row r="2084">
          <cell r="O2084" t="str">
            <v>SC1445A1-BK</v>
          </cell>
          <cell r="P2084" t="str">
            <v>STC2899AB</v>
          </cell>
          <cell r="Q2084" t="str">
            <v>磁性位置传感器</v>
          </cell>
        </row>
        <row r="2085">
          <cell r="O2085" t="str">
            <v>SC1445A1-BK</v>
          </cell>
          <cell r="P2085" t="str">
            <v>STC2899AB</v>
          </cell>
          <cell r="Q2085" t="str">
            <v>磁性位置传感器</v>
          </cell>
        </row>
        <row r="2086">
          <cell r="O2086" t="str">
            <v>SC1645B1</v>
          </cell>
          <cell r="P2086" t="str">
            <v>STC2899AE</v>
          </cell>
          <cell r="Q2086" t="str">
            <v>磁性位置传感器</v>
          </cell>
        </row>
        <row r="2087">
          <cell r="O2087" t="str">
            <v>SC1645B1</v>
          </cell>
          <cell r="P2087" t="str">
            <v>STC2899AE</v>
          </cell>
          <cell r="Q2087" t="str">
            <v>磁性位置传感器</v>
          </cell>
        </row>
        <row r="2088">
          <cell r="O2088" t="str">
            <v>SC1645B1</v>
          </cell>
          <cell r="P2088" t="str">
            <v>STC2899AE</v>
          </cell>
          <cell r="Q2088" t="str">
            <v>磁性位置传感器</v>
          </cell>
        </row>
        <row r="2089">
          <cell r="O2089" t="str">
            <v>SC1645B1</v>
          </cell>
          <cell r="P2089" t="str">
            <v>STC2899AE</v>
          </cell>
          <cell r="Q2089" t="str">
            <v>磁性位置传感器</v>
          </cell>
        </row>
        <row r="2090">
          <cell r="O2090" t="str">
            <v>SC1645B1</v>
          </cell>
          <cell r="P2090" t="str">
            <v>STC2899AE</v>
          </cell>
          <cell r="Q2090" t="str">
            <v>磁性位置传感器</v>
          </cell>
        </row>
        <row r="2091">
          <cell r="O2091" t="str">
            <v>SC1645B1</v>
          </cell>
          <cell r="P2091" t="str">
            <v>STC2899AE</v>
          </cell>
          <cell r="Q2091" t="str">
            <v>磁性位置传感器</v>
          </cell>
        </row>
        <row r="2092">
          <cell r="O2092" t="str">
            <v>SC1645B1</v>
          </cell>
          <cell r="P2092" t="str">
            <v>STC2899AE</v>
          </cell>
          <cell r="Q2092" t="str">
            <v>磁性位置传感器</v>
          </cell>
        </row>
        <row r="2093">
          <cell r="O2093" t="str">
            <v>SC1645B1</v>
          </cell>
          <cell r="P2093" t="str">
            <v>STC2899AE</v>
          </cell>
          <cell r="Q2093" t="str">
            <v>磁性位置传感器</v>
          </cell>
        </row>
        <row r="2094">
          <cell r="O2094" t="str">
            <v>SC1645B1</v>
          </cell>
          <cell r="P2094" t="str">
            <v>STC2899AE</v>
          </cell>
          <cell r="Q2094" t="str">
            <v>磁性位置传感器</v>
          </cell>
        </row>
        <row r="2095">
          <cell r="O2095" t="str">
            <v>SC1945NB1</v>
          </cell>
          <cell r="P2095" t="str">
            <v>STC2899AJ</v>
          </cell>
          <cell r="Q2095" t="str">
            <v>磁性位置传感器</v>
          </cell>
        </row>
        <row r="2096">
          <cell r="O2096" t="str">
            <v>SC1945NB1</v>
          </cell>
          <cell r="P2096" t="str">
            <v>STC2899AJ</v>
          </cell>
          <cell r="Q2096" t="str">
            <v>磁性位置传感器</v>
          </cell>
        </row>
        <row r="2097">
          <cell r="O2097" t="str">
            <v>SC1945NB1</v>
          </cell>
          <cell r="P2097" t="str">
            <v>STC2899AJ</v>
          </cell>
          <cell r="Q2097" t="str">
            <v>磁性位置传感器</v>
          </cell>
        </row>
        <row r="2098">
          <cell r="O2098" t="str">
            <v>SC4688SA-A</v>
          </cell>
          <cell r="P2098" t="str">
            <v>STC9D01C</v>
          </cell>
          <cell r="Q2098" t="str">
            <v>角度传感器</v>
          </cell>
        </row>
        <row r="2099">
          <cell r="O2099" t="str">
            <v>SC2442UA</v>
          </cell>
          <cell r="P2099" t="str">
            <v>STC11102B</v>
          </cell>
          <cell r="Q2099" t="str">
            <v>磁性位置传感器</v>
          </cell>
        </row>
        <row r="2100">
          <cell r="O2100" t="str">
            <v>SC2442UA</v>
          </cell>
          <cell r="P2100" t="str">
            <v>STC11102B</v>
          </cell>
          <cell r="Q2100" t="str">
            <v>磁性位置传感器</v>
          </cell>
        </row>
        <row r="2101">
          <cell r="O2101" t="str">
            <v>SC4002SO-N-TR</v>
          </cell>
          <cell r="P2101" t="str">
            <v>STC4000AA</v>
          </cell>
          <cell r="Q2101" t="str">
            <v>磁性位置传感器</v>
          </cell>
        </row>
        <row r="2102">
          <cell r="O2102" t="str">
            <v>SC4002SO-N-TR</v>
          </cell>
          <cell r="P2102" t="str">
            <v>STC4000AA</v>
          </cell>
          <cell r="Q2102" t="str">
            <v>磁性位置传感器</v>
          </cell>
        </row>
        <row r="2103">
          <cell r="O2103" t="str">
            <v>2100HBL</v>
          </cell>
          <cell r="P2103" t="str">
            <v>STC9D03E</v>
          </cell>
          <cell r="Q2103" t="str">
            <v>电流传感器</v>
          </cell>
        </row>
        <row r="2104">
          <cell r="O2104" t="str">
            <v>2100HBL</v>
          </cell>
          <cell r="P2104" t="str">
            <v>STC9D03E</v>
          </cell>
          <cell r="Q2104" t="str">
            <v>电流传感器</v>
          </cell>
        </row>
        <row r="2105">
          <cell r="O2105" t="str">
            <v>2100</v>
          </cell>
          <cell r="P2105" t="str">
            <v>STC9D03E</v>
          </cell>
          <cell r="Q2105" t="str">
            <v>电流传感器</v>
          </cell>
        </row>
        <row r="2106">
          <cell r="O2106" t="str">
            <v>2100</v>
          </cell>
          <cell r="P2106" t="str">
            <v>STC9D03E</v>
          </cell>
          <cell r="Q2106" t="str">
            <v>电流传感器</v>
          </cell>
        </row>
        <row r="2107">
          <cell r="O2107" t="str">
            <v>2100</v>
          </cell>
          <cell r="P2107" t="str">
            <v>STC9D03E</v>
          </cell>
          <cell r="Q2107" t="str">
            <v>电流传感器</v>
          </cell>
        </row>
        <row r="2108">
          <cell r="O2108" t="str">
            <v>2100</v>
          </cell>
          <cell r="P2108" t="str">
            <v>STC9D03E</v>
          </cell>
          <cell r="Q2108" t="str">
            <v>电流传感器</v>
          </cell>
        </row>
        <row r="2109">
          <cell r="O2109" t="str">
            <v>2100</v>
          </cell>
          <cell r="P2109" t="str">
            <v>STC9D03E</v>
          </cell>
          <cell r="Q2109" t="str">
            <v>电流传感器</v>
          </cell>
        </row>
        <row r="2110">
          <cell r="O2110" t="str">
            <v>2100</v>
          </cell>
          <cell r="P2110" t="str">
            <v>STC9D03E</v>
          </cell>
          <cell r="Q2110" t="str">
            <v>电流传感器</v>
          </cell>
        </row>
        <row r="2111">
          <cell r="O2111" t="str">
            <v>SC4015SO-N-TR</v>
          </cell>
          <cell r="P2111" t="str">
            <v>STC4011E</v>
          </cell>
          <cell r="Q2111" t="str">
            <v>磁性位置传感器</v>
          </cell>
        </row>
        <row r="2112">
          <cell r="O2112" t="str">
            <v>SC9641TS-PC</v>
          </cell>
          <cell r="P2112" t="str">
            <v>STC9A001I</v>
          </cell>
          <cell r="Q2112" t="str">
            <v>速度传感器</v>
          </cell>
        </row>
        <row r="2113">
          <cell r="O2113" t="str">
            <v>SC4015SO-N-TR</v>
          </cell>
          <cell r="P2113" t="str">
            <v>STC4011E</v>
          </cell>
          <cell r="Q2113" t="str">
            <v>磁性位置传感器</v>
          </cell>
        </row>
        <row r="2114">
          <cell r="O2114" t="str">
            <v>SC4015SO-N-TR</v>
          </cell>
          <cell r="P2114" t="str">
            <v>STC4011E</v>
          </cell>
          <cell r="Q2114" t="str">
            <v>磁性位置传感器</v>
          </cell>
        </row>
        <row r="2115">
          <cell r="O2115" t="str">
            <v>SC2402SO-N</v>
          </cell>
          <cell r="P2115" t="str">
            <v>STC9902J</v>
          </cell>
          <cell r="Q2115" t="str">
            <v>磁性位置传感器</v>
          </cell>
        </row>
        <row r="2116">
          <cell r="O2116" t="str">
            <v>SC2402SO-N</v>
          </cell>
          <cell r="P2116" t="str">
            <v>STC9902J</v>
          </cell>
          <cell r="Q2116" t="str">
            <v>磁性位置传感器</v>
          </cell>
        </row>
        <row r="2117">
          <cell r="O2117" t="str">
            <v>SC2402SO-N</v>
          </cell>
          <cell r="P2117" t="str">
            <v>STC9902J</v>
          </cell>
          <cell r="Q2117" t="str">
            <v>磁性位置传感器</v>
          </cell>
        </row>
        <row r="2118">
          <cell r="O2118" t="str">
            <v>SC60370</v>
          </cell>
          <cell r="P2118" t="str">
            <v>STC9D05C</v>
          </cell>
          <cell r="Q2118" t="str">
            <v>电机编码器</v>
          </cell>
        </row>
        <row r="2119">
          <cell r="O2119" t="str">
            <v>SC69401-A</v>
          </cell>
          <cell r="P2119" t="str">
            <v>STC9H002DQ</v>
          </cell>
          <cell r="Q2119" t="str">
            <v>角度传感器</v>
          </cell>
        </row>
        <row r="2120">
          <cell r="O2120" t="str">
            <v>SC9642TS-EC</v>
          </cell>
          <cell r="P2120" t="str">
            <v>STC9A001H</v>
          </cell>
          <cell r="Q2120" t="str">
            <v>速度传感器</v>
          </cell>
        </row>
        <row r="2121">
          <cell r="O2121" t="str">
            <v>SC9642TS-EC</v>
          </cell>
          <cell r="P2121" t="str">
            <v>STC9A001H</v>
          </cell>
          <cell r="Q2121" t="str">
            <v>速度传感器</v>
          </cell>
        </row>
        <row r="2122">
          <cell r="O2122" t="str">
            <v>SC9641TS-PC</v>
          </cell>
          <cell r="P2122" t="str">
            <v>STC9A001I</v>
          </cell>
          <cell r="Q2122" t="str">
            <v>速度传感器</v>
          </cell>
        </row>
        <row r="2123">
          <cell r="O2123" t="str">
            <v>SC1245UA</v>
          </cell>
          <cell r="P2123" t="str">
            <v>STC1898AD</v>
          </cell>
          <cell r="Q2123" t="str">
            <v>磁性位置传感器</v>
          </cell>
        </row>
        <row r="2124">
          <cell r="O2124" t="str">
            <v>SC4688DC</v>
          </cell>
          <cell r="P2124" t="str">
            <v>STC9D01C</v>
          </cell>
          <cell r="Q2124" t="str">
            <v>角度传感器</v>
          </cell>
        </row>
        <row r="2125">
          <cell r="O2125" t="str">
            <v>SC4688DC</v>
          </cell>
          <cell r="P2125" t="str">
            <v>STC9D01C</v>
          </cell>
          <cell r="Q2125" t="str">
            <v>角度传感器</v>
          </cell>
        </row>
        <row r="2126">
          <cell r="O2126" t="str">
            <v>SC4688DC</v>
          </cell>
          <cell r="P2126" t="str">
            <v>STC9D01C</v>
          </cell>
          <cell r="Q2126" t="str">
            <v>角度传感器</v>
          </cell>
        </row>
        <row r="2127">
          <cell r="O2127" t="str">
            <v>SD211VB</v>
          </cell>
          <cell r="P2127" t="str">
            <v>FD1016A</v>
          </cell>
          <cell r="Q2127" t="str">
            <v>电机驱动</v>
          </cell>
        </row>
        <row r="2128">
          <cell r="O2128" t="str">
            <v>SD211VB</v>
          </cell>
          <cell r="P2128" t="str">
            <v>FD1016A</v>
          </cell>
          <cell r="Q2128" t="str">
            <v>电机驱动</v>
          </cell>
        </row>
        <row r="2129">
          <cell r="O2129" t="str">
            <v>SD211VB</v>
          </cell>
          <cell r="P2129" t="str">
            <v>FD1016A</v>
          </cell>
          <cell r="Q2129" t="str">
            <v>电机驱动</v>
          </cell>
        </row>
        <row r="2130">
          <cell r="O2130" t="str">
            <v>SC9633VB</v>
          </cell>
          <cell r="P2130" t="str">
            <v>STC9905F</v>
          </cell>
          <cell r="Q2130" t="str">
            <v>速度传感器</v>
          </cell>
        </row>
        <row r="2131">
          <cell r="O2131" t="str">
            <v>SC2448SO</v>
          </cell>
          <cell r="P2131" t="str">
            <v>STC9906S</v>
          </cell>
          <cell r="Q2131" t="str">
            <v>磁性位置传感器</v>
          </cell>
        </row>
        <row r="2132">
          <cell r="O2132" t="str">
            <v>SC2448SO</v>
          </cell>
          <cell r="P2132" t="str">
            <v>STC9906S</v>
          </cell>
          <cell r="Q2132" t="str">
            <v>磁性位置传感器</v>
          </cell>
        </row>
        <row r="2133">
          <cell r="O2133" t="str">
            <v>SC2448SO</v>
          </cell>
          <cell r="P2133" t="str">
            <v>STC9906S</v>
          </cell>
          <cell r="Q2133" t="str">
            <v>磁性位置传感器</v>
          </cell>
        </row>
        <row r="2134">
          <cell r="O2134" t="str">
            <v>SC2442SO</v>
          </cell>
          <cell r="P2134" t="str">
            <v>STC11102B</v>
          </cell>
          <cell r="Q2134" t="str">
            <v>磁性位置传感器</v>
          </cell>
        </row>
        <row r="2135">
          <cell r="O2135" t="str">
            <v>SC4002SO-N-TR</v>
          </cell>
          <cell r="P2135" t="str">
            <v>STC4000AA</v>
          </cell>
          <cell r="Q2135" t="str">
            <v>磁性位置传感器</v>
          </cell>
        </row>
        <row r="2136">
          <cell r="O2136" t="str">
            <v>SC4002SO-N-TR</v>
          </cell>
          <cell r="P2136" t="str">
            <v>STC4000AA</v>
          </cell>
          <cell r="Q2136" t="str">
            <v>磁性位置传感器</v>
          </cell>
        </row>
        <row r="2137">
          <cell r="O2137" t="str">
            <v>SC4015SO-N-TR</v>
          </cell>
          <cell r="P2137" t="str">
            <v>STC4011E</v>
          </cell>
          <cell r="Q2137" t="str">
            <v>磁性位置传感器</v>
          </cell>
        </row>
        <row r="2138">
          <cell r="O2138" t="str">
            <v>SC4015SO-N-TR</v>
          </cell>
          <cell r="P2138" t="str">
            <v>STC4011E</v>
          </cell>
          <cell r="Q2138" t="str">
            <v>磁性位置传感器</v>
          </cell>
        </row>
        <row r="2139">
          <cell r="O2139" t="str">
            <v>SC4015SO-N-TR</v>
          </cell>
          <cell r="P2139" t="str">
            <v>STC4011E</v>
          </cell>
          <cell r="Q2139" t="str">
            <v>磁性位置传感器</v>
          </cell>
        </row>
        <row r="2140">
          <cell r="O2140" t="str">
            <v>SC2462SO</v>
          </cell>
          <cell r="P2140" t="str">
            <v>STC9906J</v>
          </cell>
          <cell r="Q2140" t="str">
            <v>磁性位置传感器</v>
          </cell>
        </row>
        <row r="2141">
          <cell r="O2141" t="str">
            <v>SC2402SO-N</v>
          </cell>
          <cell r="P2141" t="str">
            <v>STC9G002A</v>
          </cell>
          <cell r="Q2141" t="str">
            <v>磁性位置传感器</v>
          </cell>
        </row>
        <row r="2142">
          <cell r="O2142" t="str">
            <v>SC2455SO</v>
          </cell>
          <cell r="P2142" t="str">
            <v>STC9906K</v>
          </cell>
          <cell r="Q2142" t="str">
            <v>磁性位置传感器</v>
          </cell>
        </row>
        <row r="2143">
          <cell r="O2143" t="str">
            <v>SC4015SO-N-TR</v>
          </cell>
          <cell r="P2143" t="str">
            <v>STC4011E</v>
          </cell>
          <cell r="Q2143" t="str">
            <v>磁性位置传感器</v>
          </cell>
        </row>
        <row r="2144">
          <cell r="O2144" t="str">
            <v>SC4015SO-N-TR</v>
          </cell>
          <cell r="P2144" t="str">
            <v>STC4011E</v>
          </cell>
          <cell r="Q2144" t="str">
            <v>磁性位置传感器</v>
          </cell>
        </row>
        <row r="2145">
          <cell r="O2145" t="str">
            <v>SC4015SO-N-TR</v>
          </cell>
          <cell r="P2145" t="str">
            <v>STC4011E</v>
          </cell>
          <cell r="Q2145" t="str">
            <v>磁性位置传感器</v>
          </cell>
        </row>
        <row r="2146">
          <cell r="O2146" t="str">
            <v>SC4015SO-N-TR</v>
          </cell>
          <cell r="P2146" t="str">
            <v>STC4011E</v>
          </cell>
          <cell r="Q2146" t="str">
            <v>磁性位置传感器</v>
          </cell>
        </row>
        <row r="2147">
          <cell r="O2147" t="str">
            <v>SC4015SO-N-TR</v>
          </cell>
          <cell r="P2147" t="str">
            <v>STC4011E</v>
          </cell>
          <cell r="Q2147" t="str">
            <v>磁性位置传感器</v>
          </cell>
        </row>
        <row r="2148">
          <cell r="O2148" t="str">
            <v>SC2442SO</v>
          </cell>
          <cell r="P2148" t="str">
            <v>STC11102B</v>
          </cell>
          <cell r="Q2148" t="str">
            <v>磁性位置传感器</v>
          </cell>
        </row>
        <row r="2149">
          <cell r="O2149" t="str">
            <v>SC9641TS</v>
          </cell>
          <cell r="P2149" t="str">
            <v>STC9910BN</v>
          </cell>
          <cell r="Q2149" t="str">
            <v>速度传感器</v>
          </cell>
        </row>
        <row r="2150">
          <cell r="O2150" t="str">
            <v>SC9641TS</v>
          </cell>
          <cell r="P2150" t="str">
            <v>STC9910BN</v>
          </cell>
          <cell r="Q2150" t="str">
            <v>速度传感器</v>
          </cell>
        </row>
        <row r="2151">
          <cell r="O2151" t="str">
            <v>SC9641TS</v>
          </cell>
          <cell r="P2151" t="str">
            <v>STC9910BN</v>
          </cell>
          <cell r="Q2151" t="str">
            <v>速度传感器</v>
          </cell>
        </row>
        <row r="2152">
          <cell r="O2152" t="str">
            <v>SC9641TS</v>
          </cell>
          <cell r="P2152" t="str">
            <v>STC9910BN</v>
          </cell>
          <cell r="Q2152" t="str">
            <v>速度传感器</v>
          </cell>
        </row>
        <row r="2153">
          <cell r="O2153" t="str">
            <v>SC9641TS</v>
          </cell>
          <cell r="P2153" t="str">
            <v>STC9910BN</v>
          </cell>
          <cell r="Q2153" t="str">
            <v>速度传感器</v>
          </cell>
        </row>
        <row r="2154">
          <cell r="O2154" t="str">
            <v>SC9641TS</v>
          </cell>
          <cell r="P2154" t="str">
            <v>STC9910BN</v>
          </cell>
          <cell r="Q2154" t="str">
            <v>速度传感器</v>
          </cell>
        </row>
        <row r="2155">
          <cell r="O2155" t="str">
            <v>SC9641TS</v>
          </cell>
          <cell r="P2155" t="str">
            <v>STC9910BN</v>
          </cell>
          <cell r="Q2155" t="str">
            <v>速度传感器</v>
          </cell>
        </row>
        <row r="2156">
          <cell r="O2156" t="str">
            <v>SC9641TS</v>
          </cell>
          <cell r="P2156" t="str">
            <v>STC9910BN</v>
          </cell>
          <cell r="Q2156" t="str">
            <v>速度传感器</v>
          </cell>
        </row>
        <row r="2157">
          <cell r="O2157" t="str">
            <v>SC9641TS</v>
          </cell>
          <cell r="P2157" t="str">
            <v>STC9910BN</v>
          </cell>
          <cell r="Q2157" t="str">
            <v>速度传感器</v>
          </cell>
        </row>
        <row r="2158">
          <cell r="O2158" t="str">
            <v>SC9641TS</v>
          </cell>
          <cell r="P2158" t="str">
            <v>STC9910BN</v>
          </cell>
          <cell r="Q2158" t="str">
            <v>速度传感器</v>
          </cell>
        </row>
        <row r="2159">
          <cell r="O2159" t="str">
            <v>SC9641TS</v>
          </cell>
          <cell r="P2159" t="str">
            <v>STC9910BN</v>
          </cell>
          <cell r="Q2159" t="str">
            <v>速度传感器</v>
          </cell>
        </row>
        <row r="2160">
          <cell r="O2160" t="str">
            <v>SC9641TS</v>
          </cell>
          <cell r="P2160" t="str">
            <v>STC9910BN</v>
          </cell>
          <cell r="Q2160" t="str">
            <v>速度传感器</v>
          </cell>
        </row>
        <row r="2161">
          <cell r="O2161" t="str">
            <v>SC9641TS-P</v>
          </cell>
          <cell r="P2161" t="str">
            <v>STC9A001I</v>
          </cell>
          <cell r="Q2161" t="str">
            <v>速度传感器</v>
          </cell>
        </row>
        <row r="2162">
          <cell r="O2162" t="str">
            <v>SC9641TS-P</v>
          </cell>
          <cell r="P2162" t="str">
            <v>STC9A001I</v>
          </cell>
          <cell r="Q2162" t="str">
            <v>速度传感器</v>
          </cell>
        </row>
        <row r="2163">
          <cell r="O2163" t="str">
            <v>SC9641TS-P</v>
          </cell>
          <cell r="P2163" t="str">
            <v>STC9A001I</v>
          </cell>
          <cell r="Q2163" t="str">
            <v>速度传感器</v>
          </cell>
        </row>
        <row r="2164">
          <cell r="O2164" t="str">
            <v>SC9641TS-P</v>
          </cell>
          <cell r="P2164" t="str">
            <v>STC9A001I</v>
          </cell>
          <cell r="Q2164" t="str">
            <v>速度传感器</v>
          </cell>
        </row>
        <row r="2165">
          <cell r="O2165" t="str">
            <v>SC9641TS-P</v>
          </cell>
          <cell r="P2165" t="str">
            <v>STC9A001I</v>
          </cell>
          <cell r="Q2165" t="str">
            <v>速度传感器</v>
          </cell>
        </row>
        <row r="2166">
          <cell r="O2166" t="str">
            <v>SC9641TS-P</v>
          </cell>
          <cell r="P2166" t="str">
            <v>STC9A001I</v>
          </cell>
          <cell r="Q2166" t="str">
            <v>速度传感器</v>
          </cell>
        </row>
        <row r="2167">
          <cell r="O2167" t="str">
            <v>SC9641TS-P</v>
          </cell>
          <cell r="P2167" t="str">
            <v>STC9A001I</v>
          </cell>
          <cell r="Q2167" t="str">
            <v>速度传感器</v>
          </cell>
        </row>
        <row r="2168">
          <cell r="O2168" t="str">
            <v>SC9641TS-P</v>
          </cell>
          <cell r="P2168" t="str">
            <v>STC9A001I</v>
          </cell>
          <cell r="Q2168" t="str">
            <v>速度传感器</v>
          </cell>
        </row>
        <row r="2169">
          <cell r="O2169" t="str">
            <v>SC9641TS-P</v>
          </cell>
          <cell r="P2169" t="str">
            <v>STC9A001I</v>
          </cell>
          <cell r="Q2169" t="str">
            <v>速度传感器</v>
          </cell>
        </row>
        <row r="2170">
          <cell r="O2170" t="str">
            <v>SC9641TS-P</v>
          </cell>
          <cell r="P2170" t="str">
            <v>STC9A001I</v>
          </cell>
          <cell r="Q2170" t="str">
            <v>速度传感器</v>
          </cell>
        </row>
        <row r="2171">
          <cell r="O2171" t="str">
            <v>SC9641TS-P</v>
          </cell>
          <cell r="P2171" t="str">
            <v>STC9A001I</v>
          </cell>
          <cell r="Q2171" t="str">
            <v>速度传感器</v>
          </cell>
        </row>
        <row r="2172">
          <cell r="O2172" t="str">
            <v>SC9641TS-P</v>
          </cell>
          <cell r="P2172" t="str">
            <v>STC9A001I</v>
          </cell>
          <cell r="Q2172" t="str">
            <v>速度传感器</v>
          </cell>
        </row>
        <row r="2173">
          <cell r="O2173" t="str">
            <v>SC9641TS-P</v>
          </cell>
          <cell r="P2173" t="str">
            <v>STC9A001I</v>
          </cell>
          <cell r="Q2173" t="str">
            <v>速度传感器</v>
          </cell>
        </row>
        <row r="2174">
          <cell r="O2174" t="str">
            <v>SC9641TS-P</v>
          </cell>
          <cell r="P2174" t="str">
            <v>STC9A001I</v>
          </cell>
          <cell r="Q2174" t="str">
            <v>速度传感器</v>
          </cell>
        </row>
        <row r="2175">
          <cell r="O2175" t="str">
            <v>SC9641TS-P</v>
          </cell>
          <cell r="P2175" t="str">
            <v>STC9A001I</v>
          </cell>
          <cell r="Q2175" t="str">
            <v>速度传感器</v>
          </cell>
        </row>
        <row r="2176">
          <cell r="O2176" t="str">
            <v>SC9641TS-P</v>
          </cell>
          <cell r="P2176" t="str">
            <v>STC9A001I</v>
          </cell>
          <cell r="Q2176" t="str">
            <v>速度传感器</v>
          </cell>
        </row>
        <row r="2177">
          <cell r="O2177" t="str">
            <v>SC9641TS-P</v>
          </cell>
          <cell r="P2177" t="str">
            <v>STC9A001I</v>
          </cell>
          <cell r="Q2177" t="str">
            <v>速度传感器</v>
          </cell>
        </row>
        <row r="2178">
          <cell r="O2178" t="str">
            <v>SC9641TS</v>
          </cell>
          <cell r="P2178" t="str">
            <v>STC9910BN</v>
          </cell>
          <cell r="Q2178" t="str">
            <v>速度传感器</v>
          </cell>
        </row>
        <row r="2179">
          <cell r="O2179" t="str">
            <v>SC9641TS</v>
          </cell>
          <cell r="P2179" t="str">
            <v>STC9910BN</v>
          </cell>
          <cell r="Q2179" t="str">
            <v>速度传感器</v>
          </cell>
        </row>
        <row r="2180">
          <cell r="O2180" t="str">
            <v>SC9641TS</v>
          </cell>
          <cell r="P2180" t="str">
            <v>STC9910BN</v>
          </cell>
          <cell r="Q2180" t="str">
            <v>速度传感器</v>
          </cell>
        </row>
        <row r="2181">
          <cell r="O2181" t="str">
            <v>SC9641TS-P</v>
          </cell>
          <cell r="P2181" t="str">
            <v>STC9A001E</v>
          </cell>
          <cell r="Q2181" t="str">
            <v>速度传感器</v>
          </cell>
        </row>
        <row r="2182">
          <cell r="O2182" t="str">
            <v>SC9641TS-P</v>
          </cell>
          <cell r="P2182" t="str">
            <v>STC9A001E</v>
          </cell>
          <cell r="Q2182" t="str">
            <v>速度传感器</v>
          </cell>
        </row>
        <row r="2183">
          <cell r="O2183" t="str">
            <v>SC9641TS-P</v>
          </cell>
          <cell r="P2183" t="str">
            <v>STC9A001F</v>
          </cell>
          <cell r="Q2183" t="str">
            <v>速度传感器</v>
          </cell>
        </row>
        <row r="2184">
          <cell r="O2184" t="str">
            <v>SC9641TS-P</v>
          </cell>
          <cell r="P2184" t="str">
            <v>STC9A001F</v>
          </cell>
          <cell r="Q2184" t="str">
            <v>速度传感器</v>
          </cell>
        </row>
        <row r="2185">
          <cell r="O2185" t="str">
            <v>SC9641TS</v>
          </cell>
          <cell r="P2185" t="str">
            <v>STC9910BN</v>
          </cell>
          <cell r="Q2185" t="str">
            <v>速度传感器</v>
          </cell>
        </row>
        <row r="2186">
          <cell r="O2186" t="str">
            <v>SC9641TS-P</v>
          </cell>
          <cell r="P2186" t="str">
            <v>STC9A001I</v>
          </cell>
          <cell r="Q2186" t="str">
            <v>速度传感器</v>
          </cell>
        </row>
        <row r="2187">
          <cell r="O2187" t="str">
            <v>SC9675IM-P-LRF00</v>
          </cell>
          <cell r="P2187" t="str">
            <v>STC9A002B</v>
          </cell>
          <cell r="Q2187" t="str">
            <v>速度传感器</v>
          </cell>
        </row>
        <row r="2188">
          <cell r="O2188" t="str">
            <v>SC4689SA-A</v>
          </cell>
          <cell r="P2188" t="str">
            <v>STC9D01F</v>
          </cell>
          <cell r="Q2188" t="str">
            <v>角度传感器</v>
          </cell>
        </row>
        <row r="2189">
          <cell r="O2189" t="str">
            <v>SC4689SA-A</v>
          </cell>
          <cell r="P2189" t="str">
            <v>STC9D01F</v>
          </cell>
          <cell r="Q2189" t="str">
            <v>角度传感器</v>
          </cell>
        </row>
        <row r="2190">
          <cell r="O2190" t="str">
            <v>SC9675IM-P-LRF00</v>
          </cell>
          <cell r="P2190" t="str">
            <v>STC9A002B</v>
          </cell>
          <cell r="Q2190" t="str">
            <v>速度传感器</v>
          </cell>
        </row>
        <row r="2191">
          <cell r="O2191" t="str">
            <v>SC9675IM-P-LRF00</v>
          </cell>
          <cell r="P2191" t="str">
            <v>STC9A002B</v>
          </cell>
          <cell r="Q2191" t="str">
            <v>速度传感器</v>
          </cell>
        </row>
        <row r="2192">
          <cell r="O2192" t="str">
            <v>SC9675IM-P-LRF00</v>
          </cell>
          <cell r="P2192" t="str">
            <v>STC9A002B</v>
          </cell>
          <cell r="Q2192" t="str">
            <v>速度传感器</v>
          </cell>
        </row>
        <row r="2193">
          <cell r="O2193" t="str">
            <v>SC9675IM-P-LRF00</v>
          </cell>
          <cell r="P2193" t="str">
            <v>STC9A002B</v>
          </cell>
          <cell r="Q2193" t="str">
            <v>速度传感器</v>
          </cell>
        </row>
        <row r="2194">
          <cell r="O2194" t="str">
            <v>SC9675IM-P-LRF00</v>
          </cell>
          <cell r="P2194" t="str">
            <v>STC9A002B</v>
          </cell>
          <cell r="Q2194" t="str">
            <v>速度传感器</v>
          </cell>
        </row>
        <row r="2195">
          <cell r="O2195" t="str">
            <v>SC2442SO</v>
          </cell>
          <cell r="P2195" t="str">
            <v>STC9906R</v>
          </cell>
          <cell r="Q2195" t="str">
            <v>磁性位置传感器</v>
          </cell>
        </row>
        <row r="2196">
          <cell r="O2196" t="str">
            <v>SC2442SO-TR-Q</v>
          </cell>
          <cell r="P2196" t="str">
            <v>STC9906R</v>
          </cell>
          <cell r="Q2196" t="str">
            <v>磁性位置传感器</v>
          </cell>
        </row>
        <row r="2197">
          <cell r="O2197" t="str">
            <v>SC2442SO-TR-Q</v>
          </cell>
          <cell r="P2197" t="str">
            <v>STC9906R</v>
          </cell>
          <cell r="Q2197" t="str">
            <v>磁性位置传感器</v>
          </cell>
        </row>
        <row r="2198">
          <cell r="O2198" t="str">
            <v>SC2442SO-TR-Q</v>
          </cell>
          <cell r="P2198" t="str">
            <v>STC9906R</v>
          </cell>
          <cell r="Q2198" t="str">
            <v>磁性位置传感器</v>
          </cell>
        </row>
        <row r="2199">
          <cell r="O2199" t="str">
            <v>SC2442SO-TR-Q</v>
          </cell>
          <cell r="P2199" t="str">
            <v>STC9906R</v>
          </cell>
          <cell r="Q2199" t="str">
            <v>磁性位置传感器</v>
          </cell>
        </row>
        <row r="2200">
          <cell r="O2200" t="str">
            <v>SC2442SO-TR-Q</v>
          </cell>
          <cell r="P2200" t="str">
            <v>STC9906R</v>
          </cell>
          <cell r="Q2200" t="str">
            <v>磁性位置传感器</v>
          </cell>
        </row>
        <row r="2201">
          <cell r="O2201" t="str">
            <v>SC69401-A</v>
          </cell>
          <cell r="P2201" t="str">
            <v>STC9H002DQ</v>
          </cell>
          <cell r="Q2201" t="str">
            <v>角度传感器</v>
          </cell>
        </row>
        <row r="2202">
          <cell r="O2202" t="str">
            <v>SC1845F1-BK</v>
          </cell>
          <cell r="P2202" t="str">
            <v>STC2899AI</v>
          </cell>
          <cell r="Q2202" t="str">
            <v>磁性位置传感器</v>
          </cell>
        </row>
        <row r="2203">
          <cell r="O2203" t="str">
            <v>SC1845F1-BK</v>
          </cell>
          <cell r="P2203" t="str">
            <v>STC2899AI</v>
          </cell>
          <cell r="Q2203" t="str">
            <v>磁性位置传感器</v>
          </cell>
        </row>
        <row r="2204">
          <cell r="O2204" t="str">
            <v>SC1845F1-BK</v>
          </cell>
          <cell r="P2204" t="str">
            <v>STC2899AI</v>
          </cell>
          <cell r="Q2204" t="str">
            <v>磁性位置传感器</v>
          </cell>
        </row>
        <row r="2205">
          <cell r="O2205" t="str">
            <v>SC1845F1-BK</v>
          </cell>
          <cell r="P2205" t="str">
            <v>STC2899AI</v>
          </cell>
          <cell r="Q2205" t="str">
            <v>磁性位置传感器</v>
          </cell>
        </row>
        <row r="2206">
          <cell r="O2206" t="str">
            <v>SC1845F1-BK</v>
          </cell>
          <cell r="P2206" t="str">
            <v>STC2899AI</v>
          </cell>
          <cell r="Q2206" t="str">
            <v>磁性位置传感器</v>
          </cell>
        </row>
        <row r="2207">
          <cell r="O2207" t="str">
            <v>SC1845F1-BK</v>
          </cell>
          <cell r="P2207" t="str">
            <v>STC2899AI</v>
          </cell>
          <cell r="Q2207" t="str">
            <v>磁性位置传感器</v>
          </cell>
        </row>
        <row r="2208">
          <cell r="O2208" t="str">
            <v>SC1845F1-BK</v>
          </cell>
          <cell r="P2208" t="str">
            <v>STC2899AI</v>
          </cell>
          <cell r="Q2208" t="str">
            <v>磁性位置传感器</v>
          </cell>
        </row>
        <row r="2209">
          <cell r="O2209" t="str">
            <v>SC1845F1-BK</v>
          </cell>
          <cell r="P2209" t="str">
            <v>STC2899AI</v>
          </cell>
          <cell r="Q2209" t="str">
            <v>磁性位置传感器</v>
          </cell>
        </row>
        <row r="2210">
          <cell r="O2210" t="str">
            <v>SC60104</v>
          </cell>
          <cell r="P2210" t="str">
            <v>STC9D02C</v>
          </cell>
          <cell r="Q2210" t="str">
            <v>电机编码器</v>
          </cell>
        </row>
        <row r="2211">
          <cell r="O2211" t="str">
            <v>SC60104</v>
          </cell>
          <cell r="P2211" t="str">
            <v>STC9D02C</v>
          </cell>
          <cell r="Q2211" t="str">
            <v>电机编码器</v>
          </cell>
        </row>
        <row r="2212">
          <cell r="O2212" t="str">
            <v>SD2276VB-BK</v>
          </cell>
          <cell r="P2212" t="str">
            <v>FD1014A</v>
          </cell>
          <cell r="Q2212" t="str">
            <v>电机驱动</v>
          </cell>
        </row>
        <row r="2213">
          <cell r="O2213" t="str">
            <v>SD2276VB-BK</v>
          </cell>
          <cell r="P2213" t="str">
            <v>FD1014A</v>
          </cell>
          <cell r="Q2213" t="str">
            <v>电机驱动</v>
          </cell>
        </row>
        <row r="2214">
          <cell r="O2214" t="str">
            <v>SD2276VB-BK</v>
          </cell>
          <cell r="P2214" t="str">
            <v>FD1014A</v>
          </cell>
          <cell r="Q2214" t="str">
            <v>电机驱动</v>
          </cell>
        </row>
        <row r="2215">
          <cell r="O2215" t="str">
            <v>SD2276VB-BK</v>
          </cell>
          <cell r="P2215" t="str">
            <v>FD1014A</v>
          </cell>
          <cell r="Q2215" t="str">
            <v>电机驱动</v>
          </cell>
        </row>
        <row r="2216">
          <cell r="O2216" t="str">
            <v>SD2276VB-BK</v>
          </cell>
          <cell r="P2216" t="str">
            <v>FD1014A</v>
          </cell>
          <cell r="Q2216" t="str">
            <v>电机驱动</v>
          </cell>
        </row>
        <row r="2217">
          <cell r="O2217" t="str">
            <v>SC1134SO-N</v>
          </cell>
          <cell r="P2217" t="str">
            <v>STC1898AI</v>
          </cell>
          <cell r="Q2217" t="str">
            <v>磁性位置传感器</v>
          </cell>
        </row>
        <row r="2218">
          <cell r="O2218" t="str">
            <v>SC1138SO-N</v>
          </cell>
          <cell r="P2218" t="str">
            <v>STC1898AC</v>
          </cell>
          <cell r="Q2218" t="str">
            <v>磁性位置传感器</v>
          </cell>
        </row>
        <row r="2219">
          <cell r="O2219" t="str">
            <v>SC2434SO-N</v>
          </cell>
          <cell r="P2219" t="str">
            <v>STC9906I</v>
          </cell>
          <cell r="Q2219" t="str">
            <v>磁性位置传感器</v>
          </cell>
        </row>
        <row r="2220">
          <cell r="O2220" t="str">
            <v>SC2432SO-N</v>
          </cell>
          <cell r="P2220" t="str">
            <v>STC9906I</v>
          </cell>
          <cell r="Q2220" t="str">
            <v>磁性位置传感器</v>
          </cell>
        </row>
        <row r="2221">
          <cell r="O2221" t="str">
            <v>SC2432SO</v>
          </cell>
          <cell r="P2221" t="str">
            <v>STC9906M</v>
          </cell>
          <cell r="Q2221" t="str">
            <v>磁性位置传感器</v>
          </cell>
        </row>
        <row r="2222">
          <cell r="O2222" t="str">
            <v>SC2432SO-N</v>
          </cell>
          <cell r="P2222" t="str">
            <v>STC9906I</v>
          </cell>
          <cell r="Q2222" t="str">
            <v>磁性位置传感器</v>
          </cell>
        </row>
        <row r="2223">
          <cell r="O2223" t="str">
            <v>SC2402UA</v>
          </cell>
          <cell r="P2223" t="str">
            <v>STC9902J</v>
          </cell>
          <cell r="Q2223" t="str">
            <v>磁性位置传感器</v>
          </cell>
        </row>
        <row r="2224">
          <cell r="O2224" t="str">
            <v>SC2442SO</v>
          </cell>
          <cell r="P2224" t="str">
            <v>STC9906R</v>
          </cell>
          <cell r="Q2224" t="str">
            <v>磁性位置传感器</v>
          </cell>
        </row>
        <row r="2225">
          <cell r="O2225" t="str">
            <v>SC2462UA</v>
          </cell>
          <cell r="P2225" t="str">
            <v>STC9906J</v>
          </cell>
          <cell r="Q2225" t="str">
            <v>磁性位置传感器</v>
          </cell>
        </row>
        <row r="2226">
          <cell r="O2226" t="str">
            <v>SC2464SO</v>
          </cell>
          <cell r="P2226" t="str">
            <v>STC9906J</v>
          </cell>
          <cell r="Q2226" t="str">
            <v>磁性位置传感器</v>
          </cell>
        </row>
        <row r="2227">
          <cell r="O2227" t="str">
            <v>SC2462SO</v>
          </cell>
          <cell r="P2227" t="str">
            <v>STC9906J</v>
          </cell>
          <cell r="Q2227" t="str">
            <v>磁性位置传感器</v>
          </cell>
        </row>
        <row r="2228">
          <cell r="O2228" t="str">
            <v>SC2434UA</v>
          </cell>
          <cell r="P2228" t="str">
            <v>STC9906I</v>
          </cell>
          <cell r="Q2228" t="str">
            <v>磁性位置传感器</v>
          </cell>
        </row>
        <row r="2229">
          <cell r="O2229" t="str">
            <v>SC2438SO</v>
          </cell>
          <cell r="P2229" t="str">
            <v>STC9906I</v>
          </cell>
          <cell r="Q2229" t="str">
            <v>磁性位置传感器</v>
          </cell>
        </row>
        <row r="2230">
          <cell r="O2230" t="str">
            <v>SC2434SO-N</v>
          </cell>
          <cell r="P2230" t="str">
            <v>STC9906I</v>
          </cell>
          <cell r="Q2230" t="str">
            <v>磁性位置传感器</v>
          </cell>
        </row>
        <row r="2231">
          <cell r="O2231" t="str">
            <v>SC2402UA</v>
          </cell>
          <cell r="P2231" t="str">
            <v>STC9902J</v>
          </cell>
          <cell r="Q2231" t="str">
            <v>磁性位置传感器</v>
          </cell>
        </row>
        <row r="2232">
          <cell r="O2232" t="str">
            <v>SC2442SO-N</v>
          </cell>
          <cell r="P2232" t="str">
            <v>STC9906P</v>
          </cell>
          <cell r="Q2232" t="str">
            <v>磁性位置传感器</v>
          </cell>
        </row>
        <row r="2233">
          <cell r="O2233" t="str">
            <v>SC2442SO-N</v>
          </cell>
          <cell r="P2233" t="str">
            <v>STC9906P</v>
          </cell>
          <cell r="Q2233" t="str">
            <v>磁性位置传感器</v>
          </cell>
        </row>
        <row r="2234">
          <cell r="O2234" t="str">
            <v>SC2242UA</v>
          </cell>
          <cell r="P2234" t="str">
            <v>STC9906H</v>
          </cell>
          <cell r="Q2234" t="str">
            <v>磁性位置传感器</v>
          </cell>
        </row>
        <row r="2235">
          <cell r="O2235" t="str">
            <v>SC2442UA</v>
          </cell>
          <cell r="P2235" t="str">
            <v>STC9906P</v>
          </cell>
          <cell r="Q2235" t="str">
            <v>磁性位置传感器</v>
          </cell>
        </row>
        <row r="2236">
          <cell r="O2236" t="str">
            <v>SC1245SO-N</v>
          </cell>
          <cell r="P2236" t="str">
            <v>STC1898AD</v>
          </cell>
          <cell r="Q2236" t="str">
            <v>磁性位置传感器</v>
          </cell>
        </row>
        <row r="2237">
          <cell r="O2237" t="str">
            <v>SC1245A1</v>
          </cell>
          <cell r="P2237" t="str">
            <v>STC1898AD</v>
          </cell>
          <cell r="Q2237" t="str">
            <v>磁性位置传感器</v>
          </cell>
        </row>
        <row r="2238">
          <cell r="O2238" t="str">
            <v>SC1134UA</v>
          </cell>
          <cell r="P2238" t="str">
            <v>STC1898AI</v>
          </cell>
          <cell r="Q2238" t="str">
            <v>磁性位置传感器</v>
          </cell>
        </row>
        <row r="2239">
          <cell r="O2239" t="str">
            <v>SC1134SO-N</v>
          </cell>
          <cell r="P2239" t="str">
            <v>STC1898AI</v>
          </cell>
          <cell r="Q2239" t="str">
            <v>磁性位置传感器</v>
          </cell>
        </row>
        <row r="2240">
          <cell r="O2240" t="str">
            <v>SC2202SO-N</v>
          </cell>
          <cell r="P2240" t="str">
            <v>STC9902E</v>
          </cell>
          <cell r="Q2240" t="str">
            <v>磁性位置传感器</v>
          </cell>
        </row>
        <row r="2241">
          <cell r="O2241" t="str">
            <v>SC2202SO-N</v>
          </cell>
          <cell r="P2241" t="str">
            <v>STC9902E</v>
          </cell>
          <cell r="Q2241" t="str">
            <v>磁性位置传感器</v>
          </cell>
        </row>
        <row r="2242">
          <cell r="O2242" t="str">
            <v>SC2063SO</v>
          </cell>
          <cell r="P2242" t="str">
            <v>STC9G001C</v>
          </cell>
          <cell r="Q2242" t="str">
            <v>磁性位置传感器</v>
          </cell>
        </row>
        <row r="2243">
          <cell r="O2243" t="str">
            <v>SC2402SO-N</v>
          </cell>
          <cell r="P2243" t="str">
            <v>STC9H001A</v>
          </cell>
          <cell r="Q2243" t="str">
            <v>磁性位置传感器</v>
          </cell>
        </row>
        <row r="2244">
          <cell r="O2244" t="str">
            <v>SC2033SO-N</v>
          </cell>
          <cell r="P2244" t="str">
            <v>STC9G001D</v>
          </cell>
          <cell r="Q2244" t="str">
            <v>磁性位置传感器</v>
          </cell>
        </row>
        <row r="2245">
          <cell r="O2245" t="str">
            <v>SC2402SO-N</v>
          </cell>
          <cell r="P2245" t="str">
            <v>STC9H001A</v>
          </cell>
          <cell r="Q2245" t="str">
            <v>磁性位置传感器</v>
          </cell>
        </row>
        <row r="2246">
          <cell r="O2246" t="str">
            <v>SC2448UA-N</v>
          </cell>
          <cell r="P2246" t="str">
            <v>STC9906S</v>
          </cell>
          <cell r="Q2246" t="str">
            <v>磁性位置传感器</v>
          </cell>
        </row>
        <row r="2247">
          <cell r="O2247" t="str">
            <v>SC2448SO</v>
          </cell>
          <cell r="P2247" t="str">
            <v>STC9906S</v>
          </cell>
          <cell r="Q2247" t="str">
            <v>磁性位置传感器</v>
          </cell>
        </row>
        <row r="2248">
          <cell r="O2248" t="str">
            <v>SC2498UA-N</v>
          </cell>
          <cell r="P2248" t="str">
            <v>SC9915C</v>
          </cell>
          <cell r="Q2248" t="str">
            <v>磁性位置传感器</v>
          </cell>
        </row>
        <row r="2249">
          <cell r="O2249" t="str">
            <v>SC4011DN</v>
          </cell>
          <cell r="P2249" t="str">
            <v>STC4011B</v>
          </cell>
          <cell r="Q2249" t="str">
            <v>磁性位置传感器</v>
          </cell>
        </row>
        <row r="2250">
          <cell r="O2250" t="str">
            <v>SC4011SO-N</v>
          </cell>
          <cell r="P2250" t="str">
            <v>STC4011B</v>
          </cell>
          <cell r="Q2250" t="str">
            <v>磁性位置传感器</v>
          </cell>
        </row>
        <row r="2251">
          <cell r="O2251" t="str">
            <v>SC4001SE</v>
          </cell>
          <cell r="P2251" t="str">
            <v>STC4001AB</v>
          </cell>
          <cell r="Q2251" t="str">
            <v>磁性位置传感器</v>
          </cell>
        </row>
        <row r="2252">
          <cell r="O2252" t="str">
            <v>SC60224-U-P4-1024</v>
          </cell>
          <cell r="P2252" t="str">
            <v>STC9D04C</v>
          </cell>
          <cell r="Q2252" t="str">
            <v>电机编码器</v>
          </cell>
        </row>
        <row r="2253">
          <cell r="O2253" t="str">
            <v>SC60224-D-1024</v>
          </cell>
          <cell r="P2253" t="str">
            <v>STC9D04C</v>
          </cell>
          <cell r="Q2253" t="str">
            <v>电机编码器</v>
          </cell>
        </row>
        <row r="2254">
          <cell r="O2254" t="str">
            <v>SC60228DC</v>
          </cell>
          <cell r="P2254" t="str">
            <v>STC9D04C</v>
          </cell>
          <cell r="Q2254" t="str">
            <v>电机编码器</v>
          </cell>
        </row>
        <row r="2255">
          <cell r="O2255" t="str">
            <v>SC4103DN</v>
          </cell>
          <cell r="P2255" t="str">
            <v>STC11201B</v>
          </cell>
          <cell r="Q2255" t="str">
            <v>磁性位置传感器</v>
          </cell>
        </row>
        <row r="2256">
          <cell r="O2256" t="str">
            <v>SC4102DN</v>
          </cell>
          <cell r="P2256" t="str">
            <v>STC11201B</v>
          </cell>
          <cell r="Q2256" t="str">
            <v>磁性位置传感器</v>
          </cell>
        </row>
        <row r="2257">
          <cell r="O2257" t="str">
            <v>SC4104DN</v>
          </cell>
          <cell r="P2257" t="str">
            <v>STC11201B</v>
          </cell>
          <cell r="Q2257" t="str">
            <v>磁性位置传感器</v>
          </cell>
        </row>
        <row r="2258">
          <cell r="O2258" t="str">
            <v>SC4688SA-A</v>
          </cell>
          <cell r="P2258" t="str">
            <v>STC9D01C</v>
          </cell>
          <cell r="Q2258" t="str">
            <v>角度传感器</v>
          </cell>
        </row>
        <row r="2259">
          <cell r="O2259" t="str">
            <v>SC9641TS-P</v>
          </cell>
          <cell r="P2259" t="str">
            <v>STC9A001I</v>
          </cell>
          <cell r="Q2259" t="str">
            <v>速度传感器</v>
          </cell>
        </row>
        <row r="2260">
          <cell r="O2260" t="str">
            <v>SC9633VB</v>
          </cell>
          <cell r="P2260" t="str">
            <v>STC9905F</v>
          </cell>
          <cell r="Q2260" t="str">
            <v>速度传感器</v>
          </cell>
        </row>
        <row r="2261">
          <cell r="O2261" t="str">
            <v>SC2402SO-N</v>
          </cell>
          <cell r="P2261" t="str">
            <v>STC9902J</v>
          </cell>
          <cell r="Q2261" t="str">
            <v>磁性位置传感器</v>
          </cell>
        </row>
        <row r="2262">
          <cell r="O2262" t="str">
            <v>SC2402SO-N</v>
          </cell>
          <cell r="P2262" t="str">
            <v>STC9902J</v>
          </cell>
          <cell r="Q2262" t="str">
            <v>磁性位置传感器</v>
          </cell>
        </row>
        <row r="2263">
          <cell r="O2263" t="str">
            <v>SC1134UA</v>
          </cell>
          <cell r="P2263" t="str">
            <v>STC1898AI</v>
          </cell>
          <cell r="Q2263" t="str">
            <v>磁性位置传感器</v>
          </cell>
        </row>
        <row r="2264">
          <cell r="O2264" t="str">
            <v>SC4015SO-N-TR</v>
          </cell>
          <cell r="P2264" t="str">
            <v>STC4011E</v>
          </cell>
          <cell r="Q2264" t="str">
            <v>磁性位置传感器</v>
          </cell>
        </row>
        <row r="2265">
          <cell r="O2265" t="str">
            <v>SC4015SO-N-TR</v>
          </cell>
          <cell r="P2265" t="str">
            <v>STC4011E</v>
          </cell>
          <cell r="Q2265" t="str">
            <v>磁性位置传感器</v>
          </cell>
        </row>
        <row r="2266">
          <cell r="O2266" t="str">
            <v>SC4015SO-N-TR</v>
          </cell>
          <cell r="P2266" t="str">
            <v>STC4011E</v>
          </cell>
          <cell r="Q2266" t="str">
            <v>磁性位置传感器</v>
          </cell>
        </row>
        <row r="2267">
          <cell r="O2267" t="str">
            <v>SC4015SO-N-TR</v>
          </cell>
          <cell r="P2267" t="str">
            <v>STC4011E</v>
          </cell>
          <cell r="Q2267" t="str">
            <v>磁性位置传感器</v>
          </cell>
        </row>
        <row r="2268">
          <cell r="O2268" t="str">
            <v>SC4015SO-N-TR</v>
          </cell>
          <cell r="P2268" t="str">
            <v>STC4011E</v>
          </cell>
          <cell r="Q2268" t="str">
            <v>磁性位置传感器</v>
          </cell>
        </row>
        <row r="2269">
          <cell r="O2269" t="str">
            <v>SC4015SO-N-TR</v>
          </cell>
          <cell r="P2269" t="str">
            <v>STC4011E</v>
          </cell>
          <cell r="Q2269" t="str">
            <v>磁性位置传感器</v>
          </cell>
        </row>
        <row r="2270">
          <cell r="O2270" t="str">
            <v>SC2402UA</v>
          </cell>
          <cell r="P2270" t="str">
            <v>STC9902J</v>
          </cell>
          <cell r="Q2270" t="str">
            <v>磁性位置传感器</v>
          </cell>
        </row>
        <row r="2271">
          <cell r="O2271" t="str">
            <v>SC2442UA</v>
          </cell>
          <cell r="P2271" t="str">
            <v>STC11102B</v>
          </cell>
          <cell r="Q2271" t="str">
            <v>磁性位置传感器</v>
          </cell>
        </row>
        <row r="2272">
          <cell r="O2272" t="str">
            <v>SC2442UA</v>
          </cell>
          <cell r="P2272" t="str">
            <v>STC11102B</v>
          </cell>
          <cell r="Q2272" t="str">
            <v>磁性位置传感器</v>
          </cell>
        </row>
        <row r="2273">
          <cell r="O2273" t="str">
            <v>SC9641TS-PC</v>
          </cell>
          <cell r="P2273" t="str">
            <v>STC9A001I</v>
          </cell>
          <cell r="Q2273" t="str">
            <v>速度传感器</v>
          </cell>
        </row>
        <row r="2274">
          <cell r="O2274" t="str">
            <v>SC9641TS-PC</v>
          </cell>
          <cell r="P2274" t="str">
            <v>STC9A001I</v>
          </cell>
          <cell r="Q2274" t="str">
            <v>速度传感器</v>
          </cell>
        </row>
        <row r="2275">
          <cell r="O2275" t="str">
            <v>SC2442SO-TR-Q</v>
          </cell>
          <cell r="P2275" t="str">
            <v>STC9906R</v>
          </cell>
          <cell r="Q2275" t="str">
            <v>磁性位置传感器</v>
          </cell>
        </row>
        <row r="2276">
          <cell r="O2276" t="str">
            <v>SC2442SO-TR-Q</v>
          </cell>
          <cell r="P2276" t="str">
            <v>STC9906R</v>
          </cell>
          <cell r="Q2276" t="str">
            <v>磁性位置传感器</v>
          </cell>
        </row>
        <row r="2277">
          <cell r="O2277" t="str">
            <v>SC9641TS-P</v>
          </cell>
          <cell r="P2277" t="str">
            <v>STC9A001I</v>
          </cell>
          <cell r="Q2277" t="str">
            <v>速度传感器</v>
          </cell>
        </row>
        <row r="2278">
          <cell r="O2278" t="str">
            <v>SC9642TS-E</v>
          </cell>
          <cell r="P2278" t="str">
            <v>STC9A001H</v>
          </cell>
          <cell r="Q2278" t="str">
            <v>速度传感器</v>
          </cell>
        </row>
        <row r="2279">
          <cell r="O2279" t="str">
            <v>SC9642TS-E</v>
          </cell>
          <cell r="P2279" t="str">
            <v>STC9A001H</v>
          </cell>
          <cell r="Q2279" t="str">
            <v>速度传感器</v>
          </cell>
        </row>
        <row r="2280">
          <cell r="O2280" t="str">
            <v>SC9642TS-E</v>
          </cell>
          <cell r="P2280" t="str">
            <v>STC9A001H</v>
          </cell>
          <cell r="Q2280" t="str">
            <v>速度传感器</v>
          </cell>
        </row>
        <row r="2281">
          <cell r="O2281" t="str">
            <v>SC9642TS-E</v>
          </cell>
          <cell r="P2281" t="str">
            <v>STC9A001H</v>
          </cell>
          <cell r="Q2281" t="str">
            <v>速度传感器</v>
          </cell>
        </row>
        <row r="2282">
          <cell r="O2282" t="str">
            <v>SC9642TS-E</v>
          </cell>
          <cell r="P2282" t="str">
            <v>STC9A001H</v>
          </cell>
          <cell r="Q2282" t="str">
            <v>速度传感器</v>
          </cell>
        </row>
        <row r="2283">
          <cell r="O2283" t="str">
            <v>SC9314UA</v>
          </cell>
          <cell r="P2283" t="str">
            <v>STC9901AF</v>
          </cell>
          <cell r="Q2283" t="str">
            <v>速度传感器</v>
          </cell>
        </row>
        <row r="2284">
          <cell r="O2284" t="str">
            <v>SC2443UA</v>
          </cell>
          <cell r="P2284" t="str">
            <v>STC9906G</v>
          </cell>
          <cell r="Q2284" t="str">
            <v>磁性位置传感器</v>
          </cell>
        </row>
        <row r="2285">
          <cell r="O2285" t="str">
            <v>SC4688编程器</v>
          </cell>
          <cell r="P2285" t="str">
            <v xml:space="preserve"> </v>
          </cell>
          <cell r="Q2285" t="str">
            <v>角度传感器</v>
          </cell>
        </row>
        <row r="2286">
          <cell r="O2286" t="str">
            <v>SC4688DC</v>
          </cell>
          <cell r="P2286" t="str">
            <v>STC9D01C</v>
          </cell>
          <cell r="Q2286" t="str">
            <v>角度传感器</v>
          </cell>
        </row>
        <row r="2287">
          <cell r="O2287" t="str">
            <v>SC4688DC</v>
          </cell>
          <cell r="P2287" t="str">
            <v>STC9D01C</v>
          </cell>
          <cell r="Q2287" t="str">
            <v>角度传感器</v>
          </cell>
        </row>
        <row r="2288">
          <cell r="O2288" t="str">
            <v>SC4688DC</v>
          </cell>
          <cell r="P2288" t="str">
            <v>STC9D01C</v>
          </cell>
          <cell r="Q2288" t="str">
            <v>角度传感器</v>
          </cell>
        </row>
        <row r="2289">
          <cell r="O2289" t="str">
            <v>SC60340</v>
          </cell>
          <cell r="P2289" t="str">
            <v>STC9D05B</v>
          </cell>
          <cell r="Q2289" t="str">
            <v>电机编码器</v>
          </cell>
        </row>
        <row r="2290">
          <cell r="O2290" t="str">
            <v>SC2434SO-N</v>
          </cell>
          <cell r="P2290" t="str">
            <v>STC9906I</v>
          </cell>
          <cell r="Q2290" t="str">
            <v>磁性位置传感器</v>
          </cell>
        </row>
        <row r="2291">
          <cell r="O2291" t="str">
            <v>SC9634VB</v>
          </cell>
          <cell r="P2291" t="str">
            <v>STC9905G</v>
          </cell>
          <cell r="Q2291" t="str">
            <v>速度传感器</v>
          </cell>
        </row>
        <row r="2292">
          <cell r="O2292" t="str">
            <v>SC9634VB</v>
          </cell>
          <cell r="P2292" t="str">
            <v>STC9905G</v>
          </cell>
          <cell r="Q2292" t="str">
            <v>速度传感器</v>
          </cell>
        </row>
        <row r="2293">
          <cell r="O2293" t="str">
            <v>SC919H</v>
          </cell>
          <cell r="P2293" t="str">
            <v>STC9913D</v>
          </cell>
          <cell r="Q2293" t="str">
            <v>磁性位置传感器</v>
          </cell>
        </row>
        <row r="2294">
          <cell r="O2294" t="str">
            <v>SD2276</v>
          </cell>
          <cell r="P2294" t="str">
            <v>FD1014A</v>
          </cell>
          <cell r="Q2294" t="str">
            <v>电机驱动</v>
          </cell>
        </row>
        <row r="2295">
          <cell r="O2295" t="str">
            <v>SD2276</v>
          </cell>
          <cell r="P2295" t="str">
            <v>FD1014A</v>
          </cell>
          <cell r="Q2295" t="str">
            <v>电机驱动</v>
          </cell>
        </row>
        <row r="2296">
          <cell r="O2296" t="str">
            <v>SC2402SO-N</v>
          </cell>
          <cell r="P2296" t="str">
            <v>STC9H001A</v>
          </cell>
          <cell r="Q2296" t="str">
            <v>磁性位置传感器</v>
          </cell>
        </row>
        <row r="2297">
          <cell r="O2297" t="str">
            <v>SC2402SO-N</v>
          </cell>
          <cell r="P2297" t="str">
            <v>STC9H001A</v>
          </cell>
          <cell r="Q2297" t="str">
            <v>磁性位置传感器</v>
          </cell>
        </row>
        <row r="2298">
          <cell r="O2298" t="str">
            <v>SC1645A1</v>
          </cell>
          <cell r="P2298" t="str">
            <v>STC2899AE</v>
          </cell>
          <cell r="Q2298" t="str">
            <v>磁性位置传感器</v>
          </cell>
        </row>
        <row r="2299">
          <cell r="O2299" t="str">
            <v>SC1645A1</v>
          </cell>
          <cell r="P2299" t="str">
            <v>STC2899AE</v>
          </cell>
          <cell r="Q2299" t="str">
            <v>磁性位置传感器</v>
          </cell>
        </row>
        <row r="2300">
          <cell r="O2300" t="str">
            <v>SC1645B1</v>
          </cell>
          <cell r="P2300" t="str">
            <v>STC2899AE</v>
          </cell>
          <cell r="Q2300" t="str">
            <v>磁性位置传感器</v>
          </cell>
        </row>
        <row r="2301">
          <cell r="O2301" t="str">
            <v>SC2462UA</v>
          </cell>
          <cell r="P2301" t="str">
            <v>STC9906J</v>
          </cell>
          <cell r="Q2301" t="str">
            <v>磁性位置传感器</v>
          </cell>
        </row>
        <row r="2302">
          <cell r="O2302" t="str">
            <v>SC9648TS-P</v>
          </cell>
          <cell r="P2302" t="str">
            <v>STC9A001I</v>
          </cell>
          <cell r="Q2302" t="str">
            <v>速度传感器</v>
          </cell>
        </row>
        <row r="2303">
          <cell r="O2303" t="str">
            <v>SC2462SO</v>
          </cell>
          <cell r="P2303" t="str">
            <v>STC9906J</v>
          </cell>
          <cell r="Q2303" t="str">
            <v>磁性位置传感器</v>
          </cell>
        </row>
        <row r="2304">
          <cell r="O2304" t="str">
            <v>SC2462SO</v>
          </cell>
          <cell r="P2304" t="str">
            <v>STC9906J</v>
          </cell>
          <cell r="Q2304" t="str">
            <v>磁性位置传感器</v>
          </cell>
        </row>
        <row r="2305">
          <cell r="O2305" t="str">
            <v>SC2436SO</v>
          </cell>
          <cell r="P2305" t="str">
            <v>STC9906M</v>
          </cell>
          <cell r="Q2305" t="str">
            <v>磁性位置传感器</v>
          </cell>
        </row>
        <row r="2306">
          <cell r="O2306" t="str">
            <v>SC2442SO-N</v>
          </cell>
          <cell r="P2306" t="str">
            <v>STC11102B</v>
          </cell>
          <cell r="Q2306" t="str">
            <v>磁性位置传感器</v>
          </cell>
        </row>
        <row r="2307">
          <cell r="O2307" t="str">
            <v>SC2442SO-N</v>
          </cell>
          <cell r="P2307" t="str">
            <v>STC11102B</v>
          </cell>
          <cell r="Q2307" t="str">
            <v>磁性位置传感器</v>
          </cell>
        </row>
        <row r="2308">
          <cell r="O2308" t="str">
            <v>SC2442SO-N</v>
          </cell>
          <cell r="P2308" t="str">
            <v>STC11102B</v>
          </cell>
          <cell r="Q2308" t="str">
            <v>磁性位置传感器</v>
          </cell>
        </row>
        <row r="2309">
          <cell r="O2309" t="str">
            <v>SC2442SO-N</v>
          </cell>
          <cell r="P2309" t="str">
            <v>STC11102B</v>
          </cell>
          <cell r="Q2309" t="str">
            <v>磁性位置传感器</v>
          </cell>
        </row>
        <row r="2310">
          <cell r="O2310" t="str">
            <v>KH276</v>
          </cell>
          <cell r="P2310" t="str">
            <v>FD1014A</v>
          </cell>
          <cell r="Q2310" t="str">
            <v>电机驱动</v>
          </cell>
        </row>
        <row r="2311">
          <cell r="O2311" t="str">
            <v>KH276</v>
          </cell>
          <cell r="P2311" t="str">
            <v>FD1014A</v>
          </cell>
          <cell r="Q2311" t="str">
            <v>电机驱动</v>
          </cell>
        </row>
        <row r="2312">
          <cell r="O2312" t="str">
            <v>SC2402SO-N</v>
          </cell>
          <cell r="P2312" t="str">
            <v>STC9G002A</v>
          </cell>
          <cell r="Q2312" t="str">
            <v>磁性位置传感器</v>
          </cell>
        </row>
        <row r="2313">
          <cell r="O2313" t="str">
            <v>SC2402SO-N</v>
          </cell>
          <cell r="P2313" t="str">
            <v>STC9G002A</v>
          </cell>
          <cell r="Q2313" t="str">
            <v>磁性位置传感器</v>
          </cell>
        </row>
        <row r="2314">
          <cell r="O2314" t="str">
            <v>SC2498UA-N</v>
          </cell>
          <cell r="P2314" t="str">
            <v>SC9915C</v>
          </cell>
          <cell r="Q2314" t="str">
            <v>磁性位置传感器</v>
          </cell>
        </row>
        <row r="2315">
          <cell r="O2315" t="str">
            <v>SC4688SA</v>
          </cell>
          <cell r="P2315" t="str">
            <v>STC9D01C</v>
          </cell>
          <cell r="Q2315" t="str">
            <v>角度传感器</v>
          </cell>
        </row>
        <row r="2316">
          <cell r="O2316" t="str">
            <v>SC2442SO</v>
          </cell>
          <cell r="P2316" t="str">
            <v>STC11102B</v>
          </cell>
          <cell r="Q2316" t="str">
            <v>磁性位置传感器</v>
          </cell>
        </row>
        <row r="2317">
          <cell r="O2317" t="str">
            <v>SC2402SO-N</v>
          </cell>
          <cell r="P2317" t="str">
            <v>STC9G002A</v>
          </cell>
          <cell r="Q2317" t="str">
            <v>磁性位置传感器</v>
          </cell>
        </row>
        <row r="2318">
          <cell r="O2318" t="str">
            <v>SC2402SO-N</v>
          </cell>
          <cell r="P2318" t="str">
            <v>STC9G002A</v>
          </cell>
          <cell r="Q2318" t="str">
            <v>磁性位置传感器</v>
          </cell>
        </row>
        <row r="2319">
          <cell r="O2319" t="str">
            <v>SC9642TS-E</v>
          </cell>
          <cell r="P2319" t="str">
            <v>STC9A001H</v>
          </cell>
          <cell r="Q2319" t="str">
            <v>速度传感器</v>
          </cell>
        </row>
        <row r="2320">
          <cell r="O2320" t="str">
            <v>SC9642TS-E</v>
          </cell>
          <cell r="P2320" t="str">
            <v>STC9A001H</v>
          </cell>
          <cell r="Q2320" t="str">
            <v>速度传感器</v>
          </cell>
        </row>
        <row r="2321">
          <cell r="O2321" t="str">
            <v>SC9642TS-E</v>
          </cell>
          <cell r="P2321" t="str">
            <v>STC9A001H</v>
          </cell>
          <cell r="Q2321" t="str">
            <v>速度传感器</v>
          </cell>
        </row>
        <row r="2322">
          <cell r="O2322" t="str">
            <v>SC9642TS-E</v>
          </cell>
          <cell r="P2322" t="str">
            <v>STC9A001H</v>
          </cell>
          <cell r="Q2322" t="str">
            <v>速度传感器</v>
          </cell>
        </row>
        <row r="2323">
          <cell r="O2323" t="str">
            <v>SC9641TS-P</v>
          </cell>
          <cell r="P2323" t="str">
            <v>STC9A001I</v>
          </cell>
          <cell r="Q2323" t="str">
            <v>速度传感器</v>
          </cell>
        </row>
        <row r="2324">
          <cell r="O2324" t="str">
            <v>SC9641TS-P</v>
          </cell>
          <cell r="P2324" t="str">
            <v>STC9A001I</v>
          </cell>
          <cell r="Q2324" t="str">
            <v>速度传感器</v>
          </cell>
        </row>
        <row r="2325">
          <cell r="O2325" t="str">
            <v>SC9641TS-P</v>
          </cell>
          <cell r="P2325" t="str">
            <v>STC9A001I</v>
          </cell>
          <cell r="Q2325" t="str">
            <v>速度传感器</v>
          </cell>
        </row>
        <row r="2326">
          <cell r="O2326" t="str">
            <v>SC9641TS-P</v>
          </cell>
          <cell r="P2326" t="str">
            <v>STC9A001I</v>
          </cell>
          <cell r="Q2326" t="str">
            <v>速度传感器</v>
          </cell>
        </row>
        <row r="2327">
          <cell r="O2327" t="str">
            <v>SC9641TS-P</v>
          </cell>
          <cell r="P2327" t="str">
            <v>STC9A001I</v>
          </cell>
          <cell r="Q2327" t="str">
            <v>速度传感器</v>
          </cell>
        </row>
        <row r="2328">
          <cell r="O2328" t="str">
            <v>SC9641TS-P</v>
          </cell>
          <cell r="P2328" t="str">
            <v>STC9A001I</v>
          </cell>
          <cell r="Q2328" t="str">
            <v>速度传感器</v>
          </cell>
        </row>
        <row r="2329">
          <cell r="O2329" t="str">
            <v>SC9641TS-P</v>
          </cell>
          <cell r="P2329" t="str">
            <v>STC9A001I</v>
          </cell>
          <cell r="Q2329" t="str">
            <v>速度传感器</v>
          </cell>
        </row>
        <row r="2330">
          <cell r="O2330" t="str">
            <v>SC9641TS-P</v>
          </cell>
          <cell r="P2330" t="str">
            <v>STC9A001I</v>
          </cell>
          <cell r="Q2330" t="str">
            <v>速度传感器</v>
          </cell>
        </row>
        <row r="2331">
          <cell r="O2331" t="str">
            <v>SC2436SO</v>
          </cell>
          <cell r="P2331" t="str">
            <v>STC9906M</v>
          </cell>
          <cell r="Q2331" t="str">
            <v>磁性位置传感器</v>
          </cell>
        </row>
        <row r="2332">
          <cell r="O2332" t="str">
            <v>SC9641TS-PC</v>
          </cell>
          <cell r="P2332" t="str">
            <v>STC9A001I</v>
          </cell>
          <cell r="Q2332" t="str">
            <v>速度传感器</v>
          </cell>
        </row>
        <row r="2333">
          <cell r="O2333" t="str">
            <v>SC2498UA-N</v>
          </cell>
          <cell r="P2333" t="str">
            <v>SC9915C</v>
          </cell>
          <cell r="Q2333" t="str">
            <v>磁性位置传感器</v>
          </cell>
        </row>
        <row r="2334">
          <cell r="O2334" t="str">
            <v>SC2498UA-N</v>
          </cell>
          <cell r="P2334" t="str">
            <v>SC9915C</v>
          </cell>
          <cell r="Q2334" t="str">
            <v>磁性位置传感器</v>
          </cell>
        </row>
        <row r="2335">
          <cell r="O2335" t="str">
            <v>SC2442SO-N</v>
          </cell>
          <cell r="P2335" t="str">
            <v>STC11102B</v>
          </cell>
          <cell r="Q2335" t="str">
            <v>磁性位置传感器</v>
          </cell>
        </row>
        <row r="2336">
          <cell r="O2336" t="str">
            <v>SC2498TSO</v>
          </cell>
          <cell r="P2336" t="str">
            <v>STC11300C</v>
          </cell>
          <cell r="Q2336" t="str">
            <v>磁性位置传感器</v>
          </cell>
        </row>
        <row r="2337">
          <cell r="O2337" t="str">
            <v>SC60226</v>
          </cell>
          <cell r="P2337" t="str">
            <v>STC9D04C</v>
          </cell>
          <cell r="Q2337" t="str">
            <v>电机编码器</v>
          </cell>
        </row>
        <row r="2338">
          <cell r="O2338" t="str">
            <v>S41H</v>
          </cell>
          <cell r="P2338" t="str">
            <v>STC2899AI</v>
          </cell>
          <cell r="Q2338" t="str">
            <v>磁性位置传感器</v>
          </cell>
        </row>
        <row r="2339">
          <cell r="O2339" t="str">
            <v>SC1134BU</v>
          </cell>
          <cell r="P2339" t="str">
            <v>STC1898AI</v>
          </cell>
          <cell r="Q2339" t="str">
            <v>磁性位置传感器</v>
          </cell>
        </row>
        <row r="2340">
          <cell r="O2340" t="str">
            <v>SC60224-D-1024-976-BSD-01</v>
          </cell>
          <cell r="P2340" t="str">
            <v>STC9D04C</v>
          </cell>
          <cell r="Q2340" t="str">
            <v>电机编码器</v>
          </cell>
        </row>
        <row r="2341">
          <cell r="O2341" t="str">
            <v>SC60224-D-500</v>
          </cell>
          <cell r="P2341" t="str">
            <v>STC9D04C</v>
          </cell>
          <cell r="Q2341" t="str">
            <v>电机编码器</v>
          </cell>
        </row>
        <row r="2342">
          <cell r="O2342" t="str">
            <v>SC4015SO-N-TR</v>
          </cell>
          <cell r="P2342" t="str">
            <v>STC4011E</v>
          </cell>
          <cell r="Q2342" t="str">
            <v>磁性位置传感器</v>
          </cell>
        </row>
        <row r="2343">
          <cell r="O2343" t="str">
            <v>SC4015SO-N-TR</v>
          </cell>
          <cell r="P2343" t="str">
            <v>STC4011E</v>
          </cell>
          <cell r="Q2343" t="str">
            <v>磁性位置传感器</v>
          </cell>
        </row>
        <row r="2344">
          <cell r="O2344" t="str">
            <v>SC4015SO-N-TR</v>
          </cell>
          <cell r="P2344" t="str">
            <v>STC4011E</v>
          </cell>
          <cell r="Q2344" t="str">
            <v>磁性位置传感器</v>
          </cell>
        </row>
        <row r="2345">
          <cell r="O2345" t="str">
            <v>SC4015SO-N-TR</v>
          </cell>
          <cell r="P2345" t="str">
            <v>STC4011E</v>
          </cell>
          <cell r="Q2345" t="str">
            <v>磁性位置传感器</v>
          </cell>
        </row>
        <row r="2346">
          <cell r="O2346" t="str">
            <v>SC4015SO-N-TR</v>
          </cell>
          <cell r="P2346" t="str">
            <v>STC4011E</v>
          </cell>
          <cell r="Q2346" t="str">
            <v>磁性位置传感器</v>
          </cell>
        </row>
        <row r="2347">
          <cell r="O2347" t="str">
            <v>SC60370</v>
          </cell>
          <cell r="P2347" t="str">
            <v>STC9D05C</v>
          </cell>
          <cell r="Q2347" t="str">
            <v>电机编码器</v>
          </cell>
        </row>
        <row r="2348">
          <cell r="O2348" t="str">
            <v>SC9641TS-PC</v>
          </cell>
          <cell r="P2348" t="str">
            <v>STC9A001I</v>
          </cell>
          <cell r="Q2348" t="str">
            <v>速度传感器</v>
          </cell>
        </row>
        <row r="2349">
          <cell r="O2349" t="str">
            <v>SC9641TS-PC</v>
          </cell>
          <cell r="P2349" t="str">
            <v>STC9A001I</v>
          </cell>
          <cell r="Q2349" t="str">
            <v>速度传感器</v>
          </cell>
        </row>
        <row r="2350">
          <cell r="O2350" t="str">
            <v>SC9641TS-PC</v>
          </cell>
          <cell r="P2350" t="str">
            <v>STC9A001I</v>
          </cell>
          <cell r="Q2350" t="str">
            <v>速度传感器</v>
          </cell>
        </row>
        <row r="2351">
          <cell r="O2351" t="str">
            <v>SC9632VB</v>
          </cell>
          <cell r="P2351" t="str">
            <v>STC9905E</v>
          </cell>
          <cell r="Q2351" t="str">
            <v>速度传感器</v>
          </cell>
        </row>
        <row r="2352">
          <cell r="O2352" t="str">
            <v>SC9632VB</v>
          </cell>
          <cell r="P2352" t="str">
            <v>STC9905E</v>
          </cell>
          <cell r="Q2352" t="str">
            <v>速度传感器</v>
          </cell>
        </row>
        <row r="2353">
          <cell r="O2353" t="str">
            <v>SC9632VB</v>
          </cell>
          <cell r="P2353" t="str">
            <v>STC9905E</v>
          </cell>
          <cell r="Q2353" t="str">
            <v>速度传感器</v>
          </cell>
        </row>
        <row r="2354">
          <cell r="O2354" t="str">
            <v>SC9634VB</v>
          </cell>
          <cell r="P2354" t="str">
            <v>STC9905G</v>
          </cell>
          <cell r="Q2354" t="str">
            <v>速度传感器</v>
          </cell>
        </row>
        <row r="2355">
          <cell r="O2355" t="str">
            <v>SC9634VB</v>
          </cell>
          <cell r="P2355" t="str">
            <v>STC9905G</v>
          </cell>
          <cell r="Q2355" t="str">
            <v>速度传感器</v>
          </cell>
        </row>
        <row r="2356">
          <cell r="O2356" t="str">
            <v>SC9634VB</v>
          </cell>
          <cell r="P2356" t="str">
            <v>STC9905G</v>
          </cell>
          <cell r="Q2356" t="str">
            <v>速度传感器</v>
          </cell>
        </row>
        <row r="2357">
          <cell r="O2357" t="str">
            <v>SC60221-D-64</v>
          </cell>
          <cell r="P2357" t="str">
            <v>STC9D04C</v>
          </cell>
          <cell r="Q2357" t="str">
            <v>电机编码器</v>
          </cell>
        </row>
        <row r="2358">
          <cell r="O2358" t="str">
            <v>KH276</v>
          </cell>
          <cell r="P2358" t="str">
            <v>FD1014A</v>
          </cell>
          <cell r="Q2358" t="str">
            <v>电机驱动</v>
          </cell>
        </row>
        <row r="2359">
          <cell r="O2359" t="str">
            <v>SC4015SO-N-TR</v>
          </cell>
          <cell r="P2359" t="str">
            <v>STC4011E</v>
          </cell>
          <cell r="Q2359" t="str">
            <v>磁性位置传感器</v>
          </cell>
        </row>
        <row r="2360">
          <cell r="O2360" t="str">
            <v>SC4015SO-N-TR</v>
          </cell>
          <cell r="P2360" t="str">
            <v>STC4011E</v>
          </cell>
          <cell r="Q2360" t="str">
            <v>磁性位置传感器</v>
          </cell>
        </row>
        <row r="2361">
          <cell r="O2361" t="str">
            <v>SC4015SO-N-TR</v>
          </cell>
          <cell r="P2361" t="str">
            <v>STC4011E</v>
          </cell>
          <cell r="Q2361" t="str">
            <v>磁性位置传感器</v>
          </cell>
        </row>
        <row r="2362">
          <cell r="O2362" t="str">
            <v>SC4015SO-N-TR</v>
          </cell>
          <cell r="P2362" t="str">
            <v>STC4011E</v>
          </cell>
          <cell r="Q2362" t="str">
            <v>磁性位置传感器</v>
          </cell>
        </row>
        <row r="2363">
          <cell r="O2363" t="str">
            <v>SC4015SO-N-TR</v>
          </cell>
          <cell r="P2363" t="str">
            <v>STC4011E</v>
          </cell>
          <cell r="Q2363" t="str">
            <v>磁性位置传感器</v>
          </cell>
        </row>
        <row r="2364">
          <cell r="O2364" t="str">
            <v>SC2462SO</v>
          </cell>
          <cell r="P2364" t="str">
            <v>STC9906J</v>
          </cell>
          <cell r="Q2364" t="str">
            <v>磁性位置传感器</v>
          </cell>
        </row>
        <row r="2365">
          <cell r="O2365" t="str">
            <v>SC2438SO</v>
          </cell>
          <cell r="P2365" t="str">
            <v>STC9906M</v>
          </cell>
          <cell r="Q2365" t="str">
            <v>磁性位置传感器</v>
          </cell>
        </row>
        <row r="2366">
          <cell r="O2366" t="str">
            <v>SC2402UA</v>
          </cell>
          <cell r="P2366" t="str">
            <v>STC9902J</v>
          </cell>
          <cell r="Q2366" t="str">
            <v>磁性位置传感器</v>
          </cell>
        </row>
        <row r="2367">
          <cell r="O2367" t="str">
            <v>SC2402UA</v>
          </cell>
          <cell r="P2367" t="str">
            <v>STC9902J</v>
          </cell>
          <cell r="Q2367" t="str">
            <v>磁性位置传感器</v>
          </cell>
        </row>
        <row r="2368">
          <cell r="O2368" t="str">
            <v>SC2402UA</v>
          </cell>
          <cell r="P2368" t="str">
            <v>STC9902J</v>
          </cell>
          <cell r="Q2368" t="str">
            <v>磁性位置传感器</v>
          </cell>
        </row>
        <row r="2369">
          <cell r="O2369" t="str">
            <v>SC1245UA</v>
          </cell>
          <cell r="P2369" t="str">
            <v>STC1898AD</v>
          </cell>
          <cell r="Q2369" t="str">
            <v>磁性位置传感器</v>
          </cell>
        </row>
        <row r="2370">
          <cell r="O2370" t="str">
            <v>SC1134SO-N</v>
          </cell>
          <cell r="P2370" t="str">
            <v>STC1002AF</v>
          </cell>
          <cell r="Q2370" t="str">
            <v>磁性位置传感器</v>
          </cell>
        </row>
        <row r="2371">
          <cell r="O2371" t="str">
            <v>SC2402SO-N</v>
          </cell>
          <cell r="P2371" t="str">
            <v>STC9902J</v>
          </cell>
          <cell r="Q2371" t="str">
            <v>磁性位置传感器</v>
          </cell>
        </row>
        <row r="2372">
          <cell r="O2372" t="str">
            <v>G01</v>
          </cell>
          <cell r="P2372" t="str">
            <v>STC4011B</v>
          </cell>
          <cell r="Q2372" t="str">
            <v>磁性位置传感器</v>
          </cell>
        </row>
        <row r="2373">
          <cell r="O2373" t="str">
            <v>G01</v>
          </cell>
          <cell r="P2373" t="str">
            <v>STC4011B</v>
          </cell>
          <cell r="Q2373" t="str">
            <v>磁性位置传感器</v>
          </cell>
        </row>
        <row r="2374">
          <cell r="O2374" t="str">
            <v>G01</v>
          </cell>
          <cell r="P2374" t="str">
            <v>STC4011B</v>
          </cell>
          <cell r="Q2374" t="str">
            <v>磁性位置传感器</v>
          </cell>
        </row>
        <row r="2375">
          <cell r="O2375" t="str">
            <v>G01</v>
          </cell>
          <cell r="P2375" t="str">
            <v>STC4011B</v>
          </cell>
          <cell r="Q2375" t="str">
            <v>磁性位置传感器</v>
          </cell>
        </row>
        <row r="2376">
          <cell r="O2376" t="str">
            <v>G01</v>
          </cell>
          <cell r="P2376" t="str">
            <v>STC4011B</v>
          </cell>
          <cell r="Q2376" t="str">
            <v>磁性位置传感器</v>
          </cell>
        </row>
        <row r="2377">
          <cell r="O2377" t="str">
            <v>G01</v>
          </cell>
          <cell r="P2377" t="str">
            <v>STC4011B</v>
          </cell>
          <cell r="Q2377" t="str">
            <v>磁性位置传感器</v>
          </cell>
        </row>
        <row r="2378">
          <cell r="O2378" t="str">
            <v>G01</v>
          </cell>
          <cell r="P2378" t="str">
            <v>STC4011B</v>
          </cell>
          <cell r="Q2378" t="str">
            <v>磁性位置传感器</v>
          </cell>
        </row>
        <row r="2379">
          <cell r="O2379" t="str">
            <v>G01</v>
          </cell>
          <cell r="P2379" t="str">
            <v>STC4011B</v>
          </cell>
          <cell r="Q2379" t="str">
            <v>磁性位置传感器</v>
          </cell>
        </row>
        <row r="2380">
          <cell r="O2380" t="str">
            <v>G01</v>
          </cell>
          <cell r="P2380" t="str">
            <v>STC4011B</v>
          </cell>
          <cell r="Q2380" t="str">
            <v>磁性位置传感器</v>
          </cell>
        </row>
        <row r="2381">
          <cell r="O2381" t="str">
            <v>G01</v>
          </cell>
          <cell r="P2381" t="str">
            <v>STC4011B</v>
          </cell>
          <cell r="Q2381" t="str">
            <v>磁性位置传感器</v>
          </cell>
        </row>
        <row r="2382">
          <cell r="O2382" t="str">
            <v>G01</v>
          </cell>
          <cell r="P2382" t="str">
            <v>STC4011B</v>
          </cell>
          <cell r="Q2382" t="str">
            <v>磁性位置传感器</v>
          </cell>
        </row>
        <row r="2383">
          <cell r="O2383" t="str">
            <v>G01</v>
          </cell>
          <cell r="P2383" t="str">
            <v>STC4011B</v>
          </cell>
          <cell r="Q2383" t="str">
            <v>磁性位置传感器</v>
          </cell>
        </row>
        <row r="2384">
          <cell r="O2384" t="str">
            <v>SC9648TS-P</v>
          </cell>
          <cell r="P2384" t="str">
            <v>STC9A001I</v>
          </cell>
          <cell r="Q2384" t="str">
            <v>速度传感器</v>
          </cell>
        </row>
        <row r="2385">
          <cell r="O2385" t="str">
            <v>SC9648TS-P</v>
          </cell>
          <cell r="P2385" t="str">
            <v>STC9A001I</v>
          </cell>
          <cell r="Q2385" t="str">
            <v>速度传感器</v>
          </cell>
        </row>
        <row r="2386">
          <cell r="O2386" t="str">
            <v>SC9648TS-P</v>
          </cell>
          <cell r="P2386" t="str">
            <v>STC9A001I</v>
          </cell>
          <cell r="Q2386" t="str">
            <v>速度传感器</v>
          </cell>
        </row>
        <row r="2387">
          <cell r="O2387" t="str">
            <v>SC9648TS-P</v>
          </cell>
          <cell r="P2387" t="str">
            <v>STC9A001I</v>
          </cell>
          <cell r="Q2387" t="str">
            <v>速度传感器</v>
          </cell>
        </row>
        <row r="2388">
          <cell r="O2388" t="str">
            <v>SC9648TS-P</v>
          </cell>
          <cell r="P2388" t="str">
            <v>STC9A001I</v>
          </cell>
          <cell r="Q2388" t="str">
            <v>速度传感器</v>
          </cell>
        </row>
        <row r="2389">
          <cell r="O2389" t="str">
            <v>SC9641TS-PC</v>
          </cell>
          <cell r="P2389" t="str">
            <v>STC9A001I</v>
          </cell>
          <cell r="Q2389" t="str">
            <v>速度传感器</v>
          </cell>
        </row>
        <row r="2390">
          <cell r="O2390" t="str">
            <v>SC1134SO-N</v>
          </cell>
          <cell r="P2390" t="str">
            <v>STC1002AF</v>
          </cell>
          <cell r="Q2390" t="str">
            <v>磁性位置传感器</v>
          </cell>
        </row>
        <row r="2391">
          <cell r="O2391" t="str">
            <v>SC2498UA-N</v>
          </cell>
          <cell r="P2391" t="str">
            <v>SC9915C</v>
          </cell>
          <cell r="Q2391" t="str">
            <v>磁性位置传感器</v>
          </cell>
        </row>
        <row r="2392">
          <cell r="O2392" t="str">
            <v>SC4643VB-A</v>
          </cell>
          <cell r="P2392" t="str">
            <v>STC9D03E</v>
          </cell>
          <cell r="Q2392" t="str">
            <v>电流传感器</v>
          </cell>
        </row>
        <row r="2393">
          <cell r="O2393" t="str">
            <v>SC4643VB-A</v>
          </cell>
          <cell r="P2393" t="str">
            <v>STC9D03E</v>
          </cell>
          <cell r="Q2393" t="str">
            <v>电流传感器</v>
          </cell>
        </row>
        <row r="2394">
          <cell r="O2394" t="str">
            <v>SC4643VB-A</v>
          </cell>
          <cell r="P2394" t="str">
            <v>STC9D03E</v>
          </cell>
          <cell r="Q2394" t="str">
            <v>电流传感器</v>
          </cell>
        </row>
        <row r="2395">
          <cell r="O2395" t="str">
            <v>SC4643VB-A</v>
          </cell>
          <cell r="P2395" t="str">
            <v>STC9D03E</v>
          </cell>
          <cell r="Q2395" t="str">
            <v>电流传感器</v>
          </cell>
        </row>
        <row r="2396">
          <cell r="O2396" t="str">
            <v>SC4643VB-A</v>
          </cell>
          <cell r="P2396" t="str">
            <v>STC9D03E</v>
          </cell>
          <cell r="Q2396" t="str">
            <v>电流传感器</v>
          </cell>
        </row>
        <row r="2397">
          <cell r="O2397" t="str">
            <v>SC4643VB-A</v>
          </cell>
          <cell r="P2397" t="str">
            <v>STC9D03E</v>
          </cell>
          <cell r="Q2397" t="str">
            <v>电流传感器</v>
          </cell>
        </row>
        <row r="2398">
          <cell r="O2398" t="str">
            <v>SC4643VB-A</v>
          </cell>
          <cell r="P2398" t="str">
            <v>STC9D03E</v>
          </cell>
          <cell r="Q2398" t="str">
            <v>电流传感器</v>
          </cell>
        </row>
        <row r="2399">
          <cell r="O2399" t="str">
            <v>STC1009C</v>
          </cell>
          <cell r="P2399" t="str">
            <v>STC1009C</v>
          </cell>
          <cell r="Q2399" t="str">
            <v>磁性位置传感器</v>
          </cell>
        </row>
        <row r="2400">
          <cell r="O2400" t="str">
            <v>SC9314UA</v>
          </cell>
          <cell r="P2400" t="str">
            <v>STC9901AF</v>
          </cell>
          <cell r="Q2400" t="str">
            <v>速度传感器</v>
          </cell>
        </row>
        <row r="2401">
          <cell r="O2401" t="str">
            <v>SC9641TS-P</v>
          </cell>
          <cell r="P2401" t="str">
            <v>STC9A001I</v>
          </cell>
          <cell r="Q2401" t="str">
            <v>速度传感器</v>
          </cell>
        </row>
        <row r="2402">
          <cell r="O2402" t="str">
            <v>SC9641TS</v>
          </cell>
          <cell r="P2402" t="str">
            <v>STC9910BN</v>
          </cell>
          <cell r="Q2402" t="str">
            <v>速度传感器</v>
          </cell>
        </row>
        <row r="2403">
          <cell r="O2403" t="str">
            <v>SC9641TS</v>
          </cell>
          <cell r="P2403" t="str">
            <v>STC9910BN</v>
          </cell>
          <cell r="Q2403" t="str">
            <v>速度传感器</v>
          </cell>
        </row>
        <row r="2404">
          <cell r="O2404" t="str">
            <v>SC9641TS</v>
          </cell>
          <cell r="P2404" t="str">
            <v>STC9910BN</v>
          </cell>
          <cell r="Q2404" t="str">
            <v>速度传感器</v>
          </cell>
        </row>
        <row r="2405">
          <cell r="O2405" t="str">
            <v>SC9641TS</v>
          </cell>
          <cell r="P2405" t="str">
            <v>STC9910BN</v>
          </cell>
          <cell r="Q2405" t="str">
            <v>速度传感器</v>
          </cell>
        </row>
        <row r="2406">
          <cell r="O2406" t="str">
            <v>SC9642TS</v>
          </cell>
          <cell r="P2406" t="str">
            <v>STC9A001G</v>
          </cell>
          <cell r="Q2406" t="str">
            <v>速度传感器</v>
          </cell>
        </row>
        <row r="2407">
          <cell r="O2407" t="str">
            <v>SC1134UA</v>
          </cell>
          <cell r="P2407" t="str">
            <v>STC1898AI</v>
          </cell>
          <cell r="Q2407" t="str">
            <v>磁性位置传感器</v>
          </cell>
        </row>
        <row r="2408">
          <cell r="O2408" t="str">
            <v>SC2438UA</v>
          </cell>
          <cell r="P2408" t="str">
            <v>STC9906I</v>
          </cell>
          <cell r="Q2408" t="str">
            <v>磁性位置传感器</v>
          </cell>
        </row>
        <row r="2409">
          <cell r="O2409" t="str">
            <v>SC1138SO-N</v>
          </cell>
          <cell r="P2409" t="str">
            <v>STC1898AC</v>
          </cell>
          <cell r="Q2409" t="str">
            <v>磁性位置传感器</v>
          </cell>
        </row>
        <row r="2410">
          <cell r="O2410" t="str">
            <v>SC1138SO-N</v>
          </cell>
          <cell r="P2410" t="str">
            <v>STC1898AC</v>
          </cell>
          <cell r="Q2410" t="str">
            <v>磁性位置传感器</v>
          </cell>
        </row>
        <row r="2411">
          <cell r="O2411" t="str">
            <v>SC1138SO-N</v>
          </cell>
          <cell r="P2411" t="str">
            <v>STC1898AC</v>
          </cell>
          <cell r="Q2411" t="str">
            <v>磁性位置传感器</v>
          </cell>
        </row>
        <row r="2412">
          <cell r="O2412" t="str">
            <v>SC1138SO-N</v>
          </cell>
          <cell r="P2412" t="str">
            <v>STC1898AC</v>
          </cell>
          <cell r="Q2412" t="str">
            <v>磁性位置传感器</v>
          </cell>
        </row>
        <row r="2413">
          <cell r="O2413" t="str">
            <v>SC1138SO-N</v>
          </cell>
          <cell r="P2413" t="str">
            <v>STC1898AC</v>
          </cell>
          <cell r="Q2413" t="str">
            <v>磁性位置传感器</v>
          </cell>
        </row>
        <row r="2414">
          <cell r="O2414" t="str">
            <v>SC1138SO-N</v>
          </cell>
          <cell r="P2414" t="str">
            <v>STC1898AC</v>
          </cell>
          <cell r="Q2414" t="str">
            <v>磁性位置传感器</v>
          </cell>
        </row>
        <row r="2415">
          <cell r="O2415" t="str">
            <v>SC1138SO-N</v>
          </cell>
          <cell r="P2415" t="str">
            <v>STC1898AC</v>
          </cell>
          <cell r="Q2415" t="str">
            <v>磁性位置传感器</v>
          </cell>
        </row>
        <row r="2416">
          <cell r="O2416" t="str">
            <v>SC1645B1</v>
          </cell>
          <cell r="P2416" t="str">
            <v>STC2899AE</v>
          </cell>
          <cell r="Q2416" t="str">
            <v>磁性位置传感器</v>
          </cell>
        </row>
        <row r="2417">
          <cell r="O2417" t="str">
            <v>SC1645B1</v>
          </cell>
          <cell r="P2417" t="str">
            <v>STC2899AE</v>
          </cell>
          <cell r="Q2417" t="str">
            <v>磁性位置传感器</v>
          </cell>
        </row>
        <row r="2418">
          <cell r="O2418" t="str">
            <v>SC1645B1</v>
          </cell>
          <cell r="P2418" t="str">
            <v>STC2899AE</v>
          </cell>
          <cell r="Q2418" t="str">
            <v>磁性位置传感器</v>
          </cell>
        </row>
        <row r="2419">
          <cell r="O2419" t="str">
            <v>SC2064SO</v>
          </cell>
          <cell r="P2419" t="str">
            <v>STC9G001C</v>
          </cell>
          <cell r="Q2419" t="str">
            <v>磁性位置传感器</v>
          </cell>
        </row>
        <row r="2420">
          <cell r="O2420" t="str">
            <v>SC2402UA-G</v>
          </cell>
          <cell r="P2420" t="str">
            <v>STC9G002B</v>
          </cell>
          <cell r="Q2420" t="str">
            <v>磁性位置传感器</v>
          </cell>
        </row>
        <row r="2421">
          <cell r="O2421" t="str">
            <v>SD2276</v>
          </cell>
          <cell r="P2421" t="str">
            <v>FD1014A</v>
          </cell>
          <cell r="Q2421" t="str">
            <v>电机驱动</v>
          </cell>
        </row>
        <row r="2422">
          <cell r="O2422" t="str">
            <v>SD2276</v>
          </cell>
          <cell r="P2422" t="str">
            <v>FD1014A</v>
          </cell>
          <cell r="Q2422" t="str">
            <v>电机驱动</v>
          </cell>
        </row>
        <row r="2423">
          <cell r="O2423" t="str">
            <v>SD2276</v>
          </cell>
          <cell r="P2423" t="str">
            <v>FD1014A</v>
          </cell>
          <cell r="Q2423" t="str">
            <v>电机驱动</v>
          </cell>
        </row>
        <row r="2424">
          <cell r="O2424" t="str">
            <v>SC4688SA-A</v>
          </cell>
          <cell r="P2424" t="str">
            <v>STC9D01C</v>
          </cell>
          <cell r="Q2424" t="str">
            <v>角度传感器</v>
          </cell>
        </row>
        <row r="2425">
          <cell r="O2425" t="str">
            <v>SC1245UA</v>
          </cell>
          <cell r="P2425" t="str">
            <v>STC1898AD</v>
          </cell>
          <cell r="Q2425" t="str">
            <v>磁性位置传感器</v>
          </cell>
        </row>
        <row r="2426">
          <cell r="O2426" t="str">
            <v>SC1245UA</v>
          </cell>
          <cell r="P2426" t="str">
            <v>STC1898AD</v>
          </cell>
          <cell r="Q2426" t="str">
            <v>磁性位置传感器</v>
          </cell>
        </row>
        <row r="2427">
          <cell r="O2427" t="str">
            <v>SC9648TS-P</v>
          </cell>
          <cell r="P2427" t="str">
            <v>STC9A001I</v>
          </cell>
          <cell r="Q2427" t="str">
            <v>速度传感器</v>
          </cell>
        </row>
        <row r="2428">
          <cell r="O2428" t="str">
            <v>SC9648TS-P</v>
          </cell>
          <cell r="P2428" t="str">
            <v>STC9A001I</v>
          </cell>
          <cell r="Q2428" t="str">
            <v>速度传感器</v>
          </cell>
        </row>
        <row r="2429">
          <cell r="O2429" t="str">
            <v>SC69401D</v>
          </cell>
          <cell r="P2429" t="str">
            <v>STC9H002DQ</v>
          </cell>
          <cell r="Q2429" t="str">
            <v>角度传感器</v>
          </cell>
        </row>
        <row r="2430">
          <cell r="O2430" t="str">
            <v>SC2242SO</v>
          </cell>
          <cell r="P2430" t="str">
            <v>STC9906H</v>
          </cell>
          <cell r="Q2430" t="str">
            <v>磁性位置传感器</v>
          </cell>
        </row>
        <row r="2431">
          <cell r="O2431" t="str">
            <v>SC2434SO</v>
          </cell>
          <cell r="P2431" t="str">
            <v>STC9906I</v>
          </cell>
          <cell r="Q2431" t="str">
            <v>磁性位置传感器</v>
          </cell>
        </row>
        <row r="2432">
          <cell r="O2432" t="str">
            <v>SC1245UA</v>
          </cell>
          <cell r="P2432" t="str">
            <v>STC1898AD</v>
          </cell>
          <cell r="Q2432" t="str">
            <v>磁性位置传感器</v>
          </cell>
        </row>
        <row r="2433">
          <cell r="O2433" t="str">
            <v>SC2436SO</v>
          </cell>
          <cell r="P2433" t="str">
            <v>STC9906M</v>
          </cell>
          <cell r="Q2433" t="str">
            <v>磁性位置传感器</v>
          </cell>
        </row>
        <row r="2434">
          <cell r="O2434" t="str">
            <v>SC2436SO</v>
          </cell>
          <cell r="P2434" t="str">
            <v>STC9906M</v>
          </cell>
          <cell r="Q2434" t="str">
            <v>磁性位置传感器</v>
          </cell>
        </row>
        <row r="2435">
          <cell r="O2435" t="str">
            <v>SC2242SO</v>
          </cell>
          <cell r="P2435" t="str">
            <v>STC9906H</v>
          </cell>
          <cell r="Q2435" t="str">
            <v>磁性位置传感器</v>
          </cell>
        </row>
        <row r="2436">
          <cell r="O2436" t="str">
            <v>SC2033SO-N</v>
          </cell>
          <cell r="P2436" t="str">
            <v>STC9G001D</v>
          </cell>
          <cell r="Q2436" t="str">
            <v>磁性位置传感器</v>
          </cell>
        </row>
        <row r="2437">
          <cell r="O2437" t="str">
            <v>SC2033SO-N</v>
          </cell>
          <cell r="P2437" t="str">
            <v>STC9G001D</v>
          </cell>
          <cell r="Q2437" t="str">
            <v>磁性位置传感器</v>
          </cell>
        </row>
        <row r="2438">
          <cell r="O2438" t="str">
            <v>SC2033SO-N</v>
          </cell>
          <cell r="P2438" t="str">
            <v>STC9G001D</v>
          </cell>
          <cell r="Q2438" t="str">
            <v>磁性位置传感器</v>
          </cell>
        </row>
        <row r="2439">
          <cell r="O2439" t="str">
            <v>ATK-E512</v>
          </cell>
          <cell r="P2439" t="str">
            <v>STC4011B</v>
          </cell>
          <cell r="Q2439" t="str">
            <v>磁性位置传感器</v>
          </cell>
        </row>
        <row r="2440">
          <cell r="O2440" t="str">
            <v>ATK-E512</v>
          </cell>
          <cell r="P2440" t="str">
            <v>STC4011B</v>
          </cell>
          <cell r="Q2440" t="str">
            <v>磁性位置传感器</v>
          </cell>
        </row>
        <row r="2441">
          <cell r="O2441" t="str">
            <v>ATK-E512</v>
          </cell>
          <cell r="P2441" t="str">
            <v>STC4011B</v>
          </cell>
          <cell r="Q2441" t="str">
            <v>磁性位置传感器</v>
          </cell>
        </row>
        <row r="2442">
          <cell r="O2442" t="str">
            <v>ATK-E512</v>
          </cell>
          <cell r="P2442" t="str">
            <v>STC4011B</v>
          </cell>
          <cell r="Q2442" t="str">
            <v>磁性位置传感器</v>
          </cell>
        </row>
        <row r="2443">
          <cell r="O2443" t="str">
            <v>ATK-E512</v>
          </cell>
          <cell r="P2443" t="str">
            <v>STC4011B</v>
          </cell>
          <cell r="Q2443" t="str">
            <v>磁性位置传感器</v>
          </cell>
        </row>
        <row r="2444">
          <cell r="O2444" t="str">
            <v>ATK-E512</v>
          </cell>
          <cell r="P2444" t="str">
            <v>STC4011B</v>
          </cell>
          <cell r="Q2444" t="str">
            <v>磁性位置传感器</v>
          </cell>
        </row>
        <row r="2445">
          <cell r="O2445" t="str">
            <v>ATK-E512</v>
          </cell>
          <cell r="P2445" t="str">
            <v>STC4011B</v>
          </cell>
          <cell r="Q2445" t="str">
            <v>磁性位置传感器</v>
          </cell>
        </row>
        <row r="2446">
          <cell r="O2446" t="str">
            <v>ATK-E512</v>
          </cell>
          <cell r="P2446" t="str">
            <v>STC4011B</v>
          </cell>
          <cell r="Q2446" t="str">
            <v>磁性位置传感器</v>
          </cell>
        </row>
        <row r="2447">
          <cell r="O2447" t="str">
            <v>ATK-E512</v>
          </cell>
          <cell r="P2447" t="str">
            <v>STC4011B</v>
          </cell>
          <cell r="Q2447" t="str">
            <v>磁性位置传感器</v>
          </cell>
        </row>
        <row r="2448">
          <cell r="O2448" t="str">
            <v>ATK-E512</v>
          </cell>
          <cell r="P2448" t="str">
            <v>STC4011B</v>
          </cell>
          <cell r="Q2448" t="str">
            <v>磁性位置传感器</v>
          </cell>
        </row>
        <row r="2449">
          <cell r="O2449" t="str">
            <v>G01</v>
          </cell>
          <cell r="P2449" t="str">
            <v>STC4011B</v>
          </cell>
          <cell r="Q2449" t="str">
            <v>磁性位置传感器</v>
          </cell>
        </row>
        <row r="2450">
          <cell r="O2450" t="str">
            <v>G01</v>
          </cell>
          <cell r="P2450" t="str">
            <v>STC4011B</v>
          </cell>
          <cell r="Q2450" t="str">
            <v>磁性位置传感器</v>
          </cell>
        </row>
        <row r="2451">
          <cell r="O2451" t="str">
            <v>SC4015SO-N-TR</v>
          </cell>
          <cell r="P2451" t="str">
            <v>STC4011E</v>
          </cell>
          <cell r="Q2451" t="str">
            <v>磁性位置传感器</v>
          </cell>
        </row>
        <row r="2452">
          <cell r="O2452" t="str">
            <v>SC4015SO-N-TR</v>
          </cell>
          <cell r="P2452" t="str">
            <v>STC4011E</v>
          </cell>
          <cell r="Q2452" t="str">
            <v>磁性位置传感器</v>
          </cell>
        </row>
        <row r="2453">
          <cell r="O2453" t="str">
            <v>SC4015SO-N-TR</v>
          </cell>
          <cell r="P2453" t="str">
            <v>STC4011E</v>
          </cell>
          <cell r="Q2453" t="str">
            <v>磁性位置传感器</v>
          </cell>
        </row>
        <row r="2454">
          <cell r="O2454" t="str">
            <v>SC4015SO-N-TR</v>
          </cell>
          <cell r="P2454" t="str">
            <v>STC4011E</v>
          </cell>
          <cell r="Q2454" t="str">
            <v>磁性位置传感器</v>
          </cell>
        </row>
        <row r="2455">
          <cell r="O2455" t="str">
            <v>SC2436SO</v>
          </cell>
          <cell r="P2455" t="str">
            <v>STC9906M</v>
          </cell>
          <cell r="Q2455" t="str">
            <v>磁性位置传感器</v>
          </cell>
        </row>
        <row r="2456">
          <cell r="O2456" t="str">
            <v>SC4689SA-A</v>
          </cell>
          <cell r="P2456" t="str">
            <v>STC9D01F</v>
          </cell>
          <cell r="Q2456" t="str">
            <v>角度传感器</v>
          </cell>
        </row>
        <row r="2457">
          <cell r="O2457" t="str">
            <v>SC4688SA-A</v>
          </cell>
          <cell r="P2457" t="str">
            <v>STC9D01C</v>
          </cell>
          <cell r="Q2457" t="str">
            <v>角度传感器</v>
          </cell>
        </row>
        <row r="2458">
          <cell r="O2458" t="str">
            <v>SC9642TS-EC</v>
          </cell>
          <cell r="P2458" t="str">
            <v>STC9A001H</v>
          </cell>
          <cell r="Q2458" t="str">
            <v>速度传感器</v>
          </cell>
        </row>
        <row r="2459">
          <cell r="O2459" t="str">
            <v>SC9641TS-PC</v>
          </cell>
          <cell r="P2459" t="str">
            <v>STC9A001I</v>
          </cell>
          <cell r="Q2459" t="str">
            <v>速度传感器</v>
          </cell>
        </row>
        <row r="2460">
          <cell r="O2460" t="str">
            <v>SC9641TS-PC</v>
          </cell>
          <cell r="P2460" t="str">
            <v>STC9A001I</v>
          </cell>
          <cell r="Q2460" t="str">
            <v>速度传感器</v>
          </cell>
        </row>
        <row r="2461">
          <cell r="O2461" t="str">
            <v>SC4643VB</v>
          </cell>
          <cell r="P2461" t="str">
            <v>STC9D03E</v>
          </cell>
          <cell r="Q2461" t="str">
            <v>电流传感器</v>
          </cell>
        </row>
        <row r="2462">
          <cell r="O2462" t="str">
            <v>SC4643VB</v>
          </cell>
          <cell r="P2462" t="str">
            <v>STC9D03E</v>
          </cell>
          <cell r="Q2462" t="str">
            <v>电流传感器</v>
          </cell>
        </row>
        <row r="2463">
          <cell r="O2463" t="str">
            <v>SC2442SO</v>
          </cell>
          <cell r="P2463" t="str">
            <v>STC9906R</v>
          </cell>
          <cell r="Q2463" t="str">
            <v>磁性位置传感器</v>
          </cell>
        </row>
        <row r="2464">
          <cell r="O2464" t="str">
            <v>SC243XSO-100095</v>
          </cell>
          <cell r="P2464" t="str">
            <v>STC9906M</v>
          </cell>
          <cell r="Q2464" t="str">
            <v>磁性位置传感器</v>
          </cell>
        </row>
        <row r="2465">
          <cell r="O2465" t="str">
            <v>SC243XSO-100095</v>
          </cell>
          <cell r="P2465" t="str">
            <v>STC9906M</v>
          </cell>
          <cell r="Q2465" t="str">
            <v>磁性位置传感器</v>
          </cell>
        </row>
        <row r="2466">
          <cell r="O2466" t="str">
            <v>SC2943A2-BK</v>
          </cell>
          <cell r="P2466" t="str">
            <v>STC11102B</v>
          </cell>
          <cell r="Q2466" t="str">
            <v>磁性位置传感器</v>
          </cell>
        </row>
        <row r="2467">
          <cell r="O2467" t="str">
            <v>S41H</v>
          </cell>
          <cell r="P2467" t="str">
            <v>STC2899AI</v>
          </cell>
          <cell r="Q2467" t="str">
            <v>磁性位置传感器</v>
          </cell>
        </row>
        <row r="2468">
          <cell r="O2468" t="str">
            <v>SC9642TS-EC</v>
          </cell>
          <cell r="P2468" t="str">
            <v>STC9A001H</v>
          </cell>
          <cell r="Q2468" t="str">
            <v>速度传感器</v>
          </cell>
        </row>
        <row r="2469">
          <cell r="O2469" t="str">
            <v>通用编程器2.0</v>
          </cell>
          <cell r="P2469" t="str">
            <v xml:space="preserve"> </v>
          </cell>
          <cell r="Q2469" t="str">
            <v>速度传感器</v>
          </cell>
        </row>
        <row r="2470">
          <cell r="O2470" t="str">
            <v>SC4645VB</v>
          </cell>
          <cell r="P2470" t="str">
            <v>STC9D06F</v>
          </cell>
          <cell r="Q2470" t="str">
            <v>电流传感器</v>
          </cell>
        </row>
        <row r="2471">
          <cell r="O2471" t="str">
            <v>SC9642TS</v>
          </cell>
          <cell r="P2471" t="str">
            <v>STC9A001G</v>
          </cell>
          <cell r="Q2471" t="str">
            <v>速度传感器</v>
          </cell>
        </row>
        <row r="2472">
          <cell r="O2472" t="str">
            <v>SC9642TS</v>
          </cell>
          <cell r="P2472" t="str">
            <v>STC9A001G</v>
          </cell>
          <cell r="Q2472" t="str">
            <v>速度传感器</v>
          </cell>
        </row>
        <row r="2473">
          <cell r="O2473" t="str">
            <v>SC9642TS</v>
          </cell>
          <cell r="P2473" t="str">
            <v>STC9A001G</v>
          </cell>
          <cell r="Q2473" t="str">
            <v>速度传感器</v>
          </cell>
        </row>
        <row r="2474">
          <cell r="O2474" t="str">
            <v>SC9642TS</v>
          </cell>
          <cell r="P2474" t="str">
            <v>STC9A001G</v>
          </cell>
          <cell r="Q2474" t="str">
            <v>速度传感器</v>
          </cell>
        </row>
        <row r="2475">
          <cell r="O2475" t="str">
            <v>SC1945NB1</v>
          </cell>
          <cell r="P2475" t="str">
            <v>STC2899AJ</v>
          </cell>
          <cell r="Q2475" t="str">
            <v>磁性位置传感器</v>
          </cell>
        </row>
        <row r="2476">
          <cell r="O2476" t="str">
            <v>SC1945NB1</v>
          </cell>
          <cell r="P2476" t="str">
            <v>STC2899AJ</v>
          </cell>
          <cell r="Q2476" t="str">
            <v>磁性位置传感器</v>
          </cell>
        </row>
        <row r="2477">
          <cell r="O2477" t="str">
            <v>SC1945NB1</v>
          </cell>
          <cell r="P2477" t="str">
            <v>STC2899AJ</v>
          </cell>
          <cell r="Q2477" t="str">
            <v>磁性位置传感器</v>
          </cell>
        </row>
        <row r="2478">
          <cell r="O2478" t="str">
            <v>SC1645B1</v>
          </cell>
          <cell r="P2478" t="str">
            <v>STC2899AE</v>
          </cell>
          <cell r="Q2478" t="str">
            <v>磁性位置传感器</v>
          </cell>
        </row>
        <row r="2479">
          <cell r="O2479" t="str">
            <v>SC1645B1</v>
          </cell>
          <cell r="P2479" t="str">
            <v>STC2899AE</v>
          </cell>
          <cell r="Q2479" t="str">
            <v>磁性位置传感器</v>
          </cell>
        </row>
        <row r="2480">
          <cell r="O2480" t="str">
            <v>SC1645B1</v>
          </cell>
          <cell r="P2480" t="str">
            <v>STC2899AE</v>
          </cell>
          <cell r="Q2480" t="str">
            <v>磁性位置传感器</v>
          </cell>
        </row>
        <row r="2481">
          <cell r="O2481" t="str">
            <v>SC1645B1</v>
          </cell>
          <cell r="P2481" t="str">
            <v>STC2899AE</v>
          </cell>
          <cell r="Q2481" t="str">
            <v>磁性位置传感器</v>
          </cell>
        </row>
        <row r="2482">
          <cell r="O2482" t="str">
            <v>SC1645B1</v>
          </cell>
          <cell r="P2482" t="str">
            <v>STC2899AE</v>
          </cell>
          <cell r="Q2482" t="str">
            <v>磁性位置传感器</v>
          </cell>
        </row>
        <row r="2483">
          <cell r="O2483" t="str">
            <v>SC1645B1</v>
          </cell>
          <cell r="P2483" t="str">
            <v>STC2899AE</v>
          </cell>
          <cell r="Q2483" t="str">
            <v>磁性位置传感器</v>
          </cell>
        </row>
        <row r="2484">
          <cell r="O2484" t="str">
            <v>SC1445A1-BK</v>
          </cell>
          <cell r="P2484" t="str">
            <v>STC2899AB</v>
          </cell>
          <cell r="Q2484" t="str">
            <v>磁性位置传感器</v>
          </cell>
        </row>
        <row r="2485">
          <cell r="O2485" t="str">
            <v>SC1445A1-BK</v>
          </cell>
          <cell r="P2485" t="str">
            <v>STC2899AB</v>
          </cell>
          <cell r="Q2485" t="str">
            <v>磁性位置传感器</v>
          </cell>
        </row>
        <row r="2486">
          <cell r="O2486" t="str">
            <v>SC1445A1-BK</v>
          </cell>
          <cell r="P2486" t="str">
            <v>STC2899AB</v>
          </cell>
          <cell r="Q2486" t="str">
            <v>磁性位置传感器</v>
          </cell>
        </row>
        <row r="2487">
          <cell r="O2487" t="str">
            <v>SC1445A1-BK</v>
          </cell>
          <cell r="P2487" t="str">
            <v>STC2899AB</v>
          </cell>
          <cell r="Q2487" t="str">
            <v>磁性位置传感器</v>
          </cell>
        </row>
        <row r="2488">
          <cell r="O2488" t="str">
            <v>SC1445A1-BK</v>
          </cell>
          <cell r="P2488" t="str">
            <v>STC2899AB</v>
          </cell>
          <cell r="Q2488" t="str">
            <v>磁性位置传感器</v>
          </cell>
        </row>
        <row r="2489">
          <cell r="O2489" t="str">
            <v>SC1445A1-BK</v>
          </cell>
          <cell r="P2489" t="str">
            <v>STC2899AB</v>
          </cell>
          <cell r="Q2489" t="str">
            <v>磁性位置传感器</v>
          </cell>
        </row>
        <row r="2490">
          <cell r="O2490" t="str">
            <v>SC1445A1-BK</v>
          </cell>
          <cell r="P2490" t="str">
            <v>STC2899AB</v>
          </cell>
          <cell r="Q2490" t="str">
            <v>磁性位置传感器</v>
          </cell>
        </row>
        <row r="2491">
          <cell r="O2491" t="str">
            <v>SC1445A1-BK</v>
          </cell>
          <cell r="P2491" t="str">
            <v>STC2899AB</v>
          </cell>
          <cell r="Q2491" t="str">
            <v>磁性位置传感器</v>
          </cell>
        </row>
        <row r="2492">
          <cell r="O2492" t="str">
            <v>SC1645A1</v>
          </cell>
          <cell r="P2492" t="str">
            <v>STC2899AE</v>
          </cell>
          <cell r="Q2492" t="str">
            <v>磁性位置传感器</v>
          </cell>
        </row>
        <row r="2493">
          <cell r="O2493" t="str">
            <v>SC1645A1</v>
          </cell>
          <cell r="P2493" t="str">
            <v>STC2899AE</v>
          </cell>
          <cell r="Q2493" t="str">
            <v>磁性位置传感器</v>
          </cell>
        </row>
        <row r="2494">
          <cell r="O2494" t="str">
            <v>SC60221-D-50</v>
          </cell>
          <cell r="P2494" t="str">
            <v>STC9D04C</v>
          </cell>
          <cell r="Q2494" t="str">
            <v>电机编码器</v>
          </cell>
        </row>
        <row r="2495">
          <cell r="O2495" t="str">
            <v>SC60221-U-P1-256-244-mai</v>
          </cell>
          <cell r="P2495" t="str">
            <v>STC9D04C</v>
          </cell>
          <cell r="Q2495" t="str">
            <v>电机编码器</v>
          </cell>
        </row>
        <row r="2496">
          <cell r="O2496" t="str">
            <v>SC60221-D-50</v>
          </cell>
          <cell r="P2496" t="str">
            <v>STC9D04C</v>
          </cell>
          <cell r="Q2496" t="str">
            <v>电机编码器</v>
          </cell>
        </row>
        <row r="2497">
          <cell r="O2497" t="str">
            <v>SC4645VB-12S</v>
          </cell>
          <cell r="P2497" t="str">
            <v>STC9D06F</v>
          </cell>
          <cell r="Q2497" t="str">
            <v>电流传感器</v>
          </cell>
        </row>
        <row r="2498">
          <cell r="O2498" t="str">
            <v>SC9632VB</v>
          </cell>
          <cell r="P2498" t="str">
            <v>STC9905E</v>
          </cell>
          <cell r="Q2498" t="str">
            <v>速度传感器</v>
          </cell>
        </row>
        <row r="2499">
          <cell r="O2499" t="str">
            <v>SC9621VB</v>
          </cell>
          <cell r="P2499" t="str">
            <v>STC9910C</v>
          </cell>
          <cell r="Q2499" t="str">
            <v>速度传感器</v>
          </cell>
        </row>
        <row r="2500">
          <cell r="O2500" t="str">
            <v>SD2276</v>
          </cell>
          <cell r="P2500" t="str">
            <v>FD1014A</v>
          </cell>
          <cell r="Q2500" t="str">
            <v>电机驱动</v>
          </cell>
        </row>
        <row r="2501">
          <cell r="O2501" t="str">
            <v>SD2276</v>
          </cell>
          <cell r="P2501" t="str">
            <v>FD1014A</v>
          </cell>
          <cell r="Q2501" t="str">
            <v>电机驱动</v>
          </cell>
        </row>
        <row r="2502">
          <cell r="O2502" t="str">
            <v>SC4015SO-N-TR</v>
          </cell>
          <cell r="P2502" t="str">
            <v>STC4011E</v>
          </cell>
          <cell r="Q2502" t="str">
            <v>磁性位置传感器</v>
          </cell>
        </row>
        <row r="2503">
          <cell r="O2503" t="str">
            <v>SC4015SO-N-TR</v>
          </cell>
          <cell r="P2503" t="str">
            <v>STC4011E</v>
          </cell>
          <cell r="Q2503" t="str">
            <v>磁性位置传感器</v>
          </cell>
        </row>
        <row r="2504">
          <cell r="O2504" t="str">
            <v>SC60220</v>
          </cell>
          <cell r="P2504" t="str">
            <v>STC9D04C</v>
          </cell>
          <cell r="Q2504" t="str">
            <v>电机编码器</v>
          </cell>
        </row>
        <row r="2505">
          <cell r="O2505" t="str">
            <v>SC2462SO</v>
          </cell>
          <cell r="P2505" t="str">
            <v>STC9906J</v>
          </cell>
          <cell r="Q2505" t="str">
            <v>磁性位置传感器</v>
          </cell>
        </row>
        <row r="2506">
          <cell r="O2506" t="str">
            <v>SC4015SO-N-TR</v>
          </cell>
          <cell r="P2506" t="str">
            <v>STC4011E</v>
          </cell>
          <cell r="Q2506" t="str">
            <v>磁性位置传感器</v>
          </cell>
        </row>
        <row r="2507">
          <cell r="O2507" t="str">
            <v>SC4015SO-N-TR</v>
          </cell>
          <cell r="P2507" t="str">
            <v>STC4011E</v>
          </cell>
          <cell r="Q2507" t="str">
            <v>磁性位置传感器</v>
          </cell>
        </row>
        <row r="2508">
          <cell r="O2508" t="str">
            <v>SC4015SO-N-TR</v>
          </cell>
          <cell r="P2508" t="str">
            <v>STC4011E</v>
          </cell>
          <cell r="Q2508" t="str">
            <v>磁性位置传感器</v>
          </cell>
        </row>
        <row r="2509">
          <cell r="O2509" t="str">
            <v>G01</v>
          </cell>
          <cell r="P2509" t="str">
            <v>STC4011B</v>
          </cell>
          <cell r="Q2509" t="str">
            <v>磁性位置传感器</v>
          </cell>
        </row>
        <row r="2510">
          <cell r="O2510" t="str">
            <v>G01</v>
          </cell>
          <cell r="P2510" t="str">
            <v>STC4011B</v>
          </cell>
          <cell r="Q2510" t="str">
            <v>磁性位置传感器</v>
          </cell>
        </row>
        <row r="2511">
          <cell r="O2511" t="str">
            <v>G01</v>
          </cell>
          <cell r="P2511" t="str">
            <v>STC4011B</v>
          </cell>
          <cell r="Q2511" t="str">
            <v>磁性位置传感器</v>
          </cell>
        </row>
        <row r="2512">
          <cell r="O2512" t="str">
            <v>G01</v>
          </cell>
          <cell r="P2512" t="str">
            <v>STC4011B</v>
          </cell>
          <cell r="Q2512" t="str">
            <v>磁性位置传感器</v>
          </cell>
        </row>
        <row r="2513">
          <cell r="O2513" t="str">
            <v>G01</v>
          </cell>
          <cell r="P2513" t="str">
            <v>STC4011B</v>
          </cell>
          <cell r="Q2513" t="str">
            <v>磁性位置传感器</v>
          </cell>
        </row>
        <row r="2514">
          <cell r="O2514" t="str">
            <v>SC2432SO</v>
          </cell>
          <cell r="P2514" t="str">
            <v>STC9906M</v>
          </cell>
          <cell r="Q2514" t="str">
            <v>磁性位置传感器</v>
          </cell>
        </row>
        <row r="2515">
          <cell r="O2515" t="str">
            <v>SC2432SO</v>
          </cell>
          <cell r="P2515" t="str">
            <v>STC9906M</v>
          </cell>
          <cell r="Q2515" t="str">
            <v>磁性位置传感器</v>
          </cell>
        </row>
        <row r="2516">
          <cell r="O2516" t="str">
            <v>SC9675IM-P-LRF00</v>
          </cell>
          <cell r="P2516" t="str">
            <v>STC9A002B</v>
          </cell>
          <cell r="Q2516" t="str">
            <v>速度传感器</v>
          </cell>
        </row>
        <row r="2517">
          <cell r="O2517" t="str">
            <v>SC9675IM-P-LRF00</v>
          </cell>
          <cell r="P2517" t="str">
            <v>STC9A002B</v>
          </cell>
          <cell r="Q2517" t="str">
            <v>速度传感器</v>
          </cell>
        </row>
        <row r="2518">
          <cell r="O2518" t="str">
            <v>SC9675IM-P-LRF00</v>
          </cell>
          <cell r="P2518" t="str">
            <v>STC9A002B</v>
          </cell>
          <cell r="Q2518" t="str">
            <v>速度传感器</v>
          </cell>
        </row>
        <row r="2519">
          <cell r="O2519" t="str">
            <v>SC2443UA</v>
          </cell>
          <cell r="P2519" t="str">
            <v>STC9906W</v>
          </cell>
          <cell r="Q2519" t="str">
            <v>磁性位置传感器</v>
          </cell>
        </row>
        <row r="2520">
          <cell r="O2520" t="str">
            <v>SC2443UA</v>
          </cell>
          <cell r="P2520" t="str">
            <v>STC9906W</v>
          </cell>
          <cell r="Q2520" t="str">
            <v>磁性位置传感器</v>
          </cell>
        </row>
        <row r="2521">
          <cell r="O2521" t="str">
            <v>SC2443UA</v>
          </cell>
          <cell r="P2521" t="str">
            <v>STC9906W</v>
          </cell>
          <cell r="Q2521" t="str">
            <v>磁性位置传感器</v>
          </cell>
        </row>
        <row r="2522">
          <cell r="O2522" t="str">
            <v>SC2443UA</v>
          </cell>
          <cell r="P2522" t="str">
            <v>STC9906W</v>
          </cell>
          <cell r="Q2522" t="str">
            <v>磁性位置传感器</v>
          </cell>
        </row>
        <row r="2523">
          <cell r="O2523" t="str">
            <v>SC2443UA</v>
          </cell>
          <cell r="P2523" t="str">
            <v>STC9906W</v>
          </cell>
          <cell r="Q2523" t="str">
            <v>磁性位置传感器</v>
          </cell>
        </row>
        <row r="2524">
          <cell r="O2524" t="str">
            <v>SC2443UA</v>
          </cell>
          <cell r="P2524" t="str">
            <v>STC9906W</v>
          </cell>
          <cell r="Q2524" t="str">
            <v>磁性位置传感器</v>
          </cell>
        </row>
        <row r="2525">
          <cell r="O2525" t="str">
            <v>SC2443UA</v>
          </cell>
          <cell r="P2525" t="str">
            <v>STC9906W</v>
          </cell>
          <cell r="Q2525" t="str">
            <v>磁性位置传感器</v>
          </cell>
        </row>
        <row r="2526">
          <cell r="O2526" t="str">
            <v>SC2443UA</v>
          </cell>
          <cell r="P2526" t="str">
            <v>STC9906W</v>
          </cell>
          <cell r="Q2526" t="str">
            <v>磁性位置传感器</v>
          </cell>
        </row>
        <row r="2527">
          <cell r="O2527" t="str">
            <v>SC2443SO</v>
          </cell>
          <cell r="P2527" t="str">
            <v>STC9906T</v>
          </cell>
          <cell r="Q2527" t="str">
            <v>磁性位置传感器</v>
          </cell>
        </row>
        <row r="2528">
          <cell r="O2528" t="str">
            <v>SC2443SO</v>
          </cell>
          <cell r="P2528" t="str">
            <v>STC9906T</v>
          </cell>
          <cell r="Q2528" t="str">
            <v>磁性位置传感器</v>
          </cell>
        </row>
        <row r="2529">
          <cell r="O2529" t="str">
            <v>SC2498TSO</v>
          </cell>
          <cell r="P2529" t="str">
            <v>STC11300C</v>
          </cell>
          <cell r="Q2529" t="str">
            <v>磁性位置传感器</v>
          </cell>
        </row>
        <row r="2530">
          <cell r="O2530" t="str">
            <v>SC69401D</v>
          </cell>
          <cell r="P2530" t="str">
            <v>STC9H002DQ</v>
          </cell>
          <cell r="Q2530" t="str">
            <v>角度传感器</v>
          </cell>
        </row>
        <row r="2531">
          <cell r="O2531" t="str">
            <v>SC9634VB</v>
          </cell>
          <cell r="P2531" t="str">
            <v>STC9905G</v>
          </cell>
          <cell r="Q2531" t="str">
            <v>速度传感器</v>
          </cell>
        </row>
        <row r="2532">
          <cell r="O2532" t="str">
            <v>SC1002N1W</v>
          </cell>
          <cell r="P2532" t="str">
            <v>STC1002AL</v>
          </cell>
          <cell r="Q2532" t="str">
            <v>磁性位置传感器</v>
          </cell>
        </row>
        <row r="2533">
          <cell r="O2533" t="str">
            <v>SC1002N1W</v>
          </cell>
          <cell r="P2533" t="str">
            <v>STC1002AL</v>
          </cell>
          <cell r="Q2533" t="str">
            <v>磁性位置传感器</v>
          </cell>
        </row>
        <row r="2534">
          <cell r="O2534" t="str">
            <v>SC1002N1W</v>
          </cell>
          <cell r="P2534" t="str">
            <v>STC1002AL</v>
          </cell>
          <cell r="Q2534" t="str">
            <v>磁性位置传感器</v>
          </cell>
        </row>
        <row r="2535">
          <cell r="O2535" t="str">
            <v>SC1138SO-N</v>
          </cell>
          <cell r="P2535" t="str">
            <v>STC1898AC</v>
          </cell>
          <cell r="Q2535" t="str">
            <v>磁性位置传感器</v>
          </cell>
        </row>
        <row r="2536">
          <cell r="O2536" t="str">
            <v>SC1138SO-N</v>
          </cell>
          <cell r="P2536" t="str">
            <v>STC1898AC</v>
          </cell>
          <cell r="Q2536" t="str">
            <v>磁性位置传感器</v>
          </cell>
        </row>
        <row r="2537">
          <cell r="O2537" t="str">
            <v>SC1134UA</v>
          </cell>
          <cell r="P2537" t="str">
            <v>STC1898AI</v>
          </cell>
          <cell r="Q2537" t="str">
            <v>磁性位置传感器</v>
          </cell>
        </row>
        <row r="2538">
          <cell r="O2538" t="str">
            <v>SC1134UA</v>
          </cell>
          <cell r="P2538" t="str">
            <v>STC1898AI</v>
          </cell>
          <cell r="Q2538" t="str">
            <v>磁性位置传感器</v>
          </cell>
        </row>
        <row r="2539">
          <cell r="O2539" t="str">
            <v>SC1134UA</v>
          </cell>
          <cell r="P2539" t="str">
            <v>STC1898AI</v>
          </cell>
          <cell r="Q2539" t="str">
            <v>磁性位置传感器</v>
          </cell>
        </row>
        <row r="2540">
          <cell r="O2540" t="str">
            <v>SC1134UA</v>
          </cell>
          <cell r="P2540" t="str">
            <v>STC1898AI</v>
          </cell>
          <cell r="Q2540" t="str">
            <v>磁性位置传感器</v>
          </cell>
        </row>
        <row r="2541">
          <cell r="O2541" t="str">
            <v>SC1645A1</v>
          </cell>
          <cell r="P2541" t="str">
            <v>STC2899AE</v>
          </cell>
          <cell r="Q2541" t="str">
            <v>磁性位置传感器</v>
          </cell>
        </row>
        <row r="2542">
          <cell r="O2542" t="str">
            <v>SC4001UA</v>
          </cell>
          <cell r="P2542" t="str">
            <v>STC4001AB</v>
          </cell>
          <cell r="Q2542" t="str">
            <v>磁性位置传感器</v>
          </cell>
        </row>
        <row r="2543">
          <cell r="O2543" t="str">
            <v>SC2063SO</v>
          </cell>
          <cell r="P2543" t="str">
            <v>STC9G001C</v>
          </cell>
          <cell r="Q2543" t="str">
            <v>磁性位置传感器</v>
          </cell>
        </row>
        <row r="2544">
          <cell r="O2544" t="str">
            <v>SC2402SO-N</v>
          </cell>
          <cell r="P2544" t="str">
            <v>STC9902J</v>
          </cell>
          <cell r="Q2544" t="str">
            <v>磁性位置传感器</v>
          </cell>
        </row>
        <row r="2545">
          <cell r="O2545" t="str">
            <v>SC2402SO-N</v>
          </cell>
          <cell r="P2545" t="str">
            <v>STC9902J</v>
          </cell>
          <cell r="Q2545" t="str">
            <v>磁性位置传感器</v>
          </cell>
        </row>
        <row r="2546">
          <cell r="O2546" t="str">
            <v>SC2402SO-N</v>
          </cell>
          <cell r="P2546" t="str">
            <v>STC9902J</v>
          </cell>
          <cell r="Q2546" t="str">
            <v>磁性位置传感器</v>
          </cell>
        </row>
        <row r="2547">
          <cell r="O2547" t="str">
            <v>SC2402SO-N</v>
          </cell>
          <cell r="P2547" t="str">
            <v>STC9902J</v>
          </cell>
          <cell r="Q2547" t="str">
            <v>磁性位置传感器</v>
          </cell>
        </row>
        <row r="2548">
          <cell r="O2548" t="str">
            <v>SC2442SO-N</v>
          </cell>
          <cell r="P2548" t="str">
            <v>STC11102B</v>
          </cell>
          <cell r="Q2548" t="str">
            <v>磁性位置传感器</v>
          </cell>
        </row>
        <row r="2549">
          <cell r="O2549" t="str">
            <v>SC2063SO</v>
          </cell>
          <cell r="P2549" t="str">
            <v>STC9G001C</v>
          </cell>
          <cell r="Q2549" t="str">
            <v>磁性位置传感器</v>
          </cell>
        </row>
        <row r="2550">
          <cell r="O2550" t="str">
            <v>ATK-E512</v>
          </cell>
          <cell r="P2550" t="str">
            <v>STC4011B</v>
          </cell>
          <cell r="Q2550" t="str">
            <v>磁性位置传感器</v>
          </cell>
        </row>
        <row r="2551">
          <cell r="O2551" t="str">
            <v>ATK-E512</v>
          </cell>
          <cell r="P2551" t="str">
            <v>STC4011B</v>
          </cell>
          <cell r="Q2551" t="str">
            <v>磁性位置传感器</v>
          </cell>
        </row>
        <row r="2552">
          <cell r="O2552" t="str">
            <v>ATK-E512</v>
          </cell>
          <cell r="P2552" t="str">
            <v>STC4011B</v>
          </cell>
          <cell r="Q2552" t="str">
            <v>磁性位置传感器</v>
          </cell>
        </row>
        <row r="2553">
          <cell r="O2553" t="str">
            <v>ATK-E512</v>
          </cell>
          <cell r="P2553" t="str">
            <v>STC4011B</v>
          </cell>
          <cell r="Q2553" t="str">
            <v>磁性位置传感器</v>
          </cell>
        </row>
        <row r="2554">
          <cell r="O2554" t="str">
            <v>ATK-E512</v>
          </cell>
          <cell r="P2554" t="str">
            <v>STC4011B</v>
          </cell>
          <cell r="Q2554" t="str">
            <v>磁性位置传感器</v>
          </cell>
        </row>
        <row r="2555">
          <cell r="O2555" t="str">
            <v>ATK-E512</v>
          </cell>
          <cell r="P2555" t="str">
            <v>STC4011B</v>
          </cell>
          <cell r="Q2555" t="str">
            <v>磁性位置传感器</v>
          </cell>
        </row>
        <row r="2556">
          <cell r="O2556" t="str">
            <v>ATK-E512</v>
          </cell>
          <cell r="P2556" t="str">
            <v>STC4011B</v>
          </cell>
          <cell r="Q2556" t="str">
            <v>磁性位置传感器</v>
          </cell>
        </row>
        <row r="2557">
          <cell r="O2557" t="str">
            <v>ATK-E512</v>
          </cell>
          <cell r="P2557" t="str">
            <v>STC4011B</v>
          </cell>
          <cell r="Q2557" t="str">
            <v>磁性位置传感器</v>
          </cell>
        </row>
        <row r="2558">
          <cell r="O2558" t="str">
            <v>ATK-E512</v>
          </cell>
          <cell r="P2558" t="str">
            <v>STC4011B</v>
          </cell>
          <cell r="Q2558" t="str">
            <v>磁性位置传感器</v>
          </cell>
        </row>
        <row r="2559">
          <cell r="O2559" t="str">
            <v>ATK-E512</v>
          </cell>
          <cell r="P2559" t="str">
            <v>STC4011B</v>
          </cell>
          <cell r="Q2559" t="str">
            <v>磁性位置传感器</v>
          </cell>
        </row>
        <row r="2560">
          <cell r="O2560" t="str">
            <v>ATK-E512</v>
          </cell>
          <cell r="P2560" t="str">
            <v>STC4011B</v>
          </cell>
          <cell r="Q2560" t="str">
            <v>磁性位置传感器</v>
          </cell>
        </row>
        <row r="2561">
          <cell r="O2561" t="str">
            <v>ATK-E512</v>
          </cell>
          <cell r="P2561" t="str">
            <v>STC4011B</v>
          </cell>
          <cell r="Q2561" t="str">
            <v>磁性位置传感器</v>
          </cell>
        </row>
        <row r="2562">
          <cell r="O2562" t="str">
            <v>ATK-E512</v>
          </cell>
          <cell r="P2562" t="str">
            <v>STC4011B</v>
          </cell>
          <cell r="Q2562" t="str">
            <v>磁性位置传感器</v>
          </cell>
        </row>
        <row r="2563">
          <cell r="O2563" t="str">
            <v>ATK-E512</v>
          </cell>
          <cell r="P2563" t="str">
            <v>STC4011B</v>
          </cell>
          <cell r="Q2563" t="str">
            <v>磁性位置传感器</v>
          </cell>
        </row>
        <row r="2564">
          <cell r="O2564" t="str">
            <v>ATK-E512</v>
          </cell>
          <cell r="P2564" t="str">
            <v>STC4011B</v>
          </cell>
          <cell r="Q2564" t="str">
            <v>磁性位置传感器</v>
          </cell>
        </row>
        <row r="2565">
          <cell r="O2565" t="str">
            <v>ATK-E512</v>
          </cell>
          <cell r="P2565" t="str">
            <v>STC4011B</v>
          </cell>
          <cell r="Q2565" t="str">
            <v>磁性位置传感器</v>
          </cell>
        </row>
        <row r="2566">
          <cell r="O2566" t="str">
            <v>ATK-E512</v>
          </cell>
          <cell r="P2566" t="str">
            <v>STC4011B</v>
          </cell>
          <cell r="Q2566" t="str">
            <v>磁性位置传感器</v>
          </cell>
        </row>
        <row r="2567">
          <cell r="O2567" t="str">
            <v>SC2402SO-N</v>
          </cell>
          <cell r="P2567" t="str">
            <v>STC9902J</v>
          </cell>
          <cell r="Q2567" t="str">
            <v>磁性位置传感器</v>
          </cell>
        </row>
        <row r="2568">
          <cell r="O2568" t="str">
            <v>SC2402SO-N</v>
          </cell>
          <cell r="P2568" t="str">
            <v>STC9902J</v>
          </cell>
          <cell r="Q2568" t="str">
            <v>磁性位置传感器</v>
          </cell>
        </row>
        <row r="2569">
          <cell r="O2569" t="str">
            <v>G01</v>
          </cell>
          <cell r="P2569" t="str">
            <v>STC4011B</v>
          </cell>
          <cell r="Q2569" t="str">
            <v>磁性位置传感器</v>
          </cell>
        </row>
        <row r="2570">
          <cell r="O2570" t="str">
            <v>G01</v>
          </cell>
          <cell r="P2570" t="str">
            <v>STC4011B</v>
          </cell>
          <cell r="Q2570" t="str">
            <v>磁性位置传感器</v>
          </cell>
        </row>
        <row r="2571">
          <cell r="O2571" t="str">
            <v>G01</v>
          </cell>
          <cell r="P2571" t="str">
            <v>STC4011B</v>
          </cell>
          <cell r="Q2571" t="str">
            <v>磁性位置传感器</v>
          </cell>
        </row>
        <row r="2572">
          <cell r="O2572" t="str">
            <v>G01</v>
          </cell>
          <cell r="P2572" t="str">
            <v>STC4011B</v>
          </cell>
          <cell r="Q2572" t="str">
            <v>磁性位置传感器</v>
          </cell>
        </row>
        <row r="2573">
          <cell r="O2573" t="str">
            <v>SC4015SO-N-TR</v>
          </cell>
          <cell r="P2573" t="str">
            <v>STC4011E</v>
          </cell>
          <cell r="Q2573" t="str">
            <v>磁性位置传感器</v>
          </cell>
        </row>
        <row r="2574">
          <cell r="O2574" t="str">
            <v>SC4015SO-N-TR</v>
          </cell>
          <cell r="P2574" t="str">
            <v>STC4011E</v>
          </cell>
          <cell r="Q2574" t="str">
            <v>磁性位置传感器</v>
          </cell>
        </row>
        <row r="2575">
          <cell r="O2575" t="str">
            <v>SC4015SO-N-TR</v>
          </cell>
          <cell r="P2575" t="str">
            <v>STC4011E</v>
          </cell>
          <cell r="Q2575" t="str">
            <v>磁性位置传感器</v>
          </cell>
        </row>
        <row r="2576">
          <cell r="O2576" t="str">
            <v>SC4015SO-N-TR</v>
          </cell>
          <cell r="P2576" t="str">
            <v>STC4011E</v>
          </cell>
          <cell r="Q2576" t="str">
            <v>磁性位置传感器</v>
          </cell>
        </row>
        <row r="2577">
          <cell r="O2577" t="str">
            <v>SC4015SO-N-TR</v>
          </cell>
          <cell r="P2577" t="str">
            <v>STC4011E</v>
          </cell>
          <cell r="Q2577" t="str">
            <v>磁性位置传感器</v>
          </cell>
        </row>
        <row r="2578">
          <cell r="O2578" t="str">
            <v>SC1245UA</v>
          </cell>
          <cell r="P2578" t="str">
            <v>STC1898AD</v>
          </cell>
          <cell r="Q2578" t="str">
            <v>磁性位置传感器</v>
          </cell>
        </row>
        <row r="2579">
          <cell r="O2579" t="str">
            <v>SC2402UA</v>
          </cell>
          <cell r="P2579" t="str">
            <v>STC9902J</v>
          </cell>
          <cell r="Q2579" t="str">
            <v>磁性位置传感器</v>
          </cell>
        </row>
        <row r="2580">
          <cell r="O2580" t="str">
            <v>SC2546VB</v>
          </cell>
          <cell r="P2580" t="str">
            <v>STC9906H</v>
          </cell>
          <cell r="Q2580" t="str">
            <v>磁性位置传感器</v>
          </cell>
        </row>
        <row r="2581">
          <cell r="O2581" t="str">
            <v>SC2242SO</v>
          </cell>
          <cell r="P2581" t="str">
            <v>STC9906H</v>
          </cell>
          <cell r="Q2581" t="str">
            <v>磁性位置传感器</v>
          </cell>
        </row>
        <row r="2582">
          <cell r="O2582" t="str">
            <v>SC2242SO</v>
          </cell>
          <cell r="P2582" t="str">
            <v>STC9906H</v>
          </cell>
          <cell r="Q2582" t="str">
            <v>磁性位置传感器</v>
          </cell>
        </row>
        <row r="2583">
          <cell r="O2583" t="str">
            <v>SC2442SO-N</v>
          </cell>
          <cell r="P2583" t="str">
            <v>STC11102B</v>
          </cell>
          <cell r="Q2583" t="str">
            <v>磁性位置传感器</v>
          </cell>
        </row>
        <row r="2584">
          <cell r="O2584" t="str">
            <v>SC2442SO-N</v>
          </cell>
          <cell r="P2584" t="str">
            <v>STC11102B</v>
          </cell>
          <cell r="Q2584" t="str">
            <v>磁性位置传感器</v>
          </cell>
        </row>
        <row r="2585">
          <cell r="O2585" t="str">
            <v>SC2442SO-N</v>
          </cell>
          <cell r="P2585" t="str">
            <v>STC11102B</v>
          </cell>
          <cell r="Q2585" t="str">
            <v>磁性位置传感器</v>
          </cell>
        </row>
        <row r="2586">
          <cell r="O2586" t="str">
            <v>SC2442SO-N</v>
          </cell>
          <cell r="P2586" t="str">
            <v>STC11102B</v>
          </cell>
          <cell r="Q2586" t="str">
            <v>磁性位置传感器</v>
          </cell>
        </row>
        <row r="2587">
          <cell r="O2587" t="str">
            <v>SC2442SO-N</v>
          </cell>
          <cell r="P2587" t="str">
            <v>STC11102B</v>
          </cell>
          <cell r="Q2587" t="str">
            <v>磁性位置传感器</v>
          </cell>
        </row>
        <row r="2588">
          <cell r="O2588" t="str">
            <v>SC2442SO-N</v>
          </cell>
          <cell r="P2588" t="str">
            <v>STC11102B</v>
          </cell>
          <cell r="Q2588" t="str">
            <v>磁性位置传感器</v>
          </cell>
        </row>
        <row r="2589">
          <cell r="O2589" t="str">
            <v>SC4689SA-A</v>
          </cell>
          <cell r="P2589" t="str">
            <v>STC9D01F</v>
          </cell>
          <cell r="Q2589" t="str">
            <v>角度传感器</v>
          </cell>
        </row>
        <row r="2590">
          <cell r="O2590" t="str">
            <v>SC9314UA</v>
          </cell>
          <cell r="P2590" t="str">
            <v>STC9901AF</v>
          </cell>
          <cell r="Q2590" t="str">
            <v>速度传感器</v>
          </cell>
        </row>
        <row r="2591">
          <cell r="O2591" t="str">
            <v>SC9642TS-E</v>
          </cell>
          <cell r="P2591" t="str">
            <v>STC9A001H</v>
          </cell>
          <cell r="Q2591" t="str">
            <v>速度传感器</v>
          </cell>
        </row>
        <row r="2592">
          <cell r="O2592" t="str">
            <v>SC9642TS-E</v>
          </cell>
          <cell r="P2592" t="str">
            <v>STC9A001H</v>
          </cell>
          <cell r="Q2592" t="str">
            <v>速度传感器</v>
          </cell>
        </row>
        <row r="2593">
          <cell r="O2593" t="str">
            <v>SC9642TS-E</v>
          </cell>
          <cell r="P2593" t="str">
            <v>STC9A001H</v>
          </cell>
          <cell r="Q2593" t="str">
            <v>速度传感器</v>
          </cell>
        </row>
        <row r="2594">
          <cell r="O2594" t="str">
            <v>SC9642TS-EC</v>
          </cell>
          <cell r="P2594" t="str">
            <v>STC9A001H</v>
          </cell>
          <cell r="Q2594" t="str">
            <v>速度传感器</v>
          </cell>
        </row>
        <row r="2595">
          <cell r="O2595" t="str">
            <v>SC9642TS-EC</v>
          </cell>
          <cell r="P2595" t="str">
            <v>STC9A001H</v>
          </cell>
          <cell r="Q2595" t="str">
            <v>速度传感器</v>
          </cell>
        </row>
        <row r="2596">
          <cell r="O2596" t="str">
            <v>SC9642TS-EC</v>
          </cell>
          <cell r="P2596" t="str">
            <v>STC9A001H</v>
          </cell>
          <cell r="Q2596" t="str">
            <v>速度传感器</v>
          </cell>
        </row>
        <row r="2597">
          <cell r="O2597" t="str">
            <v>SC9648TS-P</v>
          </cell>
          <cell r="P2597" t="str">
            <v>STC9A001I</v>
          </cell>
          <cell r="Q2597" t="str">
            <v>速度传感器</v>
          </cell>
        </row>
        <row r="2598">
          <cell r="O2598" t="str">
            <v>SC9648TS-P</v>
          </cell>
          <cell r="P2598" t="str">
            <v>STC9A001I</v>
          </cell>
          <cell r="Q2598" t="str">
            <v>速度传感器</v>
          </cell>
        </row>
        <row r="2599">
          <cell r="O2599" t="str">
            <v>SC9648TS-P</v>
          </cell>
          <cell r="P2599" t="str">
            <v>STC9A001I</v>
          </cell>
          <cell r="Q2599" t="str">
            <v>速度传感器</v>
          </cell>
        </row>
        <row r="2600">
          <cell r="O2600" t="str">
            <v>SC9641TS-P</v>
          </cell>
          <cell r="P2600" t="str">
            <v>STC9A001I</v>
          </cell>
          <cell r="Q2600" t="str">
            <v>速度传感器</v>
          </cell>
        </row>
        <row r="2601">
          <cell r="O2601" t="str">
            <v>SC9641TS-P</v>
          </cell>
          <cell r="P2601" t="str">
            <v>STC9A001I</v>
          </cell>
          <cell r="Q2601" t="str">
            <v>速度传感器</v>
          </cell>
        </row>
        <row r="2602">
          <cell r="O2602" t="str">
            <v>SC9648TS-P</v>
          </cell>
          <cell r="P2602" t="str">
            <v>STC9A001I</v>
          </cell>
          <cell r="Q2602" t="str">
            <v>速度传感器</v>
          </cell>
        </row>
        <row r="2603">
          <cell r="O2603" t="str">
            <v>SC9648TS-P</v>
          </cell>
          <cell r="P2603" t="str">
            <v>STC9A001I</v>
          </cell>
          <cell r="Q2603" t="str">
            <v>速度传感器</v>
          </cell>
        </row>
        <row r="2604">
          <cell r="O2604" t="str">
            <v>SC9648TS-P</v>
          </cell>
          <cell r="P2604" t="str">
            <v>STC9A001I</v>
          </cell>
          <cell r="Q2604" t="str">
            <v>速度传感器</v>
          </cell>
        </row>
        <row r="2605">
          <cell r="O2605" t="str">
            <v>SC9648TS-P</v>
          </cell>
          <cell r="P2605" t="str">
            <v>STC9A001I</v>
          </cell>
          <cell r="Q2605" t="str">
            <v>速度传感器</v>
          </cell>
        </row>
        <row r="2606">
          <cell r="O2606" t="str">
            <v>SC9648TS-P</v>
          </cell>
          <cell r="P2606" t="str">
            <v>STC9A001I</v>
          </cell>
          <cell r="Q2606" t="str">
            <v>速度传感器</v>
          </cell>
        </row>
        <row r="2607">
          <cell r="O2607" t="str">
            <v>SC9648TS-P</v>
          </cell>
          <cell r="P2607" t="str">
            <v>STC9A001I</v>
          </cell>
          <cell r="Q2607" t="str">
            <v>速度传感器</v>
          </cell>
        </row>
        <row r="2608">
          <cell r="O2608" t="str">
            <v>SC9641TS-P</v>
          </cell>
          <cell r="P2608" t="str">
            <v>STC9A001I</v>
          </cell>
          <cell r="Q2608" t="str">
            <v>速度传感器</v>
          </cell>
        </row>
        <row r="2609">
          <cell r="O2609" t="str">
            <v>SC9641TS-P</v>
          </cell>
          <cell r="P2609" t="str">
            <v>STC9A001I</v>
          </cell>
          <cell r="Q2609" t="str">
            <v>速度传感器</v>
          </cell>
        </row>
        <row r="2610">
          <cell r="O2610" t="str">
            <v>SC9641TS-P</v>
          </cell>
          <cell r="P2610" t="str">
            <v>STC9A001I</v>
          </cell>
          <cell r="Q2610" t="str">
            <v>速度传感器</v>
          </cell>
        </row>
        <row r="2611">
          <cell r="O2611" t="str">
            <v>SC9648TS-P</v>
          </cell>
          <cell r="P2611" t="str">
            <v>STC9A001I</v>
          </cell>
          <cell r="Q2611" t="str">
            <v>速度传感器</v>
          </cell>
        </row>
        <row r="2612">
          <cell r="O2612" t="str">
            <v>SC9641TS-P</v>
          </cell>
          <cell r="P2612" t="str">
            <v>STC9A001I</v>
          </cell>
          <cell r="Q2612" t="str">
            <v>速度传感器</v>
          </cell>
        </row>
        <row r="2613">
          <cell r="O2613" t="str">
            <v>SC2402UA-G</v>
          </cell>
          <cell r="P2613" t="str">
            <v>STC9G002B</v>
          </cell>
          <cell r="Q2613" t="str">
            <v>磁性位置传感器</v>
          </cell>
        </row>
        <row r="2614">
          <cell r="O2614" t="str">
            <v>SC2402UA-G</v>
          </cell>
          <cell r="P2614" t="str">
            <v>STC9G002B</v>
          </cell>
          <cell r="Q2614" t="str">
            <v>磁性位置传感器</v>
          </cell>
        </row>
        <row r="2615">
          <cell r="O2615" t="str">
            <v>SC2402UA-G</v>
          </cell>
          <cell r="P2615" t="str">
            <v>STC9G002B</v>
          </cell>
          <cell r="Q2615" t="str">
            <v>磁性位置传感器</v>
          </cell>
        </row>
        <row r="2616">
          <cell r="O2616" t="str">
            <v>SC2402SO-N</v>
          </cell>
          <cell r="P2616" t="str">
            <v>STC9H001A</v>
          </cell>
          <cell r="Q2616" t="str">
            <v>磁性位置传感器</v>
          </cell>
        </row>
        <row r="2617">
          <cell r="O2617" t="str">
            <v>SC2402SO-N</v>
          </cell>
          <cell r="P2617" t="str">
            <v>STC9H001A</v>
          </cell>
          <cell r="Q2617" t="str">
            <v>磁性位置传感器</v>
          </cell>
        </row>
        <row r="2618">
          <cell r="O2618" t="str">
            <v>SC2402SO-N</v>
          </cell>
          <cell r="P2618" t="str">
            <v>STC9H001A</v>
          </cell>
          <cell r="Q2618" t="str">
            <v>磁性位置传感器</v>
          </cell>
        </row>
        <row r="2619">
          <cell r="O2619" t="str">
            <v>SC2416SE</v>
          </cell>
          <cell r="P2619" t="str">
            <v>STC9902B</v>
          </cell>
          <cell r="Q2619" t="str">
            <v>磁性位置传感器</v>
          </cell>
        </row>
        <row r="2620">
          <cell r="O2620" t="str">
            <v>SC243XUA</v>
          </cell>
          <cell r="P2620" t="str">
            <v>STC9906I</v>
          </cell>
          <cell r="Q2620" t="str">
            <v>磁性位置传感器</v>
          </cell>
        </row>
        <row r="2621">
          <cell r="O2621" t="str">
            <v>SC9642TS-E</v>
          </cell>
          <cell r="P2621" t="str">
            <v>STC9A001H</v>
          </cell>
          <cell r="Q2621" t="str">
            <v>速度传感器</v>
          </cell>
        </row>
        <row r="2622">
          <cell r="O2622" t="str">
            <v>SC9642TS-E</v>
          </cell>
          <cell r="P2622" t="str">
            <v>STC9A001H</v>
          </cell>
          <cell r="Q2622" t="str">
            <v>速度传感器</v>
          </cell>
        </row>
        <row r="2623">
          <cell r="O2623" t="str">
            <v>SC9641TS</v>
          </cell>
          <cell r="P2623" t="str">
            <v>STC9910BN</v>
          </cell>
          <cell r="Q2623" t="str">
            <v>速度传感器</v>
          </cell>
        </row>
        <row r="2624">
          <cell r="O2624" t="str">
            <v>SC9641TS</v>
          </cell>
          <cell r="P2624" t="str">
            <v>STC9910BN</v>
          </cell>
          <cell r="Q2624" t="str">
            <v>速度传感器</v>
          </cell>
        </row>
        <row r="2625">
          <cell r="O2625" t="str">
            <v>SC9641TS</v>
          </cell>
          <cell r="P2625" t="str">
            <v>STC9910BN</v>
          </cell>
          <cell r="Q2625" t="str">
            <v>速度传感器</v>
          </cell>
        </row>
        <row r="2626">
          <cell r="O2626" t="str">
            <v>SC9642TS</v>
          </cell>
          <cell r="P2626" t="str">
            <v>STC9A001G</v>
          </cell>
          <cell r="Q2626" t="str">
            <v>速度传感器</v>
          </cell>
        </row>
        <row r="2627">
          <cell r="O2627" t="str">
            <v>SC9642TS</v>
          </cell>
          <cell r="P2627" t="str">
            <v>STC9A001G</v>
          </cell>
          <cell r="Q2627" t="str">
            <v>速度传感器</v>
          </cell>
        </row>
        <row r="2628">
          <cell r="O2628" t="str">
            <v>SC9642TS</v>
          </cell>
          <cell r="P2628" t="str">
            <v>STC9A001G</v>
          </cell>
          <cell r="Q2628" t="str">
            <v>速度传感器</v>
          </cell>
        </row>
        <row r="2629">
          <cell r="O2629" t="str">
            <v>SC9642TS</v>
          </cell>
          <cell r="P2629" t="str">
            <v>STC9A001G</v>
          </cell>
          <cell r="Q2629" t="str">
            <v>速度传感器</v>
          </cell>
        </row>
        <row r="2630">
          <cell r="O2630" t="str">
            <v>SC9642TS</v>
          </cell>
          <cell r="P2630" t="str">
            <v>STC9A001G</v>
          </cell>
          <cell r="Q2630" t="str">
            <v>速度传感器</v>
          </cell>
        </row>
        <row r="2631">
          <cell r="O2631" t="str">
            <v>SC9642TS</v>
          </cell>
          <cell r="P2631" t="str">
            <v>STC9A001G</v>
          </cell>
          <cell r="Q2631" t="str">
            <v>速度传感器</v>
          </cell>
        </row>
        <row r="2632">
          <cell r="O2632" t="str">
            <v>SC60224-D-16</v>
          </cell>
          <cell r="P2632" t="str">
            <v>STC9D04C</v>
          </cell>
          <cell r="Q2632" t="str">
            <v>电机编码器</v>
          </cell>
        </row>
        <row r="2633">
          <cell r="O2633" t="str">
            <v>SC60224-D-16</v>
          </cell>
          <cell r="P2633" t="str">
            <v>STC9D04C</v>
          </cell>
          <cell r="Q2633" t="str">
            <v>电机编码器</v>
          </cell>
        </row>
        <row r="2634">
          <cell r="O2634" t="str">
            <v>SC60370</v>
          </cell>
          <cell r="P2634" t="str">
            <v>STC9D05C</v>
          </cell>
          <cell r="Q2634" t="str">
            <v>电机编码器</v>
          </cell>
        </row>
        <row r="2635">
          <cell r="O2635" t="str">
            <v>SC60224-D-1024</v>
          </cell>
          <cell r="P2635" t="str">
            <v>STC9D04C</v>
          </cell>
          <cell r="Q2635" t="str">
            <v>电机编码器</v>
          </cell>
        </row>
        <row r="2636">
          <cell r="O2636" t="str">
            <v>SC60224-D-1024</v>
          </cell>
          <cell r="P2636" t="str">
            <v>STC9D04C</v>
          </cell>
          <cell r="Q2636" t="str">
            <v>电机编码器</v>
          </cell>
        </row>
        <row r="2637">
          <cell r="O2637" t="str">
            <v>SC60224-D-200</v>
          </cell>
          <cell r="P2637" t="str">
            <v>STC9D04C</v>
          </cell>
          <cell r="Q2637" t="str">
            <v>电机编码器</v>
          </cell>
        </row>
        <row r="2638">
          <cell r="O2638" t="str">
            <v>SC4015SO-N-TR</v>
          </cell>
          <cell r="P2638" t="str">
            <v>STC4011E</v>
          </cell>
          <cell r="Q2638" t="str">
            <v>磁性位置传感器</v>
          </cell>
        </row>
        <row r="2639">
          <cell r="O2639" t="str">
            <v>SC4015SO-N-TR</v>
          </cell>
          <cell r="P2639" t="str">
            <v>STC4011E</v>
          </cell>
          <cell r="Q2639" t="str">
            <v>磁性位置传感器</v>
          </cell>
        </row>
        <row r="2640">
          <cell r="O2640" t="str">
            <v>SC4015SO-N-TR</v>
          </cell>
          <cell r="P2640" t="str">
            <v>STC4011E</v>
          </cell>
          <cell r="Q2640" t="str">
            <v>磁性位置传感器</v>
          </cell>
        </row>
        <row r="2641">
          <cell r="O2641" t="str">
            <v>SC243XSO</v>
          </cell>
          <cell r="P2641" t="str">
            <v>STC9906M</v>
          </cell>
          <cell r="Q2641" t="str">
            <v>磁性位置传感器</v>
          </cell>
        </row>
        <row r="2642">
          <cell r="O2642" t="str">
            <v>SC243XSO</v>
          </cell>
          <cell r="P2642" t="str">
            <v>STC9906M</v>
          </cell>
          <cell r="Q2642" t="str">
            <v>磁性位置传感器</v>
          </cell>
        </row>
        <row r="2643">
          <cell r="O2643" t="str">
            <v>SC243XSO</v>
          </cell>
          <cell r="P2643" t="str">
            <v>STC9906M</v>
          </cell>
          <cell r="Q2643" t="str">
            <v>磁性位置传感器</v>
          </cell>
        </row>
        <row r="2644">
          <cell r="O2644" t="str">
            <v>SC2443SO</v>
          </cell>
          <cell r="P2644" t="str">
            <v>STC9906T</v>
          </cell>
          <cell r="Q2644" t="str">
            <v>磁性位置传感器</v>
          </cell>
        </row>
        <row r="2645">
          <cell r="O2645" t="str">
            <v>SC2443SO</v>
          </cell>
          <cell r="P2645" t="str">
            <v>STC9906T</v>
          </cell>
          <cell r="Q2645" t="str">
            <v>磁性位置传感器</v>
          </cell>
        </row>
        <row r="2646">
          <cell r="O2646" t="str">
            <v>SC2443SO</v>
          </cell>
          <cell r="P2646" t="str">
            <v>STC9906T</v>
          </cell>
          <cell r="Q2646" t="str">
            <v>磁性位置传感器</v>
          </cell>
        </row>
        <row r="2647">
          <cell r="O2647" t="str">
            <v>SD2276</v>
          </cell>
          <cell r="P2647" t="str">
            <v>FD1014A</v>
          </cell>
          <cell r="Q2647" t="str">
            <v>电机驱动</v>
          </cell>
        </row>
        <row r="2648">
          <cell r="O2648" t="str">
            <v>SD2276</v>
          </cell>
          <cell r="P2648" t="str">
            <v>FD1014A</v>
          </cell>
          <cell r="Q2648" t="str">
            <v>电机驱动</v>
          </cell>
        </row>
        <row r="2649">
          <cell r="O2649" t="str">
            <v>SC2402SO-N</v>
          </cell>
          <cell r="P2649" t="str">
            <v>STC9902J</v>
          </cell>
          <cell r="Q2649" t="str">
            <v>磁性位置传感器</v>
          </cell>
        </row>
        <row r="2650">
          <cell r="O2650" t="str">
            <v>KH276</v>
          </cell>
          <cell r="P2650" t="str">
            <v>FD1014A</v>
          </cell>
          <cell r="Q2650" t="str">
            <v>电机驱动</v>
          </cell>
        </row>
        <row r="2651">
          <cell r="O2651" t="str">
            <v>KH276</v>
          </cell>
          <cell r="P2651" t="str">
            <v>FD1014A</v>
          </cell>
          <cell r="Q2651" t="str">
            <v>电机驱动</v>
          </cell>
        </row>
        <row r="2652">
          <cell r="O2652" t="str">
            <v>SC2442SO-N</v>
          </cell>
          <cell r="P2652" t="str">
            <v>STC11102B</v>
          </cell>
          <cell r="Q2652" t="str">
            <v>磁性位置传感器</v>
          </cell>
        </row>
        <row r="2653">
          <cell r="O2653" t="str">
            <v>SC2442SO-N</v>
          </cell>
          <cell r="P2653" t="str">
            <v>STC11102B</v>
          </cell>
          <cell r="Q2653" t="str">
            <v>磁性位置传感器</v>
          </cell>
        </row>
        <row r="2654">
          <cell r="O2654" t="str">
            <v>通用编程器2.0</v>
          </cell>
          <cell r="P2654" t="str">
            <v xml:space="preserve"> </v>
          </cell>
          <cell r="Q2654" t="str">
            <v>速度传感器</v>
          </cell>
        </row>
        <row r="2655">
          <cell r="O2655" t="str">
            <v>SC2455SO</v>
          </cell>
          <cell r="P2655" t="str">
            <v>STC9906K</v>
          </cell>
          <cell r="Q2655" t="str">
            <v>磁性位置传感器</v>
          </cell>
        </row>
        <row r="2656">
          <cell r="O2656" t="str">
            <v>SC1138SO-N</v>
          </cell>
          <cell r="P2656" t="str">
            <v>STC1898AC</v>
          </cell>
          <cell r="Q2656" t="str">
            <v>磁性位置传感器</v>
          </cell>
        </row>
        <row r="2657">
          <cell r="O2657" t="str">
            <v>G01</v>
          </cell>
          <cell r="P2657" t="str">
            <v>STC4011B</v>
          </cell>
          <cell r="Q2657" t="str">
            <v>磁性位置传感器</v>
          </cell>
        </row>
        <row r="2658">
          <cell r="O2658" t="str">
            <v>SC4015SO-N-TR</v>
          </cell>
          <cell r="P2658" t="str">
            <v>STC4011E</v>
          </cell>
          <cell r="Q2658" t="str">
            <v>磁性位置传感器</v>
          </cell>
        </row>
        <row r="2659">
          <cell r="O2659" t="str">
            <v>SC4015SO-N-TR</v>
          </cell>
          <cell r="P2659" t="str">
            <v>STC4011E</v>
          </cell>
          <cell r="Q2659" t="str">
            <v>磁性位置传感器</v>
          </cell>
        </row>
        <row r="2660">
          <cell r="O2660" t="str">
            <v>SC4015SO-N-TR</v>
          </cell>
          <cell r="P2660" t="str">
            <v>STC4011E</v>
          </cell>
          <cell r="Q2660" t="str">
            <v>磁性位置传感器</v>
          </cell>
        </row>
        <row r="2661">
          <cell r="O2661" t="str">
            <v>SC4689SA-A</v>
          </cell>
          <cell r="P2661" t="str">
            <v>STC9D01F</v>
          </cell>
          <cell r="Q2661" t="str">
            <v>角度传感器</v>
          </cell>
        </row>
        <row r="2662">
          <cell r="O2662" t="str">
            <v>SC4689SA-A</v>
          </cell>
          <cell r="P2662" t="str">
            <v>STC9D01F</v>
          </cell>
          <cell r="Q2662" t="str">
            <v>角度传感器</v>
          </cell>
        </row>
        <row r="2663">
          <cell r="O2663" t="str">
            <v>SC4688编程器</v>
          </cell>
          <cell r="P2663" t="str">
            <v xml:space="preserve"> </v>
          </cell>
          <cell r="Q2663" t="str">
            <v>角度传感器</v>
          </cell>
        </row>
        <row r="2664">
          <cell r="O2664" t="str">
            <v>SC4688编程器</v>
          </cell>
          <cell r="P2664" t="str">
            <v xml:space="preserve"> </v>
          </cell>
          <cell r="Q2664" t="str">
            <v>角度传感器</v>
          </cell>
        </row>
        <row r="2665">
          <cell r="O2665" t="str">
            <v>SC2442SO</v>
          </cell>
          <cell r="P2665" t="str">
            <v>STC9906R</v>
          </cell>
          <cell r="Q2665" t="str">
            <v>磁性位置传感器</v>
          </cell>
        </row>
        <row r="2666">
          <cell r="O2666" t="str">
            <v>SC2442SO</v>
          </cell>
          <cell r="P2666" t="str">
            <v>STC9906R</v>
          </cell>
          <cell r="Q2666" t="str">
            <v>磁性位置传感器</v>
          </cell>
        </row>
        <row r="2667">
          <cell r="O2667" t="str">
            <v>SC2442SO</v>
          </cell>
          <cell r="P2667" t="str">
            <v>STC9906R</v>
          </cell>
          <cell r="Q2667" t="str">
            <v>磁性位置传感器</v>
          </cell>
        </row>
        <row r="2668">
          <cell r="O2668" t="str">
            <v>SC2462SO</v>
          </cell>
          <cell r="P2668" t="str">
            <v>STC9906J</v>
          </cell>
          <cell r="Q2668" t="str">
            <v>磁性位置传感器</v>
          </cell>
        </row>
        <row r="2669">
          <cell r="O2669" t="str">
            <v>SC2434SO-N</v>
          </cell>
          <cell r="P2669" t="str">
            <v>STC9906I</v>
          </cell>
          <cell r="Q2669" t="str">
            <v>磁性位置传感器</v>
          </cell>
        </row>
        <row r="2670">
          <cell r="O2670" t="str">
            <v>SC1245SO-N</v>
          </cell>
          <cell r="P2670" t="str">
            <v>STC1898AD</v>
          </cell>
          <cell r="Q2670" t="str">
            <v>磁性位置传感器</v>
          </cell>
        </row>
        <row r="2671">
          <cell r="O2671" t="str">
            <v>SC1245SO-N</v>
          </cell>
          <cell r="P2671" t="str">
            <v>STC1898AD</v>
          </cell>
          <cell r="Q2671" t="str">
            <v>磁性位置传感器</v>
          </cell>
        </row>
        <row r="2672">
          <cell r="O2672" t="str">
            <v>SC1245SO-N</v>
          </cell>
          <cell r="P2672" t="str">
            <v>STC1898AD</v>
          </cell>
          <cell r="Q2672" t="str">
            <v>磁性位置传感器</v>
          </cell>
        </row>
        <row r="2673">
          <cell r="O2673" t="str">
            <v>SC60226</v>
          </cell>
          <cell r="P2673" t="str">
            <v>STC9D04C</v>
          </cell>
          <cell r="Q2673" t="str">
            <v>电机编码器</v>
          </cell>
        </row>
        <row r="2674">
          <cell r="O2674" t="str">
            <v>SC9642TS-E</v>
          </cell>
          <cell r="P2674" t="str">
            <v>STC9A001H</v>
          </cell>
          <cell r="Q2674" t="str">
            <v>速度传感器</v>
          </cell>
        </row>
        <row r="2675">
          <cell r="O2675" t="str">
            <v>SC9642TS-E</v>
          </cell>
          <cell r="P2675" t="str">
            <v>STC9A001H</v>
          </cell>
          <cell r="Q2675" t="str">
            <v>速度传感器</v>
          </cell>
        </row>
        <row r="2676">
          <cell r="O2676" t="str">
            <v>SC9632VB</v>
          </cell>
          <cell r="P2676" t="str">
            <v>STC9905E</v>
          </cell>
          <cell r="Q2676" t="str">
            <v>速度传感器</v>
          </cell>
        </row>
        <row r="2677">
          <cell r="O2677" t="str">
            <v>SC69401D</v>
          </cell>
          <cell r="P2677" t="str">
            <v>STC9H002DQ</v>
          </cell>
          <cell r="Q2677" t="str">
            <v>角度传感器</v>
          </cell>
        </row>
        <row r="2678">
          <cell r="O2678" t="str">
            <v>SC60224-D-1024-976-BSD-01</v>
          </cell>
          <cell r="P2678" t="str">
            <v>STC9D04C</v>
          </cell>
          <cell r="Q2678" t="str">
            <v>电机编码器</v>
          </cell>
        </row>
        <row r="2679">
          <cell r="O2679" t="str">
            <v>SC60224-D-1024-976-BSD-01</v>
          </cell>
          <cell r="P2679" t="str">
            <v>STC9D04C</v>
          </cell>
          <cell r="Q2679" t="str">
            <v>电机编码器</v>
          </cell>
        </row>
        <row r="2680">
          <cell r="O2680" t="str">
            <v>SC4001SE</v>
          </cell>
          <cell r="P2680" t="str">
            <v>STC4001AB</v>
          </cell>
          <cell r="Q2680" t="str">
            <v>磁性位置传感器</v>
          </cell>
        </row>
        <row r="2681">
          <cell r="O2681" t="str">
            <v>G01</v>
          </cell>
          <cell r="P2681" t="str">
            <v>STC4011B</v>
          </cell>
          <cell r="Q2681" t="str">
            <v>磁性位置传感器</v>
          </cell>
        </row>
        <row r="2682">
          <cell r="O2682" t="str">
            <v>G01</v>
          </cell>
          <cell r="P2682" t="str">
            <v>STC4011B</v>
          </cell>
          <cell r="Q2682" t="str">
            <v>磁性位置传感器</v>
          </cell>
        </row>
        <row r="2683">
          <cell r="O2683" t="str">
            <v>G01</v>
          </cell>
          <cell r="P2683" t="str">
            <v>STC4011B</v>
          </cell>
          <cell r="Q2683" t="str">
            <v>磁性位置传感器</v>
          </cell>
        </row>
        <row r="2684">
          <cell r="O2684" t="str">
            <v>G01</v>
          </cell>
          <cell r="P2684" t="str">
            <v>STC4011B</v>
          </cell>
          <cell r="Q2684" t="str">
            <v>磁性位置传感器</v>
          </cell>
        </row>
        <row r="2685">
          <cell r="O2685" t="str">
            <v>G01</v>
          </cell>
          <cell r="P2685" t="str">
            <v>STC4011B</v>
          </cell>
          <cell r="Q2685" t="str">
            <v>磁性位置传感器</v>
          </cell>
        </row>
        <row r="2686">
          <cell r="O2686" t="str">
            <v>G01</v>
          </cell>
          <cell r="P2686" t="str">
            <v>STC4011B</v>
          </cell>
          <cell r="Q2686" t="str">
            <v>磁性位置传感器</v>
          </cell>
        </row>
        <row r="2687">
          <cell r="O2687" t="str">
            <v>SC4015SO-N-TR</v>
          </cell>
          <cell r="P2687" t="str">
            <v>STC4011E</v>
          </cell>
          <cell r="Q2687" t="str">
            <v>磁性位置传感器</v>
          </cell>
        </row>
        <row r="2688">
          <cell r="O2688" t="str">
            <v>SC4015SO-N-TR</v>
          </cell>
          <cell r="P2688" t="str">
            <v>STC4011E</v>
          </cell>
          <cell r="Q2688" t="str">
            <v>磁性位置传感器</v>
          </cell>
        </row>
        <row r="2689">
          <cell r="O2689" t="str">
            <v>SC4015SO-N-TR</v>
          </cell>
          <cell r="P2689" t="str">
            <v>STC4011E</v>
          </cell>
          <cell r="Q2689" t="str">
            <v>磁性位置传感器</v>
          </cell>
        </row>
        <row r="2690">
          <cell r="O2690" t="str">
            <v>SD2276</v>
          </cell>
          <cell r="P2690" t="str">
            <v>FD1014A</v>
          </cell>
          <cell r="Q2690" t="str">
            <v>电机驱动</v>
          </cell>
        </row>
        <row r="2691">
          <cell r="O2691" t="str">
            <v>SD2276</v>
          </cell>
          <cell r="P2691" t="str">
            <v>FD1014A</v>
          </cell>
          <cell r="Q2691" t="str">
            <v>电机驱动</v>
          </cell>
        </row>
        <row r="2692">
          <cell r="O2692" t="str">
            <v>SD2276</v>
          </cell>
          <cell r="P2692" t="str">
            <v>FD1014A</v>
          </cell>
          <cell r="Q2692" t="str">
            <v>电机驱动</v>
          </cell>
        </row>
        <row r="2693">
          <cell r="O2693" t="str">
            <v>SC1645A1</v>
          </cell>
          <cell r="P2693" t="str">
            <v>STC2899AE</v>
          </cell>
          <cell r="Q2693" t="str">
            <v>磁性位置传感器</v>
          </cell>
        </row>
        <row r="2694">
          <cell r="O2694" t="str">
            <v>SC1645A1</v>
          </cell>
          <cell r="P2694" t="str">
            <v>STC2899AE</v>
          </cell>
          <cell r="Q2694" t="str">
            <v>磁性位置传感器</v>
          </cell>
        </row>
        <row r="2695">
          <cell r="O2695" t="str">
            <v>SC1645B1</v>
          </cell>
          <cell r="P2695" t="str">
            <v>STC2899AE</v>
          </cell>
          <cell r="Q2695" t="str">
            <v>磁性位置传感器</v>
          </cell>
        </row>
        <row r="2696">
          <cell r="O2696" t="str">
            <v>SD2276</v>
          </cell>
          <cell r="P2696" t="str">
            <v>FD1014A</v>
          </cell>
          <cell r="Q2696" t="str">
            <v>电机驱动</v>
          </cell>
        </row>
        <row r="2697">
          <cell r="O2697" t="str">
            <v>SD2276</v>
          </cell>
          <cell r="P2697" t="str">
            <v>FD1014A</v>
          </cell>
          <cell r="Q2697" t="str">
            <v>电机驱动</v>
          </cell>
        </row>
        <row r="2698">
          <cell r="O2698" t="str">
            <v>SD2276</v>
          </cell>
          <cell r="P2698" t="str">
            <v>FD1014A</v>
          </cell>
          <cell r="Q2698" t="str">
            <v>电机驱动</v>
          </cell>
        </row>
        <row r="2699">
          <cell r="O2699" t="str">
            <v>SD2276</v>
          </cell>
          <cell r="P2699" t="str">
            <v>FD1014A</v>
          </cell>
          <cell r="Q2699" t="str">
            <v>电机驱动</v>
          </cell>
        </row>
        <row r="2700">
          <cell r="O2700" t="str">
            <v>SD2276</v>
          </cell>
          <cell r="P2700" t="str">
            <v>FD1014A</v>
          </cell>
          <cell r="Q2700" t="str">
            <v>电机驱动</v>
          </cell>
        </row>
        <row r="2701">
          <cell r="O2701" t="str">
            <v>SD2276</v>
          </cell>
          <cell r="P2701" t="str">
            <v>FD1014A</v>
          </cell>
          <cell r="Q2701" t="str">
            <v>电机驱动</v>
          </cell>
        </row>
        <row r="2702">
          <cell r="O2702" t="str">
            <v>SC9625VB</v>
          </cell>
          <cell r="P2702" t="str">
            <v>STC9910E</v>
          </cell>
          <cell r="Q2702" t="str">
            <v>速度传感器</v>
          </cell>
        </row>
        <row r="2703">
          <cell r="O2703" t="str">
            <v>SC9675IM-P-LRF00</v>
          </cell>
          <cell r="P2703" t="str">
            <v>STC9A002B</v>
          </cell>
          <cell r="Q2703" t="str">
            <v>速度传感器</v>
          </cell>
        </row>
        <row r="2704">
          <cell r="O2704" t="str">
            <v>SC4001SE</v>
          </cell>
          <cell r="P2704" t="str">
            <v>STC4001AB</v>
          </cell>
          <cell r="Q2704" t="str">
            <v>磁性位置传感器</v>
          </cell>
        </row>
        <row r="2705">
          <cell r="O2705" t="str">
            <v>SD2276</v>
          </cell>
          <cell r="P2705" t="str">
            <v>FD1014A</v>
          </cell>
          <cell r="Q2705" t="str">
            <v>电机驱动</v>
          </cell>
        </row>
        <row r="2706">
          <cell r="O2706" t="str">
            <v>SD2276</v>
          </cell>
          <cell r="P2706" t="str">
            <v>FD1014A</v>
          </cell>
          <cell r="Q2706" t="str">
            <v>电机驱动</v>
          </cell>
        </row>
        <row r="2707">
          <cell r="O2707" t="str">
            <v>SD2276</v>
          </cell>
          <cell r="P2707" t="str">
            <v>FD1014A</v>
          </cell>
          <cell r="Q2707" t="str">
            <v>电机驱动</v>
          </cell>
        </row>
        <row r="2708">
          <cell r="O2708" t="str">
            <v>SD2276</v>
          </cell>
          <cell r="P2708" t="str">
            <v>FD1014A</v>
          </cell>
          <cell r="Q2708" t="str">
            <v>电机驱动</v>
          </cell>
        </row>
        <row r="2709">
          <cell r="O2709" t="str">
            <v>SD2276</v>
          </cell>
          <cell r="P2709" t="str">
            <v>FD1014A</v>
          </cell>
          <cell r="Q2709" t="str">
            <v>电机驱动</v>
          </cell>
        </row>
        <row r="2710">
          <cell r="O2710" t="str">
            <v>SC4001UA</v>
          </cell>
          <cell r="P2710" t="str">
            <v>STC4001AB</v>
          </cell>
          <cell r="Q2710" t="str">
            <v>磁性位置传感器</v>
          </cell>
        </row>
        <row r="2711">
          <cell r="O2711" t="str">
            <v>SC2438SO</v>
          </cell>
          <cell r="P2711" t="str">
            <v>STC9906I</v>
          </cell>
          <cell r="Q2711" t="str">
            <v>磁性位置传感器</v>
          </cell>
        </row>
        <row r="2712">
          <cell r="O2712" t="str">
            <v>SC2438SO</v>
          </cell>
          <cell r="P2712" t="str">
            <v>STC9906I</v>
          </cell>
          <cell r="Q2712" t="str">
            <v>磁性位置传感器</v>
          </cell>
        </row>
        <row r="2713">
          <cell r="O2713" t="str">
            <v>SC2438SO</v>
          </cell>
          <cell r="P2713" t="str">
            <v>STC9906M</v>
          </cell>
          <cell r="Q2713" t="str">
            <v>磁性位置传感器</v>
          </cell>
        </row>
        <row r="2714">
          <cell r="O2714" t="str">
            <v>SC2402SO-N</v>
          </cell>
          <cell r="P2714" t="str">
            <v>STC9902J</v>
          </cell>
          <cell r="Q2714" t="str">
            <v>磁性位置传感器</v>
          </cell>
        </row>
        <row r="2715">
          <cell r="O2715" t="str">
            <v>SC2402SO-N</v>
          </cell>
          <cell r="P2715" t="str">
            <v>STC9902J</v>
          </cell>
          <cell r="Q2715" t="str">
            <v>磁性位置传感器</v>
          </cell>
        </row>
        <row r="2716">
          <cell r="O2716" t="str">
            <v>SC2402SO-N</v>
          </cell>
          <cell r="P2716" t="str">
            <v>STC9902J</v>
          </cell>
          <cell r="Q2716" t="str">
            <v>磁性位置传感器</v>
          </cell>
        </row>
        <row r="2717">
          <cell r="O2717" t="str">
            <v>SC1134UA</v>
          </cell>
          <cell r="P2717" t="str">
            <v>STC1898AI</v>
          </cell>
          <cell r="Q2717" t="str">
            <v>磁性位置传感器</v>
          </cell>
        </row>
        <row r="2718">
          <cell r="O2718" t="str">
            <v>SC1134UA</v>
          </cell>
          <cell r="P2718" t="str">
            <v>STC1898AI</v>
          </cell>
          <cell r="Q2718" t="str">
            <v>磁性位置传感器</v>
          </cell>
        </row>
        <row r="2719">
          <cell r="O2719" t="str">
            <v>SC1134UA</v>
          </cell>
          <cell r="P2719" t="str">
            <v>STC1898AI</v>
          </cell>
          <cell r="Q2719" t="str">
            <v>磁性位置传感器</v>
          </cell>
        </row>
        <row r="2720">
          <cell r="O2720" t="str">
            <v>SC1134UA</v>
          </cell>
          <cell r="P2720" t="str">
            <v>STC1898AI</v>
          </cell>
          <cell r="Q2720" t="str">
            <v>磁性位置传感器</v>
          </cell>
        </row>
        <row r="2721">
          <cell r="O2721" t="str">
            <v>SC1134UA</v>
          </cell>
          <cell r="P2721" t="str">
            <v>STC1898AI</v>
          </cell>
          <cell r="Q2721" t="str">
            <v>磁性位置传感器</v>
          </cell>
        </row>
        <row r="2722">
          <cell r="O2722" t="str">
            <v>SC1134UA</v>
          </cell>
          <cell r="P2722" t="str">
            <v>STC1898AI</v>
          </cell>
          <cell r="Q2722" t="str">
            <v>磁性位置传感器</v>
          </cell>
        </row>
        <row r="2723">
          <cell r="O2723" t="str">
            <v>SC1134UA</v>
          </cell>
          <cell r="P2723" t="str">
            <v>STC1898AI</v>
          </cell>
          <cell r="Q2723" t="str">
            <v>磁性位置传感器</v>
          </cell>
        </row>
        <row r="2724">
          <cell r="O2724" t="str">
            <v>SC1134UA</v>
          </cell>
          <cell r="P2724" t="str">
            <v>STC1898AI</v>
          </cell>
          <cell r="Q2724" t="str">
            <v>磁性位置传感器</v>
          </cell>
        </row>
        <row r="2725">
          <cell r="O2725" t="str">
            <v>SC1134UA</v>
          </cell>
          <cell r="P2725" t="str">
            <v>STC1898AI</v>
          </cell>
          <cell r="Q2725" t="str">
            <v>磁性位置传感器</v>
          </cell>
        </row>
        <row r="2726">
          <cell r="O2726" t="str">
            <v>SC1134UA</v>
          </cell>
          <cell r="P2726" t="str">
            <v>STC1898AI</v>
          </cell>
          <cell r="Q2726" t="str">
            <v>磁性位置传感器</v>
          </cell>
        </row>
        <row r="2727">
          <cell r="O2727" t="str">
            <v>SC1134UA</v>
          </cell>
          <cell r="P2727" t="str">
            <v>STC1898AI</v>
          </cell>
          <cell r="Q2727" t="str">
            <v>磁性位置传感器</v>
          </cell>
        </row>
        <row r="2728">
          <cell r="O2728" t="str">
            <v>SC1134UA</v>
          </cell>
          <cell r="P2728" t="str">
            <v>STC1898AI</v>
          </cell>
          <cell r="Q2728" t="str">
            <v>磁性位置传感器</v>
          </cell>
        </row>
        <row r="2729">
          <cell r="O2729" t="str">
            <v>SC1134SO-N</v>
          </cell>
          <cell r="P2729" t="str">
            <v>STC1002AF</v>
          </cell>
          <cell r="Q2729" t="str">
            <v>磁性位置传感器</v>
          </cell>
        </row>
        <row r="2730">
          <cell r="O2730" t="str">
            <v>SC2242SO</v>
          </cell>
          <cell r="P2730" t="str">
            <v>STC9906H</v>
          </cell>
          <cell r="Q2730" t="str">
            <v>磁性位置传感器</v>
          </cell>
        </row>
        <row r="2731">
          <cell r="O2731" t="str">
            <v>SC2242SO</v>
          </cell>
          <cell r="P2731" t="str">
            <v>STC9906H</v>
          </cell>
          <cell r="Q2731" t="str">
            <v>磁性位置传感器</v>
          </cell>
        </row>
        <row r="2732">
          <cell r="O2732" t="str">
            <v>SC2242SO</v>
          </cell>
          <cell r="P2732" t="str">
            <v>STC9906H</v>
          </cell>
          <cell r="Q2732" t="str">
            <v>磁性位置传感器</v>
          </cell>
        </row>
        <row r="2733">
          <cell r="O2733" t="str">
            <v>PFD1014A-0</v>
          </cell>
          <cell r="P2733" t="str">
            <v>FD1014A</v>
          </cell>
          <cell r="Q2733" t="str">
            <v>电机驱动</v>
          </cell>
        </row>
        <row r="2734">
          <cell r="O2734" t="str">
            <v>SC4015SO-N-TR</v>
          </cell>
          <cell r="P2734" t="str">
            <v>STC4011E</v>
          </cell>
          <cell r="Q2734" t="str">
            <v>磁性位置传感器</v>
          </cell>
        </row>
        <row r="2735">
          <cell r="O2735" t="str">
            <v>SC1134UA</v>
          </cell>
          <cell r="P2735" t="str">
            <v>STC1898AI</v>
          </cell>
          <cell r="Q2735" t="str">
            <v>磁性位置传感器</v>
          </cell>
        </row>
        <row r="2736">
          <cell r="O2736" t="str">
            <v>SC9642TS-E</v>
          </cell>
          <cell r="P2736" t="str">
            <v>STC9A001H</v>
          </cell>
          <cell r="Q2736" t="str">
            <v>速度传感器</v>
          </cell>
        </row>
        <row r="2737">
          <cell r="O2737" t="str">
            <v>CA-IS23025S</v>
          </cell>
          <cell r="P2737" t="str">
            <v>STC9D06F</v>
          </cell>
          <cell r="Q2737" t="str">
            <v>电流传感器</v>
          </cell>
        </row>
        <row r="2738">
          <cell r="O2738" t="str">
            <v>CA-IS23050S</v>
          </cell>
          <cell r="P2738" t="str">
            <v>STC9D06F</v>
          </cell>
          <cell r="Q2738" t="str">
            <v>电流传感器</v>
          </cell>
        </row>
        <row r="2739">
          <cell r="O2739" t="str">
            <v>SC2498CUA-N</v>
          </cell>
          <cell r="P2739" t="str">
            <v>SC9915C</v>
          </cell>
          <cell r="Q2739" t="str">
            <v>磁性位置传感器</v>
          </cell>
        </row>
        <row r="2740">
          <cell r="O2740" t="str">
            <v>SC2498CUA-N</v>
          </cell>
          <cell r="P2740" t="str">
            <v>SC9915C</v>
          </cell>
          <cell r="Q2740" t="str">
            <v>磁性位置传感器</v>
          </cell>
        </row>
        <row r="2741">
          <cell r="O2741" t="str">
            <v>SC2498CUA-N</v>
          </cell>
          <cell r="P2741" t="str">
            <v>SC9915C</v>
          </cell>
          <cell r="Q2741" t="str">
            <v>磁性位置传感器</v>
          </cell>
        </row>
        <row r="2742">
          <cell r="O2742" t="str">
            <v>SC2498CUA-N</v>
          </cell>
          <cell r="P2742" t="str">
            <v>SC9915C</v>
          </cell>
          <cell r="Q2742" t="str">
            <v>磁性位置传感器</v>
          </cell>
        </row>
        <row r="2743">
          <cell r="O2743" t="str">
            <v>SC2498CUA-N</v>
          </cell>
          <cell r="P2743" t="str">
            <v>SC9915C</v>
          </cell>
          <cell r="Q2743" t="str">
            <v>磁性位置传感器</v>
          </cell>
        </row>
        <row r="2744">
          <cell r="O2744" t="str">
            <v>SC2498CUA-N</v>
          </cell>
          <cell r="P2744" t="str">
            <v>SC9915C</v>
          </cell>
          <cell r="Q2744" t="str">
            <v>磁性位置传感器</v>
          </cell>
        </row>
        <row r="2745">
          <cell r="O2745" t="str">
            <v>SC2448SO</v>
          </cell>
          <cell r="P2745" t="str">
            <v>STC11102B</v>
          </cell>
          <cell r="Q2745" t="str">
            <v>磁性位置传感器</v>
          </cell>
        </row>
        <row r="2746">
          <cell r="O2746" t="str">
            <v>SC2448SO</v>
          </cell>
          <cell r="P2746" t="str">
            <v>STC11102B</v>
          </cell>
          <cell r="Q2746" t="str">
            <v>磁性位置传感器</v>
          </cell>
        </row>
        <row r="2747">
          <cell r="O2747" t="str">
            <v>SC2448SO</v>
          </cell>
          <cell r="P2747" t="str">
            <v>STC11102B</v>
          </cell>
          <cell r="Q2747" t="str">
            <v>磁性位置传感器</v>
          </cell>
        </row>
        <row r="2748">
          <cell r="O2748" t="str">
            <v>SC2448SO</v>
          </cell>
          <cell r="P2748" t="str">
            <v>STC11102B</v>
          </cell>
          <cell r="Q2748" t="str">
            <v>磁性位置传感器</v>
          </cell>
        </row>
        <row r="2749">
          <cell r="O2749" t="str">
            <v>SC2442SO-N</v>
          </cell>
          <cell r="P2749" t="str">
            <v>STC11102B</v>
          </cell>
          <cell r="Q2749" t="str">
            <v>磁性位置传感器</v>
          </cell>
        </row>
        <row r="2750">
          <cell r="O2750" t="str">
            <v>SC2442SO-N</v>
          </cell>
          <cell r="P2750" t="str">
            <v>STC11102B</v>
          </cell>
          <cell r="Q2750" t="str">
            <v>磁性位置传感器</v>
          </cell>
        </row>
        <row r="2751">
          <cell r="O2751" t="str">
            <v>SC2442SO-N</v>
          </cell>
          <cell r="P2751" t="str">
            <v>STC11102B</v>
          </cell>
          <cell r="Q2751" t="str">
            <v>磁性位置传感器</v>
          </cell>
        </row>
        <row r="2752">
          <cell r="O2752" t="str">
            <v>SC2442SO-N</v>
          </cell>
          <cell r="P2752" t="str">
            <v>STC11102B</v>
          </cell>
          <cell r="Q2752" t="str">
            <v>磁性位置传感器</v>
          </cell>
        </row>
        <row r="2753">
          <cell r="O2753" t="str">
            <v>SC1645B1</v>
          </cell>
          <cell r="P2753" t="str">
            <v>STC2899AE</v>
          </cell>
          <cell r="Q2753" t="str">
            <v>磁性位置传感器</v>
          </cell>
        </row>
        <row r="2754">
          <cell r="O2754" t="str">
            <v>SC1645B1</v>
          </cell>
          <cell r="P2754" t="str">
            <v>STC2899AE</v>
          </cell>
          <cell r="Q2754" t="str">
            <v>磁性位置传感器</v>
          </cell>
        </row>
        <row r="2755">
          <cell r="O2755" t="str">
            <v>SC1645A1</v>
          </cell>
          <cell r="P2755" t="str">
            <v>STC2899AE</v>
          </cell>
          <cell r="Q2755" t="str">
            <v>磁性位置传感器</v>
          </cell>
        </row>
        <row r="2756">
          <cell r="O2756" t="str">
            <v>SD2276</v>
          </cell>
          <cell r="P2756" t="str">
            <v>FD1014A</v>
          </cell>
          <cell r="Q2756" t="str">
            <v>电机驱动</v>
          </cell>
        </row>
        <row r="2757">
          <cell r="O2757" t="str">
            <v>SD2276</v>
          </cell>
          <cell r="P2757" t="str">
            <v>FD1014A</v>
          </cell>
          <cell r="Q2757" t="str">
            <v>电机驱动</v>
          </cell>
        </row>
        <row r="2758">
          <cell r="O2758" t="str">
            <v>SD2276</v>
          </cell>
          <cell r="P2758" t="str">
            <v>FD1014A</v>
          </cell>
          <cell r="Q2758" t="str">
            <v>电机驱动</v>
          </cell>
        </row>
        <row r="2759">
          <cell r="O2759" t="str">
            <v>SC9648TS-P</v>
          </cell>
          <cell r="P2759" t="str">
            <v>STC9A001I</v>
          </cell>
          <cell r="Q2759" t="str">
            <v>速度传感器</v>
          </cell>
        </row>
        <row r="2760">
          <cell r="O2760" t="str">
            <v>G01</v>
          </cell>
          <cell r="P2760" t="str">
            <v>STC4011B</v>
          </cell>
          <cell r="Q2760" t="str">
            <v>磁性位置传感器</v>
          </cell>
        </row>
        <row r="2761">
          <cell r="O2761" t="str">
            <v>G01</v>
          </cell>
          <cell r="P2761" t="str">
            <v>STC4011B</v>
          </cell>
          <cell r="Q2761" t="str">
            <v>磁性位置传感器</v>
          </cell>
        </row>
        <row r="2762">
          <cell r="O2762" t="str">
            <v>G01</v>
          </cell>
          <cell r="P2762" t="str">
            <v>STC4011B</v>
          </cell>
          <cell r="Q2762" t="str">
            <v>磁性位置传感器</v>
          </cell>
        </row>
        <row r="2763">
          <cell r="O2763" t="str">
            <v>G01</v>
          </cell>
          <cell r="P2763" t="str">
            <v>STC4011B</v>
          </cell>
          <cell r="Q2763" t="str">
            <v>磁性位置传感器</v>
          </cell>
        </row>
        <row r="2764">
          <cell r="O2764" t="str">
            <v>G01</v>
          </cell>
          <cell r="P2764" t="str">
            <v>STC4011B</v>
          </cell>
          <cell r="Q2764" t="str">
            <v>磁性位置传感器</v>
          </cell>
        </row>
        <row r="2765">
          <cell r="O2765" t="str">
            <v>G01</v>
          </cell>
          <cell r="P2765" t="str">
            <v>STC4011B</v>
          </cell>
          <cell r="Q2765" t="str">
            <v>磁性位置传感器</v>
          </cell>
        </row>
        <row r="2766">
          <cell r="O2766" t="str">
            <v>SC4688SA-A</v>
          </cell>
          <cell r="P2766" t="str">
            <v>STC9D01C</v>
          </cell>
          <cell r="Q2766" t="str">
            <v>角度传感器</v>
          </cell>
        </row>
        <row r="2767">
          <cell r="O2767" t="str">
            <v>SC9675IM-P-LRF00</v>
          </cell>
          <cell r="P2767" t="str">
            <v>STC9A002B</v>
          </cell>
          <cell r="Q2767" t="str">
            <v>速度传感器</v>
          </cell>
        </row>
        <row r="2768">
          <cell r="O2768" t="str">
            <v>SC9675IM-P-LRF00</v>
          </cell>
          <cell r="P2768" t="str">
            <v>STC9A002B</v>
          </cell>
          <cell r="Q2768" t="str">
            <v>速度传感器</v>
          </cell>
        </row>
        <row r="2769">
          <cell r="O2769" t="str">
            <v>SC9675IM-P-LRF00</v>
          </cell>
          <cell r="P2769" t="str">
            <v>STC9A002B</v>
          </cell>
          <cell r="Q2769" t="str">
            <v>速度传感器</v>
          </cell>
        </row>
        <row r="2770">
          <cell r="O2770" t="str">
            <v>SC9675IM-P-LRF00</v>
          </cell>
          <cell r="P2770" t="str">
            <v>STC9A002B</v>
          </cell>
          <cell r="Q2770" t="str">
            <v>速度传感器</v>
          </cell>
        </row>
        <row r="2771">
          <cell r="O2771" t="str">
            <v>SC9675IM-P-LRF00</v>
          </cell>
          <cell r="P2771" t="str">
            <v>STC9A002B</v>
          </cell>
          <cell r="Q2771" t="str">
            <v>速度传感器</v>
          </cell>
        </row>
        <row r="2772">
          <cell r="O2772" t="str">
            <v>ZH6352</v>
          </cell>
          <cell r="P2772" t="str">
            <v>ZH6352</v>
          </cell>
          <cell r="Q2772" t="str">
            <v>电机驱动</v>
          </cell>
        </row>
        <row r="2773">
          <cell r="O2773" t="str">
            <v>SC1245UA</v>
          </cell>
          <cell r="P2773" t="str">
            <v>STC1898AD</v>
          </cell>
          <cell r="Q2773" t="str">
            <v>磁性位置传感器</v>
          </cell>
        </row>
        <row r="2774">
          <cell r="O2774" t="str">
            <v>SC2443UA</v>
          </cell>
          <cell r="P2774" t="str">
            <v>STC9906G</v>
          </cell>
          <cell r="Q2774" t="str">
            <v>磁性位置传感器</v>
          </cell>
        </row>
        <row r="2775">
          <cell r="O2775" t="str">
            <v>SC9641TS-P</v>
          </cell>
          <cell r="P2775" t="str">
            <v>STC9A001I</v>
          </cell>
          <cell r="Q2775" t="str">
            <v>速度传感器</v>
          </cell>
        </row>
        <row r="2776">
          <cell r="O2776" t="str">
            <v>SC9675IM-P-LRF01</v>
          </cell>
          <cell r="P2776" t="str">
            <v>STC9A002B</v>
          </cell>
          <cell r="Q2776" t="str">
            <v>速度传感器</v>
          </cell>
        </row>
        <row r="2777">
          <cell r="O2777" t="str">
            <v>SC9675IM-P-HRF00</v>
          </cell>
          <cell r="P2777" t="str">
            <v>STC9A002B</v>
          </cell>
          <cell r="Q2777" t="str">
            <v>速度传感器</v>
          </cell>
        </row>
        <row r="2778">
          <cell r="O2778" t="str">
            <v>SC9625VB</v>
          </cell>
          <cell r="P2778" t="str">
            <v>STC9910E</v>
          </cell>
          <cell r="Q2778" t="str">
            <v>速度传感器</v>
          </cell>
        </row>
        <row r="2779">
          <cell r="O2779" t="str">
            <v>SC9642TS-E</v>
          </cell>
          <cell r="P2779" t="str">
            <v>STC9A001H</v>
          </cell>
          <cell r="Q2779" t="str">
            <v>速度传感器</v>
          </cell>
        </row>
        <row r="2780">
          <cell r="O2780" t="str">
            <v>SC2064SO</v>
          </cell>
          <cell r="P2780" t="str">
            <v>STC9G001C</v>
          </cell>
          <cell r="Q2780" t="str">
            <v>磁性位置传感器</v>
          </cell>
        </row>
        <row r="2781">
          <cell r="O2781" t="str">
            <v>SC69401-A</v>
          </cell>
          <cell r="P2781" t="str">
            <v>STC9H002DQ</v>
          </cell>
          <cell r="Q2781" t="str">
            <v>角度传感器</v>
          </cell>
        </row>
        <row r="2782">
          <cell r="O2782" t="str">
            <v>SC69401D</v>
          </cell>
          <cell r="P2782" t="str">
            <v>STC9H002D</v>
          </cell>
          <cell r="Q2782" t="str">
            <v>角度传感器</v>
          </cell>
        </row>
        <row r="2783">
          <cell r="O2783" t="str">
            <v>SC9625VB</v>
          </cell>
          <cell r="P2783" t="str">
            <v>STC9910E</v>
          </cell>
          <cell r="Q2783" t="str">
            <v>速度传感器</v>
          </cell>
        </row>
        <row r="2784">
          <cell r="O2784" t="str">
            <v>SD2276</v>
          </cell>
          <cell r="P2784" t="str">
            <v>FD1014A</v>
          </cell>
          <cell r="Q2784" t="str">
            <v>电机驱动</v>
          </cell>
        </row>
        <row r="2785">
          <cell r="O2785" t="str">
            <v>SD2276</v>
          </cell>
          <cell r="P2785" t="str">
            <v>FD1014A</v>
          </cell>
          <cell r="Q2785" t="str">
            <v>电机驱动</v>
          </cell>
        </row>
        <row r="2786">
          <cell r="O2786" t="str">
            <v>SD2276</v>
          </cell>
          <cell r="P2786" t="str">
            <v>FD1014A</v>
          </cell>
          <cell r="Q2786" t="str">
            <v>电机驱动</v>
          </cell>
        </row>
        <row r="2787">
          <cell r="O2787" t="str">
            <v>SD2276</v>
          </cell>
          <cell r="P2787" t="str">
            <v>FD1014A</v>
          </cell>
          <cell r="Q2787" t="str">
            <v>电机驱动</v>
          </cell>
        </row>
        <row r="2788">
          <cell r="O2788" t="str">
            <v>SD2276</v>
          </cell>
          <cell r="P2788" t="str">
            <v>FD1014A</v>
          </cell>
          <cell r="Q2788" t="str">
            <v>电机驱动</v>
          </cell>
        </row>
        <row r="2789">
          <cell r="O2789" t="str">
            <v>SC2442SO</v>
          </cell>
          <cell r="P2789" t="str">
            <v>STC11102B</v>
          </cell>
          <cell r="Q2789" t="str">
            <v>磁性位置传感器</v>
          </cell>
        </row>
        <row r="2790">
          <cell r="O2790" t="str">
            <v>SC2464UA</v>
          </cell>
          <cell r="P2790" t="str">
            <v>STC9906J</v>
          </cell>
          <cell r="Q2790" t="str">
            <v>磁性位置传感器</v>
          </cell>
        </row>
        <row r="2791">
          <cell r="O2791" t="str">
            <v>SC2242SO</v>
          </cell>
          <cell r="P2791" t="str">
            <v>STC9906H</v>
          </cell>
          <cell r="Q2791" t="str">
            <v>磁性位置传感器</v>
          </cell>
        </row>
        <row r="2792">
          <cell r="O2792" t="str">
            <v>SC2242SO</v>
          </cell>
          <cell r="P2792" t="str">
            <v>STC9906H</v>
          </cell>
          <cell r="Q2792" t="str">
            <v>磁性位置传感器</v>
          </cell>
        </row>
        <row r="2793">
          <cell r="O2793" t="str">
            <v>SC2242SO</v>
          </cell>
          <cell r="P2793" t="str">
            <v>STC9906H</v>
          </cell>
          <cell r="Q2793" t="str">
            <v>磁性位置传感器</v>
          </cell>
        </row>
        <row r="2794">
          <cell r="O2794" t="str">
            <v>SC2242SO</v>
          </cell>
          <cell r="P2794" t="str">
            <v>STC9906H</v>
          </cell>
          <cell r="Q2794" t="str">
            <v>磁性位置传感器</v>
          </cell>
        </row>
        <row r="2795">
          <cell r="O2795" t="str">
            <v>SC2242SO</v>
          </cell>
          <cell r="P2795" t="str">
            <v>STC9906H</v>
          </cell>
          <cell r="Q2795" t="str">
            <v>磁性位置传感器</v>
          </cell>
        </row>
        <row r="2796">
          <cell r="O2796" t="str">
            <v>SC2443SO</v>
          </cell>
          <cell r="P2796" t="str">
            <v>STC9906T</v>
          </cell>
          <cell r="Q2796" t="str">
            <v>磁性位置传感器</v>
          </cell>
        </row>
        <row r="2797">
          <cell r="O2797" t="str">
            <v>SC2402SO-N</v>
          </cell>
          <cell r="P2797" t="str">
            <v>STC9902J</v>
          </cell>
          <cell r="Q2797" t="str">
            <v>磁性位置传感器</v>
          </cell>
        </row>
        <row r="2798">
          <cell r="O2798" t="str">
            <v>SC2402SO-N</v>
          </cell>
          <cell r="P2798" t="str">
            <v>STC9902J</v>
          </cell>
          <cell r="Q2798" t="str">
            <v>磁性位置传感器</v>
          </cell>
        </row>
        <row r="2799">
          <cell r="O2799" t="str">
            <v>SC2402SO-N</v>
          </cell>
          <cell r="P2799" t="str">
            <v>STC9902J</v>
          </cell>
          <cell r="Q2799" t="str">
            <v>磁性位置传感器</v>
          </cell>
        </row>
        <row r="2800">
          <cell r="O2800" t="str">
            <v>SC2402SO-N</v>
          </cell>
          <cell r="P2800" t="str">
            <v>STC9902J</v>
          </cell>
          <cell r="Q2800" t="str">
            <v>磁性位置传感器</v>
          </cell>
        </row>
        <row r="2801">
          <cell r="O2801" t="str">
            <v>SC2202SO-N</v>
          </cell>
          <cell r="P2801" t="str">
            <v>STC9902E</v>
          </cell>
          <cell r="Q2801" t="str">
            <v>磁性位置传感器</v>
          </cell>
        </row>
        <row r="2802">
          <cell r="O2802" t="str">
            <v>SC2402SO-N</v>
          </cell>
          <cell r="P2802" t="str">
            <v>STC9G002A</v>
          </cell>
          <cell r="Q2802" t="str">
            <v>磁性位置传感器</v>
          </cell>
        </row>
        <row r="2803">
          <cell r="O2803" t="str">
            <v>SC2402SO-N</v>
          </cell>
          <cell r="P2803" t="str">
            <v>STC9G002A</v>
          </cell>
          <cell r="Q2803" t="str">
            <v>磁性位置传感器</v>
          </cell>
        </row>
        <row r="2804">
          <cell r="O2804" t="str">
            <v>G01</v>
          </cell>
          <cell r="P2804" t="str">
            <v>STC4011B</v>
          </cell>
          <cell r="Q2804" t="str">
            <v>磁性位置传感器</v>
          </cell>
        </row>
        <row r="2805">
          <cell r="O2805" t="str">
            <v>G01</v>
          </cell>
          <cell r="P2805" t="str">
            <v>STC4011B</v>
          </cell>
          <cell r="Q2805" t="str">
            <v>磁性位置传感器</v>
          </cell>
        </row>
        <row r="2806">
          <cell r="O2806" t="str">
            <v>G01</v>
          </cell>
          <cell r="P2806" t="str">
            <v>STC4011B</v>
          </cell>
          <cell r="Q2806" t="str">
            <v>磁性位置传感器</v>
          </cell>
        </row>
        <row r="2807">
          <cell r="O2807" t="str">
            <v>G01</v>
          </cell>
          <cell r="P2807" t="str">
            <v>STC4011B</v>
          </cell>
          <cell r="Q2807" t="str">
            <v>磁性位置传感器</v>
          </cell>
        </row>
        <row r="2808">
          <cell r="O2808" t="str">
            <v>G01</v>
          </cell>
          <cell r="P2808" t="str">
            <v>STC4011B</v>
          </cell>
          <cell r="Q2808" t="str">
            <v>磁性位置传感器</v>
          </cell>
        </row>
        <row r="2809">
          <cell r="O2809" t="str">
            <v>G01</v>
          </cell>
          <cell r="P2809" t="str">
            <v>STC4011B</v>
          </cell>
          <cell r="Q2809" t="str">
            <v>磁性位置传感器</v>
          </cell>
        </row>
        <row r="2810">
          <cell r="O2810" t="str">
            <v>G01</v>
          </cell>
          <cell r="P2810" t="str">
            <v>STC4011B</v>
          </cell>
          <cell r="Q2810" t="str">
            <v>磁性位置传感器</v>
          </cell>
        </row>
        <row r="2811">
          <cell r="O2811" t="str">
            <v>G01</v>
          </cell>
          <cell r="P2811" t="str">
            <v>STC4011B</v>
          </cell>
          <cell r="Q2811" t="str">
            <v>磁性位置传感器</v>
          </cell>
        </row>
        <row r="2812">
          <cell r="O2812" t="str">
            <v>SC4688DC</v>
          </cell>
          <cell r="P2812" t="str">
            <v>STC9D01C</v>
          </cell>
          <cell r="Q2812" t="str">
            <v>角度传感器</v>
          </cell>
        </row>
        <row r="2813">
          <cell r="O2813" t="str">
            <v>SC4688SA-A</v>
          </cell>
          <cell r="P2813" t="str">
            <v>STC9D01C</v>
          </cell>
          <cell r="Q2813" t="str">
            <v>角度传感器</v>
          </cell>
        </row>
        <row r="2814">
          <cell r="O2814" t="str">
            <v>PSTC9D03E-4</v>
          </cell>
          <cell r="P2814" t="str">
            <v>STC9D03E</v>
          </cell>
          <cell r="Q2814" t="str">
            <v>电流传感器</v>
          </cell>
        </row>
        <row r="2815">
          <cell r="O2815" t="str">
            <v>PSTC9D03E-4</v>
          </cell>
          <cell r="P2815" t="str">
            <v>STC9D03E</v>
          </cell>
          <cell r="Q2815" t="str">
            <v>电流传感器</v>
          </cell>
        </row>
        <row r="2816">
          <cell r="O2816" t="str">
            <v>PSTC9D03E-4</v>
          </cell>
          <cell r="P2816" t="str">
            <v>STC9D03E</v>
          </cell>
          <cell r="Q2816" t="str">
            <v>电流传感器</v>
          </cell>
        </row>
        <row r="2817">
          <cell r="O2817" t="str">
            <v>SC4643VB-A</v>
          </cell>
          <cell r="P2817" t="str">
            <v>STC9D03E</v>
          </cell>
          <cell r="Q2817" t="str">
            <v>电流传感器</v>
          </cell>
        </row>
        <row r="2818">
          <cell r="O2818" t="str">
            <v>SC1002A1</v>
          </cell>
          <cell r="P2818" t="str">
            <v>STC1002AG</v>
          </cell>
          <cell r="Q2818" t="str">
            <v>磁性位置传感器</v>
          </cell>
        </row>
        <row r="2819">
          <cell r="O2819" t="str">
            <v>SC4015SO-N-TR</v>
          </cell>
          <cell r="P2819" t="str">
            <v>STC4011E</v>
          </cell>
          <cell r="Q2819" t="str">
            <v>磁性位置传感器</v>
          </cell>
        </row>
        <row r="2820">
          <cell r="O2820" t="str">
            <v>SC1134UA</v>
          </cell>
          <cell r="P2820" t="str">
            <v>STC1898AI</v>
          </cell>
          <cell r="Q2820" t="str">
            <v>磁性位置传感器</v>
          </cell>
        </row>
        <row r="2821">
          <cell r="O2821" t="str">
            <v>SC1445A1</v>
          </cell>
          <cell r="P2821" t="str">
            <v>STC2899AB</v>
          </cell>
          <cell r="Q2821" t="str">
            <v>磁性位置传感器</v>
          </cell>
        </row>
        <row r="2822">
          <cell r="O2822" t="str">
            <v>SD2276</v>
          </cell>
          <cell r="P2822" t="str">
            <v>FD1014A</v>
          </cell>
          <cell r="Q2822" t="str">
            <v>电机驱动</v>
          </cell>
        </row>
        <row r="2823">
          <cell r="O2823" t="str">
            <v>SC2402SO-N</v>
          </cell>
          <cell r="P2823" t="str">
            <v>STC9H001A</v>
          </cell>
          <cell r="Q2823" t="str">
            <v>磁性位置传感器</v>
          </cell>
        </row>
        <row r="2824">
          <cell r="O2824" t="str">
            <v>SC2402SO-N</v>
          </cell>
          <cell r="P2824" t="str">
            <v>STC9H001A</v>
          </cell>
          <cell r="Q2824" t="str">
            <v>磁性位置传感器</v>
          </cell>
        </row>
        <row r="2825">
          <cell r="O2825" t="str">
            <v>SC2402SO-N</v>
          </cell>
          <cell r="P2825" t="str">
            <v>STC9H001A</v>
          </cell>
          <cell r="Q2825" t="str">
            <v>磁性位置传感器</v>
          </cell>
        </row>
        <row r="2826">
          <cell r="O2826" t="str">
            <v>SC2402SO-N</v>
          </cell>
          <cell r="P2826" t="str">
            <v>STC9H001A</v>
          </cell>
          <cell r="Q2826" t="str">
            <v>磁性位置传感器</v>
          </cell>
        </row>
        <row r="2827">
          <cell r="O2827" t="str">
            <v>SC4002UA</v>
          </cell>
          <cell r="P2827" t="str">
            <v>STC4000AA</v>
          </cell>
          <cell r="Q2827" t="str">
            <v>磁性位置传感器</v>
          </cell>
        </row>
        <row r="2828">
          <cell r="O2828" t="str">
            <v>SD2276</v>
          </cell>
          <cell r="P2828" t="str">
            <v>FD1014A</v>
          </cell>
          <cell r="Q2828" t="str">
            <v>电机驱动</v>
          </cell>
        </row>
        <row r="2829">
          <cell r="O2829" t="str">
            <v>SC2402SO-N</v>
          </cell>
          <cell r="P2829" t="str">
            <v>STC9902J</v>
          </cell>
          <cell r="Q2829" t="str">
            <v>磁性位置传感器</v>
          </cell>
        </row>
        <row r="2830">
          <cell r="O2830" t="str">
            <v>SC2448SO</v>
          </cell>
          <cell r="P2830" t="str">
            <v>STC9906S</v>
          </cell>
          <cell r="Q2830" t="str">
            <v>磁性位置传感器</v>
          </cell>
        </row>
        <row r="2831">
          <cell r="O2831" t="str">
            <v>SC2448SO</v>
          </cell>
          <cell r="P2831" t="str">
            <v>STC9906S</v>
          </cell>
          <cell r="Q2831" t="str">
            <v>磁性位置传感器</v>
          </cell>
        </row>
        <row r="2832">
          <cell r="O2832" t="str">
            <v>SC4015SO-N</v>
          </cell>
          <cell r="P2832" t="str">
            <v>STC4011D</v>
          </cell>
          <cell r="Q2832" t="str">
            <v>磁性位置传感器</v>
          </cell>
        </row>
        <row r="2833">
          <cell r="O2833" t="str">
            <v>SC4015SO-N</v>
          </cell>
          <cell r="P2833" t="str">
            <v>STC4011D</v>
          </cell>
          <cell r="Q2833" t="str">
            <v>磁性位置传感器</v>
          </cell>
        </row>
        <row r="2834">
          <cell r="O2834" t="str">
            <v>SYLMV324BPD2R</v>
          </cell>
          <cell r="P2834" t="str">
            <v>STC9G003B</v>
          </cell>
          <cell r="Q2834" t="str">
            <v>其他数模混合</v>
          </cell>
        </row>
        <row r="2835">
          <cell r="O2835" t="str">
            <v>SYLMV324BPD2R</v>
          </cell>
          <cell r="P2835" t="str">
            <v>STC9G003B</v>
          </cell>
          <cell r="Q2835" t="str">
            <v>其他数模混合</v>
          </cell>
        </row>
        <row r="2836">
          <cell r="O2836" t="str">
            <v>STC4011B-DS</v>
          </cell>
          <cell r="P2836" t="str">
            <v>STC4011B</v>
          </cell>
          <cell r="Q2836" t="str">
            <v>磁性位置传感器</v>
          </cell>
        </row>
        <row r="2837">
          <cell r="O2837" t="str">
            <v>G01</v>
          </cell>
          <cell r="P2837" t="str">
            <v>STC4011B</v>
          </cell>
          <cell r="Q2837" t="str">
            <v>磁性位置传感器</v>
          </cell>
        </row>
        <row r="2838">
          <cell r="O2838" t="str">
            <v>G01</v>
          </cell>
          <cell r="P2838" t="str">
            <v>STC4011B</v>
          </cell>
          <cell r="Q2838" t="str">
            <v>磁性位置传感器</v>
          </cell>
        </row>
        <row r="2839">
          <cell r="O2839" t="str">
            <v>G01</v>
          </cell>
          <cell r="P2839" t="str">
            <v>STC4011B</v>
          </cell>
          <cell r="Q2839" t="str">
            <v>磁性位置传感器</v>
          </cell>
        </row>
        <row r="2840">
          <cell r="O2840" t="str">
            <v>G01</v>
          </cell>
          <cell r="P2840" t="str">
            <v>STC4011B</v>
          </cell>
          <cell r="Q2840" t="str">
            <v>磁性位置传感器</v>
          </cell>
        </row>
        <row r="2841">
          <cell r="O2841" t="str">
            <v>G01</v>
          </cell>
          <cell r="P2841" t="str">
            <v>STC4011B</v>
          </cell>
          <cell r="Q2841" t="str">
            <v>磁性位置传感器</v>
          </cell>
        </row>
        <row r="2842">
          <cell r="O2842" t="str">
            <v>G01</v>
          </cell>
          <cell r="P2842" t="str">
            <v>STC4011B</v>
          </cell>
          <cell r="Q2842" t="str">
            <v>磁性位置传感器</v>
          </cell>
        </row>
        <row r="2843">
          <cell r="O2843" t="str">
            <v>G01</v>
          </cell>
          <cell r="P2843" t="str">
            <v>STC4011B</v>
          </cell>
          <cell r="Q2843" t="str">
            <v>磁性位置传感器</v>
          </cell>
        </row>
        <row r="2844">
          <cell r="O2844" t="str">
            <v>G01</v>
          </cell>
          <cell r="P2844" t="str">
            <v>STC4011B</v>
          </cell>
          <cell r="Q2844" t="str">
            <v>磁性位置传感器</v>
          </cell>
        </row>
        <row r="2845">
          <cell r="O2845" t="str">
            <v>G01</v>
          </cell>
          <cell r="P2845" t="str">
            <v>STC4011B</v>
          </cell>
          <cell r="Q2845" t="str">
            <v>磁性位置传感器</v>
          </cell>
        </row>
        <row r="2846">
          <cell r="O2846" t="str">
            <v>G01</v>
          </cell>
          <cell r="P2846" t="str">
            <v>STC4011B</v>
          </cell>
          <cell r="Q2846" t="str">
            <v>磁性位置传感器</v>
          </cell>
        </row>
        <row r="2847">
          <cell r="O2847" t="str">
            <v>STC4011B-DS</v>
          </cell>
          <cell r="P2847" t="str">
            <v>STC4011B</v>
          </cell>
          <cell r="Q2847" t="str">
            <v>磁性位置传感器</v>
          </cell>
        </row>
        <row r="2848">
          <cell r="O2848" t="str">
            <v>VE8620P</v>
          </cell>
          <cell r="P2848" t="str">
            <v>HC2305C</v>
          </cell>
          <cell r="Q2848" t="str">
            <v>电源管理</v>
          </cell>
        </row>
        <row r="2849">
          <cell r="O2849" t="str">
            <v>SC4688编程器</v>
          </cell>
          <cell r="P2849" t="str">
            <v xml:space="preserve"> </v>
          </cell>
          <cell r="Q2849" t="str">
            <v>角度传感器</v>
          </cell>
        </row>
        <row r="2850">
          <cell r="O2850" t="str">
            <v>SC4002UA</v>
          </cell>
          <cell r="P2850" t="str">
            <v>STC4000AA</v>
          </cell>
          <cell r="Q2850" t="str">
            <v>磁性位置传感器</v>
          </cell>
        </row>
        <row r="2851">
          <cell r="O2851" t="str">
            <v>SC4002UA</v>
          </cell>
          <cell r="P2851" t="str">
            <v>STC4000AA</v>
          </cell>
          <cell r="Q2851" t="str">
            <v>磁性位置传感器</v>
          </cell>
        </row>
        <row r="2852">
          <cell r="O2852" t="str">
            <v>SC9641TS-PC</v>
          </cell>
          <cell r="P2852" t="str">
            <v>STC9A001I</v>
          </cell>
          <cell r="Q2852" t="str">
            <v>速度传感器</v>
          </cell>
        </row>
        <row r="2853">
          <cell r="O2853" t="str">
            <v>SC9641TS-PC</v>
          </cell>
          <cell r="P2853" t="str">
            <v>STC9A001I</v>
          </cell>
          <cell r="Q2853" t="str">
            <v>速度传感器</v>
          </cell>
        </row>
        <row r="2854">
          <cell r="O2854" t="str">
            <v>SC2442SO-N</v>
          </cell>
          <cell r="P2854" t="str">
            <v>STC9906P</v>
          </cell>
          <cell r="Q2854" t="str">
            <v>磁性位置传感器</v>
          </cell>
        </row>
        <row r="2855">
          <cell r="O2855" t="str">
            <v>SC2442SO-N</v>
          </cell>
          <cell r="P2855" t="str">
            <v>STC9906P</v>
          </cell>
          <cell r="Q2855" t="str">
            <v>磁性位置传感器</v>
          </cell>
        </row>
        <row r="2856">
          <cell r="O2856" t="str">
            <v>SC9641TS</v>
          </cell>
          <cell r="P2856" t="str">
            <v>STC9910BN</v>
          </cell>
          <cell r="Q2856" t="str">
            <v>速度传感器</v>
          </cell>
        </row>
        <row r="2857">
          <cell r="O2857" t="str">
            <v>SC9641TS</v>
          </cell>
          <cell r="P2857" t="str">
            <v>STC9910BN</v>
          </cell>
          <cell r="Q2857" t="str">
            <v>速度传感器</v>
          </cell>
        </row>
        <row r="2858">
          <cell r="O2858" t="str">
            <v>SC9641TS</v>
          </cell>
          <cell r="P2858" t="str">
            <v>STC9910BN</v>
          </cell>
          <cell r="Q2858" t="str">
            <v>速度传感器</v>
          </cell>
        </row>
        <row r="2859">
          <cell r="O2859" t="str">
            <v>SC9641TS</v>
          </cell>
          <cell r="P2859" t="str">
            <v>STC9910BN</v>
          </cell>
          <cell r="Q2859" t="str">
            <v>速度传感器</v>
          </cell>
        </row>
        <row r="2860">
          <cell r="O2860" t="str">
            <v>SC9641TS</v>
          </cell>
          <cell r="P2860" t="str">
            <v>STC9910BN</v>
          </cell>
          <cell r="Q2860" t="str">
            <v>速度传感器</v>
          </cell>
        </row>
        <row r="2861">
          <cell r="O2861" t="str">
            <v>SC9641TS</v>
          </cell>
          <cell r="P2861" t="str">
            <v>STC9910BN</v>
          </cell>
          <cell r="Q2861" t="str">
            <v>速度传感器</v>
          </cell>
        </row>
        <row r="2862">
          <cell r="O2862" t="str">
            <v>SC9641TS</v>
          </cell>
          <cell r="P2862" t="str">
            <v>STC9910BN</v>
          </cell>
          <cell r="Q2862" t="str">
            <v>速度传感器</v>
          </cell>
        </row>
        <row r="2863">
          <cell r="O2863" t="str">
            <v>SC9641TS</v>
          </cell>
          <cell r="P2863" t="str">
            <v>STC9910BN</v>
          </cell>
          <cell r="Q2863" t="str">
            <v>速度传感器</v>
          </cell>
        </row>
        <row r="2864">
          <cell r="O2864" t="str">
            <v>SC9641TS</v>
          </cell>
          <cell r="P2864" t="str">
            <v>STC9910BN</v>
          </cell>
          <cell r="Q2864" t="str">
            <v>速度传感器</v>
          </cell>
        </row>
        <row r="2865">
          <cell r="O2865" t="str">
            <v>STC4011B</v>
          </cell>
          <cell r="P2865" t="str">
            <v>STC4011B</v>
          </cell>
          <cell r="Q2865" t="str">
            <v>磁性位置传感器</v>
          </cell>
        </row>
        <row r="2866">
          <cell r="O2866" t="str">
            <v>STC4011B</v>
          </cell>
          <cell r="P2866" t="str">
            <v>STC4011B</v>
          </cell>
          <cell r="Q2866" t="str">
            <v>磁性位置传感器</v>
          </cell>
        </row>
        <row r="2867">
          <cell r="O2867" t="str">
            <v>SC2242UA</v>
          </cell>
          <cell r="P2867" t="str">
            <v>STC9906H</v>
          </cell>
          <cell r="Q2867" t="str">
            <v>磁性位置传感器</v>
          </cell>
        </row>
        <row r="2868">
          <cell r="O2868" t="str">
            <v>SC9642TS-E</v>
          </cell>
          <cell r="P2868" t="str">
            <v>STC9A001H</v>
          </cell>
          <cell r="Q2868" t="str">
            <v>速度传感器</v>
          </cell>
        </row>
        <row r="2869">
          <cell r="O2869" t="str">
            <v>SC9641TS</v>
          </cell>
          <cell r="P2869" t="str">
            <v>STC9910BN</v>
          </cell>
          <cell r="Q2869" t="str">
            <v>速度传感器</v>
          </cell>
        </row>
        <row r="2870">
          <cell r="O2870" t="str">
            <v>SC9641TS</v>
          </cell>
          <cell r="P2870" t="str">
            <v>STC9910BN</v>
          </cell>
          <cell r="Q2870" t="str">
            <v>速度传感器</v>
          </cell>
        </row>
        <row r="2871">
          <cell r="O2871" t="str">
            <v>SC9641TS</v>
          </cell>
          <cell r="P2871" t="str">
            <v>STC9910BN</v>
          </cell>
          <cell r="Q2871" t="str">
            <v>速度传感器</v>
          </cell>
        </row>
        <row r="2872">
          <cell r="O2872" t="str">
            <v>SC1002A1</v>
          </cell>
          <cell r="P2872" t="str">
            <v>STC1002AG</v>
          </cell>
          <cell r="Q2872" t="str">
            <v>磁性位置传感器</v>
          </cell>
        </row>
        <row r="2873">
          <cell r="O2873" t="str">
            <v>SC1002A1</v>
          </cell>
          <cell r="P2873" t="str">
            <v>STC1002AG</v>
          </cell>
          <cell r="Q2873" t="str">
            <v>磁性位置传感器</v>
          </cell>
        </row>
        <row r="2874">
          <cell r="O2874" t="str">
            <v>SC1002A1</v>
          </cell>
          <cell r="P2874" t="str">
            <v>STC1002AG</v>
          </cell>
          <cell r="Q2874" t="str">
            <v>磁性位置传感器</v>
          </cell>
        </row>
        <row r="2875">
          <cell r="O2875" t="str">
            <v>SC1002A1</v>
          </cell>
          <cell r="P2875" t="str">
            <v>STC1002AG</v>
          </cell>
          <cell r="Q2875" t="str">
            <v>磁性位置传感器</v>
          </cell>
        </row>
        <row r="2876">
          <cell r="O2876" t="str">
            <v>SC1919UA-N-BK</v>
          </cell>
          <cell r="P2876" t="str">
            <v>STC9913E</v>
          </cell>
          <cell r="Q2876" t="str">
            <v>磁性位置传感器</v>
          </cell>
        </row>
        <row r="2877">
          <cell r="O2877" t="str">
            <v>SI485</v>
          </cell>
          <cell r="P2877" t="str">
            <v>STC42302B</v>
          </cell>
          <cell r="Q2877" t="str">
            <v>其他数模混合</v>
          </cell>
        </row>
        <row r="2878">
          <cell r="O2878" t="str">
            <v>SI485</v>
          </cell>
          <cell r="P2878" t="str">
            <v>STC42302B</v>
          </cell>
          <cell r="Q2878" t="str">
            <v>其他数模混合</v>
          </cell>
        </row>
        <row r="2879">
          <cell r="O2879" t="str">
            <v>SI485</v>
          </cell>
          <cell r="P2879" t="str">
            <v>STC42302B</v>
          </cell>
          <cell r="Q2879" t="str">
            <v>其他数模混合</v>
          </cell>
        </row>
        <row r="2880">
          <cell r="O2880" t="str">
            <v>SC2546VB</v>
          </cell>
          <cell r="P2880" t="str">
            <v>STC9906H</v>
          </cell>
          <cell r="Q2880" t="str">
            <v>磁性位置传感器</v>
          </cell>
        </row>
        <row r="2881">
          <cell r="O2881" t="str">
            <v>SC1134SO-N</v>
          </cell>
          <cell r="P2881" t="str">
            <v>STC1002AF</v>
          </cell>
          <cell r="Q2881" t="str">
            <v>磁性位置传感器</v>
          </cell>
        </row>
        <row r="2882">
          <cell r="O2882" t="str">
            <v>SC1134SO-N</v>
          </cell>
          <cell r="P2882" t="str">
            <v>STC1002AF</v>
          </cell>
          <cell r="Q2882" t="str">
            <v>磁性位置传感器</v>
          </cell>
        </row>
        <row r="2883">
          <cell r="O2883" t="str">
            <v>SC1134SO-N</v>
          </cell>
          <cell r="P2883" t="str">
            <v>STC1002AF</v>
          </cell>
          <cell r="Q2883" t="str">
            <v>磁性位置传感器</v>
          </cell>
        </row>
        <row r="2884">
          <cell r="O2884" t="str">
            <v>SC2402SO-N</v>
          </cell>
          <cell r="P2884" t="str">
            <v>STC9902J</v>
          </cell>
          <cell r="Q2884" t="str">
            <v>磁性位置传感器</v>
          </cell>
        </row>
        <row r="2885">
          <cell r="O2885" t="str">
            <v>SC2063UA</v>
          </cell>
          <cell r="P2885" t="str">
            <v>STC9G001C</v>
          </cell>
          <cell r="Q2885" t="str">
            <v>磁性位置传感器</v>
          </cell>
        </row>
        <row r="2886">
          <cell r="O2886" t="str">
            <v>SC2063SO</v>
          </cell>
          <cell r="P2886" t="str">
            <v>STC9G001C</v>
          </cell>
          <cell r="Q2886" t="str">
            <v>磁性位置传感器</v>
          </cell>
        </row>
        <row r="2887">
          <cell r="O2887" t="str">
            <v>SC2434SO-N</v>
          </cell>
          <cell r="P2887" t="str">
            <v>STC9906I</v>
          </cell>
          <cell r="Q2887" t="str">
            <v>磁性位置传感器</v>
          </cell>
        </row>
        <row r="2888">
          <cell r="O2888" t="str">
            <v>SC2434SO-N</v>
          </cell>
          <cell r="P2888" t="str">
            <v>STC9906I</v>
          </cell>
          <cell r="Q2888" t="str">
            <v>磁性位置传感器</v>
          </cell>
        </row>
        <row r="2889">
          <cell r="O2889" t="str">
            <v>G01</v>
          </cell>
          <cell r="P2889" t="str">
            <v>STC4011B</v>
          </cell>
          <cell r="Q2889" t="str">
            <v>磁性位置传感器</v>
          </cell>
        </row>
        <row r="2890">
          <cell r="O2890" t="str">
            <v>G01</v>
          </cell>
          <cell r="P2890" t="str">
            <v>STC4011B</v>
          </cell>
          <cell r="Q2890" t="str">
            <v>磁性位置传感器</v>
          </cell>
        </row>
        <row r="2891">
          <cell r="O2891" t="str">
            <v>G01</v>
          </cell>
          <cell r="P2891" t="str">
            <v>STC4011B</v>
          </cell>
          <cell r="Q2891" t="str">
            <v>磁性位置传感器</v>
          </cell>
        </row>
        <row r="2892">
          <cell r="O2892" t="str">
            <v>SC1445A1</v>
          </cell>
          <cell r="P2892" t="str">
            <v>STC2899AB</v>
          </cell>
          <cell r="Q2892" t="str">
            <v>磁性位置传感器</v>
          </cell>
        </row>
        <row r="2893">
          <cell r="O2893" t="str">
            <v>SC9641TS-PC</v>
          </cell>
          <cell r="P2893" t="str">
            <v>STC9A001I</v>
          </cell>
          <cell r="Q2893" t="str">
            <v>速度传感器</v>
          </cell>
        </row>
        <row r="2894">
          <cell r="O2894" t="str">
            <v>SC9641TS-PC</v>
          </cell>
          <cell r="P2894" t="str">
            <v>STC9A001I</v>
          </cell>
          <cell r="Q2894" t="str">
            <v>速度传感器</v>
          </cell>
        </row>
        <row r="2895">
          <cell r="O2895" t="str">
            <v>SC2432SO-N</v>
          </cell>
          <cell r="P2895" t="str">
            <v>STC9906I</v>
          </cell>
          <cell r="Q2895" t="str">
            <v>磁性位置传感器</v>
          </cell>
        </row>
        <row r="2896">
          <cell r="O2896" t="str">
            <v>SC2432SO-N</v>
          </cell>
          <cell r="P2896" t="str">
            <v>STC9906I</v>
          </cell>
          <cell r="Q2896" t="str">
            <v>磁性位置传感器</v>
          </cell>
        </row>
        <row r="2897">
          <cell r="O2897" t="str">
            <v>SC4002BU</v>
          </cell>
          <cell r="P2897" t="str">
            <v>STC4000AA</v>
          </cell>
          <cell r="Q2897" t="str">
            <v>磁性位置传感器</v>
          </cell>
        </row>
        <row r="2898">
          <cell r="O2898" t="str">
            <v>SC4002BU</v>
          </cell>
          <cell r="P2898" t="str">
            <v>STC4000AA</v>
          </cell>
          <cell r="Q2898" t="str">
            <v>磁性位置传感器</v>
          </cell>
        </row>
        <row r="2899">
          <cell r="O2899" t="str">
            <v>SC4002BU</v>
          </cell>
          <cell r="P2899" t="str">
            <v>STC4000AA</v>
          </cell>
          <cell r="Q2899" t="str">
            <v>磁性位置传感器</v>
          </cell>
        </row>
        <row r="2900">
          <cell r="O2900" t="str">
            <v>SC2442SO</v>
          </cell>
          <cell r="P2900" t="str">
            <v>STC11102B</v>
          </cell>
          <cell r="Q2900" t="str">
            <v>磁性位置传感器</v>
          </cell>
        </row>
        <row r="2901">
          <cell r="O2901" t="str">
            <v>SC2442SO</v>
          </cell>
          <cell r="P2901" t="str">
            <v>STC11102B</v>
          </cell>
          <cell r="Q2901" t="str">
            <v>磁性位置传感器</v>
          </cell>
        </row>
        <row r="2902">
          <cell r="O2902" t="str">
            <v>SC4002BU</v>
          </cell>
          <cell r="P2902" t="str">
            <v>STC4000AA</v>
          </cell>
          <cell r="Q2902" t="str">
            <v>磁性位置传感器</v>
          </cell>
        </row>
        <row r="2903">
          <cell r="O2903" t="str">
            <v>SC1138SO-N</v>
          </cell>
          <cell r="P2903" t="str">
            <v>STC1898AC</v>
          </cell>
          <cell r="Q2903" t="str">
            <v>磁性位置传感器</v>
          </cell>
        </row>
        <row r="2904">
          <cell r="O2904" t="str">
            <v>SC1138SO-N</v>
          </cell>
          <cell r="P2904" t="str">
            <v>STC1898AC</v>
          </cell>
          <cell r="Q2904" t="str">
            <v>磁性位置传感器</v>
          </cell>
        </row>
        <row r="2905">
          <cell r="O2905" t="str">
            <v>SC1138SO-N</v>
          </cell>
          <cell r="P2905" t="str">
            <v>STC1898AC</v>
          </cell>
          <cell r="Q2905" t="str">
            <v>磁性位置传感器</v>
          </cell>
        </row>
        <row r="2906">
          <cell r="O2906" t="str">
            <v>SC1138SO-N</v>
          </cell>
          <cell r="P2906" t="str">
            <v>STC1898AC</v>
          </cell>
          <cell r="Q2906" t="str">
            <v>磁性位置传感器</v>
          </cell>
        </row>
        <row r="2907">
          <cell r="O2907" t="str">
            <v>SC1138SO-N</v>
          </cell>
          <cell r="P2907" t="str">
            <v>STC1898AC</v>
          </cell>
          <cell r="Q2907" t="str">
            <v>磁性位置传感器</v>
          </cell>
        </row>
        <row r="2908">
          <cell r="O2908" t="str">
            <v>SC1138SO-N</v>
          </cell>
          <cell r="P2908" t="str">
            <v>STC1898AC</v>
          </cell>
          <cell r="Q2908" t="str">
            <v>磁性位置传感器</v>
          </cell>
        </row>
        <row r="2909">
          <cell r="O2909" t="str">
            <v>SC1138SO-N</v>
          </cell>
          <cell r="P2909" t="str">
            <v>STC1898AC</v>
          </cell>
          <cell r="Q2909" t="str">
            <v>磁性位置传感器</v>
          </cell>
        </row>
        <row r="2910">
          <cell r="O2910" t="str">
            <v>SC1138SO-N</v>
          </cell>
          <cell r="P2910" t="str">
            <v>STC1898AC</v>
          </cell>
          <cell r="Q2910" t="str">
            <v>磁性位置传感器</v>
          </cell>
        </row>
        <row r="2911">
          <cell r="O2911" t="str">
            <v>SC1134SO-N</v>
          </cell>
          <cell r="P2911" t="str">
            <v>STC1898AI</v>
          </cell>
          <cell r="Q2911" t="str">
            <v>磁性位置传感器</v>
          </cell>
        </row>
        <row r="2912">
          <cell r="O2912" t="str">
            <v>SC1245SO-N</v>
          </cell>
          <cell r="P2912" t="str">
            <v>STC1898AD</v>
          </cell>
          <cell r="Q2912" t="str">
            <v>磁性位置传感器</v>
          </cell>
        </row>
        <row r="2913">
          <cell r="O2913" t="str">
            <v>SC1245SO-N</v>
          </cell>
          <cell r="P2913" t="str">
            <v>STC1898AD</v>
          </cell>
          <cell r="Q2913" t="str">
            <v>磁性位置传感器</v>
          </cell>
        </row>
        <row r="2914">
          <cell r="O2914" t="str">
            <v>SC1245SO-N</v>
          </cell>
          <cell r="P2914" t="str">
            <v>STC1898AD</v>
          </cell>
          <cell r="Q2914" t="str">
            <v>磁性位置传感器</v>
          </cell>
        </row>
        <row r="2915">
          <cell r="O2915" t="str">
            <v>SC2402SO-N</v>
          </cell>
          <cell r="P2915" t="str">
            <v>STC9G002A</v>
          </cell>
          <cell r="Q2915" t="str">
            <v>磁性位置传感器</v>
          </cell>
        </row>
        <row r="2916">
          <cell r="O2916" t="str">
            <v>SC2442SO</v>
          </cell>
          <cell r="P2916" t="str">
            <v>STC11102B</v>
          </cell>
          <cell r="Q2916" t="str">
            <v>磁性位置传感器</v>
          </cell>
        </row>
        <row r="2917">
          <cell r="O2917" t="str">
            <v>SC2442SO</v>
          </cell>
          <cell r="P2917" t="str">
            <v>STC11102B</v>
          </cell>
          <cell r="Q2917" t="str">
            <v>磁性位置传感器</v>
          </cell>
        </row>
        <row r="2918">
          <cell r="O2918" t="str">
            <v>SC2442SO</v>
          </cell>
          <cell r="P2918" t="str">
            <v>STC11102B</v>
          </cell>
          <cell r="Q2918" t="str">
            <v>磁性位置传感器</v>
          </cell>
        </row>
        <row r="2919">
          <cell r="O2919" t="str">
            <v>SC2442SO</v>
          </cell>
          <cell r="P2919" t="str">
            <v>STC11102B</v>
          </cell>
          <cell r="Q2919" t="str">
            <v>磁性位置传感器</v>
          </cell>
        </row>
        <row r="2920">
          <cell r="O2920" t="str">
            <v>SC2442SO</v>
          </cell>
          <cell r="P2920" t="str">
            <v>STC11102B</v>
          </cell>
          <cell r="Q2920" t="str">
            <v>磁性位置传感器</v>
          </cell>
        </row>
        <row r="2921">
          <cell r="O2921" t="str">
            <v>SC4643VB</v>
          </cell>
          <cell r="P2921" t="str">
            <v>STC9D03E</v>
          </cell>
          <cell r="Q2921" t="str">
            <v>电流传感器</v>
          </cell>
        </row>
        <row r="2922">
          <cell r="O2922" t="str">
            <v>SC4643VB</v>
          </cell>
          <cell r="P2922" t="str">
            <v>STC9D03E</v>
          </cell>
          <cell r="Q2922" t="str">
            <v>电流传感器</v>
          </cell>
        </row>
        <row r="2923">
          <cell r="O2923" t="str">
            <v>SC4695DC</v>
          </cell>
          <cell r="P2923" t="str">
            <v>STC9D01C</v>
          </cell>
          <cell r="Q2923" t="str">
            <v>角度传感器</v>
          </cell>
        </row>
        <row r="2924">
          <cell r="O2924" t="str">
            <v>SC4695DC</v>
          </cell>
          <cell r="P2924" t="str">
            <v>STC9D01C</v>
          </cell>
          <cell r="Q2924" t="str">
            <v>角度传感器</v>
          </cell>
        </row>
        <row r="2925">
          <cell r="O2925" t="str">
            <v>SC4695DC</v>
          </cell>
          <cell r="P2925" t="str">
            <v>STC9D01C</v>
          </cell>
          <cell r="Q2925" t="str">
            <v>角度传感器</v>
          </cell>
        </row>
        <row r="2926">
          <cell r="O2926" t="str">
            <v>SC4695DC</v>
          </cell>
          <cell r="P2926" t="str">
            <v>STC9D01C</v>
          </cell>
          <cell r="Q2926" t="str">
            <v>角度传感器</v>
          </cell>
        </row>
        <row r="2927">
          <cell r="O2927" t="str">
            <v>SC4695DC</v>
          </cell>
          <cell r="P2927" t="str">
            <v>STC9D01C</v>
          </cell>
          <cell r="Q2927" t="str">
            <v>角度传感器</v>
          </cell>
        </row>
        <row r="2928">
          <cell r="O2928" t="str">
            <v>PSTC2899AB-0</v>
          </cell>
          <cell r="P2928" t="str">
            <v>STC2899AB</v>
          </cell>
          <cell r="Q2928" t="str">
            <v>磁性位置传感器</v>
          </cell>
        </row>
        <row r="2929">
          <cell r="O2929" t="str">
            <v>PSTC2899AB-0</v>
          </cell>
          <cell r="P2929" t="str">
            <v>STC2899AB</v>
          </cell>
          <cell r="Q2929" t="str">
            <v>磁性位置传感器</v>
          </cell>
        </row>
        <row r="2930">
          <cell r="O2930" t="str">
            <v>SC9642TS-E</v>
          </cell>
          <cell r="P2930" t="str">
            <v>STC9A001H</v>
          </cell>
          <cell r="Q2930" t="str">
            <v>速度传感器</v>
          </cell>
        </row>
        <row r="2931">
          <cell r="O2931" t="str">
            <v>SC9642TS-E</v>
          </cell>
          <cell r="P2931" t="str">
            <v>STC9A001H</v>
          </cell>
          <cell r="Q2931" t="str">
            <v>速度传感器</v>
          </cell>
        </row>
        <row r="2932">
          <cell r="O2932" t="str">
            <v>SC2443UA</v>
          </cell>
          <cell r="P2932" t="str">
            <v>STC9906G</v>
          </cell>
          <cell r="Q2932" t="str">
            <v>磁性位置传感器</v>
          </cell>
        </row>
        <row r="2933">
          <cell r="O2933" t="str">
            <v>SC9642TS-E</v>
          </cell>
          <cell r="P2933" t="str">
            <v>STC9A001H</v>
          </cell>
          <cell r="Q2933" t="str">
            <v>速度传感器</v>
          </cell>
        </row>
        <row r="2934">
          <cell r="O2934" t="str">
            <v>SC9642TS-E</v>
          </cell>
          <cell r="P2934" t="str">
            <v>STC9A001H</v>
          </cell>
          <cell r="Q2934" t="str">
            <v>速度传感器</v>
          </cell>
        </row>
        <row r="2935">
          <cell r="O2935" t="str">
            <v>SC9648TS-P</v>
          </cell>
          <cell r="P2935" t="str">
            <v>STC9A001I</v>
          </cell>
          <cell r="Q2935" t="str">
            <v>速度传感器</v>
          </cell>
        </row>
        <row r="2936">
          <cell r="O2936" t="str">
            <v>SC9648TS-P</v>
          </cell>
          <cell r="P2936" t="str">
            <v>STC9A001I</v>
          </cell>
          <cell r="Q2936" t="str">
            <v>速度传感器</v>
          </cell>
        </row>
        <row r="2937">
          <cell r="O2937" t="str">
            <v>SC9648TS-P</v>
          </cell>
          <cell r="P2937" t="str">
            <v>STC9A001I</v>
          </cell>
          <cell r="Q2937" t="str">
            <v>速度传感器</v>
          </cell>
        </row>
        <row r="2938">
          <cell r="O2938" t="str">
            <v>SC9648TS-P</v>
          </cell>
          <cell r="P2938" t="str">
            <v>STC9A001I</v>
          </cell>
          <cell r="Q2938" t="str">
            <v>速度传感器</v>
          </cell>
        </row>
        <row r="2939">
          <cell r="O2939" t="str">
            <v>SC1645A1</v>
          </cell>
          <cell r="P2939" t="str">
            <v>STC2899AE</v>
          </cell>
          <cell r="Q2939" t="str">
            <v>磁性位置传感器</v>
          </cell>
        </row>
        <row r="2940">
          <cell r="O2940" t="str">
            <v>SC1645A1</v>
          </cell>
          <cell r="P2940" t="str">
            <v>STC2899AE</v>
          </cell>
          <cell r="Q2940" t="str">
            <v>磁性位置传感器</v>
          </cell>
        </row>
        <row r="2941">
          <cell r="O2941" t="str">
            <v>SC1645A1</v>
          </cell>
          <cell r="P2941" t="str">
            <v>STC2899AE</v>
          </cell>
          <cell r="Q2941" t="str">
            <v>磁性位置传感器</v>
          </cell>
        </row>
        <row r="2942">
          <cell r="O2942" t="str">
            <v>SC1645A1</v>
          </cell>
          <cell r="P2942" t="str">
            <v>STC2899AE</v>
          </cell>
          <cell r="Q2942" t="str">
            <v>磁性位置传感器</v>
          </cell>
        </row>
        <row r="2943">
          <cell r="O2943" t="str">
            <v>SC1645A1</v>
          </cell>
          <cell r="P2943" t="str">
            <v>STC2899AE</v>
          </cell>
          <cell r="Q2943" t="str">
            <v>磁性位置传感器</v>
          </cell>
        </row>
        <row r="2944">
          <cell r="O2944" t="str">
            <v>SC1645A1</v>
          </cell>
          <cell r="P2944" t="str">
            <v>STC2899AE</v>
          </cell>
          <cell r="Q2944" t="str">
            <v>磁性位置传感器</v>
          </cell>
        </row>
        <row r="2945">
          <cell r="O2945" t="str">
            <v>SC1645A1</v>
          </cell>
          <cell r="P2945" t="str">
            <v>STC2899AE</v>
          </cell>
          <cell r="Q2945" t="str">
            <v>磁性位置传感器</v>
          </cell>
        </row>
        <row r="2946">
          <cell r="O2946" t="str">
            <v>SC2442SO</v>
          </cell>
          <cell r="P2946" t="str">
            <v>STC11102B</v>
          </cell>
          <cell r="Q2946" t="str">
            <v>磁性位置传感器</v>
          </cell>
        </row>
        <row r="2947">
          <cell r="O2947" t="str">
            <v>SC60221-D-50</v>
          </cell>
          <cell r="P2947" t="str">
            <v>STC9D04C</v>
          </cell>
          <cell r="Q2947" t="str">
            <v>电机编码器</v>
          </cell>
        </row>
        <row r="2948">
          <cell r="O2948" t="str">
            <v>TC1024</v>
          </cell>
          <cell r="P2948" t="str">
            <v>STC9D02C</v>
          </cell>
          <cell r="Q2948" t="str">
            <v>电机编码器</v>
          </cell>
        </row>
        <row r="2949">
          <cell r="O2949" t="str">
            <v>TC1024</v>
          </cell>
          <cell r="P2949" t="str">
            <v>STC9D02C</v>
          </cell>
          <cell r="Q2949" t="str">
            <v>电机编码器</v>
          </cell>
        </row>
        <row r="2950">
          <cell r="O2950" t="str">
            <v>SC4645VB-12S</v>
          </cell>
          <cell r="P2950" t="str">
            <v>STC9D06F</v>
          </cell>
          <cell r="Q2950" t="str">
            <v>电流传感器</v>
          </cell>
        </row>
        <row r="2951">
          <cell r="O2951" t="str">
            <v>SC4645VB-12S</v>
          </cell>
          <cell r="P2951" t="str">
            <v>STC9D06F</v>
          </cell>
          <cell r="Q2951" t="str">
            <v>电流传感器</v>
          </cell>
        </row>
        <row r="2952">
          <cell r="O2952" t="str">
            <v>SC4645VB-5S</v>
          </cell>
          <cell r="P2952" t="str">
            <v>STC9D06F</v>
          </cell>
          <cell r="Q2952" t="str">
            <v>电流传感器</v>
          </cell>
        </row>
        <row r="2953">
          <cell r="O2953" t="str">
            <v>SC4645VB-5S</v>
          </cell>
          <cell r="P2953" t="str">
            <v>STC9D06F</v>
          </cell>
          <cell r="Q2953" t="str">
            <v>电流传感器</v>
          </cell>
        </row>
        <row r="2954">
          <cell r="O2954" t="str">
            <v>SC1445A1</v>
          </cell>
          <cell r="P2954" t="str">
            <v>STC2899AB</v>
          </cell>
          <cell r="Q2954" t="str">
            <v>磁性位置传感器</v>
          </cell>
        </row>
        <row r="2955">
          <cell r="O2955" t="str">
            <v>SC2464UA</v>
          </cell>
          <cell r="P2955" t="str">
            <v>STC9906J</v>
          </cell>
          <cell r="Q2955" t="str">
            <v>磁性位置传感器</v>
          </cell>
        </row>
        <row r="2956">
          <cell r="O2956" t="str">
            <v>G01</v>
          </cell>
          <cell r="P2956" t="str">
            <v>STC4011B</v>
          </cell>
          <cell r="Q2956" t="str">
            <v>磁性位置传感器</v>
          </cell>
        </row>
        <row r="2957">
          <cell r="O2957" t="str">
            <v>G01</v>
          </cell>
          <cell r="P2957" t="str">
            <v>STC4011B</v>
          </cell>
          <cell r="Q2957" t="str">
            <v>磁性位置传感器</v>
          </cell>
        </row>
        <row r="2958">
          <cell r="O2958" t="str">
            <v>SD2276</v>
          </cell>
          <cell r="P2958" t="str">
            <v>FD1014A</v>
          </cell>
          <cell r="Q2958" t="str">
            <v>电机驱动</v>
          </cell>
        </row>
        <row r="2959">
          <cell r="O2959" t="str">
            <v>SC4015SO-N-TR</v>
          </cell>
          <cell r="P2959" t="str">
            <v>STC4011E</v>
          </cell>
          <cell r="Q2959" t="str">
            <v>磁性位置传感器</v>
          </cell>
        </row>
        <row r="2960">
          <cell r="O2960" t="str">
            <v>SC1645B1</v>
          </cell>
          <cell r="P2960" t="str">
            <v>STC2899AE</v>
          </cell>
          <cell r="Q2960" t="str">
            <v>磁性位置传感器</v>
          </cell>
        </row>
        <row r="2961">
          <cell r="O2961" t="str">
            <v>SC2462UA</v>
          </cell>
          <cell r="P2961" t="str">
            <v>STC9906J</v>
          </cell>
          <cell r="Q2961" t="str">
            <v>磁性位置传感器</v>
          </cell>
        </row>
        <row r="2962">
          <cell r="O2962" t="str">
            <v>SD2276</v>
          </cell>
          <cell r="P2962" t="str">
            <v>FD1014A</v>
          </cell>
          <cell r="Q2962" t="str">
            <v>电机驱动</v>
          </cell>
        </row>
        <row r="2963">
          <cell r="O2963" t="str">
            <v>SD2276</v>
          </cell>
          <cell r="P2963" t="str">
            <v>FD1014A</v>
          </cell>
          <cell r="Q2963" t="str">
            <v>电机驱动</v>
          </cell>
        </row>
        <row r="2964">
          <cell r="O2964" t="str">
            <v>SD2276</v>
          </cell>
          <cell r="P2964" t="str">
            <v>FD1014A</v>
          </cell>
          <cell r="Q2964" t="str">
            <v>电机驱动</v>
          </cell>
        </row>
        <row r="2965">
          <cell r="O2965" t="str">
            <v>SC9648TS-P</v>
          </cell>
          <cell r="P2965" t="str">
            <v>STC9A001I</v>
          </cell>
          <cell r="Q2965" t="str">
            <v>速度传感器</v>
          </cell>
        </row>
        <row r="2966">
          <cell r="O2966" t="str">
            <v>SC2402SO-N</v>
          </cell>
          <cell r="P2966" t="str">
            <v>STC9G002A</v>
          </cell>
          <cell r="Q2966" t="str">
            <v>磁性位置传感器</v>
          </cell>
        </row>
        <row r="2967">
          <cell r="O2967" t="str">
            <v>SC9314UA</v>
          </cell>
          <cell r="P2967" t="str">
            <v>STC9901AF</v>
          </cell>
          <cell r="Q2967" t="str">
            <v>速度传感器</v>
          </cell>
        </row>
        <row r="2968">
          <cell r="O2968" t="str">
            <v>ZH6252C</v>
          </cell>
          <cell r="P2968" t="str">
            <v>ZH6252C</v>
          </cell>
          <cell r="Q2968" t="str">
            <v>电机驱动</v>
          </cell>
        </row>
        <row r="2969">
          <cell r="O2969" t="str">
            <v>ZH6252C</v>
          </cell>
          <cell r="P2969" t="str">
            <v>ZH6252C</v>
          </cell>
          <cell r="Q2969" t="str">
            <v>电机驱动</v>
          </cell>
        </row>
        <row r="2970">
          <cell r="O2970" t="str">
            <v>SC2443SO</v>
          </cell>
          <cell r="P2970" t="str">
            <v>STC9906T</v>
          </cell>
          <cell r="Q2970" t="str">
            <v>磁性位置传感器</v>
          </cell>
        </row>
        <row r="2971">
          <cell r="O2971" t="str">
            <v>SC2443UA</v>
          </cell>
          <cell r="P2971" t="str">
            <v>STC9906W</v>
          </cell>
          <cell r="Q2971" t="str">
            <v>磁性位置传感器</v>
          </cell>
        </row>
        <row r="2972">
          <cell r="O2972" t="str">
            <v>SC2443UA</v>
          </cell>
          <cell r="P2972" t="str">
            <v>STC9906W</v>
          </cell>
          <cell r="Q2972" t="str">
            <v>磁性位置传感器</v>
          </cell>
        </row>
        <row r="2973">
          <cell r="O2973" t="str">
            <v>SC2443UA</v>
          </cell>
          <cell r="P2973" t="str">
            <v>STC9906W</v>
          </cell>
          <cell r="Q2973" t="str">
            <v>磁性位置传感器</v>
          </cell>
        </row>
        <row r="2974">
          <cell r="O2974" t="str">
            <v>SC9648TS-P</v>
          </cell>
          <cell r="P2974" t="str">
            <v>STC9A001I</v>
          </cell>
          <cell r="Q2974" t="str">
            <v>速度传感器</v>
          </cell>
        </row>
        <row r="2975">
          <cell r="O2975" t="str">
            <v>SC9648TS-P</v>
          </cell>
          <cell r="P2975" t="str">
            <v>STC9A001I</v>
          </cell>
          <cell r="Q2975" t="str">
            <v>速度传感器</v>
          </cell>
        </row>
        <row r="2976">
          <cell r="O2976" t="str">
            <v>SC9648TS-P</v>
          </cell>
          <cell r="P2976" t="str">
            <v>STC9A001I</v>
          </cell>
          <cell r="Q2976" t="str">
            <v>速度传感器</v>
          </cell>
        </row>
        <row r="2977">
          <cell r="O2977" t="str">
            <v>SC9648TS-P</v>
          </cell>
          <cell r="P2977" t="str">
            <v>STC9A001I</v>
          </cell>
          <cell r="Q2977" t="str">
            <v>速度传感器</v>
          </cell>
        </row>
        <row r="2978">
          <cell r="O2978" t="str">
            <v>SC9625VB</v>
          </cell>
          <cell r="P2978" t="str">
            <v>STC9910E</v>
          </cell>
          <cell r="Q2978" t="str">
            <v>速度传感器</v>
          </cell>
        </row>
        <row r="2979">
          <cell r="O2979" t="str">
            <v>SC9625VB</v>
          </cell>
          <cell r="P2979" t="str">
            <v>STC9910E</v>
          </cell>
          <cell r="Q2979" t="str">
            <v>速度传感器</v>
          </cell>
        </row>
        <row r="2980">
          <cell r="O2980" t="str">
            <v>SC9625VB</v>
          </cell>
          <cell r="P2980" t="str">
            <v>STC9910E</v>
          </cell>
          <cell r="Q2980" t="str">
            <v>速度传感器</v>
          </cell>
        </row>
        <row r="2981">
          <cell r="O2981" t="str">
            <v>SC9642TS-E</v>
          </cell>
          <cell r="P2981" t="str">
            <v>STC9A001H</v>
          </cell>
          <cell r="Q2981" t="str">
            <v>速度传感器</v>
          </cell>
        </row>
        <row r="2982">
          <cell r="O2982" t="str">
            <v>SC9642TS</v>
          </cell>
          <cell r="P2982" t="str">
            <v>STC9A001G</v>
          </cell>
          <cell r="Q2982" t="str">
            <v>速度传感器</v>
          </cell>
        </row>
        <row r="2983">
          <cell r="O2983" t="str">
            <v>SC9642TS</v>
          </cell>
          <cell r="P2983" t="str">
            <v>STC9A001G</v>
          </cell>
          <cell r="Q2983" t="str">
            <v>速度传感器</v>
          </cell>
        </row>
        <row r="2984">
          <cell r="O2984" t="str">
            <v>SC2432UA</v>
          </cell>
          <cell r="P2984" t="str">
            <v>STC9906I</v>
          </cell>
          <cell r="Q2984" t="str">
            <v>磁性位置传感器</v>
          </cell>
        </row>
        <row r="2985">
          <cell r="O2985" t="str">
            <v>SD2276</v>
          </cell>
          <cell r="P2985" t="str">
            <v>FD1014A</v>
          </cell>
          <cell r="Q2985" t="str">
            <v>电机驱动</v>
          </cell>
        </row>
        <row r="2986">
          <cell r="O2986" t="str">
            <v>SD2276</v>
          </cell>
          <cell r="P2986" t="str">
            <v>FD1014A</v>
          </cell>
          <cell r="Q2986" t="str">
            <v>电机驱动</v>
          </cell>
        </row>
        <row r="2987">
          <cell r="O2987" t="str">
            <v>CHY19S</v>
          </cell>
          <cell r="P2987" t="str">
            <v>STC4011D</v>
          </cell>
          <cell r="Q2987" t="str">
            <v>磁性位置传感器</v>
          </cell>
        </row>
        <row r="2988">
          <cell r="O2988" t="str">
            <v>SC2402SO-N</v>
          </cell>
          <cell r="P2988" t="str">
            <v>STC9902J</v>
          </cell>
          <cell r="Q2988" t="str">
            <v>磁性位置传感器</v>
          </cell>
        </row>
        <row r="2989">
          <cell r="O2989" t="str">
            <v>SC2402SO-N</v>
          </cell>
          <cell r="P2989" t="str">
            <v>STC9902J</v>
          </cell>
          <cell r="Q2989" t="str">
            <v>磁性位置传感器</v>
          </cell>
        </row>
        <row r="2990">
          <cell r="O2990" t="str">
            <v>SC2402SO-N</v>
          </cell>
          <cell r="P2990" t="str">
            <v>STC9902J</v>
          </cell>
          <cell r="Q2990" t="str">
            <v>磁性位置传感器</v>
          </cell>
        </row>
        <row r="2991">
          <cell r="O2991" t="str">
            <v>SC1134SO-N</v>
          </cell>
          <cell r="P2991" t="str">
            <v>STC1002AF</v>
          </cell>
          <cell r="Q2991" t="str">
            <v>磁性位置传感器</v>
          </cell>
        </row>
        <row r="2992">
          <cell r="O2992" t="str">
            <v>SC1134SO-N</v>
          </cell>
          <cell r="P2992" t="str">
            <v>STC1002AF</v>
          </cell>
          <cell r="Q2992" t="str">
            <v>磁性位置传感器</v>
          </cell>
        </row>
        <row r="2993">
          <cell r="O2993" t="str">
            <v>SC1245UA</v>
          </cell>
          <cell r="P2993" t="str">
            <v>STC1898AD</v>
          </cell>
          <cell r="Q2993" t="str">
            <v>磁性位置传感器</v>
          </cell>
        </row>
        <row r="2994">
          <cell r="O2994" t="str">
            <v>SYLM2904APA1R</v>
          </cell>
          <cell r="P2994" t="str">
            <v>STC9G005C</v>
          </cell>
          <cell r="Q2994" t="str">
            <v>其他数模混合</v>
          </cell>
        </row>
        <row r="2995">
          <cell r="O2995" t="str">
            <v>SC4001SE</v>
          </cell>
          <cell r="P2995" t="str">
            <v>STC4001AB</v>
          </cell>
          <cell r="Q2995" t="str">
            <v>磁性位置传感器</v>
          </cell>
        </row>
        <row r="2996">
          <cell r="O2996" t="str">
            <v>SC4001UA</v>
          </cell>
          <cell r="P2996" t="str">
            <v>STC4001AB</v>
          </cell>
          <cell r="Q2996" t="str">
            <v>磁性位置传感器</v>
          </cell>
        </row>
        <row r="2997">
          <cell r="O2997" t="str">
            <v>SC4011SO-N</v>
          </cell>
          <cell r="P2997" t="str">
            <v>STC4011B</v>
          </cell>
          <cell r="Q2997" t="str">
            <v>磁性位置传感器</v>
          </cell>
        </row>
        <row r="2998">
          <cell r="O2998" t="str">
            <v>SC2498UA-N</v>
          </cell>
          <cell r="P2998" t="str">
            <v>SC9915C</v>
          </cell>
          <cell r="Q2998" t="str">
            <v>磁性位置传感器</v>
          </cell>
        </row>
        <row r="2999">
          <cell r="O2999" t="str">
            <v>SC2498SO</v>
          </cell>
          <cell r="P2999" t="str">
            <v>SC9915C</v>
          </cell>
          <cell r="Q2999" t="str">
            <v>磁性位置传感器</v>
          </cell>
        </row>
        <row r="3000">
          <cell r="O3000" t="str">
            <v>SC2448SO</v>
          </cell>
          <cell r="P3000" t="str">
            <v>STC9906S</v>
          </cell>
          <cell r="Q3000" t="str">
            <v>磁性位置传感器</v>
          </cell>
        </row>
        <row r="3001">
          <cell r="O3001" t="str">
            <v>SC2402SO-N</v>
          </cell>
          <cell r="P3001" t="str">
            <v>STC9H001A</v>
          </cell>
          <cell r="Q3001" t="str">
            <v>磁性位置传感器</v>
          </cell>
        </row>
        <row r="3002">
          <cell r="O3002" t="str">
            <v>SC2033SO-N</v>
          </cell>
          <cell r="P3002" t="str">
            <v>STC9G001D</v>
          </cell>
          <cell r="Q3002" t="str">
            <v>磁性位置传感器</v>
          </cell>
        </row>
        <row r="3003">
          <cell r="O3003" t="str">
            <v>SC2064SO</v>
          </cell>
          <cell r="P3003" t="str">
            <v>STC9G001C</v>
          </cell>
          <cell r="Q3003" t="str">
            <v>磁性位置传感器</v>
          </cell>
        </row>
        <row r="3004">
          <cell r="O3004" t="str">
            <v>SC2063SO</v>
          </cell>
          <cell r="P3004" t="str">
            <v>STC9G001C</v>
          </cell>
          <cell r="Q3004" t="str">
            <v>磁性位置传感器</v>
          </cell>
        </row>
        <row r="3005">
          <cell r="O3005" t="str">
            <v>SC2202SO-N</v>
          </cell>
          <cell r="P3005" t="str">
            <v>STC9902E</v>
          </cell>
          <cell r="Q3005" t="str">
            <v>磁性位置传感器</v>
          </cell>
        </row>
        <row r="3006">
          <cell r="O3006" t="str">
            <v>SC1134SO-N</v>
          </cell>
          <cell r="P3006" t="str">
            <v>STC1898AI</v>
          </cell>
          <cell r="Q3006" t="str">
            <v>磁性位置传感器</v>
          </cell>
        </row>
        <row r="3007">
          <cell r="O3007" t="str">
            <v>SC1134SO-N</v>
          </cell>
          <cell r="P3007" t="str">
            <v>STC1898AI</v>
          </cell>
          <cell r="Q3007" t="str">
            <v>磁性位置传感器</v>
          </cell>
        </row>
        <row r="3008">
          <cell r="O3008" t="str">
            <v>SC1134UA</v>
          </cell>
          <cell r="P3008" t="str">
            <v>STC1898AI</v>
          </cell>
          <cell r="Q3008" t="str">
            <v>磁性位置传感器</v>
          </cell>
        </row>
        <row r="3009">
          <cell r="O3009" t="str">
            <v>SC1245SO-N</v>
          </cell>
          <cell r="P3009" t="str">
            <v>STC1898AD</v>
          </cell>
          <cell r="Q3009" t="str">
            <v>磁性位置传感器</v>
          </cell>
        </row>
        <row r="3010">
          <cell r="O3010" t="str">
            <v>SC2442UA</v>
          </cell>
          <cell r="P3010" t="str">
            <v>STC9906P</v>
          </cell>
          <cell r="Q3010" t="str">
            <v>磁性位置传感器</v>
          </cell>
        </row>
        <row r="3011">
          <cell r="O3011" t="str">
            <v>SC2242UA</v>
          </cell>
          <cell r="P3011" t="str">
            <v>STC9906H</v>
          </cell>
          <cell r="Q3011" t="str">
            <v>磁性位置传感器</v>
          </cell>
        </row>
        <row r="3012">
          <cell r="O3012" t="str">
            <v>SC2442SO-N</v>
          </cell>
          <cell r="P3012" t="str">
            <v>STC9906P</v>
          </cell>
          <cell r="Q3012" t="str">
            <v>磁性位置传感器</v>
          </cell>
        </row>
        <row r="3013">
          <cell r="O3013" t="str">
            <v>SC2402UA</v>
          </cell>
          <cell r="P3013" t="str">
            <v>STC9902J</v>
          </cell>
          <cell r="Q3013" t="str">
            <v>磁性位置传感器</v>
          </cell>
        </row>
        <row r="3014">
          <cell r="O3014" t="str">
            <v>SC2436UA</v>
          </cell>
          <cell r="P3014" t="str">
            <v>STC9906I</v>
          </cell>
          <cell r="Q3014" t="str">
            <v>磁性位置传感器</v>
          </cell>
        </row>
        <row r="3015">
          <cell r="O3015" t="str">
            <v>SC2462SO</v>
          </cell>
          <cell r="P3015" t="str">
            <v>STC9906J</v>
          </cell>
          <cell r="Q3015" t="str">
            <v>磁性位置传感器</v>
          </cell>
        </row>
        <row r="3016">
          <cell r="O3016" t="str">
            <v>SC2438SO</v>
          </cell>
          <cell r="P3016" t="str">
            <v>STC9906I</v>
          </cell>
          <cell r="Q3016" t="str">
            <v>磁性位置传感器</v>
          </cell>
        </row>
        <row r="3017">
          <cell r="O3017" t="str">
            <v>SC2462SO</v>
          </cell>
          <cell r="P3017" t="str">
            <v>STC9906J</v>
          </cell>
          <cell r="Q3017" t="str">
            <v>磁性位置传感器</v>
          </cell>
        </row>
        <row r="3018">
          <cell r="O3018" t="str">
            <v>SC2464SO</v>
          </cell>
          <cell r="P3018" t="str">
            <v>STC9906J</v>
          </cell>
          <cell r="Q3018" t="str">
            <v>磁性位置传感器</v>
          </cell>
        </row>
        <row r="3019">
          <cell r="O3019" t="str">
            <v>SC2442SO</v>
          </cell>
          <cell r="P3019" t="str">
            <v>STC9906R</v>
          </cell>
          <cell r="Q3019" t="str">
            <v>磁性位置传感器</v>
          </cell>
        </row>
        <row r="3020">
          <cell r="O3020" t="str">
            <v>SC9314UA</v>
          </cell>
          <cell r="P3020" t="str">
            <v>STC9901AF</v>
          </cell>
          <cell r="Q3020" t="str">
            <v>速度传感器</v>
          </cell>
        </row>
        <row r="3021">
          <cell r="O3021" t="str">
            <v>SC4688SA-A</v>
          </cell>
          <cell r="P3021" t="str">
            <v>STC9D01C</v>
          </cell>
          <cell r="Q3021" t="str">
            <v>角度传感器</v>
          </cell>
        </row>
        <row r="3022">
          <cell r="O3022" t="str">
            <v>SC4688SA-A</v>
          </cell>
          <cell r="P3022" t="str">
            <v>STC9D01C</v>
          </cell>
          <cell r="Q3022" t="str">
            <v>角度传感器</v>
          </cell>
        </row>
        <row r="3023">
          <cell r="O3023" t="str">
            <v>SC4104DN</v>
          </cell>
          <cell r="P3023" t="str">
            <v>STC11201B</v>
          </cell>
          <cell r="Q3023" t="str">
            <v>磁性位置传感器</v>
          </cell>
        </row>
        <row r="3024">
          <cell r="O3024" t="str">
            <v>SC4102DN</v>
          </cell>
          <cell r="P3024" t="str">
            <v>STC11201B</v>
          </cell>
          <cell r="Q3024" t="str">
            <v>磁性位置传感器</v>
          </cell>
        </row>
        <row r="3025">
          <cell r="O3025" t="str">
            <v>SC4101DN</v>
          </cell>
          <cell r="P3025" t="str">
            <v>STC11201B</v>
          </cell>
          <cell r="Q3025" t="str">
            <v>磁性位置传感器</v>
          </cell>
        </row>
        <row r="3026">
          <cell r="O3026" t="str">
            <v>SC60228DC</v>
          </cell>
          <cell r="P3026" t="str">
            <v>STC9D04C</v>
          </cell>
          <cell r="Q3026" t="str">
            <v>电机编码器</v>
          </cell>
        </row>
        <row r="3027">
          <cell r="O3027" t="str">
            <v>SC60224-U-P4-1024</v>
          </cell>
          <cell r="P3027" t="str">
            <v>STC9D04C</v>
          </cell>
          <cell r="Q3027" t="str">
            <v>电机编码器</v>
          </cell>
        </row>
        <row r="3028">
          <cell r="O3028" t="str">
            <v>SC69401D</v>
          </cell>
          <cell r="P3028" t="str">
            <v>STC9H002D</v>
          </cell>
          <cell r="Q3028" t="str">
            <v>角度传感器</v>
          </cell>
        </row>
        <row r="3029">
          <cell r="O3029" t="str">
            <v>SC69401</v>
          </cell>
          <cell r="P3029" t="str">
            <v>STC9H002D</v>
          </cell>
          <cell r="Q3029" t="str">
            <v>角度传感器</v>
          </cell>
        </row>
        <row r="3030">
          <cell r="O3030" t="str">
            <v>SC2402SO-N</v>
          </cell>
          <cell r="P3030" t="str">
            <v>STC9G002A</v>
          </cell>
          <cell r="Q3030" t="str">
            <v>磁性位置传感器</v>
          </cell>
        </row>
        <row r="3031">
          <cell r="O3031" t="str">
            <v>SC2402SO-N</v>
          </cell>
          <cell r="P3031" t="str">
            <v>STC9G002A</v>
          </cell>
          <cell r="Q3031" t="str">
            <v>磁性位置传感器</v>
          </cell>
        </row>
        <row r="3032">
          <cell r="O3032" t="str">
            <v>SC2402SO-N</v>
          </cell>
          <cell r="P3032" t="str">
            <v>STC9G002A</v>
          </cell>
          <cell r="Q3032" t="str">
            <v>磁性位置传感器</v>
          </cell>
        </row>
        <row r="3033">
          <cell r="O3033" t="str">
            <v>SC2402SO-N</v>
          </cell>
          <cell r="P3033" t="str">
            <v>STC9G002A</v>
          </cell>
          <cell r="Q3033" t="str">
            <v>磁性位置传感器</v>
          </cell>
        </row>
        <row r="3034">
          <cell r="O3034" t="str">
            <v>SC2242SO</v>
          </cell>
          <cell r="P3034" t="str">
            <v>STC9906H</v>
          </cell>
          <cell r="Q3034" t="str">
            <v>磁性位置传感器</v>
          </cell>
        </row>
        <row r="3035">
          <cell r="O3035" t="str">
            <v>SC2242SO</v>
          </cell>
          <cell r="P3035" t="str">
            <v>STC9906H</v>
          </cell>
          <cell r="Q3035" t="str">
            <v>磁性位置传感器</v>
          </cell>
        </row>
        <row r="3036">
          <cell r="O3036" t="str">
            <v>SC2242SO</v>
          </cell>
          <cell r="P3036" t="str">
            <v>STC9906H</v>
          </cell>
          <cell r="Q3036" t="str">
            <v>磁性位置传感器</v>
          </cell>
        </row>
        <row r="3037">
          <cell r="O3037" t="str">
            <v>SC2242SO</v>
          </cell>
          <cell r="P3037" t="str">
            <v>STC9906H</v>
          </cell>
          <cell r="Q3037" t="str">
            <v>磁性位置传感器</v>
          </cell>
        </row>
        <row r="3038">
          <cell r="O3038" t="str">
            <v>SC2462SO</v>
          </cell>
          <cell r="P3038" t="str">
            <v>STC9906J</v>
          </cell>
          <cell r="Q3038" t="str">
            <v>磁性位置传感器</v>
          </cell>
        </row>
        <row r="3039">
          <cell r="O3039" t="str">
            <v>SC9648TS-P</v>
          </cell>
          <cell r="P3039" t="str">
            <v>STC9A001I</v>
          </cell>
          <cell r="Q3039" t="str">
            <v>速度传感器</v>
          </cell>
        </row>
        <row r="3040">
          <cell r="O3040" t="str">
            <v>SC9648TS-P</v>
          </cell>
          <cell r="P3040" t="str">
            <v>STC9A001I</v>
          </cell>
          <cell r="Q3040" t="str">
            <v>速度传感器</v>
          </cell>
        </row>
        <row r="3041">
          <cell r="O3041" t="str">
            <v>SC9648TS-P</v>
          </cell>
          <cell r="P3041" t="str">
            <v>STC9A001I</v>
          </cell>
          <cell r="Q3041" t="str">
            <v>速度传感器</v>
          </cell>
        </row>
        <row r="3042">
          <cell r="O3042" t="str">
            <v>SC9648TS-P</v>
          </cell>
          <cell r="P3042" t="str">
            <v>STC9A001I</v>
          </cell>
          <cell r="Q3042" t="str">
            <v>速度传感器</v>
          </cell>
        </row>
        <row r="3043">
          <cell r="O3043" t="str">
            <v>SC9648TS-P</v>
          </cell>
          <cell r="P3043" t="str">
            <v>STC9A001I</v>
          </cell>
          <cell r="Q3043" t="str">
            <v>速度传感器</v>
          </cell>
        </row>
        <row r="3044">
          <cell r="O3044" t="str">
            <v>SC243XSO-100095</v>
          </cell>
          <cell r="P3044" t="str">
            <v>STC9906M</v>
          </cell>
          <cell r="Q3044" t="str">
            <v>磁性位置传感器</v>
          </cell>
        </row>
        <row r="3045">
          <cell r="O3045" t="str">
            <v>SC243XSO-118113</v>
          </cell>
          <cell r="P3045" t="str">
            <v>STC9906M</v>
          </cell>
          <cell r="Q3045" t="str">
            <v>磁性位置传感器</v>
          </cell>
        </row>
        <row r="3046">
          <cell r="O3046" t="str">
            <v>SC1245UA</v>
          </cell>
          <cell r="P3046" t="str">
            <v>STC1898AD</v>
          </cell>
          <cell r="Q3046" t="str">
            <v>磁性位置传感器</v>
          </cell>
        </row>
        <row r="3047">
          <cell r="O3047" t="str">
            <v>SC1245UA</v>
          </cell>
          <cell r="P3047" t="str">
            <v>STC1898AD</v>
          </cell>
          <cell r="Q3047" t="str">
            <v>磁性位置传感器</v>
          </cell>
        </row>
        <row r="3048">
          <cell r="O3048" t="str">
            <v>SC1245SO-N</v>
          </cell>
          <cell r="P3048" t="str">
            <v>STC1898AD</v>
          </cell>
          <cell r="Q3048" t="str">
            <v>磁性位置传感器</v>
          </cell>
        </row>
        <row r="3049">
          <cell r="O3049" t="str">
            <v>SC4643VB-P</v>
          </cell>
          <cell r="P3049" t="str">
            <v>STC9D03E</v>
          </cell>
          <cell r="Q3049" t="str">
            <v>电流传感器</v>
          </cell>
        </row>
        <row r="3050">
          <cell r="O3050" t="str">
            <v>SC1245UA</v>
          </cell>
          <cell r="P3050" t="str">
            <v>STC1898AD</v>
          </cell>
          <cell r="Q3050" t="str">
            <v>磁性位置传感器</v>
          </cell>
        </row>
        <row r="3051">
          <cell r="O3051" t="str">
            <v>SC2462SO</v>
          </cell>
          <cell r="P3051" t="str">
            <v>STC9906J</v>
          </cell>
          <cell r="Q3051" t="str">
            <v>磁性位置传感器</v>
          </cell>
        </row>
        <row r="3052">
          <cell r="O3052" t="str">
            <v>SC4688SA</v>
          </cell>
          <cell r="P3052" t="str">
            <v>STC9D01C</v>
          </cell>
          <cell r="Q3052" t="str">
            <v>角度传感器</v>
          </cell>
        </row>
        <row r="3053">
          <cell r="O3053" t="str">
            <v>SC2442UA</v>
          </cell>
          <cell r="P3053" t="str">
            <v>STC9906P</v>
          </cell>
          <cell r="Q3053" t="str">
            <v>磁性位置传感器</v>
          </cell>
        </row>
        <row r="3054">
          <cell r="O3054" t="str">
            <v>SC2448SO</v>
          </cell>
          <cell r="P3054" t="str">
            <v>STC9906S</v>
          </cell>
          <cell r="Q3054" t="str">
            <v>磁性位置传感器</v>
          </cell>
        </row>
        <row r="3055">
          <cell r="O3055" t="str">
            <v>SC2448SO</v>
          </cell>
          <cell r="P3055" t="str">
            <v>STC9906S</v>
          </cell>
          <cell r="Q3055" t="str">
            <v>磁性位置传感器</v>
          </cell>
        </row>
        <row r="3056">
          <cell r="O3056" t="str">
            <v>SC1134BU</v>
          </cell>
          <cell r="P3056" t="str">
            <v>STC1898AI</v>
          </cell>
          <cell r="Q3056" t="str">
            <v>磁性位置传感器</v>
          </cell>
        </row>
        <row r="3057">
          <cell r="O3057" t="str">
            <v>SC1445A1</v>
          </cell>
          <cell r="P3057" t="str">
            <v>STC2899AB</v>
          </cell>
          <cell r="Q3057" t="str">
            <v>磁性位置传感器</v>
          </cell>
        </row>
        <row r="3058">
          <cell r="O3058" t="str">
            <v>SC1445A1</v>
          </cell>
          <cell r="P3058" t="str">
            <v>STC2899AB</v>
          </cell>
          <cell r="Q3058" t="str">
            <v>磁性位置传感器</v>
          </cell>
        </row>
        <row r="3059">
          <cell r="O3059" t="str">
            <v>SC4011UA</v>
          </cell>
          <cell r="P3059" t="str">
            <v>STC4011B</v>
          </cell>
          <cell r="Q3059" t="str">
            <v>磁性位置传感器</v>
          </cell>
        </row>
        <row r="3060">
          <cell r="O3060" t="str">
            <v>SC2402SO-N</v>
          </cell>
          <cell r="P3060" t="str">
            <v>STC9902J</v>
          </cell>
          <cell r="Q3060" t="str">
            <v>磁性位置传感器</v>
          </cell>
        </row>
        <row r="3061">
          <cell r="O3061" t="str">
            <v>SC2402SO-N</v>
          </cell>
          <cell r="P3061" t="str">
            <v>STC9902J</v>
          </cell>
          <cell r="Q3061" t="str">
            <v>磁性位置传感器</v>
          </cell>
        </row>
        <row r="3062">
          <cell r="O3062" t="str">
            <v>SC2402SO-N</v>
          </cell>
          <cell r="P3062" t="str">
            <v>STC9902J</v>
          </cell>
          <cell r="Q3062" t="str">
            <v>磁性位置传感器</v>
          </cell>
        </row>
        <row r="3063">
          <cell r="O3063" t="str">
            <v>SC2546VB</v>
          </cell>
          <cell r="P3063" t="str">
            <v>STC9906H</v>
          </cell>
          <cell r="Q3063" t="str">
            <v>磁性位置传感器</v>
          </cell>
        </row>
        <row r="3064">
          <cell r="O3064" t="str">
            <v>SC2434SO-N</v>
          </cell>
          <cell r="P3064" t="str">
            <v>STC9906I</v>
          </cell>
          <cell r="Q3064" t="str">
            <v>磁性位置传感器</v>
          </cell>
        </row>
        <row r="3065">
          <cell r="O3065" t="str">
            <v>SC2434SO-N</v>
          </cell>
          <cell r="P3065" t="str">
            <v>STC9906I</v>
          </cell>
          <cell r="Q3065" t="str">
            <v>磁性位置传感器</v>
          </cell>
        </row>
        <row r="3066">
          <cell r="O3066" t="str">
            <v>SC2434SO-N</v>
          </cell>
          <cell r="P3066" t="str">
            <v>STC9906I</v>
          </cell>
          <cell r="Q3066" t="str">
            <v>磁性位置传感器</v>
          </cell>
        </row>
        <row r="3067">
          <cell r="O3067" t="str">
            <v>SC2434SO-N</v>
          </cell>
          <cell r="P3067" t="str">
            <v>STC9906I</v>
          </cell>
          <cell r="Q3067" t="str">
            <v>磁性位置传感器</v>
          </cell>
        </row>
        <row r="3068">
          <cell r="O3068" t="str">
            <v>SC9621VB</v>
          </cell>
          <cell r="P3068" t="str">
            <v>STC9910C</v>
          </cell>
          <cell r="Q3068" t="str">
            <v>速度传感器</v>
          </cell>
        </row>
        <row r="3069">
          <cell r="O3069" t="str">
            <v>SC9634VB</v>
          </cell>
          <cell r="P3069" t="str">
            <v>STC9905G</v>
          </cell>
          <cell r="Q3069" t="str">
            <v>速度传感器</v>
          </cell>
        </row>
        <row r="3070">
          <cell r="O3070" t="str">
            <v>SC9634VB</v>
          </cell>
          <cell r="P3070" t="str">
            <v>STC9905G</v>
          </cell>
          <cell r="Q3070" t="str">
            <v>速度传感器</v>
          </cell>
        </row>
        <row r="3071">
          <cell r="O3071" t="str">
            <v>SC9633VB</v>
          </cell>
          <cell r="P3071" t="str">
            <v>STC9905F</v>
          </cell>
          <cell r="Q3071" t="str">
            <v>速度传感器</v>
          </cell>
        </row>
        <row r="3072">
          <cell r="O3072" t="str">
            <v>SC9632VB</v>
          </cell>
          <cell r="P3072" t="str">
            <v>STC9905E</v>
          </cell>
          <cell r="Q3072" t="str">
            <v>速度传感器</v>
          </cell>
        </row>
        <row r="3073">
          <cell r="O3073" t="str">
            <v>SC9632VB</v>
          </cell>
          <cell r="P3073" t="str">
            <v>STC9905E</v>
          </cell>
          <cell r="Q3073" t="str">
            <v>速度传感器</v>
          </cell>
        </row>
        <row r="3074">
          <cell r="O3074" t="str">
            <v>SC9314UA</v>
          </cell>
          <cell r="P3074" t="str">
            <v>STC9901AF</v>
          </cell>
          <cell r="Q3074" t="str">
            <v>速度传感器</v>
          </cell>
        </row>
        <row r="3075">
          <cell r="O3075" t="str">
            <v>SC4688SA</v>
          </cell>
          <cell r="P3075" t="str">
            <v>STC9D01C</v>
          </cell>
          <cell r="Q3075" t="str">
            <v>角度传感器</v>
          </cell>
        </row>
        <row r="3076">
          <cell r="O3076" t="str">
            <v>SC4688SA</v>
          </cell>
          <cell r="P3076" t="str">
            <v>STC9D01C</v>
          </cell>
          <cell r="Q3076" t="str">
            <v>角度传感器</v>
          </cell>
        </row>
        <row r="3077">
          <cell r="O3077" t="str">
            <v>SC4688SA</v>
          </cell>
          <cell r="P3077" t="str">
            <v>STC9D01C</v>
          </cell>
          <cell r="Q3077" t="str">
            <v>角度传感器</v>
          </cell>
        </row>
        <row r="3078">
          <cell r="O3078" t="str">
            <v>SC2402SO-N</v>
          </cell>
          <cell r="P3078" t="str">
            <v>STC9902J</v>
          </cell>
          <cell r="Q3078" t="str">
            <v>磁性位置传感器</v>
          </cell>
        </row>
        <row r="3079">
          <cell r="O3079" t="str">
            <v>STC9G005C</v>
          </cell>
          <cell r="P3079" t="str">
            <v>STC9G005C</v>
          </cell>
          <cell r="Q3079" t="str">
            <v>其他数模混合</v>
          </cell>
        </row>
        <row r="3080">
          <cell r="O3080" t="str">
            <v>SC9642TS-E</v>
          </cell>
          <cell r="P3080" t="str">
            <v>STC9A001H</v>
          </cell>
          <cell r="Q3080" t="str">
            <v>速度传感器</v>
          </cell>
        </row>
        <row r="3081">
          <cell r="O3081" t="str">
            <v>SC9642TS-E</v>
          </cell>
          <cell r="P3081" t="str">
            <v>STC9A001H</v>
          </cell>
          <cell r="Q3081" t="str">
            <v>速度传感器</v>
          </cell>
        </row>
        <row r="3082">
          <cell r="O3082" t="str">
            <v>SC9625VB</v>
          </cell>
          <cell r="P3082" t="str">
            <v>STC9910E</v>
          </cell>
          <cell r="Q3082" t="str">
            <v>速度传感器</v>
          </cell>
        </row>
        <row r="3083">
          <cell r="O3083" t="str">
            <v>SC9642TS</v>
          </cell>
          <cell r="P3083" t="str">
            <v>STC9A001G</v>
          </cell>
          <cell r="Q3083" t="str">
            <v>速度传感器</v>
          </cell>
        </row>
        <row r="3084">
          <cell r="O3084" t="str">
            <v>SC9642TS</v>
          </cell>
          <cell r="P3084" t="str">
            <v>STC9A001G</v>
          </cell>
          <cell r="Q3084" t="str">
            <v>速度传感器</v>
          </cell>
        </row>
        <row r="3085">
          <cell r="O3085" t="str">
            <v>SC60340</v>
          </cell>
          <cell r="P3085" t="str">
            <v>STC9D05C</v>
          </cell>
          <cell r="Q3085" t="str">
            <v>电机编码器</v>
          </cell>
        </row>
        <row r="3086">
          <cell r="O3086" t="str">
            <v>SC60370</v>
          </cell>
          <cell r="P3086" t="str">
            <v>STC9D05C</v>
          </cell>
          <cell r="Q3086" t="str">
            <v>电机编码器</v>
          </cell>
        </row>
        <row r="3087">
          <cell r="O3087" t="str">
            <v>S41F1</v>
          </cell>
          <cell r="P3087" t="str">
            <v>STC2899AI</v>
          </cell>
          <cell r="Q3087" t="str">
            <v>磁性位置传感器</v>
          </cell>
        </row>
        <row r="3088">
          <cell r="O3088" t="str">
            <v>S41F1</v>
          </cell>
          <cell r="P3088" t="str">
            <v>STC2899AI</v>
          </cell>
          <cell r="Q3088" t="str">
            <v>磁性位置传感器</v>
          </cell>
        </row>
        <row r="3089">
          <cell r="O3089" t="str">
            <v>S41F1</v>
          </cell>
          <cell r="P3089" t="str">
            <v>STC2899AI</v>
          </cell>
          <cell r="Q3089" t="str">
            <v>磁性位置传感器</v>
          </cell>
        </row>
        <row r="3090">
          <cell r="O3090" t="str">
            <v>S41F1</v>
          </cell>
          <cell r="P3090" t="str">
            <v>STC2899AI</v>
          </cell>
          <cell r="Q3090" t="str">
            <v>磁性位置传感器</v>
          </cell>
        </row>
        <row r="3091">
          <cell r="O3091" t="str">
            <v>S41F1</v>
          </cell>
          <cell r="P3091" t="str">
            <v>STC2899AI</v>
          </cell>
          <cell r="Q3091" t="str">
            <v>磁性位置传感器</v>
          </cell>
        </row>
        <row r="3092">
          <cell r="O3092" t="str">
            <v>SC2434SO-N</v>
          </cell>
          <cell r="P3092" t="str">
            <v>STC9906I</v>
          </cell>
          <cell r="Q3092" t="str">
            <v>磁性位置传感器</v>
          </cell>
        </row>
        <row r="3093">
          <cell r="O3093" t="str">
            <v>SC2434SO-N</v>
          </cell>
          <cell r="P3093" t="str">
            <v>STC9906I</v>
          </cell>
          <cell r="Q3093" t="str">
            <v>磁性位置传感器</v>
          </cell>
        </row>
        <row r="3094">
          <cell r="O3094" t="str">
            <v>SC2434SO-N</v>
          </cell>
          <cell r="P3094" t="str">
            <v>STC9906I</v>
          </cell>
          <cell r="Q3094" t="str">
            <v>磁性位置传感器</v>
          </cell>
        </row>
        <row r="3095">
          <cell r="O3095" t="str">
            <v>SC2442UA</v>
          </cell>
          <cell r="P3095" t="str">
            <v>STC9906P</v>
          </cell>
          <cell r="Q3095" t="str">
            <v>磁性位置传感器</v>
          </cell>
        </row>
        <row r="3096">
          <cell r="O3096" t="str">
            <v>G01</v>
          </cell>
          <cell r="P3096" t="str">
            <v>STC4011B</v>
          </cell>
          <cell r="Q3096" t="str">
            <v>磁性位置传感器</v>
          </cell>
        </row>
        <row r="3097">
          <cell r="O3097" t="str">
            <v>SC1245UA</v>
          </cell>
          <cell r="P3097" t="str">
            <v>STC1898AD</v>
          </cell>
          <cell r="Q3097" t="str">
            <v>磁性位置传感器</v>
          </cell>
        </row>
        <row r="3098">
          <cell r="O3098" t="str">
            <v>SC1245UA</v>
          </cell>
          <cell r="P3098" t="str">
            <v>STC1898AD</v>
          </cell>
          <cell r="Q3098" t="str">
            <v>磁性位置传感器</v>
          </cell>
        </row>
        <row r="3099">
          <cell r="O3099" t="str">
            <v>SC2402UA</v>
          </cell>
          <cell r="P3099" t="str">
            <v>STC9902J</v>
          </cell>
          <cell r="Q3099" t="str">
            <v>磁性位置传感器</v>
          </cell>
        </row>
        <row r="3100">
          <cell r="O3100" t="str">
            <v>SC2402UA</v>
          </cell>
          <cell r="P3100" t="str">
            <v>STC9902J</v>
          </cell>
          <cell r="Q3100" t="str">
            <v>磁性位置传感器</v>
          </cell>
        </row>
        <row r="3101">
          <cell r="O3101" t="str">
            <v>SC2442SO-N</v>
          </cell>
          <cell r="P3101" t="str">
            <v>STC11102B</v>
          </cell>
          <cell r="Q3101" t="str">
            <v>磁性位置传感器</v>
          </cell>
        </row>
        <row r="3102">
          <cell r="O3102" t="str">
            <v>SC4689SA-A</v>
          </cell>
          <cell r="P3102" t="str">
            <v>STC9D01F</v>
          </cell>
          <cell r="Q3102" t="str">
            <v>角度传感器</v>
          </cell>
        </row>
        <row r="3103">
          <cell r="O3103" t="str">
            <v>SC1002F1</v>
          </cell>
          <cell r="P3103" t="str">
            <v>STC1002AG</v>
          </cell>
          <cell r="Q3103" t="str">
            <v>磁性位置传感器</v>
          </cell>
        </row>
        <row r="3104">
          <cell r="O3104" t="str">
            <v>SC1002F1</v>
          </cell>
          <cell r="P3104" t="str">
            <v>STC1002AG</v>
          </cell>
          <cell r="Q3104" t="str">
            <v>磁性位置传感器</v>
          </cell>
        </row>
        <row r="3105">
          <cell r="O3105" t="str">
            <v>SC1002F1</v>
          </cell>
          <cell r="P3105" t="str">
            <v>STC1002AG</v>
          </cell>
          <cell r="Q3105" t="str">
            <v>磁性位置传感器</v>
          </cell>
        </row>
        <row r="3106">
          <cell r="O3106" t="str">
            <v>S41F1</v>
          </cell>
          <cell r="P3106" t="str">
            <v>STC2899AI</v>
          </cell>
          <cell r="Q3106" t="str">
            <v>磁性位置传感器</v>
          </cell>
        </row>
        <row r="3107">
          <cell r="O3107" t="str">
            <v>S41F1</v>
          </cell>
          <cell r="P3107" t="str">
            <v>STC2899AI</v>
          </cell>
          <cell r="Q3107" t="str">
            <v>磁性位置传感器</v>
          </cell>
        </row>
        <row r="3108">
          <cell r="O3108" t="str">
            <v>SC9642TS-E</v>
          </cell>
          <cell r="P3108" t="str">
            <v>STC9A001H</v>
          </cell>
          <cell r="Q3108" t="str">
            <v>速度传感器</v>
          </cell>
        </row>
        <row r="3109">
          <cell r="O3109" t="str">
            <v>SC4688SA-A</v>
          </cell>
          <cell r="P3109" t="str">
            <v>STC9D01C</v>
          </cell>
          <cell r="Q3109" t="str">
            <v>角度传感器</v>
          </cell>
        </row>
        <row r="3110">
          <cell r="O3110" t="str">
            <v>SC4688SA-A</v>
          </cell>
          <cell r="P3110" t="str">
            <v>STC9D01C</v>
          </cell>
          <cell r="Q3110" t="str">
            <v>角度传感器</v>
          </cell>
        </row>
        <row r="3111">
          <cell r="O3111" t="str">
            <v>SC2462SO</v>
          </cell>
          <cell r="P3111" t="str">
            <v>STC9906J</v>
          </cell>
          <cell r="Q3111" t="str">
            <v>磁性位置传感器</v>
          </cell>
        </row>
        <row r="3112">
          <cell r="O3112" t="str">
            <v>SC2462SO</v>
          </cell>
          <cell r="P3112" t="str">
            <v>STC9906J</v>
          </cell>
          <cell r="Q3112" t="str">
            <v>磁性位置传感器</v>
          </cell>
        </row>
        <row r="3113">
          <cell r="O3113" t="str">
            <v>SC2462SO</v>
          </cell>
          <cell r="P3113" t="str">
            <v>STC9906J</v>
          </cell>
          <cell r="Q3113" t="str">
            <v>磁性位置传感器</v>
          </cell>
        </row>
        <row r="3114">
          <cell r="O3114" t="str">
            <v>SC1919UA-N-BK</v>
          </cell>
          <cell r="P3114" t="str">
            <v>STC9913E</v>
          </cell>
          <cell r="Q3114" t="str">
            <v>磁性位置传感器</v>
          </cell>
        </row>
        <row r="3115">
          <cell r="O3115" t="str">
            <v>SC2442SO</v>
          </cell>
          <cell r="P3115" t="str">
            <v>STC11102B</v>
          </cell>
          <cell r="Q3115" t="str">
            <v>磁性位置传感器</v>
          </cell>
        </row>
        <row r="3116">
          <cell r="O3116" t="str">
            <v>SC9648TS-P</v>
          </cell>
          <cell r="P3116" t="str">
            <v>STC9A001I</v>
          </cell>
          <cell r="Q3116" t="str">
            <v>速度传感器</v>
          </cell>
        </row>
        <row r="3117">
          <cell r="O3117" t="str">
            <v>SC2402SO-N</v>
          </cell>
          <cell r="P3117" t="str">
            <v>STC9G002A</v>
          </cell>
          <cell r="Q3117" t="str">
            <v>磁性位置传感器</v>
          </cell>
        </row>
        <row r="3118">
          <cell r="O3118" t="str">
            <v>SC2402SO-N</v>
          </cell>
          <cell r="P3118" t="str">
            <v>STC9G002A</v>
          </cell>
          <cell r="Q3118" t="str">
            <v>磁性位置传感器</v>
          </cell>
        </row>
        <row r="3119">
          <cell r="O3119" t="str">
            <v>SC2436SO</v>
          </cell>
          <cell r="P3119" t="str">
            <v>STC9906M</v>
          </cell>
          <cell r="Q3119" t="str">
            <v>磁性位置传感器</v>
          </cell>
        </row>
        <row r="3120">
          <cell r="O3120" t="str">
            <v>SC2432SO</v>
          </cell>
          <cell r="P3120" t="str">
            <v>STC9906M</v>
          </cell>
          <cell r="Q3120" t="str">
            <v>磁性位置传感器</v>
          </cell>
        </row>
        <row r="3121">
          <cell r="O3121" t="str">
            <v>SC2063SO</v>
          </cell>
          <cell r="P3121" t="str">
            <v>STC9G001C</v>
          </cell>
          <cell r="Q3121" t="str">
            <v>磁性位置传感器</v>
          </cell>
        </row>
        <row r="3122">
          <cell r="O3122" t="str">
            <v>SC2063SO</v>
          </cell>
          <cell r="P3122" t="str">
            <v>STC9G001C</v>
          </cell>
          <cell r="Q3122" t="str">
            <v>磁性位置传感器</v>
          </cell>
        </row>
        <row r="3123">
          <cell r="O3123" t="str">
            <v>SC9632VB</v>
          </cell>
          <cell r="P3123" t="str">
            <v>STC9905E</v>
          </cell>
          <cell r="Q3123" t="str">
            <v>速度传感器</v>
          </cell>
        </row>
        <row r="3124">
          <cell r="O3124" t="str">
            <v>SC2434SO-N</v>
          </cell>
          <cell r="P3124" t="str">
            <v>STC9906I</v>
          </cell>
          <cell r="Q3124" t="str">
            <v>磁性位置传感器</v>
          </cell>
        </row>
        <row r="3125">
          <cell r="O3125" t="str">
            <v>SC2434SO-N</v>
          </cell>
          <cell r="P3125" t="str">
            <v>STC9906I</v>
          </cell>
          <cell r="Q3125" t="str">
            <v>磁性位置传感器</v>
          </cell>
        </row>
        <row r="3126">
          <cell r="O3126" t="str">
            <v>SC2402SO-N</v>
          </cell>
          <cell r="P3126" t="str">
            <v>STC9902J</v>
          </cell>
          <cell r="Q3126" t="str">
            <v>磁性位置传感器</v>
          </cell>
        </row>
        <row r="3127">
          <cell r="O3127" t="str">
            <v>SC2402SO-N</v>
          </cell>
          <cell r="P3127" t="str">
            <v>STC9902J</v>
          </cell>
          <cell r="Q3127" t="str">
            <v>磁性位置传感器</v>
          </cell>
        </row>
        <row r="3128">
          <cell r="O3128" t="str">
            <v>G01</v>
          </cell>
          <cell r="P3128" t="str">
            <v>STC4011B</v>
          </cell>
          <cell r="Q3128" t="str">
            <v>磁性位置传感器</v>
          </cell>
        </row>
        <row r="3129">
          <cell r="O3129" t="str">
            <v>G01</v>
          </cell>
          <cell r="P3129" t="str">
            <v>STC4011B</v>
          </cell>
          <cell r="Q3129" t="str">
            <v>磁性位置传感器</v>
          </cell>
        </row>
        <row r="3130">
          <cell r="O3130" t="str">
            <v>G01</v>
          </cell>
          <cell r="P3130" t="str">
            <v>STC4011B</v>
          </cell>
          <cell r="Q3130" t="str">
            <v>磁性位置传感器</v>
          </cell>
        </row>
        <row r="3131">
          <cell r="O3131" t="str">
            <v>SC4688编程器</v>
          </cell>
          <cell r="P3131" t="str">
            <v xml:space="preserve"> </v>
          </cell>
          <cell r="Q3131" t="str">
            <v>角度传感器</v>
          </cell>
        </row>
        <row r="3132">
          <cell r="O3132" t="str">
            <v>SC2432SO-N</v>
          </cell>
          <cell r="P3132" t="str">
            <v>STC9906I</v>
          </cell>
          <cell r="Q3132" t="str">
            <v>磁性位置传感器</v>
          </cell>
        </row>
        <row r="3133">
          <cell r="O3133" t="str">
            <v>SC9648TS-P</v>
          </cell>
          <cell r="P3133" t="str">
            <v>STC9A001I</v>
          </cell>
          <cell r="Q3133" t="str">
            <v>速度传感器</v>
          </cell>
        </row>
        <row r="3134">
          <cell r="O3134" t="str">
            <v>SC9625VB-L</v>
          </cell>
          <cell r="P3134" t="str">
            <v>STC9910E</v>
          </cell>
          <cell r="Q3134" t="str">
            <v>速度传感器</v>
          </cell>
        </row>
        <row r="3135">
          <cell r="O3135" t="str">
            <v>SC4643编程器</v>
          </cell>
          <cell r="P3135" t="str">
            <v xml:space="preserve"> </v>
          </cell>
          <cell r="Q3135" t="str">
            <v>电流传感器</v>
          </cell>
        </row>
        <row r="3136">
          <cell r="O3136" t="str">
            <v>SC4643编程器</v>
          </cell>
          <cell r="P3136" t="str">
            <v xml:space="preserve"> </v>
          </cell>
          <cell r="Q3136" t="str">
            <v>电流传感器</v>
          </cell>
        </row>
        <row r="3137">
          <cell r="O3137" t="str">
            <v>SC4643VB-P</v>
          </cell>
          <cell r="P3137" t="str">
            <v>STC9D03E</v>
          </cell>
          <cell r="Q3137" t="str">
            <v>电流传感器</v>
          </cell>
        </row>
        <row r="3138">
          <cell r="O3138" t="str">
            <v>SC4643VB-P</v>
          </cell>
          <cell r="P3138" t="str">
            <v>STC9D03E</v>
          </cell>
          <cell r="Q3138" t="str">
            <v>电流传感器</v>
          </cell>
        </row>
        <row r="3139">
          <cell r="O3139" t="str">
            <v>SC4643VB-S</v>
          </cell>
          <cell r="P3139" t="str">
            <v>STC9D03E</v>
          </cell>
          <cell r="Q3139" t="str">
            <v>电流传感器</v>
          </cell>
        </row>
        <row r="3140">
          <cell r="O3140" t="str">
            <v>SC2443UA</v>
          </cell>
          <cell r="P3140" t="str">
            <v>STC9906W</v>
          </cell>
          <cell r="Q3140" t="str">
            <v>磁性位置传感器</v>
          </cell>
        </row>
        <row r="3141">
          <cell r="O3141" t="str">
            <v>SC2442SO</v>
          </cell>
          <cell r="P3141" t="str">
            <v>STC9906R</v>
          </cell>
          <cell r="Q3141" t="str">
            <v>磁性位置传感器</v>
          </cell>
        </row>
        <row r="3142">
          <cell r="O3142" t="str">
            <v>SC2442SO</v>
          </cell>
          <cell r="P3142" t="str">
            <v>STC9906R</v>
          </cell>
          <cell r="Q3142" t="str">
            <v>磁性位置传感器</v>
          </cell>
        </row>
        <row r="3143">
          <cell r="O3143" t="str">
            <v>SC9675IM-P-LRF01</v>
          </cell>
          <cell r="P3143" t="str">
            <v>STC9A002B</v>
          </cell>
          <cell r="Q3143" t="str">
            <v>速度传感器</v>
          </cell>
        </row>
        <row r="3144">
          <cell r="O3144" t="str">
            <v>SC9675IM-P-LRF01</v>
          </cell>
          <cell r="P3144" t="str">
            <v>STC9A002B</v>
          </cell>
          <cell r="Q3144" t="str">
            <v>速度传感器</v>
          </cell>
        </row>
        <row r="3145">
          <cell r="O3145" t="str">
            <v>SC9675IM-P-HRF00</v>
          </cell>
          <cell r="P3145" t="str">
            <v>STC9A002B</v>
          </cell>
          <cell r="Q3145" t="str">
            <v>速度传感器</v>
          </cell>
        </row>
        <row r="3146">
          <cell r="O3146" t="str">
            <v>SC9648TS-P</v>
          </cell>
          <cell r="P3146" t="str">
            <v>STC9A001I</v>
          </cell>
          <cell r="Q3146" t="str">
            <v>速度传感器</v>
          </cell>
        </row>
        <row r="3147">
          <cell r="O3147" t="str">
            <v>SC9648TS-P</v>
          </cell>
          <cell r="P3147" t="str">
            <v>STC9A001I</v>
          </cell>
          <cell r="Q3147" t="str">
            <v>速度传感器</v>
          </cell>
        </row>
        <row r="3148">
          <cell r="O3148" t="str">
            <v>SC9648TS-P</v>
          </cell>
          <cell r="P3148" t="str">
            <v>STC9A001I</v>
          </cell>
          <cell r="Q3148" t="str">
            <v>速度传感器</v>
          </cell>
        </row>
        <row r="3149">
          <cell r="O3149" t="str">
            <v>SC9648TS-P</v>
          </cell>
          <cell r="P3149" t="str">
            <v>STC9A001I</v>
          </cell>
          <cell r="Q3149" t="str">
            <v>速度传感器</v>
          </cell>
        </row>
        <row r="3150">
          <cell r="O3150" t="str">
            <v>SC9648TS-P</v>
          </cell>
          <cell r="P3150" t="str">
            <v>STC9A001I</v>
          </cell>
          <cell r="Q3150" t="str">
            <v>速度传感器</v>
          </cell>
        </row>
        <row r="3151">
          <cell r="O3151" t="str">
            <v>SC9648TS-P</v>
          </cell>
          <cell r="P3151" t="str">
            <v>STC9A001I</v>
          </cell>
          <cell r="Q3151" t="str">
            <v>速度传感器</v>
          </cell>
        </row>
        <row r="3152">
          <cell r="O3152" t="str">
            <v>SC9648TS-P</v>
          </cell>
          <cell r="P3152" t="str">
            <v>STC9A001I</v>
          </cell>
          <cell r="Q3152" t="str">
            <v>速度传感器</v>
          </cell>
        </row>
        <row r="3153">
          <cell r="O3153" t="str">
            <v>SC9625VB-L</v>
          </cell>
          <cell r="P3153" t="str">
            <v>STC9910E</v>
          </cell>
          <cell r="Q3153" t="str">
            <v>速度传感器</v>
          </cell>
        </row>
        <row r="3154">
          <cell r="O3154" t="str">
            <v>SC9625VB-L</v>
          </cell>
          <cell r="P3154" t="str">
            <v>STC9910E</v>
          </cell>
          <cell r="Q3154" t="str">
            <v>速度传感器</v>
          </cell>
        </row>
        <row r="3155">
          <cell r="O3155" t="str">
            <v>SC9625VB-L</v>
          </cell>
          <cell r="P3155" t="str">
            <v>STC9910E</v>
          </cell>
          <cell r="Q3155" t="str">
            <v>速度传感器</v>
          </cell>
        </row>
        <row r="3156">
          <cell r="O3156" t="str">
            <v>SC9625VB-L</v>
          </cell>
          <cell r="P3156" t="str">
            <v>STC9910E</v>
          </cell>
          <cell r="Q3156" t="str">
            <v>速度传感器</v>
          </cell>
        </row>
        <row r="3157">
          <cell r="O3157" t="str">
            <v>SC4688SA</v>
          </cell>
          <cell r="P3157" t="str">
            <v>STC9D01C</v>
          </cell>
          <cell r="Q3157" t="str">
            <v>角度传感器</v>
          </cell>
        </row>
        <row r="3158">
          <cell r="O3158" t="str">
            <v>SC4688SA</v>
          </cell>
          <cell r="P3158" t="str">
            <v>STC9D01C</v>
          </cell>
          <cell r="Q3158" t="str">
            <v>角度传感器</v>
          </cell>
        </row>
        <row r="3159">
          <cell r="O3159" t="str">
            <v>SC1645A1</v>
          </cell>
          <cell r="P3159" t="str">
            <v>STC2899AE</v>
          </cell>
          <cell r="Q3159" t="str">
            <v>磁性位置传感器</v>
          </cell>
        </row>
        <row r="3160">
          <cell r="O3160" t="str">
            <v>SC1645A1</v>
          </cell>
          <cell r="P3160" t="str">
            <v>STC2899AE</v>
          </cell>
          <cell r="Q3160" t="str">
            <v>磁性位置传感器</v>
          </cell>
        </row>
        <row r="3161">
          <cell r="O3161" t="str">
            <v>SC1645A1</v>
          </cell>
          <cell r="P3161" t="str">
            <v>STC2899AE</v>
          </cell>
          <cell r="Q3161" t="str">
            <v>磁性位置传感器</v>
          </cell>
        </row>
        <row r="3162">
          <cell r="O3162" t="str">
            <v>SC1645A1</v>
          </cell>
          <cell r="P3162" t="str">
            <v>STC2899AE</v>
          </cell>
          <cell r="Q3162" t="str">
            <v>磁性位置传感器</v>
          </cell>
        </row>
        <row r="3163">
          <cell r="O3163" t="str">
            <v>SC1645A1</v>
          </cell>
          <cell r="P3163" t="str">
            <v>STC2899AE</v>
          </cell>
          <cell r="Q3163" t="str">
            <v>磁性位置传感器</v>
          </cell>
        </row>
        <row r="3164">
          <cell r="O3164" t="str">
            <v>SC1645A1</v>
          </cell>
          <cell r="P3164" t="str">
            <v>STC2899AE</v>
          </cell>
          <cell r="Q3164" t="str">
            <v>磁性位置传感器</v>
          </cell>
        </row>
        <row r="3165">
          <cell r="O3165" t="str">
            <v>SC1645A1</v>
          </cell>
          <cell r="P3165" t="str">
            <v>STC2899AE</v>
          </cell>
          <cell r="Q3165" t="str">
            <v>磁性位置传感器</v>
          </cell>
        </row>
        <row r="3166">
          <cell r="O3166" t="str">
            <v>SC1645A1</v>
          </cell>
          <cell r="P3166" t="str">
            <v>STC2899AE</v>
          </cell>
          <cell r="Q3166" t="str">
            <v>磁性位置传感器</v>
          </cell>
        </row>
        <row r="3167">
          <cell r="O3167" t="str">
            <v>SC1919UA-N-BK</v>
          </cell>
          <cell r="P3167" t="str">
            <v>STC9913E</v>
          </cell>
          <cell r="Q3167" t="str">
            <v>磁性位置传感器</v>
          </cell>
        </row>
        <row r="3168">
          <cell r="O3168" t="str">
            <v>SC1645A1</v>
          </cell>
          <cell r="P3168" t="str">
            <v>STC2899AE</v>
          </cell>
          <cell r="Q3168" t="str">
            <v>磁性位置传感器</v>
          </cell>
        </row>
        <row r="3169">
          <cell r="O3169" t="str">
            <v>SC1645A1</v>
          </cell>
          <cell r="P3169" t="str">
            <v>STC2899AE</v>
          </cell>
          <cell r="Q3169" t="str">
            <v>磁性位置传感器</v>
          </cell>
        </row>
        <row r="3170">
          <cell r="O3170" t="str">
            <v>SC1645A1</v>
          </cell>
          <cell r="P3170" t="str">
            <v>STC2899AE</v>
          </cell>
          <cell r="Q3170" t="str">
            <v>磁性位置传感器</v>
          </cell>
        </row>
        <row r="3171">
          <cell r="O3171" t="str">
            <v>SC1645A1</v>
          </cell>
          <cell r="P3171" t="str">
            <v>STC2899AE</v>
          </cell>
          <cell r="Q3171" t="str">
            <v>磁性位置传感器</v>
          </cell>
        </row>
        <row r="3172">
          <cell r="O3172" t="str">
            <v>SC1645A1</v>
          </cell>
          <cell r="P3172" t="str">
            <v>STC2899AE</v>
          </cell>
          <cell r="Q3172" t="str">
            <v>磁性位置传感器</v>
          </cell>
        </row>
        <row r="3173">
          <cell r="O3173" t="str">
            <v>SC1645A1</v>
          </cell>
          <cell r="P3173" t="str">
            <v>STC2899AE</v>
          </cell>
          <cell r="Q3173" t="str">
            <v>磁性位置传感器</v>
          </cell>
        </row>
        <row r="3174">
          <cell r="O3174" t="str">
            <v>SC1645A1</v>
          </cell>
          <cell r="P3174" t="str">
            <v>STC2899AE</v>
          </cell>
          <cell r="Q3174" t="str">
            <v>磁性位置传感器</v>
          </cell>
        </row>
        <row r="3175">
          <cell r="O3175" t="str">
            <v>SC1645A1</v>
          </cell>
          <cell r="P3175" t="str">
            <v>STC2899AE</v>
          </cell>
          <cell r="Q3175" t="str">
            <v>磁性位置传感器</v>
          </cell>
        </row>
        <row r="3176">
          <cell r="O3176" t="str">
            <v>SC1645A1</v>
          </cell>
          <cell r="P3176" t="str">
            <v>STC2899AE</v>
          </cell>
          <cell r="Q3176" t="str">
            <v>磁性位置传感器</v>
          </cell>
        </row>
        <row r="3177">
          <cell r="O3177" t="str">
            <v>SC2442SO</v>
          </cell>
          <cell r="P3177" t="str">
            <v>STC11102B</v>
          </cell>
          <cell r="Q3177" t="str">
            <v>磁性位置传感器</v>
          </cell>
        </row>
        <row r="3178">
          <cell r="O3178" t="str">
            <v>SC2442SO</v>
          </cell>
          <cell r="P3178" t="str">
            <v>STC11102B</v>
          </cell>
          <cell r="Q3178" t="str">
            <v>磁性位置传感器</v>
          </cell>
        </row>
        <row r="3179">
          <cell r="O3179" t="str">
            <v>SC2442SO</v>
          </cell>
          <cell r="P3179" t="str">
            <v>STC11102B</v>
          </cell>
          <cell r="Q3179" t="str">
            <v>磁性位置传感器</v>
          </cell>
        </row>
        <row r="3180">
          <cell r="O3180" t="str">
            <v>SC2434SO-N</v>
          </cell>
          <cell r="P3180" t="str">
            <v>STC9906I</v>
          </cell>
          <cell r="Q3180" t="str">
            <v>磁性位置传感器</v>
          </cell>
        </row>
        <row r="3181">
          <cell r="O3181" t="str">
            <v>SC2434SO-N</v>
          </cell>
          <cell r="P3181" t="str">
            <v>STC9906I</v>
          </cell>
          <cell r="Q3181" t="str">
            <v>磁性位置传感器</v>
          </cell>
        </row>
        <row r="3182">
          <cell r="O3182" t="str">
            <v>SC2432SO-N</v>
          </cell>
          <cell r="P3182" t="str">
            <v>STC9906I</v>
          </cell>
          <cell r="Q3182" t="str">
            <v>磁性位置传感器</v>
          </cell>
        </row>
        <row r="3183">
          <cell r="O3183" t="str">
            <v>SC4001SE</v>
          </cell>
          <cell r="P3183" t="str">
            <v>STC4001AB</v>
          </cell>
          <cell r="Q3183" t="str">
            <v>磁性位置传感器</v>
          </cell>
        </row>
        <row r="3184">
          <cell r="O3184" t="str">
            <v>SC4001SE</v>
          </cell>
          <cell r="P3184" t="str">
            <v>STC4001AB</v>
          </cell>
          <cell r="Q3184" t="str">
            <v>磁性位置传感器</v>
          </cell>
        </row>
        <row r="3185">
          <cell r="O3185" t="str">
            <v>SC4001SE</v>
          </cell>
          <cell r="P3185" t="str">
            <v>STC4001AB</v>
          </cell>
          <cell r="Q3185" t="str">
            <v>磁性位置传感器</v>
          </cell>
        </row>
        <row r="3186">
          <cell r="O3186" t="str">
            <v>SC4001SE</v>
          </cell>
          <cell r="P3186" t="str">
            <v>STC4001AB</v>
          </cell>
          <cell r="Q3186" t="str">
            <v>磁性位置传感器</v>
          </cell>
        </row>
        <row r="3187">
          <cell r="O3187" t="str">
            <v>SC1134SO-N</v>
          </cell>
          <cell r="P3187" t="str">
            <v>STC1898AI</v>
          </cell>
          <cell r="Q3187" t="str">
            <v>磁性位置传感器</v>
          </cell>
        </row>
        <row r="3188">
          <cell r="O3188" t="str">
            <v>SC2436SO</v>
          </cell>
          <cell r="P3188" t="str">
            <v>STC9906M</v>
          </cell>
          <cell r="Q3188" t="str">
            <v>磁性位置传感器</v>
          </cell>
        </row>
        <row r="3189">
          <cell r="O3189" t="str">
            <v>SC2526VB-SD-BK</v>
          </cell>
          <cell r="P3189" t="str">
            <v>STC11131A</v>
          </cell>
          <cell r="Q3189" t="str">
            <v>磁性位置传感器</v>
          </cell>
        </row>
        <row r="3190">
          <cell r="O3190" t="str">
            <v>ATK-E512</v>
          </cell>
          <cell r="P3190" t="str">
            <v>STC4011B</v>
          </cell>
          <cell r="Q3190" t="str">
            <v>磁性位置传感器</v>
          </cell>
        </row>
        <row r="3191">
          <cell r="O3191" t="str">
            <v>ATK-E512</v>
          </cell>
          <cell r="P3191" t="str">
            <v>STC4011B</v>
          </cell>
          <cell r="Q3191" t="str">
            <v>磁性位置传感器</v>
          </cell>
        </row>
        <row r="3192">
          <cell r="O3192" t="str">
            <v>ATK-E512</v>
          </cell>
          <cell r="P3192" t="str">
            <v>STC4011B</v>
          </cell>
          <cell r="Q3192" t="str">
            <v>磁性位置传感器</v>
          </cell>
        </row>
        <row r="3193">
          <cell r="O3193" t="str">
            <v>ATK-E512</v>
          </cell>
          <cell r="P3193" t="str">
            <v>STC4011B</v>
          </cell>
          <cell r="Q3193" t="str">
            <v>磁性位置传感器</v>
          </cell>
        </row>
        <row r="3194">
          <cell r="O3194" t="str">
            <v>ATK-E512</v>
          </cell>
          <cell r="P3194" t="str">
            <v>STC4011B</v>
          </cell>
          <cell r="Q3194" t="str">
            <v>磁性位置传感器</v>
          </cell>
        </row>
        <row r="3195">
          <cell r="O3195" t="str">
            <v>ATK-E512</v>
          </cell>
          <cell r="P3195" t="str">
            <v>STC4011B</v>
          </cell>
          <cell r="Q3195" t="str">
            <v>磁性位置传感器</v>
          </cell>
        </row>
        <row r="3196">
          <cell r="O3196" t="str">
            <v>ATK-E512</v>
          </cell>
          <cell r="P3196" t="str">
            <v>STC4011B</v>
          </cell>
          <cell r="Q3196" t="str">
            <v>磁性位置传感器</v>
          </cell>
        </row>
        <row r="3197">
          <cell r="O3197" t="str">
            <v>ATK-E512</v>
          </cell>
          <cell r="P3197" t="str">
            <v>STC4011B</v>
          </cell>
          <cell r="Q3197" t="str">
            <v>磁性位置传感器</v>
          </cell>
        </row>
        <row r="3198">
          <cell r="O3198" t="str">
            <v>ATK-E512</v>
          </cell>
          <cell r="P3198" t="str">
            <v>STC4011B</v>
          </cell>
          <cell r="Q3198" t="str">
            <v>磁性位置传感器</v>
          </cell>
        </row>
        <row r="3199">
          <cell r="O3199" t="str">
            <v>ATK-E512</v>
          </cell>
          <cell r="P3199" t="str">
            <v>STC4011B</v>
          </cell>
          <cell r="Q3199" t="str">
            <v>磁性位置传感器</v>
          </cell>
        </row>
        <row r="3200">
          <cell r="O3200" t="str">
            <v>ATK-E512</v>
          </cell>
          <cell r="P3200" t="str">
            <v>STC4011B</v>
          </cell>
          <cell r="Q3200" t="str">
            <v>磁性位置传感器</v>
          </cell>
        </row>
        <row r="3201">
          <cell r="O3201" t="str">
            <v>ATK-E512</v>
          </cell>
          <cell r="P3201" t="str">
            <v>STC4011B</v>
          </cell>
          <cell r="Q3201" t="str">
            <v>磁性位置传感器</v>
          </cell>
        </row>
        <row r="3202">
          <cell r="O3202" t="str">
            <v>ATK-E512</v>
          </cell>
          <cell r="P3202" t="str">
            <v>STC4011B</v>
          </cell>
          <cell r="Q3202" t="str">
            <v>磁性位置传感器</v>
          </cell>
        </row>
        <row r="3203">
          <cell r="O3203" t="str">
            <v>ATK-E512</v>
          </cell>
          <cell r="P3203" t="str">
            <v>STC4011B</v>
          </cell>
          <cell r="Q3203" t="str">
            <v>磁性位置传感器</v>
          </cell>
        </row>
        <row r="3204">
          <cell r="O3204" t="str">
            <v>ATK-E512</v>
          </cell>
          <cell r="P3204" t="str">
            <v>STC4011B</v>
          </cell>
          <cell r="Q3204" t="str">
            <v>磁性位置传感器</v>
          </cell>
        </row>
        <row r="3205">
          <cell r="O3205" t="str">
            <v>ATK-E512</v>
          </cell>
          <cell r="P3205" t="str">
            <v>STC4011B</v>
          </cell>
          <cell r="Q3205" t="str">
            <v>磁性位置传感器</v>
          </cell>
        </row>
        <row r="3206">
          <cell r="O3206" t="str">
            <v>ATK-E512</v>
          </cell>
          <cell r="P3206" t="str">
            <v>STC4011B</v>
          </cell>
          <cell r="Q3206" t="str">
            <v>磁性位置传感器</v>
          </cell>
        </row>
        <row r="3207">
          <cell r="O3207" t="str">
            <v>ATK-E512</v>
          </cell>
          <cell r="P3207" t="str">
            <v>STC4011B</v>
          </cell>
          <cell r="Q3207" t="str">
            <v>磁性位置传感器</v>
          </cell>
        </row>
        <row r="3208">
          <cell r="O3208" t="str">
            <v>ATK-E512</v>
          </cell>
          <cell r="P3208" t="str">
            <v>STC4011B</v>
          </cell>
          <cell r="Q3208" t="str">
            <v>磁性位置传感器</v>
          </cell>
        </row>
        <row r="3209">
          <cell r="O3209" t="str">
            <v>ATK-E512</v>
          </cell>
          <cell r="P3209" t="str">
            <v>STC4011B</v>
          </cell>
          <cell r="Q3209" t="str">
            <v>磁性位置传感器</v>
          </cell>
        </row>
        <row r="3210">
          <cell r="O3210" t="str">
            <v>ATK-E512</v>
          </cell>
          <cell r="P3210" t="str">
            <v>STC4011B</v>
          </cell>
          <cell r="Q3210" t="str">
            <v>磁性位置传感器</v>
          </cell>
        </row>
        <row r="3211">
          <cell r="O3211" t="str">
            <v>ATK-E512</v>
          </cell>
          <cell r="P3211" t="str">
            <v>STC4011B</v>
          </cell>
          <cell r="Q3211" t="str">
            <v>磁性位置传感器</v>
          </cell>
        </row>
        <row r="3212">
          <cell r="O3212" t="str">
            <v>ATK-E512</v>
          </cell>
          <cell r="P3212" t="str">
            <v>STC4011B</v>
          </cell>
          <cell r="Q3212" t="str">
            <v>磁性位置传感器</v>
          </cell>
        </row>
        <row r="3213">
          <cell r="O3213" t="str">
            <v>ATK-E512</v>
          </cell>
          <cell r="P3213" t="str">
            <v>STC4011B</v>
          </cell>
          <cell r="Q3213" t="str">
            <v>磁性位置传感器</v>
          </cell>
        </row>
        <row r="3214">
          <cell r="O3214" t="str">
            <v>ATK-E512</v>
          </cell>
          <cell r="P3214" t="str">
            <v>STC4011B</v>
          </cell>
          <cell r="Q3214" t="str">
            <v>磁性位置传感器</v>
          </cell>
        </row>
        <row r="3215">
          <cell r="O3215" t="str">
            <v>ATK-E512</v>
          </cell>
          <cell r="P3215" t="str">
            <v>STC4011B</v>
          </cell>
          <cell r="Q3215" t="str">
            <v>磁性位置传感器</v>
          </cell>
        </row>
        <row r="3216">
          <cell r="O3216" t="str">
            <v>ATK-E512</v>
          </cell>
          <cell r="P3216" t="str">
            <v>STC4011B</v>
          </cell>
          <cell r="Q3216" t="str">
            <v>磁性位置传感器</v>
          </cell>
        </row>
        <row r="3217">
          <cell r="O3217" t="str">
            <v>ATK-E512</v>
          </cell>
          <cell r="P3217" t="str">
            <v>STC4011B</v>
          </cell>
          <cell r="Q3217" t="str">
            <v>磁性位置传感器</v>
          </cell>
        </row>
        <row r="3218">
          <cell r="O3218" t="str">
            <v>ATK-E512</v>
          </cell>
          <cell r="P3218" t="str">
            <v>STC4011B</v>
          </cell>
          <cell r="Q3218" t="str">
            <v>磁性位置传感器</v>
          </cell>
        </row>
        <row r="3219">
          <cell r="O3219" t="str">
            <v>ATK-E512</v>
          </cell>
          <cell r="P3219" t="str">
            <v>STC4011B</v>
          </cell>
          <cell r="Q3219" t="str">
            <v>磁性位置传感器</v>
          </cell>
        </row>
        <row r="3220">
          <cell r="O3220" t="str">
            <v>ATK-E512</v>
          </cell>
          <cell r="P3220" t="str">
            <v>STC4011B</v>
          </cell>
          <cell r="Q3220" t="str">
            <v>磁性位置传感器</v>
          </cell>
        </row>
        <row r="3221">
          <cell r="O3221" t="str">
            <v>ATK-E512</v>
          </cell>
          <cell r="P3221" t="str">
            <v>STC4011B</v>
          </cell>
          <cell r="Q3221" t="str">
            <v>磁性位置传感器</v>
          </cell>
        </row>
        <row r="3222">
          <cell r="O3222" t="str">
            <v>ATK-E512</v>
          </cell>
          <cell r="P3222" t="str">
            <v>STC4011B</v>
          </cell>
          <cell r="Q3222" t="str">
            <v>磁性位置传感器</v>
          </cell>
        </row>
        <row r="3223">
          <cell r="O3223" t="str">
            <v>ATK-E512</v>
          </cell>
          <cell r="P3223" t="str">
            <v>STC4011B</v>
          </cell>
          <cell r="Q3223" t="str">
            <v>磁性位置传感器</v>
          </cell>
        </row>
        <row r="3224">
          <cell r="O3224" t="str">
            <v>ATK-E512</v>
          </cell>
          <cell r="P3224" t="str">
            <v>STC4011B</v>
          </cell>
          <cell r="Q3224" t="str">
            <v>磁性位置传感器</v>
          </cell>
        </row>
        <row r="3225">
          <cell r="O3225" t="str">
            <v>G01</v>
          </cell>
          <cell r="P3225" t="str">
            <v>STC4011B</v>
          </cell>
          <cell r="Q3225" t="str">
            <v>磁性位置传感器</v>
          </cell>
        </row>
        <row r="3226">
          <cell r="O3226" t="str">
            <v>G01</v>
          </cell>
          <cell r="P3226" t="str">
            <v>STC4011B</v>
          </cell>
          <cell r="Q3226" t="str">
            <v>磁性位置传感器</v>
          </cell>
        </row>
        <row r="3227">
          <cell r="O3227" t="str">
            <v>G01</v>
          </cell>
          <cell r="P3227" t="str">
            <v>STC4011B</v>
          </cell>
          <cell r="Q3227" t="str">
            <v>磁性位置传感器</v>
          </cell>
        </row>
        <row r="3228">
          <cell r="O3228" t="str">
            <v>SC9625VB-L</v>
          </cell>
          <cell r="P3228" t="str">
            <v>STC9910E</v>
          </cell>
          <cell r="Q3228" t="str">
            <v>速度传感器</v>
          </cell>
        </row>
        <row r="3229">
          <cell r="O3229" t="str">
            <v>SC4689SA-A</v>
          </cell>
          <cell r="P3229" t="str">
            <v>STC9D01F</v>
          </cell>
          <cell r="Q3229" t="str">
            <v>角度传感器</v>
          </cell>
        </row>
        <row r="3230">
          <cell r="O3230" t="str">
            <v>SC2436SO</v>
          </cell>
          <cell r="P3230" t="str">
            <v>STC9906M</v>
          </cell>
          <cell r="Q3230" t="str">
            <v>磁性位置传感器</v>
          </cell>
        </row>
        <row r="3231">
          <cell r="O3231" t="str">
            <v>SC2436SO</v>
          </cell>
          <cell r="P3231" t="str">
            <v>STC9906M</v>
          </cell>
          <cell r="Q3231" t="str">
            <v>磁性位置传感器</v>
          </cell>
        </row>
        <row r="3232">
          <cell r="O3232" t="str">
            <v>SC2436SO</v>
          </cell>
          <cell r="P3232" t="str">
            <v>STC9906M</v>
          </cell>
          <cell r="Q3232" t="str">
            <v>磁性位置传感器</v>
          </cell>
        </row>
        <row r="3233">
          <cell r="O3233" t="str">
            <v>SC2442SO</v>
          </cell>
          <cell r="P3233" t="str">
            <v>STC9906R</v>
          </cell>
          <cell r="Q3233" t="str">
            <v>磁性位置传感器</v>
          </cell>
        </row>
        <row r="3234">
          <cell r="O3234" t="str">
            <v>SC2442UA</v>
          </cell>
          <cell r="P3234" t="str">
            <v>STC9906P</v>
          </cell>
          <cell r="Q3234" t="str">
            <v>磁性位置传感器</v>
          </cell>
        </row>
        <row r="3235">
          <cell r="O3235" t="str">
            <v>SC4688DC</v>
          </cell>
          <cell r="P3235" t="str">
            <v>STC9D01C</v>
          </cell>
          <cell r="Q3235" t="str">
            <v>角度传感器</v>
          </cell>
        </row>
        <row r="3236">
          <cell r="O3236" t="str">
            <v>SC4688SA</v>
          </cell>
          <cell r="P3236" t="str">
            <v>STC9D01C</v>
          </cell>
          <cell r="Q3236" t="str">
            <v>角度传感器</v>
          </cell>
        </row>
        <row r="3237">
          <cell r="O3237" t="str">
            <v>SC2443SO</v>
          </cell>
          <cell r="P3237" t="str">
            <v>STC9906T</v>
          </cell>
          <cell r="Q3237" t="str">
            <v>磁性位置传感器</v>
          </cell>
        </row>
        <row r="3238">
          <cell r="O3238" t="str">
            <v>SC2442SO</v>
          </cell>
          <cell r="P3238" t="str">
            <v>STC9906R</v>
          </cell>
          <cell r="Q3238" t="str">
            <v>磁性位置传感器</v>
          </cell>
        </row>
        <row r="3239">
          <cell r="O3239" t="str">
            <v>SC2442SO</v>
          </cell>
          <cell r="P3239" t="str">
            <v>STC9906R</v>
          </cell>
          <cell r="Q3239" t="str">
            <v>磁性位置传感器</v>
          </cell>
        </row>
        <row r="3240">
          <cell r="O3240" t="str">
            <v>SC2432SO</v>
          </cell>
          <cell r="P3240" t="str">
            <v>STC9906M</v>
          </cell>
          <cell r="Q3240" t="str">
            <v>磁性位置传感器</v>
          </cell>
        </row>
        <row r="3241">
          <cell r="O3241" t="str">
            <v>SC2432SO</v>
          </cell>
          <cell r="P3241" t="str">
            <v>STC9906M</v>
          </cell>
          <cell r="Q3241" t="str">
            <v>磁性位置传感器</v>
          </cell>
        </row>
        <row r="3242">
          <cell r="O3242" t="str">
            <v>SC2432SO</v>
          </cell>
          <cell r="P3242" t="str">
            <v>STC9906M</v>
          </cell>
          <cell r="Q3242" t="str">
            <v>磁性位置传感器</v>
          </cell>
        </row>
        <row r="3243">
          <cell r="O3243" t="str">
            <v>SC1134SO-N</v>
          </cell>
          <cell r="P3243" t="str">
            <v>STC1898AI</v>
          </cell>
          <cell r="Q3243" t="str">
            <v>磁性位置传感器</v>
          </cell>
        </row>
        <row r="3244">
          <cell r="O3244" t="str">
            <v>SC2526VB-SD-BK</v>
          </cell>
          <cell r="P3244" t="str">
            <v>STC11131A</v>
          </cell>
          <cell r="Q3244" t="str">
            <v>磁性位置传感器</v>
          </cell>
        </row>
        <row r="3245">
          <cell r="O3245" t="str">
            <v>SC2526VB-SD-BK</v>
          </cell>
          <cell r="P3245" t="str">
            <v>STC11131A</v>
          </cell>
          <cell r="Q3245" t="str">
            <v>磁性位置传感器</v>
          </cell>
        </row>
        <row r="3246">
          <cell r="O3246" t="str">
            <v>SC2526VB-SD-BK</v>
          </cell>
          <cell r="P3246" t="str">
            <v>STC11131A</v>
          </cell>
          <cell r="Q3246" t="str">
            <v>磁性位置传感器</v>
          </cell>
        </row>
        <row r="3247">
          <cell r="O3247" t="str">
            <v>SC2526VB-SD-BK</v>
          </cell>
          <cell r="P3247" t="str">
            <v>STC11131A</v>
          </cell>
          <cell r="Q3247" t="str">
            <v>磁性位置传感器</v>
          </cell>
        </row>
        <row r="3248">
          <cell r="O3248" t="str">
            <v>SC2464SO</v>
          </cell>
          <cell r="P3248" t="str">
            <v>STC9906J</v>
          </cell>
          <cell r="Q3248" t="str">
            <v>磁性位置传感器</v>
          </cell>
        </row>
        <row r="3249">
          <cell r="O3249" t="str">
            <v>SC1134SO-N</v>
          </cell>
          <cell r="P3249" t="str">
            <v>STC1898AI</v>
          </cell>
          <cell r="Q3249" t="str">
            <v>磁性位置传感器</v>
          </cell>
        </row>
        <row r="3250">
          <cell r="O3250" t="str">
            <v>SC1134SO-N</v>
          </cell>
          <cell r="P3250" t="str">
            <v>STC1898AI</v>
          </cell>
          <cell r="Q3250" t="str">
            <v>磁性位置传感器</v>
          </cell>
        </row>
        <row r="3251">
          <cell r="O3251" t="str">
            <v>SC1134SO-N</v>
          </cell>
          <cell r="P3251" t="str">
            <v>STC1898AI</v>
          </cell>
          <cell r="Q3251" t="str">
            <v>磁性位置传感器</v>
          </cell>
        </row>
        <row r="3252">
          <cell r="O3252" t="str">
            <v>SC1134UA</v>
          </cell>
          <cell r="P3252" t="str">
            <v>STC1898AI</v>
          </cell>
          <cell r="Q3252" t="str">
            <v>磁性位置传感器</v>
          </cell>
        </row>
        <row r="3253">
          <cell r="O3253" t="str">
            <v>SC1134UA</v>
          </cell>
          <cell r="P3253" t="str">
            <v>STC1898AI</v>
          </cell>
          <cell r="Q3253" t="str">
            <v>磁性位置传感器</v>
          </cell>
        </row>
        <row r="3254">
          <cell r="O3254" t="str">
            <v>SC1134BU</v>
          </cell>
          <cell r="P3254" t="str">
            <v>STC1898AI</v>
          </cell>
          <cell r="Q3254" t="str">
            <v>磁性位置传感器</v>
          </cell>
        </row>
        <row r="3255">
          <cell r="O3255" t="str">
            <v>SC2202SO-N</v>
          </cell>
          <cell r="P3255" t="str">
            <v>STC9902E</v>
          </cell>
          <cell r="Q3255" t="str">
            <v>磁性位置传感器</v>
          </cell>
        </row>
        <row r="3256">
          <cell r="O3256" t="str">
            <v>SC2402SO-N</v>
          </cell>
          <cell r="P3256" t="str">
            <v>STC9902J</v>
          </cell>
          <cell r="Q3256" t="str">
            <v>磁性位置传感器</v>
          </cell>
        </row>
        <row r="3257">
          <cell r="O3257" t="str">
            <v>SC2402SO-N</v>
          </cell>
          <cell r="P3257" t="str">
            <v>STC9902J</v>
          </cell>
          <cell r="Q3257" t="str">
            <v>磁性位置传感器</v>
          </cell>
        </row>
        <row r="3258">
          <cell r="O3258" t="str">
            <v>SC2402SO-N</v>
          </cell>
          <cell r="P3258" t="str">
            <v>STC9902J</v>
          </cell>
          <cell r="Q3258" t="str">
            <v>磁性位置传感器</v>
          </cell>
        </row>
        <row r="3259">
          <cell r="O3259" t="str">
            <v>SC2402SO-N</v>
          </cell>
          <cell r="P3259" t="str">
            <v>STC9902J</v>
          </cell>
          <cell r="Q3259" t="str">
            <v>磁性位置传感器</v>
          </cell>
        </row>
        <row r="3260">
          <cell r="O3260" t="str">
            <v>SC2442UA</v>
          </cell>
          <cell r="P3260" t="str">
            <v>STC9906P</v>
          </cell>
          <cell r="Q3260" t="str">
            <v>磁性位置传感器</v>
          </cell>
        </row>
        <row r="3261">
          <cell r="O3261" t="str">
            <v>SC2443SO</v>
          </cell>
          <cell r="P3261" t="str">
            <v>STC9906T</v>
          </cell>
          <cell r="Q3261" t="str">
            <v>磁性位置传感器</v>
          </cell>
        </row>
        <row r="3262">
          <cell r="O3262" t="str">
            <v>SC2443SO</v>
          </cell>
          <cell r="P3262" t="str">
            <v>STC9906T</v>
          </cell>
          <cell r="Q3262" t="str">
            <v>磁性位置传感器</v>
          </cell>
        </row>
        <row r="3263">
          <cell r="O3263" t="str">
            <v>SC69401-A</v>
          </cell>
          <cell r="P3263" t="str">
            <v>STC9H002DQ</v>
          </cell>
          <cell r="Q3263" t="str">
            <v>角度传感器</v>
          </cell>
        </row>
        <row r="3264">
          <cell r="O3264" t="str">
            <v>SC9314UA</v>
          </cell>
          <cell r="P3264" t="str">
            <v>STC9901AF</v>
          </cell>
          <cell r="Q3264" t="str">
            <v>速度传感器</v>
          </cell>
        </row>
        <row r="3265">
          <cell r="O3265" t="str">
            <v>SC2064SO</v>
          </cell>
          <cell r="P3265" t="str">
            <v>STC9G001C</v>
          </cell>
          <cell r="Q3265" t="str">
            <v>磁性位置传感器</v>
          </cell>
        </row>
        <row r="3266">
          <cell r="O3266" t="str">
            <v>SC2402SO-N</v>
          </cell>
          <cell r="P3266" t="str">
            <v>STC9902J</v>
          </cell>
          <cell r="Q3266" t="str">
            <v>磁性位置传感器</v>
          </cell>
        </row>
        <row r="3267">
          <cell r="O3267" t="str">
            <v>SC2402SO-N</v>
          </cell>
          <cell r="P3267" t="str">
            <v>STC9902J</v>
          </cell>
          <cell r="Q3267" t="str">
            <v>磁性位置传感器</v>
          </cell>
        </row>
        <row r="3268">
          <cell r="O3268" t="str">
            <v>SC9675T3-TR-Q</v>
          </cell>
          <cell r="P3268" t="str">
            <v>STC9A002B</v>
          </cell>
          <cell r="Q3268" t="str">
            <v>速度传感器</v>
          </cell>
        </row>
        <row r="3269">
          <cell r="O3269" t="str">
            <v>SC2402SO-N</v>
          </cell>
          <cell r="P3269" t="str">
            <v>STC9G002A</v>
          </cell>
          <cell r="Q3269" t="str">
            <v>磁性位置传感器</v>
          </cell>
        </row>
        <row r="3270">
          <cell r="O3270" t="str">
            <v>SC2402SO-N</v>
          </cell>
          <cell r="P3270" t="str">
            <v>STC9G002A</v>
          </cell>
          <cell r="Q3270" t="str">
            <v>磁性位置传感器</v>
          </cell>
        </row>
        <row r="3271">
          <cell r="O3271" t="str">
            <v>SC2442SO</v>
          </cell>
          <cell r="P3271" t="str">
            <v>STC9906R</v>
          </cell>
          <cell r="Q3271" t="str">
            <v>磁性位置传感器</v>
          </cell>
        </row>
        <row r="3272">
          <cell r="O3272" t="str">
            <v>SC2498TSO</v>
          </cell>
          <cell r="P3272" t="str">
            <v>STC11300C</v>
          </cell>
          <cell r="Q3272" t="str">
            <v>磁性位置传感器</v>
          </cell>
        </row>
        <row r="3273">
          <cell r="O3273" t="str">
            <v>SC9641TS</v>
          </cell>
          <cell r="P3273" t="str">
            <v>STC9910BN</v>
          </cell>
          <cell r="Q3273" t="str">
            <v>速度传感器</v>
          </cell>
        </row>
        <row r="3274">
          <cell r="O3274" t="str">
            <v>SC9641TS</v>
          </cell>
          <cell r="P3274" t="str">
            <v>STC9910BN</v>
          </cell>
          <cell r="Q3274" t="str">
            <v>速度传感器</v>
          </cell>
        </row>
        <row r="3275">
          <cell r="O3275" t="str">
            <v>SC9641TS</v>
          </cell>
          <cell r="P3275" t="str">
            <v>STC9910BN</v>
          </cell>
          <cell r="Q3275" t="str">
            <v>速度传感器</v>
          </cell>
        </row>
        <row r="3276">
          <cell r="O3276" t="str">
            <v>SC9648TS-P</v>
          </cell>
          <cell r="P3276" t="str">
            <v>STC9A001I</v>
          </cell>
          <cell r="Q3276" t="str">
            <v>速度传感器</v>
          </cell>
        </row>
        <row r="3277">
          <cell r="O3277" t="str">
            <v>SC9648TS-P</v>
          </cell>
          <cell r="P3277" t="str">
            <v>STC9A001I</v>
          </cell>
          <cell r="Q3277" t="str">
            <v>速度传感器</v>
          </cell>
        </row>
        <row r="3278">
          <cell r="O3278" t="str">
            <v>SC9648TS-P</v>
          </cell>
          <cell r="P3278" t="str">
            <v>STC9A001I</v>
          </cell>
          <cell r="Q3278" t="str">
            <v>速度传感器</v>
          </cell>
        </row>
        <row r="3279">
          <cell r="O3279" t="str">
            <v>SC9642TS-E</v>
          </cell>
          <cell r="P3279" t="str">
            <v>STC9A001H</v>
          </cell>
          <cell r="Q3279" t="str">
            <v>速度传感器</v>
          </cell>
        </row>
        <row r="3280">
          <cell r="O3280" t="str">
            <v>SC9642TS-E</v>
          </cell>
          <cell r="P3280" t="str">
            <v>STC9A001H</v>
          </cell>
          <cell r="Q3280" t="str">
            <v>速度传感器</v>
          </cell>
        </row>
        <row r="3281">
          <cell r="O3281" t="str">
            <v>SC9642TS-E</v>
          </cell>
          <cell r="P3281" t="str">
            <v>STC9A001H</v>
          </cell>
          <cell r="Q3281" t="str">
            <v>速度传感器</v>
          </cell>
        </row>
        <row r="3282">
          <cell r="O3282" t="str">
            <v>SC9642TS</v>
          </cell>
          <cell r="P3282" t="str">
            <v>STC9A001G</v>
          </cell>
          <cell r="Q3282" t="str">
            <v>速度传感器</v>
          </cell>
        </row>
        <row r="3283">
          <cell r="O3283" t="str">
            <v>SC9642TS</v>
          </cell>
          <cell r="P3283" t="str">
            <v>STC9A001G</v>
          </cell>
          <cell r="Q3283" t="str">
            <v>速度传感器</v>
          </cell>
        </row>
        <row r="3284">
          <cell r="O3284" t="str">
            <v>SC9642TS</v>
          </cell>
          <cell r="P3284" t="str">
            <v>STC9A001G</v>
          </cell>
          <cell r="Q3284" t="str">
            <v>速度传感器</v>
          </cell>
        </row>
        <row r="3285">
          <cell r="O3285" t="str">
            <v>SC9642TS</v>
          </cell>
          <cell r="P3285" t="str">
            <v>STC9A001G</v>
          </cell>
          <cell r="Q3285" t="str">
            <v>速度传感器</v>
          </cell>
        </row>
        <row r="3286">
          <cell r="O3286" t="str">
            <v>SC9642TS</v>
          </cell>
          <cell r="P3286" t="str">
            <v>STC9A001G</v>
          </cell>
          <cell r="Q3286" t="str">
            <v>速度传感器</v>
          </cell>
        </row>
        <row r="3287">
          <cell r="O3287" t="str">
            <v>SC9642TS</v>
          </cell>
          <cell r="P3287" t="str">
            <v>STC9A001G</v>
          </cell>
          <cell r="Q3287" t="str">
            <v>速度传感器</v>
          </cell>
        </row>
        <row r="3288">
          <cell r="O3288" t="str">
            <v>SC9642TS</v>
          </cell>
          <cell r="P3288" t="str">
            <v>STC9A001G</v>
          </cell>
          <cell r="Q3288" t="str">
            <v>速度传感器</v>
          </cell>
        </row>
        <row r="3289">
          <cell r="O3289" t="str">
            <v>SC9642TS</v>
          </cell>
          <cell r="P3289" t="str">
            <v>STC9A001G</v>
          </cell>
          <cell r="Q3289" t="str">
            <v>速度传感器</v>
          </cell>
        </row>
        <row r="3290">
          <cell r="O3290" t="str">
            <v>SC9642TS</v>
          </cell>
          <cell r="P3290" t="str">
            <v>STC9A001G</v>
          </cell>
          <cell r="Q3290" t="str">
            <v>速度传感器</v>
          </cell>
        </row>
        <row r="3291">
          <cell r="O3291" t="str">
            <v>SC4616BU</v>
          </cell>
          <cell r="P3291" t="str">
            <v>STC9907D</v>
          </cell>
          <cell r="Q3291" t="str">
            <v>电流传感器</v>
          </cell>
        </row>
        <row r="3292">
          <cell r="O3292" t="str">
            <v>SC60340</v>
          </cell>
          <cell r="P3292" t="str">
            <v>STC9D05C</v>
          </cell>
          <cell r="Q3292" t="str">
            <v>电机编码器</v>
          </cell>
        </row>
        <row r="3293">
          <cell r="O3293" t="str">
            <v>SC60340</v>
          </cell>
          <cell r="P3293" t="str">
            <v>STC9D05C</v>
          </cell>
          <cell r="Q3293" t="str">
            <v>电机编码器</v>
          </cell>
        </row>
        <row r="3294">
          <cell r="O3294" t="str">
            <v>G01</v>
          </cell>
          <cell r="P3294" t="str">
            <v>STC4011B</v>
          </cell>
          <cell r="Q3294" t="str">
            <v>磁性位置传感器</v>
          </cell>
        </row>
        <row r="3295">
          <cell r="O3295" t="str">
            <v>G01</v>
          </cell>
          <cell r="P3295" t="str">
            <v>STC4011B</v>
          </cell>
          <cell r="Q3295" t="str">
            <v>磁性位置传感器</v>
          </cell>
        </row>
        <row r="3296">
          <cell r="O3296" t="str">
            <v>G01</v>
          </cell>
          <cell r="P3296" t="str">
            <v>STC4011B</v>
          </cell>
          <cell r="Q3296" t="str">
            <v>磁性位置传感器</v>
          </cell>
        </row>
        <row r="3297">
          <cell r="O3297" t="str">
            <v>G01</v>
          </cell>
          <cell r="P3297" t="str">
            <v>STC4011B</v>
          </cell>
          <cell r="Q3297" t="str">
            <v>磁性位置传感器</v>
          </cell>
        </row>
        <row r="3298">
          <cell r="O3298" t="str">
            <v>G01</v>
          </cell>
          <cell r="P3298" t="str">
            <v>STC4011B</v>
          </cell>
          <cell r="Q3298" t="str">
            <v>磁性位置传感器</v>
          </cell>
        </row>
        <row r="3299">
          <cell r="O3299" t="str">
            <v>G01</v>
          </cell>
          <cell r="P3299" t="str">
            <v>STC4011B</v>
          </cell>
          <cell r="Q3299" t="str">
            <v>磁性位置传感器</v>
          </cell>
        </row>
        <row r="3300">
          <cell r="O3300" t="str">
            <v>G01</v>
          </cell>
          <cell r="P3300" t="str">
            <v>STC4011B</v>
          </cell>
          <cell r="Q3300" t="str">
            <v>磁性位置传感器</v>
          </cell>
        </row>
        <row r="3301">
          <cell r="O3301" t="str">
            <v>G01</v>
          </cell>
          <cell r="P3301" t="str">
            <v>STC4011B</v>
          </cell>
          <cell r="Q3301" t="str">
            <v>磁性位置传感器</v>
          </cell>
        </row>
        <row r="3302">
          <cell r="O3302" t="str">
            <v>G01</v>
          </cell>
          <cell r="P3302" t="str">
            <v>STC4011B</v>
          </cell>
          <cell r="Q3302" t="str">
            <v>磁性位置传感器</v>
          </cell>
        </row>
        <row r="3303">
          <cell r="O3303" t="str">
            <v>G01</v>
          </cell>
          <cell r="P3303" t="str">
            <v>STC4011B</v>
          </cell>
          <cell r="Q3303" t="str">
            <v>磁性位置传感器</v>
          </cell>
        </row>
        <row r="3304">
          <cell r="O3304" t="str">
            <v>G01</v>
          </cell>
          <cell r="P3304" t="str">
            <v>STC4011B</v>
          </cell>
          <cell r="Q3304" t="str">
            <v>磁性位置传感器</v>
          </cell>
        </row>
        <row r="3305">
          <cell r="O3305" t="str">
            <v>G01</v>
          </cell>
          <cell r="P3305" t="str">
            <v>STC4011B</v>
          </cell>
          <cell r="Q3305" t="str">
            <v>磁性位置传感器</v>
          </cell>
        </row>
        <row r="3306">
          <cell r="O3306" t="str">
            <v>G01</v>
          </cell>
          <cell r="P3306" t="str">
            <v>STC4011B</v>
          </cell>
          <cell r="Q3306" t="str">
            <v>磁性位置传感器</v>
          </cell>
        </row>
        <row r="3307">
          <cell r="O3307" t="str">
            <v>G01</v>
          </cell>
          <cell r="P3307" t="str">
            <v>STC4011B</v>
          </cell>
          <cell r="Q3307" t="str">
            <v>磁性位置传感器</v>
          </cell>
        </row>
        <row r="3308">
          <cell r="O3308" t="str">
            <v>G01</v>
          </cell>
          <cell r="P3308" t="str">
            <v>STC4011B</v>
          </cell>
          <cell r="Q3308" t="str">
            <v>磁性位置传感器</v>
          </cell>
        </row>
        <row r="3309">
          <cell r="O3309" t="str">
            <v>G01</v>
          </cell>
          <cell r="P3309" t="str">
            <v>STC4011B</v>
          </cell>
          <cell r="Q3309" t="str">
            <v>磁性位置传感器</v>
          </cell>
        </row>
        <row r="3310">
          <cell r="O3310" t="str">
            <v>G01</v>
          </cell>
          <cell r="P3310" t="str">
            <v>STC4011B</v>
          </cell>
          <cell r="Q3310" t="str">
            <v>磁性位置传感器</v>
          </cell>
        </row>
        <row r="3311">
          <cell r="O3311" t="str">
            <v>G01</v>
          </cell>
          <cell r="P3311" t="str">
            <v>STC4011B</v>
          </cell>
          <cell r="Q3311" t="str">
            <v>磁性位置传感器</v>
          </cell>
        </row>
        <row r="3312">
          <cell r="O3312" t="str">
            <v>G01</v>
          </cell>
          <cell r="P3312" t="str">
            <v>STC4011B</v>
          </cell>
          <cell r="Q3312" t="str">
            <v>磁性位置传感器</v>
          </cell>
        </row>
        <row r="3313">
          <cell r="O3313" t="str">
            <v>G01</v>
          </cell>
          <cell r="P3313" t="str">
            <v>STC4011B</v>
          </cell>
          <cell r="Q3313" t="str">
            <v>磁性位置传感器</v>
          </cell>
        </row>
        <row r="3314">
          <cell r="O3314" t="str">
            <v>G01</v>
          </cell>
          <cell r="P3314" t="str">
            <v>STC4011B</v>
          </cell>
          <cell r="Q3314" t="str">
            <v>磁性位置传感器</v>
          </cell>
        </row>
        <row r="3315">
          <cell r="O3315" t="str">
            <v>G01</v>
          </cell>
          <cell r="P3315" t="str">
            <v>STC4011B</v>
          </cell>
          <cell r="Q3315" t="str">
            <v>磁性位置传感器</v>
          </cell>
        </row>
        <row r="3316">
          <cell r="O3316" t="str">
            <v>G01</v>
          </cell>
          <cell r="P3316" t="str">
            <v>STC4011B</v>
          </cell>
          <cell r="Q3316" t="str">
            <v>磁性位置传感器</v>
          </cell>
        </row>
        <row r="3317">
          <cell r="O3317" t="str">
            <v>G01</v>
          </cell>
          <cell r="P3317" t="str">
            <v>STC4011B</v>
          </cell>
          <cell r="Q3317" t="str">
            <v>磁性位置传感器</v>
          </cell>
        </row>
        <row r="3318">
          <cell r="O3318" t="str">
            <v>G01</v>
          </cell>
          <cell r="P3318" t="str">
            <v>STC4011B</v>
          </cell>
          <cell r="Q3318" t="str">
            <v>磁性位置传感器</v>
          </cell>
        </row>
        <row r="3319">
          <cell r="O3319" t="str">
            <v>G01</v>
          </cell>
          <cell r="P3319" t="str">
            <v>STC4011B</v>
          </cell>
          <cell r="Q3319" t="str">
            <v>磁性位置传感器</v>
          </cell>
        </row>
        <row r="3320">
          <cell r="O3320" t="str">
            <v>G01</v>
          </cell>
          <cell r="P3320" t="str">
            <v>STC4011B</v>
          </cell>
          <cell r="Q3320" t="str">
            <v>磁性位置传感器</v>
          </cell>
        </row>
        <row r="3321">
          <cell r="O3321" t="str">
            <v>G01</v>
          </cell>
          <cell r="P3321" t="str">
            <v>STC4011B</v>
          </cell>
          <cell r="Q3321" t="str">
            <v>磁性位置传感器</v>
          </cell>
        </row>
        <row r="3322">
          <cell r="O3322" t="str">
            <v>G01</v>
          </cell>
          <cell r="P3322" t="str">
            <v>STC4011B</v>
          </cell>
          <cell r="Q3322" t="str">
            <v>磁性位置传感器</v>
          </cell>
        </row>
        <row r="3323">
          <cell r="O3323" t="str">
            <v>G01</v>
          </cell>
          <cell r="P3323" t="str">
            <v>STC4011B</v>
          </cell>
          <cell r="Q3323" t="str">
            <v>磁性位置传感器</v>
          </cell>
        </row>
        <row r="3324">
          <cell r="O3324" t="str">
            <v>G01</v>
          </cell>
          <cell r="P3324" t="str">
            <v>STC4011B</v>
          </cell>
          <cell r="Q3324" t="str">
            <v>磁性位置传感器</v>
          </cell>
        </row>
        <row r="3325">
          <cell r="O3325" t="str">
            <v>G01</v>
          </cell>
          <cell r="P3325" t="str">
            <v>STC4011B</v>
          </cell>
          <cell r="Q3325" t="str">
            <v>磁性位置传感器</v>
          </cell>
        </row>
        <row r="3326">
          <cell r="O3326" t="str">
            <v>G01</v>
          </cell>
          <cell r="P3326" t="str">
            <v>STC4011B</v>
          </cell>
          <cell r="Q3326" t="str">
            <v>磁性位置传感器</v>
          </cell>
        </row>
        <row r="3327">
          <cell r="O3327" t="str">
            <v>G01</v>
          </cell>
          <cell r="P3327" t="str">
            <v>STC4011B</v>
          </cell>
          <cell r="Q3327" t="str">
            <v>磁性位置传感器</v>
          </cell>
        </row>
        <row r="3328">
          <cell r="O3328" t="str">
            <v>G01</v>
          </cell>
          <cell r="P3328" t="str">
            <v>STC4011B</v>
          </cell>
          <cell r="Q3328" t="str">
            <v>磁性位置传感器</v>
          </cell>
        </row>
        <row r="3329">
          <cell r="O3329" t="str">
            <v>G01</v>
          </cell>
          <cell r="P3329" t="str">
            <v>STC4011B</v>
          </cell>
          <cell r="Q3329" t="str">
            <v>磁性位置传感器</v>
          </cell>
        </row>
        <row r="3330">
          <cell r="O3330" t="str">
            <v>G01</v>
          </cell>
          <cell r="P3330" t="str">
            <v>STC4011B</v>
          </cell>
          <cell r="Q3330" t="str">
            <v>磁性位置传感器</v>
          </cell>
        </row>
        <row r="3331">
          <cell r="O3331" t="str">
            <v>G01</v>
          </cell>
          <cell r="P3331" t="str">
            <v>STC4011B</v>
          </cell>
          <cell r="Q3331" t="str">
            <v>磁性位置传感器</v>
          </cell>
        </row>
        <row r="3332">
          <cell r="O3332" t="str">
            <v>G01</v>
          </cell>
          <cell r="P3332" t="str">
            <v>STC4011B</v>
          </cell>
          <cell r="Q3332" t="str">
            <v>磁性位置传感器</v>
          </cell>
        </row>
        <row r="3333">
          <cell r="O3333" t="str">
            <v>G01</v>
          </cell>
          <cell r="P3333" t="str">
            <v>STC4011B</v>
          </cell>
          <cell r="Q3333" t="str">
            <v>磁性位置传感器</v>
          </cell>
        </row>
        <row r="3334">
          <cell r="O3334" t="str">
            <v>G01</v>
          </cell>
          <cell r="P3334" t="str">
            <v>STC4011B</v>
          </cell>
          <cell r="Q3334" t="str">
            <v>磁性位置传感器</v>
          </cell>
        </row>
        <row r="3335">
          <cell r="O3335" t="str">
            <v>SC1445A1</v>
          </cell>
          <cell r="P3335" t="str">
            <v>STC2899AB</v>
          </cell>
          <cell r="Q3335" t="str">
            <v>磁性位置传感器</v>
          </cell>
        </row>
        <row r="3336">
          <cell r="O3336" t="str">
            <v>ZH619A0</v>
          </cell>
          <cell r="P3336" t="str">
            <v>STC22303</v>
          </cell>
          <cell r="Q3336" t="str">
            <v>电机驱动</v>
          </cell>
        </row>
        <row r="3337">
          <cell r="O3337" t="str">
            <v>SC9314UA</v>
          </cell>
          <cell r="P3337" t="str">
            <v>STC9901AF</v>
          </cell>
          <cell r="Q3337" t="str">
            <v>速度传感器</v>
          </cell>
        </row>
        <row r="3338">
          <cell r="O3338" t="str">
            <v>SC4643VB-A</v>
          </cell>
          <cell r="P3338" t="str">
            <v>STC9D03E</v>
          </cell>
          <cell r="Q3338" t="str">
            <v>电流传感器</v>
          </cell>
        </row>
        <row r="3339">
          <cell r="O3339" t="str">
            <v>SC4643VB-A</v>
          </cell>
          <cell r="P3339" t="str">
            <v>STC9D03E</v>
          </cell>
          <cell r="Q3339" t="str">
            <v>电流传感器</v>
          </cell>
        </row>
        <row r="3340">
          <cell r="O3340" t="str">
            <v>SC4643VB-A</v>
          </cell>
          <cell r="P3340" t="str">
            <v>STC9D03E</v>
          </cell>
          <cell r="Q3340" t="str">
            <v>电流传感器</v>
          </cell>
        </row>
        <row r="3341">
          <cell r="O3341" t="str">
            <v>STC4011B</v>
          </cell>
          <cell r="P3341" t="str">
            <v>STC4011B</v>
          </cell>
          <cell r="Q3341" t="str">
            <v>磁性位置传感器</v>
          </cell>
        </row>
        <row r="3342">
          <cell r="O3342" t="str">
            <v>STC4011B</v>
          </cell>
          <cell r="P3342" t="str">
            <v>STC4011B</v>
          </cell>
          <cell r="Q3342" t="str">
            <v>磁性位置传感器</v>
          </cell>
        </row>
        <row r="3343">
          <cell r="O3343" t="str">
            <v>STC4011B</v>
          </cell>
          <cell r="P3343" t="str">
            <v>STC4011B</v>
          </cell>
          <cell r="Q3343" t="str">
            <v>磁性位置传感器</v>
          </cell>
        </row>
        <row r="3344">
          <cell r="O3344" t="str">
            <v>SC2448SO</v>
          </cell>
          <cell r="P3344" t="str">
            <v>STC9906S</v>
          </cell>
          <cell r="Q3344" t="str">
            <v>磁性位置传感器</v>
          </cell>
        </row>
        <row r="3345">
          <cell r="O3345" t="str">
            <v>SC2448SO</v>
          </cell>
          <cell r="P3345" t="str">
            <v>STC9906S</v>
          </cell>
          <cell r="Q3345" t="str">
            <v>磁性位置传感器</v>
          </cell>
        </row>
        <row r="3346">
          <cell r="O3346" t="str">
            <v>STC4011E-DS</v>
          </cell>
          <cell r="P3346" t="str">
            <v>STC4011E</v>
          </cell>
          <cell r="Q3346" t="str">
            <v>磁性位置传感器</v>
          </cell>
        </row>
        <row r="3347">
          <cell r="O3347" t="str">
            <v>SC1245SO-N</v>
          </cell>
          <cell r="P3347" t="str">
            <v>STC1898AD</v>
          </cell>
          <cell r="Q3347" t="str">
            <v>磁性位置传感器</v>
          </cell>
        </row>
        <row r="3348">
          <cell r="O3348" t="str">
            <v>SC1245UA</v>
          </cell>
          <cell r="P3348" t="str">
            <v>STC1898AD</v>
          </cell>
          <cell r="Q3348" t="str">
            <v>磁性位置传感器</v>
          </cell>
        </row>
        <row r="3349">
          <cell r="O3349" t="str">
            <v>SC1245UA</v>
          </cell>
          <cell r="P3349" t="str">
            <v>STC1898AD</v>
          </cell>
          <cell r="Q3349" t="str">
            <v>磁性位置传感器</v>
          </cell>
        </row>
        <row r="3350">
          <cell r="O3350" t="str">
            <v>SC1245UA</v>
          </cell>
          <cell r="P3350" t="str">
            <v>STC1898AD</v>
          </cell>
          <cell r="Q3350" t="str">
            <v>磁性位置传感器</v>
          </cell>
        </row>
        <row r="3351">
          <cell r="O3351" t="str">
            <v>SC1245UA</v>
          </cell>
          <cell r="P3351" t="str">
            <v>STC1898AD</v>
          </cell>
          <cell r="Q3351" t="str">
            <v>磁性位置传感器</v>
          </cell>
        </row>
        <row r="3352">
          <cell r="O3352" t="str">
            <v>SC1245UA</v>
          </cell>
          <cell r="P3352" t="str">
            <v>STC1898AD</v>
          </cell>
          <cell r="Q3352" t="str">
            <v>磁性位置传感器</v>
          </cell>
        </row>
        <row r="3353">
          <cell r="O3353" t="str">
            <v>SC1245UA</v>
          </cell>
          <cell r="P3353" t="str">
            <v>STC1898AD</v>
          </cell>
          <cell r="Q3353" t="str">
            <v>磁性位置传感器</v>
          </cell>
        </row>
        <row r="3354">
          <cell r="O3354" t="str">
            <v>SC1245UA</v>
          </cell>
          <cell r="P3354" t="str">
            <v>STC1898AD</v>
          </cell>
          <cell r="Q3354" t="str">
            <v>磁性位置传感器</v>
          </cell>
        </row>
        <row r="3355">
          <cell r="O3355" t="str">
            <v>SC1245UA</v>
          </cell>
          <cell r="P3355" t="str">
            <v>STC1898AD</v>
          </cell>
          <cell r="Q3355" t="str">
            <v>磁性位置传感器</v>
          </cell>
        </row>
        <row r="3356">
          <cell r="O3356" t="str">
            <v>SC9642TS-E</v>
          </cell>
          <cell r="P3356" t="str">
            <v>STC9A001H</v>
          </cell>
          <cell r="Q3356" t="str">
            <v>速度传感器</v>
          </cell>
        </row>
        <row r="3357">
          <cell r="O3357" t="str">
            <v>SC9634VB</v>
          </cell>
          <cell r="P3357" t="str">
            <v>STC9905G</v>
          </cell>
          <cell r="Q3357" t="str">
            <v>速度传感器</v>
          </cell>
        </row>
        <row r="3358">
          <cell r="O3358" t="str">
            <v>SC9634VB</v>
          </cell>
          <cell r="P3358" t="str">
            <v>STC9905G</v>
          </cell>
          <cell r="Q3358" t="str">
            <v>速度传感器</v>
          </cell>
        </row>
        <row r="3359">
          <cell r="O3359" t="str">
            <v>SC2402UA-G</v>
          </cell>
          <cell r="P3359" t="str">
            <v>STC9G002B</v>
          </cell>
          <cell r="Q3359" t="str">
            <v>磁性位置传感器</v>
          </cell>
        </row>
        <row r="3360">
          <cell r="O3360" t="str">
            <v>SC2402UA-G</v>
          </cell>
          <cell r="P3360" t="str">
            <v>STC9G002B</v>
          </cell>
          <cell r="Q3360" t="str">
            <v>磁性位置传感器</v>
          </cell>
        </row>
        <row r="3361">
          <cell r="O3361" t="str">
            <v>SC2402UA-G</v>
          </cell>
          <cell r="P3361" t="str">
            <v>STC9G002B</v>
          </cell>
          <cell r="Q3361" t="str">
            <v>磁性位置传感器</v>
          </cell>
        </row>
        <row r="3362">
          <cell r="O3362" t="str">
            <v>SC2442SO</v>
          </cell>
          <cell r="P3362" t="str">
            <v>STC9906R</v>
          </cell>
          <cell r="Q3362" t="str">
            <v>磁性位置传感器</v>
          </cell>
        </row>
        <row r="3363">
          <cell r="O3363" t="str">
            <v>SC9641TS-P</v>
          </cell>
          <cell r="P3363" t="str">
            <v>STC9A001I</v>
          </cell>
          <cell r="Q3363" t="str">
            <v>速度传感器</v>
          </cell>
        </row>
        <row r="3364">
          <cell r="O3364" t="str">
            <v>SC9641TS-P</v>
          </cell>
          <cell r="P3364" t="str">
            <v>STC9A001I</v>
          </cell>
          <cell r="Q3364" t="str">
            <v>速度传感器</v>
          </cell>
        </row>
        <row r="3365">
          <cell r="O3365" t="str">
            <v>SC9641TS-P</v>
          </cell>
          <cell r="P3365" t="str">
            <v>STC9A001I</v>
          </cell>
          <cell r="Q3365" t="str">
            <v>速度传感器</v>
          </cell>
        </row>
        <row r="3366">
          <cell r="O3366" t="str">
            <v>SC9641TS-P</v>
          </cell>
          <cell r="P3366" t="str">
            <v>STC9A001I</v>
          </cell>
          <cell r="Q3366" t="str">
            <v>速度传感器</v>
          </cell>
        </row>
        <row r="3367">
          <cell r="O3367" t="str">
            <v>SC9641TS-P</v>
          </cell>
          <cell r="P3367" t="str">
            <v>STC9A001I</v>
          </cell>
          <cell r="Q3367" t="str">
            <v>速度传感器</v>
          </cell>
        </row>
        <row r="3368">
          <cell r="O3368" t="str">
            <v>SC9641TS-P</v>
          </cell>
          <cell r="P3368" t="str">
            <v>STC9A001I</v>
          </cell>
          <cell r="Q3368" t="str">
            <v>速度传感器</v>
          </cell>
        </row>
        <row r="3369">
          <cell r="O3369" t="str">
            <v>SC9641TS-P</v>
          </cell>
          <cell r="P3369" t="str">
            <v>STC9A001I</v>
          </cell>
          <cell r="Q3369" t="str">
            <v>速度传感器</v>
          </cell>
        </row>
        <row r="3370">
          <cell r="O3370" t="str">
            <v>SC9641TS-P</v>
          </cell>
          <cell r="P3370" t="str">
            <v>STC9A001I</v>
          </cell>
          <cell r="Q3370" t="str">
            <v>速度传感器</v>
          </cell>
        </row>
        <row r="3371">
          <cell r="O3371" t="str">
            <v>SC9642TS-E</v>
          </cell>
          <cell r="P3371" t="str">
            <v>STC9A001H</v>
          </cell>
          <cell r="Q3371" t="str">
            <v>速度传感器</v>
          </cell>
        </row>
        <row r="3372">
          <cell r="O3372" t="str">
            <v>SC9642TS-E</v>
          </cell>
          <cell r="P3372" t="str">
            <v>STC9A001H</v>
          </cell>
          <cell r="Q3372" t="str">
            <v>速度传感器</v>
          </cell>
        </row>
        <row r="3373">
          <cell r="O3373" t="str">
            <v>SC2402SO-N</v>
          </cell>
          <cell r="P3373" t="str">
            <v>STC9H001A</v>
          </cell>
          <cell r="Q3373" t="str">
            <v>磁性位置传感器</v>
          </cell>
        </row>
        <row r="3374">
          <cell r="O3374" t="str">
            <v>2100</v>
          </cell>
          <cell r="P3374" t="str">
            <v>STC9D03E</v>
          </cell>
          <cell r="Q3374" t="str">
            <v>电流传感器</v>
          </cell>
        </row>
        <row r="3375">
          <cell r="O3375" t="str">
            <v>2100</v>
          </cell>
          <cell r="P3375" t="str">
            <v>STC9D03E</v>
          </cell>
          <cell r="Q3375" t="str">
            <v>电流传感器</v>
          </cell>
        </row>
        <row r="3376">
          <cell r="O3376" t="str">
            <v>2100</v>
          </cell>
          <cell r="P3376" t="str">
            <v>STC9D03E</v>
          </cell>
          <cell r="Q3376" t="str">
            <v>电流传感器</v>
          </cell>
        </row>
        <row r="3377">
          <cell r="O3377" t="str">
            <v>2100</v>
          </cell>
          <cell r="P3377" t="str">
            <v>STC9D03E</v>
          </cell>
          <cell r="Q3377" t="str">
            <v>电流传感器</v>
          </cell>
        </row>
        <row r="3378">
          <cell r="O3378" t="str">
            <v>2100S</v>
          </cell>
          <cell r="P3378" t="str">
            <v>STC9D03E</v>
          </cell>
          <cell r="Q3378" t="str">
            <v>电流传感器</v>
          </cell>
        </row>
        <row r="3379">
          <cell r="O3379" t="str">
            <v>2100S</v>
          </cell>
          <cell r="P3379" t="str">
            <v>STC9D03E</v>
          </cell>
          <cell r="Q3379" t="str">
            <v>电流传感器</v>
          </cell>
        </row>
        <row r="3380">
          <cell r="O3380" t="str">
            <v>2100S</v>
          </cell>
          <cell r="P3380" t="str">
            <v>STC9D03E</v>
          </cell>
          <cell r="Q3380" t="str">
            <v>电流传感器</v>
          </cell>
        </row>
        <row r="3381">
          <cell r="O3381" t="str">
            <v>2100S</v>
          </cell>
          <cell r="P3381" t="str">
            <v>STC9D03E</v>
          </cell>
          <cell r="Q3381" t="str">
            <v>电流传感器</v>
          </cell>
        </row>
        <row r="3382">
          <cell r="O3382" t="str">
            <v>2100</v>
          </cell>
          <cell r="P3382" t="str">
            <v>STC9D03E</v>
          </cell>
          <cell r="Q3382" t="str">
            <v>电流传感器</v>
          </cell>
        </row>
        <row r="3383">
          <cell r="O3383" t="str">
            <v>2100</v>
          </cell>
          <cell r="P3383" t="str">
            <v>STC9D03E</v>
          </cell>
          <cell r="Q3383" t="str">
            <v>电流传感器</v>
          </cell>
        </row>
        <row r="3384">
          <cell r="O3384" t="str">
            <v>2100</v>
          </cell>
          <cell r="P3384" t="str">
            <v>STC9D03E</v>
          </cell>
          <cell r="Q3384" t="str">
            <v>电流传感器</v>
          </cell>
        </row>
        <row r="3385">
          <cell r="O3385" t="str">
            <v>SC4689SA-A</v>
          </cell>
          <cell r="P3385" t="str">
            <v>STC9D01F</v>
          </cell>
          <cell r="Q3385" t="str">
            <v>角度传感器</v>
          </cell>
        </row>
        <row r="3386">
          <cell r="O3386" t="str">
            <v>SC9642TS-EC</v>
          </cell>
          <cell r="P3386" t="str">
            <v>STC9A001H</v>
          </cell>
          <cell r="Q3386" t="str">
            <v>速度传感器</v>
          </cell>
        </row>
        <row r="3387">
          <cell r="O3387" t="str">
            <v>SC9642TS-EC</v>
          </cell>
          <cell r="P3387" t="str">
            <v>STC9A001H</v>
          </cell>
          <cell r="Q3387" t="str">
            <v>速度传感器</v>
          </cell>
        </row>
        <row r="3388">
          <cell r="O3388" t="str">
            <v>SC9642TS-EC</v>
          </cell>
          <cell r="P3388" t="str">
            <v>STC9A001H</v>
          </cell>
          <cell r="Q3388" t="str">
            <v>速度传感器</v>
          </cell>
        </row>
        <row r="3389">
          <cell r="O3389" t="str">
            <v>SC9642TS-EC</v>
          </cell>
          <cell r="P3389" t="str">
            <v>STC9A001H</v>
          </cell>
          <cell r="Q3389" t="str">
            <v>速度传感器</v>
          </cell>
        </row>
        <row r="3390">
          <cell r="O3390" t="str">
            <v>SC9642TS-E</v>
          </cell>
          <cell r="P3390" t="str">
            <v>STC9A001H</v>
          </cell>
          <cell r="Q3390" t="str">
            <v>速度传感器</v>
          </cell>
        </row>
        <row r="3391">
          <cell r="O3391" t="str">
            <v>VE1430Q1CAFR5</v>
          </cell>
          <cell r="P3391" t="str">
            <v>VA2201D</v>
          </cell>
          <cell r="Q3391" t="str">
            <v>电源管理</v>
          </cell>
        </row>
        <row r="3392">
          <cell r="O3392" t="str">
            <v>SC2442SO</v>
          </cell>
          <cell r="P3392" t="str">
            <v>STC9906R</v>
          </cell>
          <cell r="Q3392" t="str">
            <v>磁性位置传感器</v>
          </cell>
        </row>
        <row r="3393">
          <cell r="O3393" t="str">
            <v>SC2442SO</v>
          </cell>
          <cell r="P3393" t="str">
            <v>STC9906R</v>
          </cell>
          <cell r="Q3393" t="str">
            <v>磁性位置传感器</v>
          </cell>
        </row>
        <row r="3394">
          <cell r="O3394" t="str">
            <v>SC1134BU</v>
          </cell>
          <cell r="P3394" t="str">
            <v>STC1898AI</v>
          </cell>
          <cell r="Q3394" t="str">
            <v>磁性位置传感器</v>
          </cell>
        </row>
        <row r="3395">
          <cell r="O3395" t="str">
            <v>SC1134SO-N</v>
          </cell>
          <cell r="P3395" t="str">
            <v>STC1898AI</v>
          </cell>
          <cell r="Q3395" t="str">
            <v>磁性位置传感器</v>
          </cell>
        </row>
        <row r="3396">
          <cell r="O3396" t="str">
            <v>SC9621VB</v>
          </cell>
          <cell r="P3396" t="str">
            <v>STC9910C</v>
          </cell>
          <cell r="Q3396" t="str">
            <v>速度传感器</v>
          </cell>
        </row>
        <row r="3397">
          <cell r="O3397" t="str">
            <v>SC4689SA</v>
          </cell>
          <cell r="P3397" t="str">
            <v>STC9D01F</v>
          </cell>
          <cell r="Q3397" t="str">
            <v>角度传感器</v>
          </cell>
        </row>
        <row r="3398">
          <cell r="O3398" t="str">
            <v>SC4688编程器</v>
          </cell>
          <cell r="P3398" t="str">
            <v xml:space="preserve"> </v>
          </cell>
          <cell r="Q3398" t="str">
            <v>角度传感器</v>
          </cell>
        </row>
        <row r="3399">
          <cell r="O3399" t="str">
            <v>SC4624SP20B5</v>
          </cell>
          <cell r="P3399" t="str">
            <v>STC9D06F</v>
          </cell>
          <cell r="Q3399" t="str">
            <v>电流传感器</v>
          </cell>
        </row>
        <row r="3400">
          <cell r="O3400" t="str">
            <v>SC9625VB-L</v>
          </cell>
          <cell r="P3400" t="str">
            <v>STC9910E</v>
          </cell>
          <cell r="Q3400" t="str">
            <v>速度传感器</v>
          </cell>
        </row>
        <row r="3401">
          <cell r="O3401" t="str">
            <v>SC9641TS-PC</v>
          </cell>
          <cell r="P3401" t="str">
            <v>STC9A001I</v>
          </cell>
          <cell r="Q3401" t="str">
            <v>速度传感器</v>
          </cell>
        </row>
        <row r="3402">
          <cell r="O3402" t="str">
            <v>SC9641TS-PC</v>
          </cell>
          <cell r="P3402" t="str">
            <v>STC9A001I</v>
          </cell>
          <cell r="Q3402" t="str">
            <v>速度传感器</v>
          </cell>
        </row>
        <row r="3403">
          <cell r="O3403" t="str">
            <v>SC1134SO-N</v>
          </cell>
          <cell r="P3403" t="str">
            <v>STC1898AI</v>
          </cell>
          <cell r="Q3403" t="str">
            <v>磁性位置传感器</v>
          </cell>
        </row>
        <row r="3404">
          <cell r="O3404" t="str">
            <v>SC1134SO-N</v>
          </cell>
          <cell r="P3404" t="str">
            <v>STC1898AI</v>
          </cell>
          <cell r="Q3404" t="str">
            <v>磁性位置传感器</v>
          </cell>
        </row>
        <row r="3405">
          <cell r="O3405" t="str">
            <v>SC1134SO-N</v>
          </cell>
          <cell r="P3405" t="str">
            <v>STC1898AI</v>
          </cell>
          <cell r="Q3405" t="str">
            <v>磁性位置传感器</v>
          </cell>
        </row>
        <row r="3406">
          <cell r="O3406" t="str">
            <v>SC2443UA</v>
          </cell>
          <cell r="P3406" t="str">
            <v>STC9906W</v>
          </cell>
          <cell r="Q3406" t="str">
            <v>磁性位置传感器</v>
          </cell>
        </row>
        <row r="3407">
          <cell r="O3407" t="str">
            <v>SC2443UA</v>
          </cell>
          <cell r="P3407" t="str">
            <v>STC9906W</v>
          </cell>
          <cell r="Q3407" t="str">
            <v>磁性位置传感器</v>
          </cell>
        </row>
        <row r="3408">
          <cell r="O3408" t="str">
            <v>SC2443UA</v>
          </cell>
          <cell r="P3408" t="str">
            <v>STC9906W</v>
          </cell>
          <cell r="Q3408" t="str">
            <v>磁性位置传感器</v>
          </cell>
        </row>
        <row r="3409">
          <cell r="O3409" t="str">
            <v>SC2443UA</v>
          </cell>
          <cell r="P3409" t="str">
            <v>STC9906W</v>
          </cell>
          <cell r="Q3409" t="str">
            <v>磁性位置传感器</v>
          </cell>
        </row>
        <row r="3410">
          <cell r="O3410" t="str">
            <v>SC2443UA</v>
          </cell>
          <cell r="P3410" t="str">
            <v>STC9906W</v>
          </cell>
          <cell r="Q3410" t="str">
            <v>磁性位置传感器</v>
          </cell>
        </row>
        <row r="3411">
          <cell r="O3411" t="str">
            <v>SC2443UA</v>
          </cell>
          <cell r="P3411" t="str">
            <v>STC9906W</v>
          </cell>
          <cell r="Q3411" t="str">
            <v>磁性位置传感器</v>
          </cell>
        </row>
        <row r="3412">
          <cell r="O3412" t="str">
            <v>SC2443UA</v>
          </cell>
          <cell r="P3412" t="str">
            <v>STC9906W</v>
          </cell>
          <cell r="Q3412" t="str">
            <v>磁性位置传感器</v>
          </cell>
        </row>
        <row r="3413">
          <cell r="O3413" t="str">
            <v>SC2498UA-N</v>
          </cell>
          <cell r="P3413" t="str">
            <v>SC9915C</v>
          </cell>
          <cell r="Q3413" t="str">
            <v>磁性位置传感器</v>
          </cell>
        </row>
        <row r="3414">
          <cell r="O3414" t="str">
            <v>SC4643VB-A</v>
          </cell>
          <cell r="P3414" t="str">
            <v>STC9D03E</v>
          </cell>
          <cell r="Q3414" t="str">
            <v>电流传感器</v>
          </cell>
        </row>
        <row r="3415">
          <cell r="O3415" t="str">
            <v>SC4643VB-A</v>
          </cell>
          <cell r="P3415" t="str">
            <v>STC9D03E</v>
          </cell>
          <cell r="Q3415" t="str">
            <v>电流传感器</v>
          </cell>
        </row>
        <row r="3416">
          <cell r="O3416" t="str">
            <v>SC4643VB-A</v>
          </cell>
          <cell r="P3416" t="str">
            <v>STC9D03E</v>
          </cell>
          <cell r="Q3416" t="str">
            <v>电流传感器</v>
          </cell>
        </row>
        <row r="3417">
          <cell r="O3417" t="str">
            <v>SC4643VB-A</v>
          </cell>
          <cell r="P3417" t="str">
            <v>STC9D03E</v>
          </cell>
          <cell r="Q3417" t="str">
            <v>电流传感器</v>
          </cell>
        </row>
        <row r="3418">
          <cell r="O3418" t="str">
            <v>SC4643VB-A</v>
          </cell>
          <cell r="P3418" t="str">
            <v>STC9D03E</v>
          </cell>
          <cell r="Q3418" t="str">
            <v>电流传感器</v>
          </cell>
        </row>
        <row r="3419">
          <cell r="O3419" t="str">
            <v>SC4643VB-A</v>
          </cell>
          <cell r="P3419" t="str">
            <v>STC9D03E</v>
          </cell>
          <cell r="Q3419" t="str">
            <v>电流传感器</v>
          </cell>
        </row>
        <row r="3420">
          <cell r="O3420" t="str">
            <v>SC2442SO</v>
          </cell>
          <cell r="P3420" t="str">
            <v>STC9906R</v>
          </cell>
          <cell r="Q3420" t="str">
            <v>磁性位置传感器</v>
          </cell>
        </row>
        <row r="3421">
          <cell r="O3421" t="str">
            <v>SC9641TS-PC</v>
          </cell>
          <cell r="P3421" t="str">
            <v>STC9A001I</v>
          </cell>
          <cell r="Q3421" t="str">
            <v>速度传感器</v>
          </cell>
        </row>
        <row r="3422">
          <cell r="O3422" t="str">
            <v>SC9642TS-E</v>
          </cell>
          <cell r="P3422" t="str">
            <v>STC9A001H</v>
          </cell>
          <cell r="Q3422" t="str">
            <v>速度传感器</v>
          </cell>
        </row>
        <row r="3423">
          <cell r="O3423" t="str">
            <v>SC9642TS-E</v>
          </cell>
          <cell r="P3423" t="str">
            <v>STC9A001H</v>
          </cell>
          <cell r="Q3423" t="str">
            <v>速度传感器</v>
          </cell>
        </row>
        <row r="3424">
          <cell r="O3424" t="str">
            <v>SC9642TS-E</v>
          </cell>
          <cell r="P3424" t="str">
            <v>STC9A001H</v>
          </cell>
          <cell r="Q3424" t="str">
            <v>速度传感器</v>
          </cell>
        </row>
        <row r="3425">
          <cell r="O3425" t="str">
            <v>SC9642TS-E</v>
          </cell>
          <cell r="P3425" t="str">
            <v>STC9A001H</v>
          </cell>
          <cell r="Q3425" t="str">
            <v>速度传感器</v>
          </cell>
        </row>
        <row r="3426">
          <cell r="O3426" t="str">
            <v>SC4688编程器</v>
          </cell>
          <cell r="P3426" t="str">
            <v xml:space="preserve"> </v>
          </cell>
          <cell r="Q3426" t="str">
            <v>角度传感器</v>
          </cell>
        </row>
        <row r="3427">
          <cell r="O3427" t="str">
            <v>SC9642TS</v>
          </cell>
          <cell r="P3427" t="str">
            <v>STC9A001G</v>
          </cell>
          <cell r="Q3427" t="str">
            <v>速度传感器</v>
          </cell>
        </row>
        <row r="3428">
          <cell r="O3428" t="str">
            <v>SC9642TS</v>
          </cell>
          <cell r="P3428" t="str">
            <v>STC9A001G</v>
          </cell>
          <cell r="Q3428" t="str">
            <v>速度传感器</v>
          </cell>
        </row>
        <row r="3429">
          <cell r="O3429" t="str">
            <v>SC1134SO-N</v>
          </cell>
          <cell r="P3429" t="str">
            <v>STC1898AI</v>
          </cell>
          <cell r="Q3429" t="str">
            <v>磁性位置传感器</v>
          </cell>
        </row>
        <row r="3430">
          <cell r="O3430" t="str">
            <v>SC60224-D-1024</v>
          </cell>
          <cell r="P3430" t="str">
            <v>STC9D04C</v>
          </cell>
          <cell r="Q3430" t="str">
            <v>电机编码器</v>
          </cell>
        </row>
        <row r="3431">
          <cell r="O3431" t="str">
            <v>SC60224-D-1024</v>
          </cell>
          <cell r="P3431" t="str">
            <v>STC9D04C</v>
          </cell>
          <cell r="Q3431" t="str">
            <v>电机编码器</v>
          </cell>
        </row>
        <row r="3432">
          <cell r="O3432" t="str">
            <v>SC1134UA</v>
          </cell>
          <cell r="P3432" t="str">
            <v>STC1898AI</v>
          </cell>
          <cell r="Q3432" t="str">
            <v>磁性位置传感器</v>
          </cell>
        </row>
        <row r="3433">
          <cell r="O3433" t="str">
            <v>SC1134UA</v>
          </cell>
          <cell r="P3433" t="str">
            <v>STC1898AI</v>
          </cell>
          <cell r="Q3433" t="str">
            <v>磁性位置传感器</v>
          </cell>
        </row>
        <row r="3434">
          <cell r="O3434" t="str">
            <v>SC1134UA</v>
          </cell>
          <cell r="P3434" t="str">
            <v>STC1898AI</v>
          </cell>
          <cell r="Q3434" t="str">
            <v>磁性位置传感器</v>
          </cell>
        </row>
        <row r="3435">
          <cell r="O3435" t="str">
            <v>SC1134UA</v>
          </cell>
          <cell r="P3435" t="str">
            <v>STC1898AI</v>
          </cell>
          <cell r="Q3435" t="str">
            <v>磁性位置传感器</v>
          </cell>
        </row>
        <row r="3436">
          <cell r="O3436" t="str">
            <v>SC2064SO</v>
          </cell>
          <cell r="P3436" t="str">
            <v>STC9G001C</v>
          </cell>
          <cell r="Q3436" t="str">
            <v>磁性位置传感器</v>
          </cell>
        </row>
        <row r="3437">
          <cell r="O3437" t="str">
            <v>G01</v>
          </cell>
          <cell r="P3437" t="str">
            <v>STC4011B</v>
          </cell>
          <cell r="Q3437" t="str">
            <v>磁性位置传感器</v>
          </cell>
        </row>
        <row r="3438">
          <cell r="O3438" t="str">
            <v>G01</v>
          </cell>
          <cell r="P3438" t="str">
            <v>STC4011B</v>
          </cell>
          <cell r="Q3438" t="str">
            <v>磁性位置传感器</v>
          </cell>
        </row>
        <row r="3439">
          <cell r="O3439" t="str">
            <v>G01</v>
          </cell>
          <cell r="P3439" t="str">
            <v>STC4011B</v>
          </cell>
          <cell r="Q3439" t="str">
            <v>磁性位置传感器</v>
          </cell>
        </row>
        <row r="3440">
          <cell r="O3440" t="str">
            <v>G01</v>
          </cell>
          <cell r="P3440" t="str">
            <v>STC4011B</v>
          </cell>
          <cell r="Q3440" t="str">
            <v>磁性位置传感器</v>
          </cell>
        </row>
        <row r="3441">
          <cell r="O3441" t="str">
            <v>G01</v>
          </cell>
          <cell r="P3441" t="str">
            <v>STC4011B</v>
          </cell>
          <cell r="Q3441" t="str">
            <v>磁性位置传感器</v>
          </cell>
        </row>
        <row r="3442">
          <cell r="O3442" t="str">
            <v>G01</v>
          </cell>
          <cell r="P3442" t="str">
            <v>STC4011B</v>
          </cell>
          <cell r="Q3442" t="str">
            <v>磁性位置传感器</v>
          </cell>
        </row>
        <row r="3443">
          <cell r="O3443" t="str">
            <v>G01</v>
          </cell>
          <cell r="P3443" t="str">
            <v>STC4011B</v>
          </cell>
          <cell r="Q3443" t="str">
            <v>磁性位置传感器</v>
          </cell>
        </row>
        <row r="3444">
          <cell r="O3444" t="str">
            <v>G01</v>
          </cell>
          <cell r="P3444" t="str">
            <v>STC4011B</v>
          </cell>
          <cell r="Q3444" t="str">
            <v>磁性位置传感器</v>
          </cell>
        </row>
        <row r="3445">
          <cell r="O3445" t="str">
            <v>G01</v>
          </cell>
          <cell r="P3445" t="str">
            <v>STC4011B</v>
          </cell>
          <cell r="Q3445" t="str">
            <v>磁性位置传感器</v>
          </cell>
        </row>
        <row r="3446">
          <cell r="O3446" t="str">
            <v>SC4643编程器</v>
          </cell>
          <cell r="P3446" t="str">
            <v xml:space="preserve"> </v>
          </cell>
          <cell r="Q3446" t="str">
            <v>电流传感器</v>
          </cell>
        </row>
        <row r="3447">
          <cell r="O3447" t="str">
            <v>G01</v>
          </cell>
          <cell r="P3447" t="str">
            <v>STC4011B</v>
          </cell>
          <cell r="Q3447" t="str">
            <v>磁性位置传感器</v>
          </cell>
        </row>
        <row r="3448">
          <cell r="O3448" t="str">
            <v>G01</v>
          </cell>
          <cell r="P3448" t="str">
            <v>STC4011B</v>
          </cell>
          <cell r="Q3448" t="str">
            <v>磁性位置传感器</v>
          </cell>
        </row>
        <row r="3449">
          <cell r="O3449" t="str">
            <v>G01</v>
          </cell>
          <cell r="P3449" t="str">
            <v>STC4011B</v>
          </cell>
          <cell r="Q3449" t="str">
            <v>磁性位置传感器</v>
          </cell>
        </row>
        <row r="3450">
          <cell r="O3450" t="str">
            <v>G01</v>
          </cell>
          <cell r="P3450" t="str">
            <v>STC4011B</v>
          </cell>
          <cell r="Q3450" t="str">
            <v>磁性位置传感器</v>
          </cell>
        </row>
        <row r="3451">
          <cell r="O3451" t="str">
            <v>G01</v>
          </cell>
          <cell r="P3451" t="str">
            <v>STC4011B</v>
          </cell>
          <cell r="Q3451" t="str">
            <v>磁性位置传感器</v>
          </cell>
        </row>
        <row r="3452">
          <cell r="O3452" t="str">
            <v>G01</v>
          </cell>
          <cell r="P3452" t="str">
            <v>STC4011B</v>
          </cell>
          <cell r="Q3452" t="str">
            <v>磁性位置传感器</v>
          </cell>
        </row>
        <row r="3453">
          <cell r="O3453" t="str">
            <v>G01</v>
          </cell>
          <cell r="P3453" t="str">
            <v>STC4011B</v>
          </cell>
          <cell r="Q3453" t="str">
            <v>磁性位置传感器</v>
          </cell>
        </row>
        <row r="3454">
          <cell r="O3454" t="str">
            <v>SC60221-D-256</v>
          </cell>
          <cell r="P3454" t="str">
            <v>STC9D04C</v>
          </cell>
          <cell r="Q3454" t="str">
            <v>电机编码器</v>
          </cell>
        </row>
        <row r="3455">
          <cell r="O3455" t="str">
            <v>SC60221-D-256</v>
          </cell>
          <cell r="P3455" t="str">
            <v>STC9D04C</v>
          </cell>
          <cell r="Q3455" t="str">
            <v>电机编码器</v>
          </cell>
        </row>
        <row r="3456">
          <cell r="O3456" t="str">
            <v>SC1134UA</v>
          </cell>
          <cell r="P3456" t="str">
            <v>STC1898AI</v>
          </cell>
          <cell r="Q3456" t="str">
            <v>磁性位置传感器</v>
          </cell>
        </row>
        <row r="3457">
          <cell r="O3457" t="str">
            <v>SC1134BU</v>
          </cell>
          <cell r="P3457" t="str">
            <v>STC1898AI</v>
          </cell>
          <cell r="Q3457" t="str">
            <v>磁性位置传感器</v>
          </cell>
        </row>
        <row r="3458">
          <cell r="O3458" t="str">
            <v>SC2442SO</v>
          </cell>
          <cell r="P3458" t="str">
            <v>STC9906R</v>
          </cell>
          <cell r="Q3458" t="str">
            <v>磁性位置传感器</v>
          </cell>
        </row>
        <row r="3459">
          <cell r="O3459" t="str">
            <v>SC2442SO</v>
          </cell>
          <cell r="P3459" t="str">
            <v>STC9906R</v>
          </cell>
          <cell r="Q3459" t="str">
            <v>磁性位置传感器</v>
          </cell>
        </row>
        <row r="3460">
          <cell r="O3460" t="str">
            <v>SC9641TS-PC</v>
          </cell>
          <cell r="P3460" t="str">
            <v>STC9A001I</v>
          </cell>
          <cell r="Q3460" t="str">
            <v>速度传感器</v>
          </cell>
        </row>
        <row r="3461">
          <cell r="O3461" t="str">
            <v>SC9641TS-PC</v>
          </cell>
          <cell r="P3461" t="str">
            <v>STC9A001I</v>
          </cell>
          <cell r="Q3461" t="str">
            <v>速度传感器</v>
          </cell>
        </row>
        <row r="3462">
          <cell r="O3462" t="str">
            <v>SC9641TS-PC</v>
          </cell>
          <cell r="P3462" t="str">
            <v>STC9A001I</v>
          </cell>
          <cell r="Q3462" t="str">
            <v>速度传感器</v>
          </cell>
        </row>
        <row r="3463">
          <cell r="O3463" t="str">
            <v>SC9641TS-PC</v>
          </cell>
          <cell r="P3463" t="str">
            <v>STC9A001I</v>
          </cell>
          <cell r="Q3463" t="str">
            <v>速度传感器</v>
          </cell>
        </row>
        <row r="3464">
          <cell r="O3464" t="str">
            <v>SC1134UA</v>
          </cell>
          <cell r="P3464" t="str">
            <v>STC1898AI</v>
          </cell>
          <cell r="Q3464" t="str">
            <v>磁性位置传感器</v>
          </cell>
        </row>
        <row r="3465">
          <cell r="O3465" t="str">
            <v>SC243XSO-055040</v>
          </cell>
          <cell r="P3465" t="str">
            <v>STC9906M</v>
          </cell>
          <cell r="Q3465" t="str">
            <v>磁性位置传感器</v>
          </cell>
        </row>
        <row r="3466">
          <cell r="O3466" t="str">
            <v>SC243XSO-055040</v>
          </cell>
          <cell r="P3466" t="str">
            <v>STC9906M</v>
          </cell>
          <cell r="Q3466" t="str">
            <v>磁性位置传感器</v>
          </cell>
        </row>
        <row r="3467">
          <cell r="O3467" t="str">
            <v>SC2442SO</v>
          </cell>
          <cell r="P3467" t="str">
            <v>STC9906R</v>
          </cell>
          <cell r="Q3467" t="str">
            <v>磁性位置传感器</v>
          </cell>
        </row>
        <row r="3468">
          <cell r="O3468" t="str">
            <v>SC9641TS-P</v>
          </cell>
          <cell r="P3468" t="str">
            <v>STC9A001I</v>
          </cell>
          <cell r="Q3468" t="str">
            <v>速度传感器</v>
          </cell>
        </row>
        <row r="3469">
          <cell r="O3469" t="str">
            <v>SC9641TS-P</v>
          </cell>
          <cell r="P3469" t="str">
            <v>STC9A001I</v>
          </cell>
          <cell r="Q3469" t="str">
            <v>速度传感器</v>
          </cell>
        </row>
        <row r="3470">
          <cell r="O3470" t="str">
            <v>SC1134UA</v>
          </cell>
          <cell r="P3470" t="str">
            <v>STC1898AI</v>
          </cell>
          <cell r="Q3470" t="str">
            <v>磁性位置传感器</v>
          </cell>
        </row>
        <row r="3471">
          <cell r="O3471" t="str">
            <v>SC9314UA</v>
          </cell>
          <cell r="P3471" t="str">
            <v>STC9901AF</v>
          </cell>
          <cell r="Q3471" t="str">
            <v>速度传感器</v>
          </cell>
        </row>
        <row r="3472">
          <cell r="O3472" t="str">
            <v>SC1134BU</v>
          </cell>
          <cell r="P3472" t="str">
            <v>STC1898AI</v>
          </cell>
          <cell r="Q3472" t="str">
            <v>磁性位置传感器</v>
          </cell>
        </row>
        <row r="3473">
          <cell r="O3473" t="str">
            <v>SC1134BU</v>
          </cell>
          <cell r="P3473" t="str">
            <v>STC1898AI</v>
          </cell>
          <cell r="Q3473" t="str">
            <v>磁性位置传感器</v>
          </cell>
        </row>
        <row r="3474">
          <cell r="O3474" t="str">
            <v>SC2402SO-N</v>
          </cell>
          <cell r="P3474" t="str">
            <v>STC9H001A</v>
          </cell>
          <cell r="Q3474" t="str">
            <v>磁性位置传感器</v>
          </cell>
        </row>
        <row r="3475">
          <cell r="O3475" t="str">
            <v>SC2063UA</v>
          </cell>
          <cell r="P3475" t="str">
            <v>STC9G001C</v>
          </cell>
          <cell r="Q3475" t="str">
            <v>磁性位置传感器</v>
          </cell>
        </row>
        <row r="3476">
          <cell r="O3476" t="str">
            <v>SC1134SO-N</v>
          </cell>
          <cell r="P3476" t="str">
            <v>STC1002AF</v>
          </cell>
          <cell r="Q3476" t="str">
            <v>磁性位置传感器</v>
          </cell>
        </row>
        <row r="3477">
          <cell r="O3477" t="str">
            <v>SC1134SO-N</v>
          </cell>
          <cell r="P3477" t="str">
            <v>STC1002AF</v>
          </cell>
          <cell r="Q3477" t="str">
            <v>磁性位置传感器</v>
          </cell>
        </row>
        <row r="3478">
          <cell r="O3478" t="str">
            <v>SC1134SO-N</v>
          </cell>
          <cell r="P3478" t="str">
            <v>STC1002AF</v>
          </cell>
          <cell r="Q3478" t="str">
            <v>磁性位置传感器</v>
          </cell>
        </row>
        <row r="3479">
          <cell r="O3479" t="str">
            <v>SC2464SO</v>
          </cell>
          <cell r="P3479" t="str">
            <v>STC9906J</v>
          </cell>
          <cell r="Q3479" t="str">
            <v>磁性位置传感器</v>
          </cell>
        </row>
        <row r="3480">
          <cell r="O3480" t="str">
            <v>SC2464SO</v>
          </cell>
          <cell r="P3480" t="str">
            <v>STC9906J</v>
          </cell>
          <cell r="Q3480" t="str">
            <v>磁性位置传感器</v>
          </cell>
        </row>
        <row r="3481">
          <cell r="O3481" t="str">
            <v>SC2464SO</v>
          </cell>
          <cell r="P3481" t="str">
            <v>STC9906J</v>
          </cell>
          <cell r="Q3481" t="str">
            <v>磁性位置传感器</v>
          </cell>
        </row>
        <row r="3482">
          <cell r="O3482" t="str">
            <v>SC2063UA</v>
          </cell>
          <cell r="P3482" t="str">
            <v>STC9G001C</v>
          </cell>
          <cell r="Q3482" t="str">
            <v>磁性位置传感器</v>
          </cell>
        </row>
        <row r="3483">
          <cell r="O3483" t="str">
            <v>ATK-E512</v>
          </cell>
          <cell r="P3483" t="str">
            <v>STC4011B</v>
          </cell>
          <cell r="Q3483" t="str">
            <v>磁性位置传感器</v>
          </cell>
        </row>
        <row r="3484">
          <cell r="O3484" t="str">
            <v>ATK-E512</v>
          </cell>
          <cell r="P3484" t="str">
            <v>STC4011B</v>
          </cell>
          <cell r="Q3484" t="str">
            <v>磁性位置传感器</v>
          </cell>
        </row>
        <row r="3485">
          <cell r="O3485" t="str">
            <v>ATK-E512</v>
          </cell>
          <cell r="P3485" t="str">
            <v>STC4011B</v>
          </cell>
          <cell r="Q3485" t="str">
            <v>磁性位置传感器</v>
          </cell>
        </row>
        <row r="3486">
          <cell r="O3486" t="str">
            <v>ATK-E512</v>
          </cell>
          <cell r="P3486" t="str">
            <v>STC4011B</v>
          </cell>
          <cell r="Q3486" t="str">
            <v>磁性位置传感器</v>
          </cell>
        </row>
        <row r="3487">
          <cell r="O3487" t="str">
            <v>ATK-E512</v>
          </cell>
          <cell r="P3487" t="str">
            <v>STC4011B</v>
          </cell>
          <cell r="Q3487" t="str">
            <v>磁性位置传感器</v>
          </cell>
        </row>
        <row r="3488">
          <cell r="O3488" t="str">
            <v>ATK-E512</v>
          </cell>
          <cell r="P3488" t="str">
            <v>STC4011B</v>
          </cell>
          <cell r="Q3488" t="str">
            <v>磁性位置传感器</v>
          </cell>
        </row>
        <row r="3489">
          <cell r="O3489" t="str">
            <v>ATK-E512</v>
          </cell>
          <cell r="P3489" t="str">
            <v>STC4011B</v>
          </cell>
          <cell r="Q3489" t="str">
            <v>磁性位置传感器</v>
          </cell>
        </row>
        <row r="3490">
          <cell r="O3490" t="str">
            <v>ATK-E512</v>
          </cell>
          <cell r="P3490" t="str">
            <v>STC4011B</v>
          </cell>
          <cell r="Q3490" t="str">
            <v>磁性位置传感器</v>
          </cell>
        </row>
        <row r="3491">
          <cell r="O3491" t="str">
            <v>ATK-E512</v>
          </cell>
          <cell r="P3491" t="str">
            <v>STC4011B</v>
          </cell>
          <cell r="Q3491" t="str">
            <v>磁性位置传感器</v>
          </cell>
        </row>
        <row r="3492">
          <cell r="O3492" t="str">
            <v>ATK-E512</v>
          </cell>
          <cell r="P3492" t="str">
            <v>STC4011B</v>
          </cell>
          <cell r="Q3492" t="str">
            <v>磁性位置传感器</v>
          </cell>
        </row>
        <row r="3493">
          <cell r="O3493" t="str">
            <v>ATK-E512</v>
          </cell>
          <cell r="P3493" t="str">
            <v>STC4011B</v>
          </cell>
          <cell r="Q3493" t="str">
            <v>磁性位置传感器</v>
          </cell>
        </row>
        <row r="3494">
          <cell r="O3494" t="str">
            <v>ATK-E512</v>
          </cell>
          <cell r="P3494" t="str">
            <v>STC4011B</v>
          </cell>
          <cell r="Q3494" t="str">
            <v>磁性位置传感器</v>
          </cell>
        </row>
        <row r="3495">
          <cell r="O3495" t="str">
            <v>ATK-E512</v>
          </cell>
          <cell r="P3495" t="str">
            <v>STC4011B</v>
          </cell>
          <cell r="Q3495" t="str">
            <v>磁性位置传感器</v>
          </cell>
        </row>
        <row r="3496">
          <cell r="O3496" t="str">
            <v>ATK-E512</v>
          </cell>
          <cell r="P3496" t="str">
            <v>STC4011B</v>
          </cell>
          <cell r="Q3496" t="str">
            <v>磁性位置传感器</v>
          </cell>
        </row>
        <row r="3497">
          <cell r="O3497" t="str">
            <v>ATK-E512</v>
          </cell>
          <cell r="P3497" t="str">
            <v>STC4011B</v>
          </cell>
          <cell r="Q3497" t="str">
            <v>磁性位置传感器</v>
          </cell>
        </row>
        <row r="3498">
          <cell r="O3498" t="str">
            <v>ATK-E512</v>
          </cell>
          <cell r="P3498" t="str">
            <v>STC4011B</v>
          </cell>
          <cell r="Q3498" t="str">
            <v>磁性位置传感器</v>
          </cell>
        </row>
        <row r="3499">
          <cell r="O3499" t="str">
            <v>ATK-E512</v>
          </cell>
          <cell r="P3499" t="str">
            <v>STC4011B</v>
          </cell>
          <cell r="Q3499" t="str">
            <v>磁性位置传感器</v>
          </cell>
        </row>
        <row r="3500">
          <cell r="O3500" t="str">
            <v>ATK-E512</v>
          </cell>
          <cell r="P3500" t="str">
            <v>STC4011B</v>
          </cell>
          <cell r="Q3500" t="str">
            <v>磁性位置传感器</v>
          </cell>
        </row>
        <row r="3501">
          <cell r="O3501" t="str">
            <v>ATK-E512</v>
          </cell>
          <cell r="P3501" t="str">
            <v>STC4011B</v>
          </cell>
          <cell r="Q3501" t="str">
            <v>磁性位置传感器</v>
          </cell>
        </row>
        <row r="3502">
          <cell r="O3502" t="str">
            <v>ATK-E512</v>
          </cell>
          <cell r="P3502" t="str">
            <v>STC4011B</v>
          </cell>
          <cell r="Q3502" t="str">
            <v>磁性位置传感器</v>
          </cell>
        </row>
        <row r="3503">
          <cell r="O3503" t="str">
            <v>ATK-E512</v>
          </cell>
          <cell r="P3503" t="str">
            <v>STC4011B</v>
          </cell>
          <cell r="Q3503" t="str">
            <v>磁性位置传感器</v>
          </cell>
        </row>
        <row r="3504">
          <cell r="O3504" t="str">
            <v>ATK-E512</v>
          </cell>
          <cell r="P3504" t="str">
            <v>STC4011B</v>
          </cell>
          <cell r="Q3504" t="str">
            <v>磁性位置传感器</v>
          </cell>
        </row>
        <row r="3505">
          <cell r="O3505" t="str">
            <v>ATK-E512</v>
          </cell>
          <cell r="P3505" t="str">
            <v>STC4011B</v>
          </cell>
          <cell r="Q3505" t="str">
            <v>磁性位置传感器</v>
          </cell>
        </row>
        <row r="3506">
          <cell r="O3506" t="str">
            <v>ATK-E512</v>
          </cell>
          <cell r="P3506" t="str">
            <v>STC4011B</v>
          </cell>
          <cell r="Q3506" t="str">
            <v>磁性位置传感器</v>
          </cell>
        </row>
        <row r="3507">
          <cell r="O3507" t="str">
            <v>ATK-E512</v>
          </cell>
          <cell r="P3507" t="str">
            <v>STC4011B</v>
          </cell>
          <cell r="Q3507" t="str">
            <v>磁性位置传感器</v>
          </cell>
        </row>
        <row r="3508">
          <cell r="O3508" t="str">
            <v>ATK-E512</v>
          </cell>
          <cell r="P3508" t="str">
            <v>STC4011B</v>
          </cell>
          <cell r="Q3508" t="str">
            <v>磁性位置传感器</v>
          </cell>
        </row>
        <row r="3509">
          <cell r="O3509" t="str">
            <v>ATK-E512</v>
          </cell>
          <cell r="P3509" t="str">
            <v>STC4011B</v>
          </cell>
          <cell r="Q3509" t="str">
            <v>磁性位置传感器</v>
          </cell>
        </row>
        <row r="3510">
          <cell r="O3510" t="str">
            <v>SC60221-U-P1-256</v>
          </cell>
          <cell r="P3510" t="str">
            <v>STC9D04C</v>
          </cell>
          <cell r="Q3510" t="str">
            <v>电机编码器</v>
          </cell>
        </row>
        <row r="3511">
          <cell r="O3511" t="str">
            <v>VE8600AKR</v>
          </cell>
          <cell r="P3511" t="str">
            <v>V2302B</v>
          </cell>
          <cell r="Q3511" t="str">
            <v>电源管理</v>
          </cell>
        </row>
        <row r="3512">
          <cell r="O3512" t="str">
            <v>SC9642TS-EC</v>
          </cell>
          <cell r="P3512" t="str">
            <v>STC9A001H</v>
          </cell>
          <cell r="Q3512" t="str">
            <v>速度传感器</v>
          </cell>
        </row>
        <row r="3513">
          <cell r="O3513" t="str">
            <v>SC1134SO-N</v>
          </cell>
          <cell r="P3513" t="str">
            <v>STC1002AF</v>
          </cell>
          <cell r="Q3513" t="str">
            <v>磁性位置传感器</v>
          </cell>
        </row>
        <row r="3514">
          <cell r="O3514" t="str">
            <v>SC1134SO-N</v>
          </cell>
          <cell r="P3514" t="str">
            <v>STC1002AF</v>
          </cell>
          <cell r="Q3514" t="str">
            <v>磁性位置传感器</v>
          </cell>
        </row>
        <row r="3515">
          <cell r="O3515" t="str">
            <v>SC2442UA</v>
          </cell>
          <cell r="P3515" t="str">
            <v>STC9906P</v>
          </cell>
          <cell r="Q3515" t="str">
            <v>磁性位置传感器</v>
          </cell>
        </row>
        <row r="3516">
          <cell r="O3516" t="str">
            <v>SC1134SO-N</v>
          </cell>
          <cell r="P3516" t="str">
            <v>STC1898AI</v>
          </cell>
          <cell r="Q3516" t="str">
            <v>磁性位置传感器</v>
          </cell>
        </row>
        <row r="3517">
          <cell r="O3517" t="str">
            <v>SC1134SO-N</v>
          </cell>
          <cell r="P3517" t="str">
            <v>STC1898AI</v>
          </cell>
          <cell r="Q3517" t="str">
            <v>磁性位置传感器</v>
          </cell>
        </row>
        <row r="3518">
          <cell r="O3518" t="str">
            <v>SC4643VB-A</v>
          </cell>
          <cell r="P3518" t="str">
            <v>STC9D03E</v>
          </cell>
          <cell r="Q3518" t="str">
            <v>电流传感器</v>
          </cell>
        </row>
        <row r="3519">
          <cell r="O3519" t="str">
            <v>SC4643VB-A</v>
          </cell>
          <cell r="P3519" t="str">
            <v>STC9D03E</v>
          </cell>
          <cell r="Q3519" t="str">
            <v>电流传感器</v>
          </cell>
        </row>
        <row r="3520">
          <cell r="O3520" t="str">
            <v>SC4643VB-A</v>
          </cell>
          <cell r="P3520" t="str">
            <v>STC9D03E</v>
          </cell>
          <cell r="Q3520" t="str">
            <v>电流传感器</v>
          </cell>
        </row>
        <row r="3521">
          <cell r="O3521" t="str">
            <v>SC4643VB-A</v>
          </cell>
          <cell r="P3521" t="str">
            <v>STC9D03E</v>
          </cell>
          <cell r="Q3521" t="str">
            <v>电流传感器</v>
          </cell>
        </row>
        <row r="3522">
          <cell r="O3522" t="str">
            <v>SC4643VB-A</v>
          </cell>
          <cell r="P3522" t="str">
            <v>STC9D03E</v>
          </cell>
          <cell r="Q3522" t="str">
            <v>电流传感器</v>
          </cell>
        </row>
        <row r="3523">
          <cell r="O3523" t="str">
            <v>SC4643VB-A</v>
          </cell>
          <cell r="P3523" t="str">
            <v>STC9D03E</v>
          </cell>
          <cell r="Q3523" t="str">
            <v>电流传感器</v>
          </cell>
        </row>
        <row r="3524">
          <cell r="O3524" t="str">
            <v>SC9642TS-E</v>
          </cell>
          <cell r="P3524" t="str">
            <v>STC9A001H</v>
          </cell>
          <cell r="Q3524" t="str">
            <v>速度传感器</v>
          </cell>
        </row>
        <row r="3525">
          <cell r="O3525" t="str">
            <v>SC9642TS-E</v>
          </cell>
          <cell r="P3525" t="str">
            <v>STC9A001H</v>
          </cell>
          <cell r="Q3525" t="str">
            <v>速度传感器</v>
          </cell>
        </row>
        <row r="3526">
          <cell r="O3526" t="str">
            <v>SC9642TS-E</v>
          </cell>
          <cell r="P3526" t="str">
            <v>STC9A001H</v>
          </cell>
          <cell r="Q3526" t="str">
            <v>速度传感器</v>
          </cell>
        </row>
        <row r="3527">
          <cell r="O3527" t="str">
            <v>SC9642TS-E</v>
          </cell>
          <cell r="P3527" t="str">
            <v>STC9A001H</v>
          </cell>
          <cell r="Q3527" t="str">
            <v>速度传感器</v>
          </cell>
        </row>
        <row r="3528">
          <cell r="O3528" t="str">
            <v>SC9642TS-E</v>
          </cell>
          <cell r="P3528" t="str">
            <v>STC9A001H</v>
          </cell>
          <cell r="Q3528" t="str">
            <v>速度传感器</v>
          </cell>
        </row>
        <row r="3529">
          <cell r="O3529" t="str">
            <v>SC9642TS-E</v>
          </cell>
          <cell r="P3529" t="str">
            <v>STC9A001H</v>
          </cell>
          <cell r="Q3529" t="str">
            <v>速度传感器</v>
          </cell>
        </row>
        <row r="3530">
          <cell r="O3530" t="str">
            <v>SC9642TS-E</v>
          </cell>
          <cell r="P3530" t="str">
            <v>STC9A001H</v>
          </cell>
          <cell r="Q3530" t="str">
            <v>速度传感器</v>
          </cell>
        </row>
        <row r="3531">
          <cell r="O3531" t="str">
            <v>SC9642TS-E</v>
          </cell>
          <cell r="P3531" t="str">
            <v>STC9A001H</v>
          </cell>
          <cell r="Q3531" t="str">
            <v>速度传感器</v>
          </cell>
        </row>
        <row r="3532">
          <cell r="O3532" t="str">
            <v>SC9642TS-E</v>
          </cell>
          <cell r="P3532" t="str">
            <v>STC9A001H</v>
          </cell>
          <cell r="Q3532" t="str">
            <v>速度传感器</v>
          </cell>
        </row>
        <row r="3533">
          <cell r="O3533" t="str">
            <v>SC60221</v>
          </cell>
          <cell r="P3533" t="str">
            <v>STC9D04C</v>
          </cell>
          <cell r="Q3533" t="str">
            <v>电机编码器</v>
          </cell>
        </row>
        <row r="3534">
          <cell r="O3534" t="str">
            <v>SC2436UA</v>
          </cell>
          <cell r="P3534" t="str">
            <v>STC9906I</v>
          </cell>
          <cell r="Q3534" t="str">
            <v>磁性位置传感器</v>
          </cell>
        </row>
        <row r="3535">
          <cell r="O3535" t="str">
            <v>SC1134SO-N</v>
          </cell>
          <cell r="P3535" t="str">
            <v>STC1002AF</v>
          </cell>
          <cell r="Q3535" t="str">
            <v>磁性位置传感器</v>
          </cell>
        </row>
        <row r="3536">
          <cell r="O3536" t="str">
            <v>SC2402SO-N</v>
          </cell>
          <cell r="P3536" t="str">
            <v>STC9H001A</v>
          </cell>
          <cell r="Q3536" t="str">
            <v>磁性位置传感器</v>
          </cell>
        </row>
        <row r="3537">
          <cell r="O3537" t="str">
            <v>SC2402SO-N</v>
          </cell>
          <cell r="P3537" t="str">
            <v>STC9H001A</v>
          </cell>
          <cell r="Q3537" t="str">
            <v>磁性位置传感器</v>
          </cell>
        </row>
        <row r="3538">
          <cell r="O3538" t="str">
            <v>SC2402UA-G</v>
          </cell>
          <cell r="P3538" t="str">
            <v>STC9G002B</v>
          </cell>
          <cell r="Q3538" t="str">
            <v>磁性位置传感器</v>
          </cell>
        </row>
        <row r="3539">
          <cell r="O3539" t="str">
            <v>SC2402UA</v>
          </cell>
          <cell r="P3539" t="str">
            <v>STC9902J</v>
          </cell>
          <cell r="Q3539" t="str">
            <v>磁性位置传感器</v>
          </cell>
        </row>
        <row r="3540">
          <cell r="O3540" t="str">
            <v>SC2402UA</v>
          </cell>
          <cell r="P3540" t="str">
            <v>STC9902J</v>
          </cell>
          <cell r="Q3540" t="str">
            <v>磁性位置传感器</v>
          </cell>
        </row>
        <row r="3541">
          <cell r="O3541" t="str">
            <v>SC2402UA</v>
          </cell>
          <cell r="P3541" t="str">
            <v>STC9902J</v>
          </cell>
          <cell r="Q3541" t="str">
            <v>磁性位置传感器</v>
          </cell>
        </row>
        <row r="3542">
          <cell r="O3542" t="str">
            <v>SC2402UA</v>
          </cell>
          <cell r="P3542" t="str">
            <v>STC9902J</v>
          </cell>
          <cell r="Q3542" t="str">
            <v>磁性位置传感器</v>
          </cell>
        </row>
        <row r="3543">
          <cell r="O3543" t="str">
            <v>SC2402UA</v>
          </cell>
          <cell r="P3543" t="str">
            <v>STC9902J</v>
          </cell>
          <cell r="Q3543" t="str">
            <v>磁性位置传感器</v>
          </cell>
        </row>
        <row r="3544">
          <cell r="O3544" t="str">
            <v>SC2402UA</v>
          </cell>
          <cell r="P3544" t="str">
            <v>STC9902J</v>
          </cell>
          <cell r="Q3544" t="str">
            <v>磁性位置传感器</v>
          </cell>
        </row>
        <row r="3545">
          <cell r="O3545" t="str">
            <v>SC1134SO-N</v>
          </cell>
          <cell r="P3545" t="str">
            <v>STC1898AI</v>
          </cell>
          <cell r="Q3545" t="str">
            <v>磁性位置传感器</v>
          </cell>
        </row>
        <row r="3546">
          <cell r="O3546" t="str">
            <v>SC1134SO-N</v>
          </cell>
          <cell r="P3546" t="str">
            <v>STC1898AI</v>
          </cell>
          <cell r="Q3546" t="str">
            <v>磁性位置传感器</v>
          </cell>
        </row>
        <row r="3547">
          <cell r="O3547" t="str">
            <v>2100</v>
          </cell>
          <cell r="P3547" t="str">
            <v>STC9D03E</v>
          </cell>
          <cell r="Q3547" t="str">
            <v>电流传感器</v>
          </cell>
        </row>
        <row r="3548">
          <cell r="O3548" t="str">
            <v>2100</v>
          </cell>
          <cell r="P3548" t="str">
            <v>STC9D03E</v>
          </cell>
          <cell r="Q3548" t="str">
            <v>电流传感器</v>
          </cell>
        </row>
        <row r="3549">
          <cell r="O3549" t="str">
            <v>SC2402SO-N</v>
          </cell>
          <cell r="P3549" t="str">
            <v>STC9902J</v>
          </cell>
          <cell r="Q3549" t="str">
            <v>磁性位置传感器</v>
          </cell>
        </row>
        <row r="3550">
          <cell r="O3550" t="str">
            <v>SC4645VB</v>
          </cell>
          <cell r="P3550" t="str">
            <v>STC9D06F</v>
          </cell>
          <cell r="Q3550" t="str">
            <v>电流传感器</v>
          </cell>
        </row>
        <row r="3551">
          <cell r="O3551" t="str">
            <v>SC2402UA</v>
          </cell>
          <cell r="P3551" t="str">
            <v>STC9G002B</v>
          </cell>
          <cell r="Q3551" t="str">
            <v>磁性位置传感器</v>
          </cell>
        </row>
        <row r="3552">
          <cell r="O3552" t="str">
            <v>SC2402UA</v>
          </cell>
          <cell r="P3552" t="str">
            <v>STC9G002B</v>
          </cell>
          <cell r="Q3552" t="str">
            <v>磁性位置传感器</v>
          </cell>
        </row>
        <row r="3553">
          <cell r="O3553" t="str">
            <v>SC2402UA</v>
          </cell>
          <cell r="P3553" t="str">
            <v>STC9G002B</v>
          </cell>
          <cell r="Q3553" t="str">
            <v>磁性位置传感器</v>
          </cell>
        </row>
        <row r="3554">
          <cell r="O3554" t="str">
            <v>SC2442UA</v>
          </cell>
          <cell r="P3554" t="str">
            <v>STC9906P</v>
          </cell>
          <cell r="Q3554" t="str">
            <v>磁性位置传感器</v>
          </cell>
        </row>
        <row r="3555">
          <cell r="O3555" t="str">
            <v>SC9314UA</v>
          </cell>
          <cell r="P3555" t="str">
            <v>STC9901AF</v>
          </cell>
          <cell r="Q3555" t="str">
            <v>速度传感器</v>
          </cell>
        </row>
        <row r="3556">
          <cell r="O3556" t="str">
            <v>SC9632VB</v>
          </cell>
          <cell r="P3556" t="str">
            <v>STC9905E</v>
          </cell>
          <cell r="Q3556" t="str">
            <v>速度传感器</v>
          </cell>
        </row>
        <row r="3557">
          <cell r="O3557" t="str">
            <v>SC9632VB</v>
          </cell>
          <cell r="P3557" t="str">
            <v>STC9905E</v>
          </cell>
          <cell r="Q3557" t="str">
            <v>速度传感器</v>
          </cell>
        </row>
        <row r="3558">
          <cell r="O3558" t="str">
            <v>SC9632VB</v>
          </cell>
          <cell r="P3558" t="str">
            <v>STC9905E</v>
          </cell>
          <cell r="Q3558" t="str">
            <v>速度传感器</v>
          </cell>
        </row>
        <row r="3559">
          <cell r="O3559" t="str">
            <v>G01</v>
          </cell>
          <cell r="P3559" t="str">
            <v>STC4011B</v>
          </cell>
          <cell r="Q3559" t="str">
            <v>磁性位置传感器</v>
          </cell>
        </row>
        <row r="3560">
          <cell r="O3560" t="str">
            <v>G01</v>
          </cell>
          <cell r="P3560" t="str">
            <v>STC4011B</v>
          </cell>
          <cell r="Q3560" t="str">
            <v>磁性位置传感器</v>
          </cell>
        </row>
        <row r="3561">
          <cell r="O3561" t="str">
            <v>SC2466SO</v>
          </cell>
          <cell r="P3561" t="str">
            <v>STC9906O</v>
          </cell>
          <cell r="Q3561" t="str">
            <v>磁性位置传感器</v>
          </cell>
        </row>
        <row r="3562">
          <cell r="O3562" t="str">
            <v>SC9641TS-PC</v>
          </cell>
          <cell r="P3562" t="str">
            <v>STC9A001I</v>
          </cell>
          <cell r="Q3562" t="str">
            <v>速度传感器</v>
          </cell>
        </row>
        <row r="3563">
          <cell r="O3563" t="str">
            <v>SC9641TS-PC</v>
          </cell>
          <cell r="P3563" t="str">
            <v>STC9A001I</v>
          </cell>
          <cell r="Q3563" t="str">
            <v>速度传感器</v>
          </cell>
        </row>
        <row r="3564">
          <cell r="O3564" t="str">
            <v>SC9641TS-PC</v>
          </cell>
          <cell r="P3564" t="str">
            <v>STC9A001I</v>
          </cell>
          <cell r="Q3564" t="str">
            <v>速度传感器</v>
          </cell>
        </row>
        <row r="3565">
          <cell r="O3565" t="str">
            <v>SC9641TS-PC</v>
          </cell>
          <cell r="P3565" t="str">
            <v>STC9A001I</v>
          </cell>
          <cell r="Q3565" t="str">
            <v>速度传感器</v>
          </cell>
        </row>
        <row r="3566">
          <cell r="O3566" t="str">
            <v>SC9632VB</v>
          </cell>
          <cell r="P3566" t="str">
            <v>STC9905E</v>
          </cell>
          <cell r="Q3566" t="str">
            <v>速度传感器</v>
          </cell>
        </row>
        <row r="3567">
          <cell r="O3567" t="str">
            <v>SC9314UA</v>
          </cell>
          <cell r="P3567" t="str">
            <v>STC9901AF</v>
          </cell>
          <cell r="Q3567" t="str">
            <v>速度传感器</v>
          </cell>
        </row>
        <row r="3568">
          <cell r="O3568" t="str">
            <v>SC9314UA</v>
          </cell>
          <cell r="P3568" t="str">
            <v>STC9901AF</v>
          </cell>
          <cell r="Q3568" t="str">
            <v>速度传感器</v>
          </cell>
        </row>
        <row r="3569">
          <cell r="O3569" t="str">
            <v>SC9314UA</v>
          </cell>
          <cell r="P3569" t="str">
            <v>STC9901AF</v>
          </cell>
          <cell r="Q3569" t="str">
            <v>速度传感器</v>
          </cell>
        </row>
        <row r="3570">
          <cell r="O3570" t="str">
            <v>SC9642TS-E</v>
          </cell>
          <cell r="P3570" t="str">
            <v>STC9A001H</v>
          </cell>
          <cell r="Q3570" t="str">
            <v>速度传感器</v>
          </cell>
        </row>
        <row r="3571">
          <cell r="O3571" t="str">
            <v>SC9642TS-E</v>
          </cell>
          <cell r="P3571" t="str">
            <v>STC9A001H</v>
          </cell>
          <cell r="Q3571" t="str">
            <v>速度传感器</v>
          </cell>
        </row>
        <row r="3572">
          <cell r="O3572" t="str">
            <v>SC9642TS-E</v>
          </cell>
          <cell r="P3572" t="str">
            <v>STC9A001H</v>
          </cell>
          <cell r="Q3572" t="str">
            <v>速度传感器</v>
          </cell>
        </row>
        <row r="3573">
          <cell r="O3573" t="str">
            <v>SC60220</v>
          </cell>
          <cell r="P3573" t="str">
            <v>STC9D04C</v>
          </cell>
          <cell r="Q3573" t="str">
            <v>电机编码器</v>
          </cell>
        </row>
        <row r="3574">
          <cell r="O3574" t="str">
            <v>SC60224-D-500</v>
          </cell>
          <cell r="P3574" t="str">
            <v>STC9D04C</v>
          </cell>
          <cell r="Q3574" t="str">
            <v>电机编码器</v>
          </cell>
        </row>
        <row r="3575">
          <cell r="O3575" t="str">
            <v>SC60221-U-P1-256-244-mai</v>
          </cell>
          <cell r="P3575" t="str">
            <v>STC9D04C</v>
          </cell>
          <cell r="Q3575" t="str">
            <v>电机编码器</v>
          </cell>
        </row>
        <row r="3576">
          <cell r="O3576" t="str">
            <v>SC1134BU</v>
          </cell>
          <cell r="P3576" t="str">
            <v>STC1898AI</v>
          </cell>
          <cell r="Q3576" t="str">
            <v>磁性位置传感器</v>
          </cell>
        </row>
        <row r="3577">
          <cell r="O3577" t="str">
            <v>SD211VB</v>
          </cell>
          <cell r="P3577" t="str">
            <v>FD1016A</v>
          </cell>
          <cell r="Q3577" t="str">
            <v>电机驱动</v>
          </cell>
        </row>
        <row r="3578">
          <cell r="O3578" t="str">
            <v>SD211VB</v>
          </cell>
          <cell r="P3578" t="str">
            <v>FD1016A</v>
          </cell>
          <cell r="Q3578" t="str">
            <v>电机驱动</v>
          </cell>
        </row>
        <row r="3579">
          <cell r="O3579" t="str">
            <v>SD211VB</v>
          </cell>
          <cell r="P3579" t="str">
            <v>FD1016A</v>
          </cell>
          <cell r="Q3579" t="str">
            <v>电机驱动</v>
          </cell>
        </row>
        <row r="3580">
          <cell r="O3580" t="str">
            <v>SD211VB</v>
          </cell>
          <cell r="P3580" t="str">
            <v>FD1016A</v>
          </cell>
          <cell r="Q3580" t="str">
            <v>电机驱动</v>
          </cell>
        </row>
        <row r="3581">
          <cell r="O3581" t="str">
            <v>SD211VB</v>
          </cell>
          <cell r="P3581" t="str">
            <v>FD1016A</v>
          </cell>
          <cell r="Q3581" t="str">
            <v>电机驱动</v>
          </cell>
        </row>
        <row r="3582">
          <cell r="O3582" t="str">
            <v>SD211VB</v>
          </cell>
          <cell r="P3582" t="str">
            <v>FD1016A</v>
          </cell>
          <cell r="Q3582" t="str">
            <v>电机驱动</v>
          </cell>
        </row>
        <row r="3583">
          <cell r="O3583" t="str">
            <v>SD211VB</v>
          </cell>
          <cell r="P3583" t="str">
            <v>FD1016A</v>
          </cell>
          <cell r="Q3583" t="str">
            <v>电机驱动</v>
          </cell>
        </row>
        <row r="3584">
          <cell r="O3584" t="str">
            <v>SD211VB</v>
          </cell>
          <cell r="P3584" t="str">
            <v>FD1016A</v>
          </cell>
          <cell r="Q3584" t="str">
            <v>电机驱动</v>
          </cell>
        </row>
        <row r="3585">
          <cell r="O3585" t="str">
            <v>SC2462SO</v>
          </cell>
          <cell r="P3585" t="str">
            <v>STC9906J</v>
          </cell>
          <cell r="Q3585" t="str">
            <v>磁性位置传感器</v>
          </cell>
        </row>
        <row r="3586">
          <cell r="O3586" t="str">
            <v>SC1139A1</v>
          </cell>
          <cell r="P3586" t="str">
            <v>STC1002AF</v>
          </cell>
          <cell r="Q3586" t="str">
            <v>磁性位置传感器</v>
          </cell>
        </row>
        <row r="3587">
          <cell r="O3587" t="str">
            <v>SC1139A1</v>
          </cell>
          <cell r="P3587" t="str">
            <v>STC1002AF</v>
          </cell>
          <cell r="Q3587" t="str">
            <v>磁性位置传感器</v>
          </cell>
        </row>
        <row r="3588">
          <cell r="O3588" t="str">
            <v>SC1139A1</v>
          </cell>
          <cell r="P3588" t="str">
            <v>STC1002AF</v>
          </cell>
          <cell r="Q3588" t="str">
            <v>磁性位置传感器</v>
          </cell>
        </row>
        <row r="3589">
          <cell r="O3589" t="str">
            <v>SC69401-A</v>
          </cell>
          <cell r="P3589" t="str">
            <v>STC9H002DQ</v>
          </cell>
          <cell r="Q3589" t="str">
            <v>角度传感器</v>
          </cell>
        </row>
        <row r="3590">
          <cell r="O3590" t="str">
            <v>SC2402SO-N</v>
          </cell>
          <cell r="P3590" t="str">
            <v>STC9902J</v>
          </cell>
          <cell r="Q3590" t="str">
            <v>磁性位置传感器</v>
          </cell>
        </row>
        <row r="3591">
          <cell r="O3591" t="str">
            <v>SC2402SO-N</v>
          </cell>
          <cell r="P3591" t="str">
            <v>STC9902J</v>
          </cell>
          <cell r="Q3591" t="str">
            <v>磁性位置传感器</v>
          </cell>
        </row>
        <row r="3592">
          <cell r="O3592" t="str">
            <v>SC2442UA</v>
          </cell>
          <cell r="P3592" t="str">
            <v>STC9906P</v>
          </cell>
          <cell r="Q3592" t="str">
            <v>磁性位置传感器</v>
          </cell>
        </row>
        <row r="3593">
          <cell r="O3593" t="str">
            <v>SC2402SO-N</v>
          </cell>
          <cell r="P3593" t="str">
            <v>STC9G002A</v>
          </cell>
          <cell r="Q3593" t="str">
            <v>磁性位置传感器</v>
          </cell>
        </row>
        <row r="3594">
          <cell r="O3594" t="str">
            <v>SC2402SO-N</v>
          </cell>
          <cell r="P3594" t="str">
            <v>STC9G002A</v>
          </cell>
          <cell r="Q3594" t="str">
            <v>磁性位置传感器</v>
          </cell>
        </row>
        <row r="3595">
          <cell r="O3595" t="str">
            <v>G01</v>
          </cell>
          <cell r="P3595" t="str">
            <v>STC4011B</v>
          </cell>
          <cell r="Q3595" t="str">
            <v>磁性位置传感器</v>
          </cell>
        </row>
        <row r="3596">
          <cell r="O3596" t="str">
            <v>G01</v>
          </cell>
          <cell r="P3596" t="str">
            <v>STC4011B</v>
          </cell>
          <cell r="Q3596" t="str">
            <v>磁性位置传感器</v>
          </cell>
        </row>
        <row r="3597">
          <cell r="O3597" t="str">
            <v>G01</v>
          </cell>
          <cell r="P3597" t="str">
            <v>STC4011B</v>
          </cell>
          <cell r="Q3597" t="str">
            <v>磁性位置传感器</v>
          </cell>
        </row>
        <row r="3598">
          <cell r="O3598" t="str">
            <v>SC2443UA</v>
          </cell>
          <cell r="P3598" t="str">
            <v>STC9906W</v>
          </cell>
          <cell r="Q3598" t="str">
            <v>磁性位置传感器</v>
          </cell>
        </row>
        <row r="3599">
          <cell r="O3599" t="str">
            <v>SC2443SO</v>
          </cell>
          <cell r="P3599" t="str">
            <v>STC9906T</v>
          </cell>
          <cell r="Q3599" t="str">
            <v>磁性位置传感器</v>
          </cell>
        </row>
        <row r="3600">
          <cell r="O3600" t="str">
            <v>SC2448SO</v>
          </cell>
          <cell r="P3600" t="str">
            <v>STC9906S</v>
          </cell>
          <cell r="Q3600" t="str">
            <v>磁性位置传感器</v>
          </cell>
        </row>
        <row r="3601">
          <cell r="O3601" t="str">
            <v>SC2448SO</v>
          </cell>
          <cell r="P3601" t="str">
            <v>STC9906S</v>
          </cell>
          <cell r="Q3601" t="str">
            <v>磁性位置传感器</v>
          </cell>
        </row>
        <row r="3602">
          <cell r="O3602" t="str">
            <v>SC69401-A</v>
          </cell>
          <cell r="P3602" t="str">
            <v>STC9H002DQ</v>
          </cell>
          <cell r="Q3602" t="str">
            <v>角度传感器</v>
          </cell>
        </row>
        <row r="3603">
          <cell r="O3603" t="str">
            <v>SC69401-A</v>
          </cell>
          <cell r="P3603" t="str">
            <v>STC9H002DQ</v>
          </cell>
          <cell r="Q3603" t="str">
            <v>角度传感器</v>
          </cell>
        </row>
        <row r="3604">
          <cell r="O3604" t="str">
            <v>SC2455SO</v>
          </cell>
          <cell r="P3604" t="str">
            <v>STC9906K</v>
          </cell>
          <cell r="Q3604" t="str">
            <v>磁性位置传感器</v>
          </cell>
        </row>
        <row r="3605">
          <cell r="O3605" t="str">
            <v>SC9641TS-PC</v>
          </cell>
          <cell r="P3605" t="str">
            <v>STC9A001I</v>
          </cell>
          <cell r="Q3605" t="str">
            <v>速度传感器</v>
          </cell>
        </row>
        <row r="3606">
          <cell r="O3606" t="str">
            <v>SC9641TS-PC</v>
          </cell>
          <cell r="P3606" t="str">
            <v>STC9A001I</v>
          </cell>
          <cell r="Q3606" t="str">
            <v>速度传感器</v>
          </cell>
        </row>
        <row r="3607">
          <cell r="O3607" t="str">
            <v>SC9641TS-PC</v>
          </cell>
          <cell r="P3607" t="str">
            <v>STC9A001I</v>
          </cell>
          <cell r="Q3607" t="str">
            <v>速度传感器</v>
          </cell>
        </row>
        <row r="3608">
          <cell r="O3608" t="str">
            <v>SC9641TS-PC</v>
          </cell>
          <cell r="P3608" t="str">
            <v>STC9A001I</v>
          </cell>
          <cell r="Q3608" t="str">
            <v>速度传感器</v>
          </cell>
        </row>
        <row r="3609">
          <cell r="O3609" t="str">
            <v>SC9641TS-PC</v>
          </cell>
          <cell r="P3609" t="str">
            <v>STC9A001I</v>
          </cell>
          <cell r="Q3609" t="str">
            <v>速度传感器</v>
          </cell>
        </row>
        <row r="3610">
          <cell r="O3610" t="str">
            <v>SC2402SO-N</v>
          </cell>
          <cell r="P3610" t="str">
            <v>STC9902J</v>
          </cell>
          <cell r="Q3610" t="str">
            <v>磁性位置传感器</v>
          </cell>
        </row>
        <row r="3611">
          <cell r="O3611" t="str">
            <v>SC2402SO-N</v>
          </cell>
          <cell r="P3611" t="str">
            <v>STC9902J</v>
          </cell>
          <cell r="Q3611" t="str">
            <v>磁性位置传感器</v>
          </cell>
        </row>
        <row r="3612">
          <cell r="O3612" t="str">
            <v>SC2442SO-N</v>
          </cell>
          <cell r="P3612" t="str">
            <v>STC9906P</v>
          </cell>
          <cell r="Q3612" t="str">
            <v>磁性位置传感器</v>
          </cell>
        </row>
        <row r="3613">
          <cell r="O3613" t="str">
            <v>SC2442SO-N</v>
          </cell>
          <cell r="P3613" t="str">
            <v>STC9906P</v>
          </cell>
          <cell r="Q3613" t="str">
            <v>磁性位置传感器</v>
          </cell>
        </row>
        <row r="3614">
          <cell r="O3614" t="str">
            <v>SC2442SO-N</v>
          </cell>
          <cell r="P3614" t="str">
            <v>STC9906P</v>
          </cell>
          <cell r="Q3614" t="str">
            <v>磁性位置传感器</v>
          </cell>
        </row>
        <row r="3615">
          <cell r="O3615" t="str">
            <v>SC2442SO-N</v>
          </cell>
          <cell r="P3615" t="str">
            <v>STC9906P</v>
          </cell>
          <cell r="Q3615" t="str">
            <v>磁性位置传感器</v>
          </cell>
        </row>
        <row r="3616">
          <cell r="O3616" t="str">
            <v>SC2442SO-N</v>
          </cell>
          <cell r="P3616" t="str">
            <v>STC9906P</v>
          </cell>
          <cell r="Q3616" t="str">
            <v>磁性位置传感器</v>
          </cell>
        </row>
        <row r="3617">
          <cell r="O3617" t="str">
            <v>SC2442SO-N</v>
          </cell>
          <cell r="P3617" t="str">
            <v>STC9906P</v>
          </cell>
          <cell r="Q3617" t="str">
            <v>磁性位置传感器</v>
          </cell>
        </row>
        <row r="3618">
          <cell r="O3618" t="str">
            <v>SC1138SO-N</v>
          </cell>
          <cell r="P3618" t="str">
            <v>STC1898AC</v>
          </cell>
          <cell r="Q3618" t="str">
            <v>磁性位置传感器</v>
          </cell>
        </row>
        <row r="3619">
          <cell r="O3619" t="str">
            <v>SC1138SO-N</v>
          </cell>
          <cell r="P3619" t="str">
            <v>STC1898AC</v>
          </cell>
          <cell r="Q3619" t="str">
            <v>磁性位置传感器</v>
          </cell>
        </row>
        <row r="3620">
          <cell r="O3620" t="str">
            <v>SC4643VB</v>
          </cell>
          <cell r="P3620" t="str">
            <v>STC9D03E</v>
          </cell>
          <cell r="Q3620" t="str">
            <v>电流传感器</v>
          </cell>
        </row>
        <row r="3621">
          <cell r="O3621" t="str">
            <v>SC9641TS</v>
          </cell>
          <cell r="P3621" t="str">
            <v>STC9910BN</v>
          </cell>
          <cell r="Q3621" t="str">
            <v>速度传感器</v>
          </cell>
        </row>
        <row r="3622">
          <cell r="O3622" t="str">
            <v>SC9641TS</v>
          </cell>
          <cell r="P3622" t="str">
            <v>STC9910BN</v>
          </cell>
          <cell r="Q3622" t="str">
            <v>速度传感器</v>
          </cell>
        </row>
        <row r="3623">
          <cell r="O3623" t="str">
            <v>SC9641TS</v>
          </cell>
          <cell r="P3623" t="str">
            <v>STC9910BN</v>
          </cell>
          <cell r="Q3623" t="str">
            <v>速度传感器</v>
          </cell>
        </row>
        <row r="3624">
          <cell r="O3624" t="str">
            <v>SC9641TS</v>
          </cell>
          <cell r="P3624" t="str">
            <v>STC9910BN</v>
          </cell>
          <cell r="Q3624" t="str">
            <v>速度传感器</v>
          </cell>
        </row>
        <row r="3625">
          <cell r="O3625" t="str">
            <v>SC9641TS</v>
          </cell>
          <cell r="P3625" t="str">
            <v>STC9910BN</v>
          </cell>
          <cell r="Q3625" t="str">
            <v>速度传感器</v>
          </cell>
        </row>
        <row r="3626">
          <cell r="O3626" t="str">
            <v>SC9641TS</v>
          </cell>
          <cell r="P3626" t="str">
            <v>STC9910BN</v>
          </cell>
          <cell r="Q3626" t="str">
            <v>速度传感器</v>
          </cell>
        </row>
        <row r="3627">
          <cell r="O3627" t="str">
            <v>SC9641TS</v>
          </cell>
          <cell r="P3627" t="str">
            <v>STC9910BN</v>
          </cell>
          <cell r="Q3627" t="str">
            <v>速度传感器</v>
          </cell>
        </row>
        <row r="3628">
          <cell r="O3628" t="str">
            <v>SC9641TS</v>
          </cell>
          <cell r="P3628" t="str">
            <v>STC9910BN</v>
          </cell>
          <cell r="Q3628" t="str">
            <v>速度传感器</v>
          </cell>
        </row>
        <row r="3629">
          <cell r="O3629" t="str">
            <v>SC9641TS</v>
          </cell>
          <cell r="P3629" t="str">
            <v>STC9910BN</v>
          </cell>
          <cell r="Q3629" t="str">
            <v>速度传感器</v>
          </cell>
        </row>
        <row r="3630">
          <cell r="O3630" t="str">
            <v>SC9641TS</v>
          </cell>
          <cell r="P3630" t="str">
            <v>STC9910BN</v>
          </cell>
          <cell r="Q3630" t="str">
            <v>速度传感器</v>
          </cell>
        </row>
        <row r="3631">
          <cell r="O3631" t="str">
            <v>SC2438SO</v>
          </cell>
          <cell r="P3631" t="str">
            <v>STC9906M</v>
          </cell>
          <cell r="Q3631" t="str">
            <v>磁性位置传感器</v>
          </cell>
        </row>
        <row r="3632">
          <cell r="O3632" t="str">
            <v>SC9648TS-P</v>
          </cell>
          <cell r="P3632" t="str">
            <v>STC9A001I</v>
          </cell>
          <cell r="Q3632" t="str">
            <v>速度传感器</v>
          </cell>
        </row>
        <row r="3633">
          <cell r="O3633" t="str">
            <v>SC9648TS-P</v>
          </cell>
          <cell r="P3633" t="str">
            <v>STC9A001I</v>
          </cell>
          <cell r="Q3633" t="str">
            <v>速度传感器</v>
          </cell>
        </row>
        <row r="3634">
          <cell r="O3634" t="str">
            <v>SC9648TS-P</v>
          </cell>
          <cell r="P3634" t="str">
            <v>STC9A001I</v>
          </cell>
          <cell r="Q3634" t="str">
            <v>速度传感器</v>
          </cell>
        </row>
        <row r="3635">
          <cell r="O3635" t="str">
            <v>SC9648TS-P</v>
          </cell>
          <cell r="P3635" t="str">
            <v>STC9A001I</v>
          </cell>
          <cell r="Q3635" t="str">
            <v>速度传感器</v>
          </cell>
        </row>
        <row r="3636">
          <cell r="O3636" t="str">
            <v>SC9648TS-P</v>
          </cell>
          <cell r="P3636" t="str">
            <v>STC9A001I</v>
          </cell>
          <cell r="Q3636" t="str">
            <v>速度传感器</v>
          </cell>
        </row>
        <row r="3637">
          <cell r="O3637" t="str">
            <v>SC9641TS-P</v>
          </cell>
          <cell r="P3637" t="str">
            <v>STC9A001I</v>
          </cell>
          <cell r="Q3637" t="str">
            <v>速度传感器</v>
          </cell>
        </row>
        <row r="3638">
          <cell r="O3638" t="str">
            <v>SC60340</v>
          </cell>
          <cell r="P3638" t="str">
            <v>STC9D05B</v>
          </cell>
          <cell r="Q3638" t="str">
            <v>电机编码器</v>
          </cell>
        </row>
        <row r="3639">
          <cell r="O3639" t="str">
            <v>SC2462SO</v>
          </cell>
          <cell r="P3639" t="str">
            <v>STC9906J</v>
          </cell>
          <cell r="Q3639" t="str">
            <v>磁性位置传感器</v>
          </cell>
        </row>
        <row r="3640">
          <cell r="O3640" t="str">
            <v>SC2462SO</v>
          </cell>
          <cell r="P3640" t="str">
            <v>STC9906J</v>
          </cell>
          <cell r="Q3640" t="str">
            <v>磁性位置传感器</v>
          </cell>
        </row>
        <row r="3641">
          <cell r="O3641" t="str">
            <v>SC60228DC</v>
          </cell>
          <cell r="P3641" t="str">
            <v>STC9D04C</v>
          </cell>
          <cell r="Q3641" t="str">
            <v>电机编码器</v>
          </cell>
        </row>
        <row r="3642">
          <cell r="O3642" t="str">
            <v>SC60228DC</v>
          </cell>
          <cell r="P3642" t="str">
            <v>STC9D04C</v>
          </cell>
          <cell r="Q3642" t="str">
            <v>电机编码器</v>
          </cell>
        </row>
        <row r="3643">
          <cell r="O3643" t="str">
            <v>SC60228DC</v>
          </cell>
          <cell r="P3643" t="str">
            <v>STC9D04C</v>
          </cell>
          <cell r="Q3643" t="str">
            <v>电机编码器</v>
          </cell>
        </row>
        <row r="3644">
          <cell r="O3644" t="str">
            <v>SC60221-U-P1-256</v>
          </cell>
          <cell r="P3644" t="str">
            <v>STC9D04C</v>
          </cell>
          <cell r="Q3644" t="str">
            <v>电机编码器</v>
          </cell>
        </row>
        <row r="3645">
          <cell r="O3645" t="str">
            <v>SC60228DC</v>
          </cell>
          <cell r="P3645" t="str">
            <v>STC9D04C</v>
          </cell>
          <cell r="Q3645" t="str">
            <v>电机编码器</v>
          </cell>
        </row>
        <row r="3646">
          <cell r="O3646" t="str">
            <v>SC60228DC</v>
          </cell>
          <cell r="P3646" t="str">
            <v>STC9D04C</v>
          </cell>
          <cell r="Q3646" t="str">
            <v>电机编码器</v>
          </cell>
        </row>
        <row r="3647">
          <cell r="O3647" t="str">
            <v>SC2064SO</v>
          </cell>
          <cell r="P3647" t="str">
            <v>STC9G001C</v>
          </cell>
          <cell r="Q3647" t="str">
            <v>磁性位置传感器</v>
          </cell>
        </row>
        <row r="3648">
          <cell r="O3648" t="str">
            <v>SC1645A1</v>
          </cell>
          <cell r="P3648" t="str">
            <v>STC2899AE</v>
          </cell>
          <cell r="Q3648" t="str">
            <v>磁性位置传感器</v>
          </cell>
        </row>
        <row r="3649">
          <cell r="O3649" t="str">
            <v>SC1645A1</v>
          </cell>
          <cell r="P3649" t="str">
            <v>STC2899AE</v>
          </cell>
          <cell r="Q3649" t="str">
            <v>磁性位置传感器</v>
          </cell>
        </row>
        <row r="3650">
          <cell r="O3650" t="str">
            <v>SC2402UA-G</v>
          </cell>
          <cell r="P3650" t="str">
            <v>STC9G002B</v>
          </cell>
          <cell r="Q3650" t="str">
            <v>磁性位置传感器</v>
          </cell>
        </row>
        <row r="3651">
          <cell r="O3651" t="str">
            <v>G01</v>
          </cell>
          <cell r="P3651" t="str">
            <v>STC4011B</v>
          </cell>
          <cell r="Q3651" t="str">
            <v>磁性位置传感器</v>
          </cell>
        </row>
        <row r="3652">
          <cell r="O3652" t="str">
            <v>G01</v>
          </cell>
          <cell r="P3652" t="str">
            <v>STC4011B</v>
          </cell>
          <cell r="Q3652" t="str">
            <v>磁性位置传感器</v>
          </cell>
        </row>
        <row r="3653">
          <cell r="O3653" t="str">
            <v>G01</v>
          </cell>
          <cell r="P3653" t="str">
            <v>STC4011B</v>
          </cell>
          <cell r="Q3653" t="str">
            <v>磁性位置传感器</v>
          </cell>
        </row>
        <row r="3654">
          <cell r="O3654" t="str">
            <v>G01</v>
          </cell>
          <cell r="P3654" t="str">
            <v>STC4011B</v>
          </cell>
          <cell r="Q3654" t="str">
            <v>磁性位置传感器</v>
          </cell>
        </row>
        <row r="3655">
          <cell r="O3655" t="str">
            <v>G01</v>
          </cell>
          <cell r="P3655" t="str">
            <v>STC4011B</v>
          </cell>
          <cell r="Q3655" t="str">
            <v>磁性位置传感器</v>
          </cell>
        </row>
        <row r="3656">
          <cell r="O3656" t="str">
            <v>G01</v>
          </cell>
          <cell r="P3656" t="str">
            <v>STC4011B</v>
          </cell>
          <cell r="Q3656" t="str">
            <v>磁性位置传感器</v>
          </cell>
        </row>
        <row r="3657">
          <cell r="O3657" t="str">
            <v>G01</v>
          </cell>
          <cell r="P3657" t="str">
            <v>STC4011B</v>
          </cell>
          <cell r="Q3657" t="str">
            <v>磁性位置传感器</v>
          </cell>
        </row>
        <row r="3658">
          <cell r="O3658" t="str">
            <v>G01</v>
          </cell>
          <cell r="P3658" t="str">
            <v>STC4011B</v>
          </cell>
          <cell r="Q3658" t="str">
            <v>磁性位置传感器</v>
          </cell>
        </row>
        <row r="3659">
          <cell r="O3659" t="str">
            <v>G01</v>
          </cell>
          <cell r="P3659" t="str">
            <v>STC4011B</v>
          </cell>
          <cell r="Q3659" t="str">
            <v>磁性位置传感器</v>
          </cell>
        </row>
        <row r="3660">
          <cell r="O3660" t="str">
            <v>G01</v>
          </cell>
          <cell r="P3660" t="str">
            <v>STC4011B</v>
          </cell>
          <cell r="Q3660" t="str">
            <v>磁性位置传感器</v>
          </cell>
        </row>
        <row r="3661">
          <cell r="O3661" t="str">
            <v>SC2402SO-N</v>
          </cell>
          <cell r="P3661" t="str">
            <v>STC9G002A</v>
          </cell>
          <cell r="Q3661" t="str">
            <v>磁性位置传感器</v>
          </cell>
        </row>
        <row r="3662">
          <cell r="O3662" t="str">
            <v>SC2402SO-N</v>
          </cell>
          <cell r="P3662" t="str">
            <v>STC9G002A</v>
          </cell>
          <cell r="Q3662" t="str">
            <v>磁性位置传感器</v>
          </cell>
        </row>
        <row r="3663">
          <cell r="O3663" t="str">
            <v>SC1445A1</v>
          </cell>
          <cell r="P3663" t="str">
            <v>STC2899AB</v>
          </cell>
          <cell r="Q3663" t="str">
            <v>磁性位置传感器</v>
          </cell>
        </row>
        <row r="3664">
          <cell r="O3664" t="str">
            <v>SC4002BU</v>
          </cell>
          <cell r="P3664" t="str">
            <v>STC4000AA</v>
          </cell>
          <cell r="Q3664" t="str">
            <v>磁性位置传感器</v>
          </cell>
        </row>
        <row r="3665">
          <cell r="O3665" t="str">
            <v>SC9314UA</v>
          </cell>
          <cell r="P3665" t="str">
            <v>STC9901AF</v>
          </cell>
          <cell r="Q3665" t="str">
            <v>速度传感器</v>
          </cell>
        </row>
        <row r="3666">
          <cell r="O3666" t="str">
            <v>SC9314UA</v>
          </cell>
          <cell r="P3666" t="str">
            <v>STC9901AF</v>
          </cell>
          <cell r="Q3666" t="str">
            <v>速度传感器</v>
          </cell>
        </row>
        <row r="3667">
          <cell r="O3667" t="str">
            <v>SC2462SO</v>
          </cell>
          <cell r="P3667" t="str">
            <v>STC9906J</v>
          </cell>
          <cell r="Q3667" t="str">
            <v>磁性位置传感器</v>
          </cell>
        </row>
        <row r="3668">
          <cell r="O3668" t="str">
            <v>SC9642TS-E</v>
          </cell>
          <cell r="P3668" t="str">
            <v>STC9A001H</v>
          </cell>
          <cell r="Q3668" t="str">
            <v>速度传感器</v>
          </cell>
        </row>
        <row r="3669">
          <cell r="O3669" t="str">
            <v>SC9641TS-PC</v>
          </cell>
          <cell r="P3669" t="str">
            <v>STC9A001I</v>
          </cell>
          <cell r="Q3669" t="str">
            <v>速度传感器</v>
          </cell>
        </row>
        <row r="3670">
          <cell r="O3670" t="str">
            <v>SC9641TS-PC</v>
          </cell>
          <cell r="P3670" t="str">
            <v>STC9A001I</v>
          </cell>
          <cell r="Q3670" t="str">
            <v>速度传感器</v>
          </cell>
        </row>
        <row r="3671">
          <cell r="O3671" t="str">
            <v>SC9641TS-PC</v>
          </cell>
          <cell r="P3671" t="str">
            <v>STC9A001I</v>
          </cell>
          <cell r="Q3671" t="str">
            <v>速度传感器</v>
          </cell>
        </row>
        <row r="3672">
          <cell r="O3672" t="str">
            <v>SC9641TS-PC</v>
          </cell>
          <cell r="P3672" t="str">
            <v>STC9A001I</v>
          </cell>
          <cell r="Q3672" t="str">
            <v>速度传感器</v>
          </cell>
        </row>
        <row r="3673">
          <cell r="O3673" t="str">
            <v>SC1134UA</v>
          </cell>
          <cell r="P3673" t="str">
            <v>STC1898AI</v>
          </cell>
          <cell r="Q3673" t="str">
            <v>磁性位置传感器</v>
          </cell>
        </row>
        <row r="3674">
          <cell r="O3674" t="str">
            <v>SC1134UA</v>
          </cell>
          <cell r="P3674" t="str">
            <v>STC1898AI</v>
          </cell>
          <cell r="Q3674" t="str">
            <v>磁性位置传感器</v>
          </cell>
        </row>
        <row r="3675">
          <cell r="O3675" t="str">
            <v>SC1134UA</v>
          </cell>
          <cell r="P3675" t="str">
            <v>STC1898AI</v>
          </cell>
          <cell r="Q3675" t="str">
            <v>磁性位置传感器</v>
          </cell>
        </row>
        <row r="3676">
          <cell r="O3676" t="str">
            <v>SC1134UA</v>
          </cell>
          <cell r="P3676" t="str">
            <v>STC1898AI</v>
          </cell>
          <cell r="Q3676" t="str">
            <v>磁性位置传感器</v>
          </cell>
        </row>
        <row r="3677">
          <cell r="O3677" t="str">
            <v>SC1134UA</v>
          </cell>
          <cell r="P3677" t="str">
            <v>STC1898AI</v>
          </cell>
          <cell r="Q3677" t="str">
            <v>磁性位置传感器</v>
          </cell>
        </row>
        <row r="3678">
          <cell r="O3678" t="str">
            <v>SC1134UA</v>
          </cell>
          <cell r="P3678" t="str">
            <v>STC1898AI</v>
          </cell>
          <cell r="Q3678" t="str">
            <v>磁性位置传感器</v>
          </cell>
        </row>
        <row r="3679">
          <cell r="O3679" t="str">
            <v>SC1134UA</v>
          </cell>
          <cell r="P3679" t="str">
            <v>STC1898AI</v>
          </cell>
          <cell r="Q3679" t="str">
            <v>磁性位置传感器</v>
          </cell>
        </row>
        <row r="3680">
          <cell r="O3680" t="str">
            <v>SC1134UA</v>
          </cell>
          <cell r="P3680" t="str">
            <v>STC1898AI</v>
          </cell>
          <cell r="Q3680" t="str">
            <v>磁性位置传感器</v>
          </cell>
        </row>
        <row r="3681">
          <cell r="O3681" t="str">
            <v>SC4688SA</v>
          </cell>
          <cell r="P3681" t="str">
            <v>STC9D01C</v>
          </cell>
          <cell r="Q3681" t="str">
            <v>角度传感器</v>
          </cell>
        </row>
        <row r="3682">
          <cell r="O3682" t="str">
            <v>SC4688SA</v>
          </cell>
          <cell r="P3682" t="str">
            <v>STC9D01C</v>
          </cell>
          <cell r="Q3682" t="str">
            <v>角度传感器</v>
          </cell>
        </row>
        <row r="3683">
          <cell r="O3683" t="str">
            <v>SC4688SA</v>
          </cell>
          <cell r="P3683" t="str">
            <v>STC9D01C</v>
          </cell>
          <cell r="Q3683" t="str">
            <v>角度传感器</v>
          </cell>
        </row>
        <row r="3684">
          <cell r="O3684" t="str">
            <v>SC4688SA</v>
          </cell>
          <cell r="P3684" t="str">
            <v>STC9D01C</v>
          </cell>
          <cell r="Q3684" t="str">
            <v>角度传感器</v>
          </cell>
        </row>
        <row r="3685">
          <cell r="O3685" t="str">
            <v>SC4688SA</v>
          </cell>
          <cell r="P3685" t="str">
            <v>STC9D01C</v>
          </cell>
          <cell r="Q3685" t="str">
            <v>角度传感器</v>
          </cell>
        </row>
        <row r="3686">
          <cell r="O3686" t="str">
            <v>SC4688SA</v>
          </cell>
          <cell r="P3686" t="str">
            <v>STC9D01C</v>
          </cell>
          <cell r="Q3686" t="str">
            <v>角度传感器</v>
          </cell>
        </row>
        <row r="3687">
          <cell r="O3687" t="str">
            <v>SC4688SA</v>
          </cell>
          <cell r="P3687" t="str">
            <v>STC9D01C</v>
          </cell>
          <cell r="Q3687" t="str">
            <v>角度传感器</v>
          </cell>
        </row>
        <row r="3688">
          <cell r="O3688" t="str">
            <v>SC9641TS-PC</v>
          </cell>
          <cell r="P3688" t="str">
            <v>STC9A001I</v>
          </cell>
          <cell r="Q3688" t="str">
            <v>速度传感器</v>
          </cell>
        </row>
        <row r="3689">
          <cell r="O3689" t="str">
            <v>SC9641TS-PC</v>
          </cell>
          <cell r="P3689" t="str">
            <v>STC9A001I</v>
          </cell>
          <cell r="Q3689" t="str">
            <v>速度传感器</v>
          </cell>
        </row>
        <row r="3690">
          <cell r="O3690" t="str">
            <v>SC9641TS-PC</v>
          </cell>
          <cell r="P3690" t="str">
            <v>STC9A001I</v>
          </cell>
          <cell r="Q3690" t="str">
            <v>速度传感器</v>
          </cell>
        </row>
        <row r="3691">
          <cell r="O3691" t="str">
            <v>SC9632VB</v>
          </cell>
          <cell r="P3691" t="str">
            <v>STC9905E</v>
          </cell>
          <cell r="Q3691" t="str">
            <v>速度传感器</v>
          </cell>
        </row>
        <row r="3692">
          <cell r="O3692" t="str">
            <v>SC9648TS-P</v>
          </cell>
          <cell r="P3692" t="str">
            <v>STC9A001I</v>
          </cell>
          <cell r="Q3692" t="str">
            <v>速度传感器</v>
          </cell>
        </row>
        <row r="3693">
          <cell r="O3693" t="str">
            <v>SC9642TS-E</v>
          </cell>
          <cell r="P3693" t="str">
            <v>STC9A001H</v>
          </cell>
          <cell r="Q3693" t="str">
            <v>速度传感器</v>
          </cell>
        </row>
        <row r="3694">
          <cell r="O3694" t="str">
            <v>SC4688SA</v>
          </cell>
          <cell r="P3694" t="str">
            <v>STC9D01C</v>
          </cell>
          <cell r="Q3694" t="str">
            <v>角度传感器</v>
          </cell>
        </row>
        <row r="3695">
          <cell r="O3695" t="str">
            <v>SC4689SA</v>
          </cell>
          <cell r="P3695" t="str">
            <v>STC9D01F</v>
          </cell>
          <cell r="Q3695" t="str">
            <v>角度传感器</v>
          </cell>
        </row>
        <row r="3696">
          <cell r="O3696" t="str">
            <v>G01</v>
          </cell>
          <cell r="P3696" t="str">
            <v>STC4011B</v>
          </cell>
          <cell r="Q3696" t="str">
            <v>磁性位置传感器</v>
          </cell>
        </row>
        <row r="3697">
          <cell r="O3697" t="str">
            <v>G01</v>
          </cell>
          <cell r="P3697" t="str">
            <v>STC4011B</v>
          </cell>
          <cell r="Q3697" t="str">
            <v>磁性位置传感器</v>
          </cell>
        </row>
        <row r="3698">
          <cell r="O3698" t="str">
            <v>G01</v>
          </cell>
          <cell r="P3698" t="str">
            <v>STC4011B</v>
          </cell>
          <cell r="Q3698" t="str">
            <v>磁性位置传感器</v>
          </cell>
        </row>
        <row r="3699">
          <cell r="O3699" t="str">
            <v>G01</v>
          </cell>
          <cell r="P3699" t="str">
            <v>STC4011B</v>
          </cell>
          <cell r="Q3699" t="str">
            <v>磁性位置传感器</v>
          </cell>
        </row>
        <row r="3700">
          <cell r="O3700" t="str">
            <v>G01</v>
          </cell>
          <cell r="P3700" t="str">
            <v>STC4011B</v>
          </cell>
          <cell r="Q3700" t="str">
            <v>磁性位置传感器</v>
          </cell>
        </row>
        <row r="3701">
          <cell r="O3701" t="str">
            <v>G01</v>
          </cell>
          <cell r="P3701" t="str">
            <v>STC4011B</v>
          </cell>
          <cell r="Q3701" t="str">
            <v>磁性位置传感器</v>
          </cell>
        </row>
        <row r="3702">
          <cell r="O3702" t="str">
            <v>G01</v>
          </cell>
          <cell r="P3702" t="str">
            <v>STC4011B</v>
          </cell>
          <cell r="Q3702" t="str">
            <v>磁性位置传感器</v>
          </cell>
        </row>
        <row r="3703">
          <cell r="O3703" t="str">
            <v>SC2402SO-N</v>
          </cell>
          <cell r="P3703" t="str">
            <v>STC9H001A</v>
          </cell>
          <cell r="Q3703" t="str">
            <v>磁性位置传感器</v>
          </cell>
        </row>
        <row r="3704">
          <cell r="O3704" t="str">
            <v>SC2402SO-N</v>
          </cell>
          <cell r="P3704" t="str">
            <v>STC9H001A</v>
          </cell>
          <cell r="Q3704" t="str">
            <v>磁性位置传感器</v>
          </cell>
        </row>
        <row r="3705">
          <cell r="O3705" t="str">
            <v>G01</v>
          </cell>
          <cell r="P3705" t="str">
            <v>STC4011B</v>
          </cell>
          <cell r="Q3705" t="str">
            <v>磁性位置传感器</v>
          </cell>
        </row>
        <row r="3706">
          <cell r="O3706" t="str">
            <v>G01</v>
          </cell>
          <cell r="P3706" t="str">
            <v>STC4011B</v>
          </cell>
          <cell r="Q3706" t="str">
            <v>磁性位置传感器</v>
          </cell>
        </row>
        <row r="3707">
          <cell r="O3707" t="str">
            <v>SC4624SP50B5</v>
          </cell>
          <cell r="P3707" t="str">
            <v>STC9D06F</v>
          </cell>
          <cell r="Q3707" t="str">
            <v>电流传感器</v>
          </cell>
        </row>
        <row r="3708">
          <cell r="O3708" t="str">
            <v>SC1645A1</v>
          </cell>
          <cell r="P3708" t="str">
            <v>STC2899AE</v>
          </cell>
          <cell r="Q3708" t="str">
            <v>磁性位置传感器</v>
          </cell>
        </row>
        <row r="3709">
          <cell r="O3709" t="str">
            <v>SC2402UA</v>
          </cell>
          <cell r="P3709" t="str">
            <v>STC9902J</v>
          </cell>
          <cell r="Q3709" t="str">
            <v>磁性位置传感器</v>
          </cell>
        </row>
        <row r="3710">
          <cell r="O3710" t="str">
            <v>SC2402UA</v>
          </cell>
          <cell r="P3710" t="str">
            <v>STC9902J</v>
          </cell>
          <cell r="Q3710" t="str">
            <v>磁性位置传感器</v>
          </cell>
        </row>
        <row r="3711">
          <cell r="O3711" t="str">
            <v>SC2402UA</v>
          </cell>
          <cell r="P3711" t="str">
            <v>STC9902J</v>
          </cell>
          <cell r="Q3711" t="str">
            <v>磁性位置传感器</v>
          </cell>
        </row>
        <row r="3712">
          <cell r="O3712" t="str">
            <v>SC2402UA</v>
          </cell>
          <cell r="P3712" t="str">
            <v>STC9902J</v>
          </cell>
          <cell r="Q3712" t="str">
            <v>磁性位置传感器</v>
          </cell>
        </row>
        <row r="3713">
          <cell r="O3713" t="str">
            <v>SC2402UA-G</v>
          </cell>
          <cell r="P3713" t="str">
            <v>STC9G002B</v>
          </cell>
          <cell r="Q3713" t="str">
            <v>磁性位置传感器</v>
          </cell>
        </row>
        <row r="3714">
          <cell r="O3714" t="str">
            <v>2100</v>
          </cell>
          <cell r="P3714" t="str">
            <v>STC9D03E</v>
          </cell>
          <cell r="Q3714" t="str">
            <v>电流传感器</v>
          </cell>
        </row>
        <row r="3715">
          <cell r="O3715" t="str">
            <v>2100</v>
          </cell>
          <cell r="P3715" t="str">
            <v>STC9D03E</v>
          </cell>
          <cell r="Q3715" t="str">
            <v>电流传感器</v>
          </cell>
        </row>
        <row r="3716">
          <cell r="O3716" t="str">
            <v>2100</v>
          </cell>
          <cell r="P3716" t="str">
            <v>STC9D03E</v>
          </cell>
          <cell r="Q3716" t="str">
            <v>电流传感器</v>
          </cell>
        </row>
        <row r="3717">
          <cell r="O3717" t="str">
            <v>2100</v>
          </cell>
          <cell r="P3717" t="str">
            <v>STC9D03E</v>
          </cell>
          <cell r="Q3717" t="str">
            <v>电流传感器</v>
          </cell>
        </row>
        <row r="3718">
          <cell r="O3718" t="str">
            <v>SC4645VB</v>
          </cell>
          <cell r="P3718" t="str">
            <v>STC9D06F</v>
          </cell>
          <cell r="Q3718" t="str">
            <v>电流传感器</v>
          </cell>
        </row>
        <row r="3719">
          <cell r="O3719" t="str">
            <v>SC4645VB</v>
          </cell>
          <cell r="P3719" t="str">
            <v>STC9D06F</v>
          </cell>
          <cell r="Q3719" t="str">
            <v>电流传感器</v>
          </cell>
        </row>
        <row r="3720">
          <cell r="O3720" t="str">
            <v>SC2242SO</v>
          </cell>
          <cell r="P3720" t="str">
            <v>STC9906H</v>
          </cell>
          <cell r="Q3720" t="str">
            <v>磁性位置传感器</v>
          </cell>
        </row>
        <row r="3721">
          <cell r="O3721" t="str">
            <v>SC2242SO</v>
          </cell>
          <cell r="P3721" t="str">
            <v>STC9906H</v>
          </cell>
          <cell r="Q3721" t="str">
            <v>磁性位置传感器</v>
          </cell>
        </row>
        <row r="3722">
          <cell r="O3722" t="str">
            <v>SC2242SO</v>
          </cell>
          <cell r="P3722" t="str">
            <v>STC9906H</v>
          </cell>
          <cell r="Q3722" t="str">
            <v>磁性位置传感器</v>
          </cell>
        </row>
        <row r="3723">
          <cell r="O3723" t="str">
            <v>SC2242SO</v>
          </cell>
          <cell r="P3723" t="str">
            <v>STC9906H</v>
          </cell>
          <cell r="Q3723" t="str">
            <v>磁性位置传感器</v>
          </cell>
        </row>
        <row r="3724">
          <cell r="O3724" t="str">
            <v>SC2462SO</v>
          </cell>
          <cell r="P3724" t="str">
            <v>STC9906J</v>
          </cell>
          <cell r="Q3724" t="str">
            <v>磁性位置传感器</v>
          </cell>
        </row>
        <row r="3725">
          <cell r="O3725" t="str">
            <v>SC2063SO</v>
          </cell>
          <cell r="P3725" t="str">
            <v>STC9G001C</v>
          </cell>
          <cell r="Q3725" t="str">
            <v>磁性位置传感器</v>
          </cell>
        </row>
        <row r="3726">
          <cell r="O3726" t="str">
            <v>G01</v>
          </cell>
          <cell r="P3726" t="str">
            <v>STC4011B</v>
          </cell>
          <cell r="Q3726" t="str">
            <v>磁性位置传感器</v>
          </cell>
        </row>
        <row r="3727">
          <cell r="O3727" t="str">
            <v>G01</v>
          </cell>
          <cell r="P3727" t="str">
            <v>STC4011B</v>
          </cell>
          <cell r="Q3727" t="str">
            <v>磁性位置传感器</v>
          </cell>
        </row>
        <row r="3728">
          <cell r="O3728" t="str">
            <v>G01</v>
          </cell>
          <cell r="P3728" t="str">
            <v>STC4011B</v>
          </cell>
          <cell r="Q3728" t="str">
            <v>磁性位置传感器</v>
          </cell>
        </row>
        <row r="3729">
          <cell r="O3729" t="str">
            <v>G01</v>
          </cell>
          <cell r="P3729" t="str">
            <v>STC4011B</v>
          </cell>
          <cell r="Q3729" t="str">
            <v>磁性位置传感器</v>
          </cell>
        </row>
        <row r="3730">
          <cell r="O3730" t="str">
            <v>通用编程器2.0</v>
          </cell>
          <cell r="P3730" t="str">
            <v xml:space="preserve"> </v>
          </cell>
          <cell r="Q3730" t="str">
            <v>速度传感器</v>
          </cell>
        </row>
        <row r="3731">
          <cell r="O3731" t="str">
            <v>SC4688编程板</v>
          </cell>
          <cell r="P3731" t="str">
            <v xml:space="preserve"> </v>
          </cell>
          <cell r="Q3731" t="str">
            <v>角度传感器</v>
          </cell>
        </row>
        <row r="3732">
          <cell r="O3732" t="str">
            <v>SC9641TS-PC</v>
          </cell>
          <cell r="P3732" t="str">
            <v>STC9A001I</v>
          </cell>
          <cell r="Q3732" t="str">
            <v>速度传感器</v>
          </cell>
        </row>
        <row r="3733">
          <cell r="O3733" t="str">
            <v>SC9641TS-PC</v>
          </cell>
          <cell r="P3733" t="str">
            <v>STC9A001I</v>
          </cell>
          <cell r="Q3733" t="str">
            <v>速度传感器</v>
          </cell>
        </row>
        <row r="3734">
          <cell r="O3734" t="str">
            <v>SC9641TS-PC</v>
          </cell>
          <cell r="P3734" t="str">
            <v>STC9A001I</v>
          </cell>
          <cell r="Q3734" t="str">
            <v>速度传感器</v>
          </cell>
        </row>
        <row r="3735">
          <cell r="O3735" t="str">
            <v>ZH619A0</v>
          </cell>
          <cell r="P3735" t="str">
            <v>STC22303</v>
          </cell>
          <cell r="Q3735" t="str">
            <v>电机驱动</v>
          </cell>
        </row>
        <row r="3736">
          <cell r="O3736" t="str">
            <v>ZH619A0</v>
          </cell>
          <cell r="P3736" t="str">
            <v>STC22303</v>
          </cell>
          <cell r="Q3736" t="str">
            <v>电机驱动</v>
          </cell>
        </row>
        <row r="3737">
          <cell r="O3737" t="str">
            <v>ZH619A0</v>
          </cell>
          <cell r="P3737" t="str">
            <v>STC22303</v>
          </cell>
          <cell r="Q3737" t="str">
            <v>电机驱动</v>
          </cell>
        </row>
        <row r="3738">
          <cell r="O3738" t="str">
            <v>SC9648TS-P</v>
          </cell>
          <cell r="P3738" t="str">
            <v>STC9A001I</v>
          </cell>
          <cell r="Q3738" t="str">
            <v>速度传感器</v>
          </cell>
        </row>
        <row r="3739">
          <cell r="O3739" t="str">
            <v>SC9648TS-P</v>
          </cell>
          <cell r="P3739" t="str">
            <v>STC9A001I</v>
          </cell>
          <cell r="Q3739" t="str">
            <v>速度传感器</v>
          </cell>
        </row>
        <row r="3740">
          <cell r="O3740" t="str">
            <v>SC9648TS-P</v>
          </cell>
          <cell r="P3740" t="str">
            <v>STC9A001I</v>
          </cell>
          <cell r="Q3740" t="str">
            <v>速度传感器</v>
          </cell>
        </row>
        <row r="3741">
          <cell r="O3741" t="str">
            <v>SC9648TS-P</v>
          </cell>
          <cell r="P3741" t="str">
            <v>STC9A001I</v>
          </cell>
          <cell r="Q3741" t="str">
            <v>速度传感器</v>
          </cell>
        </row>
        <row r="3742">
          <cell r="O3742" t="str">
            <v>SC9648TS-P</v>
          </cell>
          <cell r="P3742" t="str">
            <v>STC9A001I</v>
          </cell>
          <cell r="Q3742" t="str">
            <v>速度传感器</v>
          </cell>
        </row>
        <row r="3743">
          <cell r="O3743" t="str">
            <v>SC9648TS-P</v>
          </cell>
          <cell r="P3743" t="str">
            <v>STC9A001I</v>
          </cell>
          <cell r="Q3743" t="str">
            <v>速度传感器</v>
          </cell>
        </row>
        <row r="3744">
          <cell r="O3744" t="str">
            <v>SC60221-U-P1-256-244-mai</v>
          </cell>
          <cell r="P3744" t="str">
            <v>STC9D04C</v>
          </cell>
          <cell r="Q3744" t="str">
            <v>电机编码器</v>
          </cell>
        </row>
        <row r="3745">
          <cell r="O3745" t="str">
            <v>SC60221-D-256</v>
          </cell>
          <cell r="P3745" t="str">
            <v>STC9D04C</v>
          </cell>
          <cell r="Q3745" t="str">
            <v>电机编码器</v>
          </cell>
        </row>
        <row r="3746">
          <cell r="O3746" t="str">
            <v>SC2402SO-N</v>
          </cell>
          <cell r="P3746" t="str">
            <v>STC9H001A</v>
          </cell>
          <cell r="Q3746" t="str">
            <v>磁性位置传感器</v>
          </cell>
        </row>
        <row r="3747">
          <cell r="O3747" t="str">
            <v>SD211VB</v>
          </cell>
          <cell r="P3747" t="str">
            <v>FD1016A</v>
          </cell>
          <cell r="Q3747" t="str">
            <v>电机驱动</v>
          </cell>
        </row>
        <row r="3748">
          <cell r="O3748" t="str">
            <v>SD211VB</v>
          </cell>
          <cell r="P3748" t="str">
            <v>FD1016A</v>
          </cell>
          <cell r="Q3748" t="str">
            <v>电机驱动</v>
          </cell>
        </row>
        <row r="3749">
          <cell r="O3749" t="str">
            <v>SD211VB</v>
          </cell>
          <cell r="P3749" t="str">
            <v>FD1016A</v>
          </cell>
          <cell r="Q3749" t="str">
            <v>电机驱动</v>
          </cell>
        </row>
        <row r="3750">
          <cell r="O3750" t="str">
            <v>SD211VB</v>
          </cell>
          <cell r="P3750" t="str">
            <v>FD1016A</v>
          </cell>
          <cell r="Q3750" t="str">
            <v>电机驱动</v>
          </cell>
        </row>
        <row r="3751">
          <cell r="O3751" t="str">
            <v>SD211VB</v>
          </cell>
          <cell r="P3751" t="str">
            <v>FD1016A</v>
          </cell>
          <cell r="Q3751" t="str">
            <v>电机驱动</v>
          </cell>
        </row>
        <row r="3752">
          <cell r="O3752" t="str">
            <v>SD211VB</v>
          </cell>
          <cell r="P3752" t="str">
            <v>FD1016A</v>
          </cell>
          <cell r="Q3752" t="str">
            <v>电机驱动</v>
          </cell>
        </row>
        <row r="3753">
          <cell r="O3753" t="str">
            <v>SC2432SO</v>
          </cell>
          <cell r="P3753" t="str">
            <v>STC9906M</v>
          </cell>
          <cell r="Q3753" t="str">
            <v>磁性位置传感器</v>
          </cell>
        </row>
        <row r="3754">
          <cell r="O3754" t="str">
            <v>SC4645VB</v>
          </cell>
          <cell r="P3754" t="str">
            <v>STC9D06F</v>
          </cell>
          <cell r="Q3754" t="str">
            <v>电流传感器</v>
          </cell>
        </row>
        <row r="3755">
          <cell r="O3755" t="str">
            <v>SC2438UA</v>
          </cell>
          <cell r="P3755" t="str">
            <v>STC9906I</v>
          </cell>
          <cell r="Q3755" t="str">
            <v>磁性位置传感器</v>
          </cell>
        </row>
        <row r="3756">
          <cell r="O3756" t="str">
            <v>SC2402SO-N</v>
          </cell>
          <cell r="P3756" t="str">
            <v>STC9902J</v>
          </cell>
          <cell r="Q3756" t="str">
            <v>磁性位置传感器</v>
          </cell>
        </row>
        <row r="3757">
          <cell r="O3757" t="str">
            <v>SC2402SO-N</v>
          </cell>
          <cell r="P3757" t="str">
            <v>STC9902J</v>
          </cell>
          <cell r="Q3757" t="str">
            <v>磁性位置传感器</v>
          </cell>
        </row>
        <row r="3758">
          <cell r="O3758" t="str">
            <v>SC2402SO-N</v>
          </cell>
          <cell r="P3758" t="str">
            <v>STC9902J</v>
          </cell>
          <cell r="Q3758" t="str">
            <v>磁性位置传感器</v>
          </cell>
        </row>
        <row r="3759">
          <cell r="O3759" t="str">
            <v>SC2434SO</v>
          </cell>
          <cell r="P3759" t="str">
            <v>STC9906I</v>
          </cell>
          <cell r="Q3759" t="str">
            <v>磁性位置传感器</v>
          </cell>
        </row>
        <row r="3760">
          <cell r="O3760" t="str">
            <v>SC2434SO</v>
          </cell>
          <cell r="P3760" t="str">
            <v>STC9906I</v>
          </cell>
          <cell r="Q3760" t="str">
            <v>磁性位置传感器</v>
          </cell>
        </row>
        <row r="3761">
          <cell r="O3761" t="str">
            <v>SC2434SO</v>
          </cell>
          <cell r="P3761" t="str">
            <v>STC9906I</v>
          </cell>
          <cell r="Q3761" t="str">
            <v>磁性位置传感器</v>
          </cell>
        </row>
        <row r="3762">
          <cell r="O3762" t="str">
            <v>G01</v>
          </cell>
          <cell r="P3762" t="str">
            <v>STC4011B</v>
          </cell>
          <cell r="Q3762" t="str">
            <v>磁性位置传感器</v>
          </cell>
        </row>
        <row r="3763">
          <cell r="O3763" t="str">
            <v>G01</v>
          </cell>
          <cell r="P3763" t="str">
            <v>STC4011B</v>
          </cell>
          <cell r="Q3763" t="str">
            <v>磁性位置传感器</v>
          </cell>
        </row>
        <row r="3764">
          <cell r="O3764" t="str">
            <v>G01</v>
          </cell>
          <cell r="P3764" t="str">
            <v>STC4011B</v>
          </cell>
          <cell r="Q3764" t="str">
            <v>磁性位置传感器</v>
          </cell>
        </row>
        <row r="3765">
          <cell r="O3765" t="str">
            <v>SC2402SO-N</v>
          </cell>
          <cell r="P3765" t="str">
            <v>STC9G002A</v>
          </cell>
          <cell r="Q3765" t="str">
            <v>磁性位置传感器</v>
          </cell>
        </row>
        <row r="3766">
          <cell r="O3766" t="str">
            <v>SC9625VB-L</v>
          </cell>
          <cell r="P3766" t="str">
            <v>STC9910E</v>
          </cell>
          <cell r="Q3766" t="str">
            <v>速度传感器</v>
          </cell>
        </row>
        <row r="3767">
          <cell r="O3767" t="str">
            <v>SC69401-A</v>
          </cell>
          <cell r="P3767" t="str">
            <v>STC9H002DQ</v>
          </cell>
          <cell r="Q3767" t="str">
            <v>角度传感器</v>
          </cell>
        </row>
        <row r="3768">
          <cell r="O3768" t="str">
            <v>SC2442UA</v>
          </cell>
          <cell r="P3768" t="str">
            <v>STC9906P</v>
          </cell>
          <cell r="Q3768" t="str">
            <v>磁性位置传感器</v>
          </cell>
        </row>
        <row r="3769">
          <cell r="O3769" t="str">
            <v>SC9641TS-PC</v>
          </cell>
          <cell r="P3769" t="str">
            <v>STC9A001I</v>
          </cell>
          <cell r="Q3769" t="str">
            <v>速度传感器</v>
          </cell>
        </row>
        <row r="3770">
          <cell r="O3770" t="str">
            <v>SC4643VB</v>
          </cell>
          <cell r="P3770" t="str">
            <v>STC9D03E</v>
          </cell>
          <cell r="Q3770" t="str">
            <v>电流传感器</v>
          </cell>
        </row>
        <row r="3771">
          <cell r="O3771" t="str">
            <v>SC2402UA-G</v>
          </cell>
          <cell r="P3771" t="str">
            <v>STC9G002B</v>
          </cell>
          <cell r="Q3771" t="str">
            <v>磁性位置传感器</v>
          </cell>
        </row>
        <row r="3772">
          <cell r="O3772" t="str">
            <v>SC1138SO-N</v>
          </cell>
          <cell r="P3772" t="str">
            <v>STC1898AC</v>
          </cell>
          <cell r="Q3772" t="str">
            <v>磁性位置传感器</v>
          </cell>
        </row>
        <row r="3773">
          <cell r="O3773" t="str">
            <v>SC9641TS-P</v>
          </cell>
          <cell r="P3773" t="str">
            <v>STC9A001I</v>
          </cell>
          <cell r="Q3773" t="str">
            <v>速度传感器</v>
          </cell>
        </row>
        <row r="3774">
          <cell r="O3774" t="str">
            <v>SC9641TS-PC</v>
          </cell>
          <cell r="P3774" t="str">
            <v>STC9A001I</v>
          </cell>
          <cell r="Q3774" t="str">
            <v>速度传感器</v>
          </cell>
        </row>
        <row r="3775">
          <cell r="O3775" t="str">
            <v>SC9625VB-L</v>
          </cell>
          <cell r="P3775" t="str">
            <v>STC9910E</v>
          </cell>
          <cell r="Q3775" t="str">
            <v>速度传感器</v>
          </cell>
        </row>
        <row r="3776">
          <cell r="O3776" t="str">
            <v>SC9625VB-L</v>
          </cell>
          <cell r="P3776" t="str">
            <v>STC9910E</v>
          </cell>
          <cell r="Q3776" t="str">
            <v>速度传感器</v>
          </cell>
        </row>
        <row r="3777">
          <cell r="O3777" t="str">
            <v>SC9625VB-L</v>
          </cell>
          <cell r="P3777" t="str">
            <v>STC9910E</v>
          </cell>
          <cell r="Q3777" t="str">
            <v>速度传感器</v>
          </cell>
        </row>
        <row r="3778">
          <cell r="O3778" t="str">
            <v>SC9625VB-L</v>
          </cell>
          <cell r="P3778" t="str">
            <v>STC9910E</v>
          </cell>
          <cell r="Q3778" t="str">
            <v>速度传感器</v>
          </cell>
        </row>
        <row r="3779">
          <cell r="O3779" t="str">
            <v>SC9625VB-L</v>
          </cell>
          <cell r="P3779" t="str">
            <v>STC9910E</v>
          </cell>
          <cell r="Q3779" t="str">
            <v>速度传感器</v>
          </cell>
        </row>
        <row r="3780">
          <cell r="O3780" t="str">
            <v>SC9625VB-L</v>
          </cell>
          <cell r="P3780" t="str">
            <v>STC9910E</v>
          </cell>
          <cell r="Q3780" t="str">
            <v>速度传感器</v>
          </cell>
        </row>
        <row r="3781">
          <cell r="O3781" t="str">
            <v>SC9625VB-L</v>
          </cell>
          <cell r="P3781" t="str">
            <v>STC9910E</v>
          </cell>
          <cell r="Q3781" t="str">
            <v>速度传感器</v>
          </cell>
        </row>
        <row r="3782">
          <cell r="O3782" t="str">
            <v>SC9625VB-L</v>
          </cell>
          <cell r="P3782" t="str">
            <v>STC9910E</v>
          </cell>
          <cell r="Q3782" t="str">
            <v>速度传感器</v>
          </cell>
        </row>
        <row r="3783">
          <cell r="O3783" t="str">
            <v>SC9641TS</v>
          </cell>
          <cell r="P3783" t="str">
            <v>STC9910BN</v>
          </cell>
          <cell r="Q3783" t="str">
            <v>速度传感器</v>
          </cell>
        </row>
        <row r="3784">
          <cell r="O3784" t="str">
            <v>SC9641TS</v>
          </cell>
          <cell r="P3784" t="str">
            <v>STC9910BN</v>
          </cell>
          <cell r="Q3784" t="str">
            <v>速度传感器</v>
          </cell>
        </row>
        <row r="3785">
          <cell r="O3785" t="str">
            <v>SC9641TS</v>
          </cell>
          <cell r="P3785" t="str">
            <v>STC9910BN</v>
          </cell>
          <cell r="Q3785" t="str">
            <v>速度传感器</v>
          </cell>
        </row>
        <row r="3786">
          <cell r="O3786" t="str">
            <v>SC9641TS</v>
          </cell>
          <cell r="P3786" t="str">
            <v>STC9910BN</v>
          </cell>
          <cell r="Q3786" t="str">
            <v>速度传感器</v>
          </cell>
        </row>
        <row r="3787">
          <cell r="O3787" t="str">
            <v>SC9641TS</v>
          </cell>
          <cell r="P3787" t="str">
            <v>STC9910BN</v>
          </cell>
          <cell r="Q3787" t="str">
            <v>速度传感器</v>
          </cell>
        </row>
        <row r="3788">
          <cell r="O3788" t="str">
            <v>SC9641TS</v>
          </cell>
          <cell r="P3788" t="str">
            <v>STC9910BN</v>
          </cell>
          <cell r="Q3788" t="str">
            <v>速度传感器</v>
          </cell>
        </row>
        <row r="3789">
          <cell r="O3789" t="str">
            <v>SC9641TS</v>
          </cell>
          <cell r="P3789" t="str">
            <v>STC9910BN</v>
          </cell>
          <cell r="Q3789" t="str">
            <v>速度传感器</v>
          </cell>
        </row>
        <row r="3790">
          <cell r="O3790" t="str">
            <v>SC9641TS</v>
          </cell>
          <cell r="P3790" t="str">
            <v>STC9910BN</v>
          </cell>
          <cell r="Q3790" t="str">
            <v>速度传感器</v>
          </cell>
        </row>
        <row r="3791">
          <cell r="O3791" t="str">
            <v>SC9641TS</v>
          </cell>
          <cell r="P3791" t="str">
            <v>STC9910BN</v>
          </cell>
          <cell r="Q3791" t="str">
            <v>速度传感器</v>
          </cell>
        </row>
        <row r="3792">
          <cell r="O3792" t="str">
            <v>SC9641TS</v>
          </cell>
          <cell r="P3792" t="str">
            <v>STC9910BN</v>
          </cell>
          <cell r="Q3792" t="str">
            <v>速度传感器</v>
          </cell>
        </row>
        <row r="3793">
          <cell r="O3793" t="str">
            <v>SC9641TS</v>
          </cell>
          <cell r="P3793" t="str">
            <v>STC9910BN</v>
          </cell>
          <cell r="Q3793" t="str">
            <v>速度传感器</v>
          </cell>
        </row>
        <row r="3794">
          <cell r="O3794" t="str">
            <v>SC9641TS</v>
          </cell>
          <cell r="P3794" t="str">
            <v>STC9910BN</v>
          </cell>
          <cell r="Q3794" t="str">
            <v>速度传感器</v>
          </cell>
        </row>
        <row r="3795">
          <cell r="O3795" t="str">
            <v>SC9641TS</v>
          </cell>
          <cell r="P3795" t="str">
            <v>STC9910BN</v>
          </cell>
          <cell r="Q3795" t="str">
            <v>速度传感器</v>
          </cell>
        </row>
        <row r="3796">
          <cell r="O3796" t="str">
            <v>SC9314UA</v>
          </cell>
          <cell r="P3796" t="str">
            <v>STC9901AF</v>
          </cell>
          <cell r="Q3796" t="str">
            <v>速度传感器</v>
          </cell>
        </row>
        <row r="3797">
          <cell r="O3797" t="str">
            <v>SC9634VB</v>
          </cell>
          <cell r="P3797" t="str">
            <v>STC9905G</v>
          </cell>
          <cell r="Q3797" t="str">
            <v>速度传感器</v>
          </cell>
        </row>
        <row r="3798">
          <cell r="O3798" t="str">
            <v>SC60224-D-500</v>
          </cell>
          <cell r="P3798" t="str">
            <v>STC9D04C</v>
          </cell>
          <cell r="Q3798" t="str">
            <v>电机编码器</v>
          </cell>
        </row>
        <row r="3799">
          <cell r="O3799" t="str">
            <v>SC60224-D-500</v>
          </cell>
          <cell r="P3799" t="str">
            <v>STC9D04C</v>
          </cell>
          <cell r="Q3799" t="str">
            <v>电机编码器</v>
          </cell>
        </row>
        <row r="3800">
          <cell r="O3800" t="str">
            <v>SC60224-D-500</v>
          </cell>
          <cell r="P3800" t="str">
            <v>STC9D04C</v>
          </cell>
          <cell r="Q3800" t="str">
            <v>电机编码器</v>
          </cell>
        </row>
        <row r="3801">
          <cell r="O3801" t="str">
            <v>SC1645A2</v>
          </cell>
          <cell r="P3801" t="str">
            <v>STC2899AE</v>
          </cell>
          <cell r="Q3801" t="str">
            <v>磁性位置传感器</v>
          </cell>
        </row>
        <row r="3802">
          <cell r="O3802" t="str">
            <v>SC1645A2</v>
          </cell>
          <cell r="P3802" t="str">
            <v>STC2899AE</v>
          </cell>
          <cell r="Q3802" t="str">
            <v>磁性位置传感器</v>
          </cell>
        </row>
        <row r="3803">
          <cell r="O3803" t="str">
            <v>SC1645A2</v>
          </cell>
          <cell r="P3803" t="str">
            <v>STC2899AE</v>
          </cell>
          <cell r="Q3803" t="str">
            <v>磁性位置传感器</v>
          </cell>
        </row>
        <row r="3804">
          <cell r="O3804" t="str">
            <v>SC1645A2</v>
          </cell>
          <cell r="P3804" t="str">
            <v>STC2899AE</v>
          </cell>
          <cell r="Q3804" t="str">
            <v>磁性位置传感器</v>
          </cell>
        </row>
        <row r="3805">
          <cell r="O3805" t="str">
            <v>SC1645A2</v>
          </cell>
          <cell r="P3805" t="str">
            <v>STC2899AE</v>
          </cell>
          <cell r="Q3805" t="str">
            <v>磁性位置传感器</v>
          </cell>
        </row>
        <row r="3806">
          <cell r="O3806" t="str">
            <v>SC1645A2</v>
          </cell>
          <cell r="P3806" t="str">
            <v>STC2899AE</v>
          </cell>
          <cell r="Q3806" t="str">
            <v>磁性位置传感器</v>
          </cell>
        </row>
        <row r="3807">
          <cell r="O3807" t="str">
            <v>SC1645A2</v>
          </cell>
          <cell r="P3807" t="str">
            <v>STC2899AE</v>
          </cell>
          <cell r="Q3807" t="str">
            <v>磁性位置传感器</v>
          </cell>
        </row>
        <row r="3808">
          <cell r="O3808" t="str">
            <v>SC1645A2</v>
          </cell>
          <cell r="P3808" t="str">
            <v>STC2899AE</v>
          </cell>
          <cell r="Q3808" t="str">
            <v>磁性位置传感器</v>
          </cell>
        </row>
        <row r="3809">
          <cell r="O3809" t="str">
            <v>SC1645A2</v>
          </cell>
          <cell r="P3809" t="str">
            <v>STC2899AE</v>
          </cell>
          <cell r="Q3809" t="str">
            <v>磁性位置传感器</v>
          </cell>
        </row>
        <row r="3810">
          <cell r="O3810" t="str">
            <v>SC2432SO</v>
          </cell>
          <cell r="P3810" t="str">
            <v>STC9906M</v>
          </cell>
          <cell r="Q3810" t="str">
            <v>磁性位置传感器</v>
          </cell>
        </row>
        <row r="3811">
          <cell r="O3811" t="str">
            <v>SC2443SO</v>
          </cell>
          <cell r="P3811" t="str">
            <v>STC9906T</v>
          </cell>
          <cell r="Q3811" t="str">
            <v>磁性位置传感器</v>
          </cell>
        </row>
        <row r="3812">
          <cell r="O3812" t="str">
            <v>SC2443SO</v>
          </cell>
          <cell r="P3812" t="str">
            <v>STC9906T</v>
          </cell>
          <cell r="Q3812" t="str">
            <v>磁性位置传感器</v>
          </cell>
        </row>
        <row r="3813">
          <cell r="O3813" t="str">
            <v>SC2402SO-N</v>
          </cell>
          <cell r="P3813" t="str">
            <v>STC9H001A</v>
          </cell>
          <cell r="Q3813" t="str">
            <v>磁性位置传感器</v>
          </cell>
        </row>
        <row r="3814">
          <cell r="O3814" t="str">
            <v>2100S</v>
          </cell>
          <cell r="P3814" t="str">
            <v>STC9D03E</v>
          </cell>
          <cell r="Q3814" t="str">
            <v>电流传感器</v>
          </cell>
        </row>
        <row r="3815">
          <cell r="O3815" t="str">
            <v>2100S</v>
          </cell>
          <cell r="P3815" t="str">
            <v>STC9D03E</v>
          </cell>
          <cell r="Q3815" t="str">
            <v>电流传感器</v>
          </cell>
        </row>
        <row r="3816">
          <cell r="O3816" t="str">
            <v>2100HBL</v>
          </cell>
          <cell r="P3816" t="str">
            <v>STC9D03E</v>
          </cell>
          <cell r="Q3816" t="str">
            <v>电流传感器</v>
          </cell>
        </row>
        <row r="3817">
          <cell r="O3817" t="str">
            <v>2100S</v>
          </cell>
          <cell r="P3817" t="str">
            <v>STC9D03E</v>
          </cell>
          <cell r="Q3817" t="str">
            <v>电流传感器</v>
          </cell>
        </row>
        <row r="3818">
          <cell r="O3818" t="str">
            <v>2100S</v>
          </cell>
          <cell r="P3818" t="str">
            <v>STC9D03E</v>
          </cell>
          <cell r="Q3818" t="str">
            <v>电流传感器</v>
          </cell>
        </row>
        <row r="3819">
          <cell r="O3819" t="str">
            <v>2100HBL</v>
          </cell>
          <cell r="P3819" t="str">
            <v>STC9D03E</v>
          </cell>
          <cell r="Q3819" t="str">
            <v>电流传感器</v>
          </cell>
        </row>
        <row r="3820">
          <cell r="O3820" t="str">
            <v>2100HBL</v>
          </cell>
          <cell r="P3820" t="str">
            <v>STC9D03E</v>
          </cell>
          <cell r="Q3820" t="str">
            <v>电流传感器</v>
          </cell>
        </row>
        <row r="3821">
          <cell r="O3821" t="str">
            <v>SC9641TS-PC</v>
          </cell>
          <cell r="P3821" t="str">
            <v>STC9A001I</v>
          </cell>
          <cell r="Q3821" t="str">
            <v>速度传感器</v>
          </cell>
        </row>
        <row r="3822">
          <cell r="O3822" t="str">
            <v>SC9641TS-PC</v>
          </cell>
          <cell r="P3822" t="str">
            <v>STC9A001I</v>
          </cell>
          <cell r="Q3822" t="str">
            <v>速度传感器</v>
          </cell>
        </row>
        <row r="3823">
          <cell r="O3823" t="str">
            <v>SC9641TS-PC</v>
          </cell>
          <cell r="P3823" t="str">
            <v>STC9A001I</v>
          </cell>
          <cell r="Q3823" t="str">
            <v>速度传感器</v>
          </cell>
        </row>
        <row r="3824">
          <cell r="O3824" t="str">
            <v>SC9632VB</v>
          </cell>
          <cell r="P3824" t="str">
            <v>STC9905E</v>
          </cell>
          <cell r="Q3824" t="str">
            <v>速度传感器</v>
          </cell>
        </row>
        <row r="3825">
          <cell r="O3825" t="str">
            <v>SC4645编程板</v>
          </cell>
          <cell r="P3825" t="str">
            <v xml:space="preserve"> </v>
          </cell>
          <cell r="Q3825" t="str">
            <v>电流传感器</v>
          </cell>
        </row>
        <row r="3826">
          <cell r="O3826" t="str">
            <v>SC4645编程板</v>
          </cell>
          <cell r="P3826" t="str">
            <v xml:space="preserve"> </v>
          </cell>
          <cell r="Q3826" t="str">
            <v>电流传感器</v>
          </cell>
        </row>
        <row r="3827">
          <cell r="O3827" t="str">
            <v>SC2464SO</v>
          </cell>
          <cell r="P3827" t="str">
            <v>STC9906J</v>
          </cell>
          <cell r="Q3827" t="str">
            <v>磁性位置传感器</v>
          </cell>
        </row>
        <row r="3828">
          <cell r="O3828" t="str">
            <v>SC2464SO</v>
          </cell>
          <cell r="P3828" t="str">
            <v>STC9906J</v>
          </cell>
          <cell r="Q3828" t="str">
            <v>磁性位置传感器</v>
          </cell>
        </row>
        <row r="3829">
          <cell r="O3829" t="str">
            <v>SC2402UA</v>
          </cell>
          <cell r="P3829" t="str">
            <v>STC9902J</v>
          </cell>
          <cell r="Q3829" t="str">
            <v>磁性位置传感器</v>
          </cell>
        </row>
        <row r="3830">
          <cell r="O3830" t="str">
            <v>SC2063SO</v>
          </cell>
          <cell r="P3830" t="str">
            <v>STC9G001C</v>
          </cell>
          <cell r="Q3830" t="str">
            <v>磁性位置传感器</v>
          </cell>
        </row>
        <row r="3831">
          <cell r="O3831" t="str">
            <v>SC2202SO-N</v>
          </cell>
          <cell r="P3831" t="str">
            <v>STC9902E</v>
          </cell>
          <cell r="Q3831" t="str">
            <v>磁性位置传感器</v>
          </cell>
        </row>
        <row r="3832">
          <cell r="O3832" t="str">
            <v>SC2202SO-N</v>
          </cell>
          <cell r="P3832" t="str">
            <v>STC9902E</v>
          </cell>
          <cell r="Q3832" t="str">
            <v>磁性位置传感器</v>
          </cell>
        </row>
        <row r="3833">
          <cell r="O3833" t="str">
            <v>SC2462UA</v>
          </cell>
          <cell r="P3833" t="str">
            <v>STC9906J</v>
          </cell>
          <cell r="Q3833" t="str">
            <v>磁性位置传感器</v>
          </cell>
        </row>
        <row r="3834">
          <cell r="O3834" t="str">
            <v>SC2462UA</v>
          </cell>
          <cell r="P3834" t="str">
            <v>STC9906J</v>
          </cell>
          <cell r="Q3834" t="str">
            <v>磁性位置传感器</v>
          </cell>
        </row>
        <row r="3835">
          <cell r="O3835" t="str">
            <v>G01</v>
          </cell>
          <cell r="P3835" t="str">
            <v>STC4011B</v>
          </cell>
          <cell r="Q3835" t="str">
            <v>磁性位置传感器</v>
          </cell>
        </row>
        <row r="3836">
          <cell r="O3836" t="str">
            <v>G01</v>
          </cell>
          <cell r="P3836" t="str">
            <v>STC4011B</v>
          </cell>
          <cell r="Q3836" t="str">
            <v>磁性位置传感器</v>
          </cell>
        </row>
        <row r="3837">
          <cell r="O3837" t="str">
            <v>SC2402SO-N-G</v>
          </cell>
          <cell r="P3837" t="str">
            <v>STC9G002A</v>
          </cell>
          <cell r="Q3837" t="str">
            <v>磁性位置传感器</v>
          </cell>
        </row>
        <row r="3838">
          <cell r="O3838" t="str">
            <v>SC2402SO-N</v>
          </cell>
          <cell r="P3838" t="str">
            <v>STC9G002A</v>
          </cell>
          <cell r="Q3838" t="str">
            <v>磁性位置传感器</v>
          </cell>
        </row>
        <row r="3839">
          <cell r="O3839" t="str">
            <v>SC2402SO-N-G</v>
          </cell>
          <cell r="P3839" t="str">
            <v>STC9G002A</v>
          </cell>
          <cell r="Q3839" t="str">
            <v>磁性位置传感器</v>
          </cell>
        </row>
        <row r="3840">
          <cell r="O3840" t="str">
            <v>SC9641TS-P</v>
          </cell>
          <cell r="P3840" t="str">
            <v>STC9A001I</v>
          </cell>
          <cell r="Q3840" t="str">
            <v>速度传感器</v>
          </cell>
        </row>
        <row r="3841">
          <cell r="O3841" t="str">
            <v>SC9641TS-P</v>
          </cell>
          <cell r="P3841" t="str">
            <v>STC9A001I</v>
          </cell>
          <cell r="Q3841" t="str">
            <v>速度传感器</v>
          </cell>
        </row>
        <row r="3842">
          <cell r="O3842" t="str">
            <v>SC9641TS-P</v>
          </cell>
          <cell r="P3842" t="str">
            <v>STC9A001I</v>
          </cell>
          <cell r="Q3842" t="str">
            <v>速度传感器</v>
          </cell>
        </row>
        <row r="3843">
          <cell r="O3843" t="str">
            <v>SC9641TS-P</v>
          </cell>
          <cell r="P3843" t="str">
            <v>STC9A001I</v>
          </cell>
          <cell r="Q3843" t="str">
            <v>速度传感器</v>
          </cell>
        </row>
        <row r="3844">
          <cell r="O3844" t="str">
            <v>SC9641TS-P</v>
          </cell>
          <cell r="P3844" t="str">
            <v>STC9A001I</v>
          </cell>
          <cell r="Q3844" t="str">
            <v>速度传感器</v>
          </cell>
        </row>
        <row r="3845">
          <cell r="O3845" t="str">
            <v>SC9641TS-P</v>
          </cell>
          <cell r="P3845" t="str">
            <v>STC9A001I</v>
          </cell>
          <cell r="Q3845" t="str">
            <v>速度传感器</v>
          </cell>
        </row>
        <row r="3846">
          <cell r="O3846" t="str">
            <v>SC9641TS-P</v>
          </cell>
          <cell r="P3846" t="str">
            <v>STC9A001I</v>
          </cell>
          <cell r="Q3846" t="str">
            <v>速度传感器</v>
          </cell>
        </row>
        <row r="3847">
          <cell r="O3847" t="str">
            <v>SC9641TS-P</v>
          </cell>
          <cell r="P3847" t="str">
            <v>STC9A001I</v>
          </cell>
          <cell r="Q3847" t="str">
            <v>速度传感器</v>
          </cell>
        </row>
        <row r="3848">
          <cell r="O3848" t="str">
            <v>SC9314UA</v>
          </cell>
          <cell r="P3848" t="str">
            <v>STC9901AF</v>
          </cell>
          <cell r="Q3848" t="str">
            <v>速度传感器</v>
          </cell>
        </row>
        <row r="3849">
          <cell r="O3849" t="str">
            <v>SC9641TS-P</v>
          </cell>
          <cell r="P3849" t="str">
            <v>STC9A001I</v>
          </cell>
          <cell r="Q3849" t="str">
            <v>速度传感器</v>
          </cell>
        </row>
        <row r="3850">
          <cell r="O3850" t="str">
            <v>SC9641TS-P</v>
          </cell>
          <cell r="P3850" t="str">
            <v>STC9A001I</v>
          </cell>
          <cell r="Q3850" t="str">
            <v>速度传感器</v>
          </cell>
        </row>
        <row r="3851">
          <cell r="O3851" t="str">
            <v>SC9641TS-P</v>
          </cell>
          <cell r="P3851" t="str">
            <v>STC9A001I</v>
          </cell>
          <cell r="Q3851" t="str">
            <v>速度传感器</v>
          </cell>
        </row>
        <row r="3852">
          <cell r="O3852" t="str">
            <v>SC9641TS-P</v>
          </cell>
          <cell r="P3852" t="str">
            <v>STC9A001I</v>
          </cell>
          <cell r="Q3852" t="str">
            <v>速度传感器</v>
          </cell>
        </row>
        <row r="3853">
          <cell r="O3853" t="str">
            <v>SC9641TS-P</v>
          </cell>
          <cell r="P3853" t="str">
            <v>STC9A001I</v>
          </cell>
          <cell r="Q3853" t="str">
            <v>速度传感器</v>
          </cell>
        </row>
        <row r="3854">
          <cell r="O3854" t="str">
            <v>SC9641TS-P</v>
          </cell>
          <cell r="P3854" t="str">
            <v>STC9A001I</v>
          </cell>
          <cell r="Q3854" t="str">
            <v>速度传感器</v>
          </cell>
        </row>
        <row r="3855">
          <cell r="O3855" t="str">
            <v>SC9641TS-P</v>
          </cell>
          <cell r="P3855" t="str">
            <v>STC9A001I</v>
          </cell>
          <cell r="Q3855" t="str">
            <v>速度传感器</v>
          </cell>
        </row>
        <row r="3856">
          <cell r="O3856" t="str">
            <v>SC9641TS-P</v>
          </cell>
          <cell r="P3856" t="str">
            <v>STC9A001I</v>
          </cell>
          <cell r="Q3856" t="str">
            <v>速度传感器</v>
          </cell>
        </row>
        <row r="3857">
          <cell r="O3857" t="str">
            <v>SC9641TS-P</v>
          </cell>
          <cell r="P3857" t="str">
            <v>STC9A001I</v>
          </cell>
          <cell r="Q3857" t="str">
            <v>速度传感器</v>
          </cell>
        </row>
        <row r="3858">
          <cell r="O3858" t="str">
            <v>SC9641TS-P</v>
          </cell>
          <cell r="P3858" t="str">
            <v>STC9A001I</v>
          </cell>
          <cell r="Q3858" t="str">
            <v>速度传感器</v>
          </cell>
        </row>
        <row r="3859">
          <cell r="O3859" t="str">
            <v>SC9641TS-P</v>
          </cell>
          <cell r="P3859" t="str">
            <v>STC9A001I</v>
          </cell>
          <cell r="Q3859" t="str">
            <v>速度传感器</v>
          </cell>
        </row>
        <row r="3860">
          <cell r="O3860" t="str">
            <v>SC9641TS-P</v>
          </cell>
          <cell r="P3860" t="str">
            <v>STC9A001I</v>
          </cell>
          <cell r="Q3860" t="str">
            <v>速度传感器</v>
          </cell>
        </row>
        <row r="3861">
          <cell r="O3861" t="str">
            <v>SC9641TS-P</v>
          </cell>
          <cell r="P3861" t="str">
            <v>STC9A001I</v>
          </cell>
          <cell r="Q3861" t="str">
            <v>速度传感器</v>
          </cell>
        </row>
        <row r="3862">
          <cell r="O3862" t="str">
            <v>SC9641TS-P</v>
          </cell>
          <cell r="P3862" t="str">
            <v>STC9A001I</v>
          </cell>
          <cell r="Q3862" t="str">
            <v>速度传感器</v>
          </cell>
        </row>
        <row r="3863">
          <cell r="O3863" t="str">
            <v>SC9641TS-P</v>
          </cell>
          <cell r="P3863" t="str">
            <v>STC9A001I</v>
          </cell>
          <cell r="Q3863" t="str">
            <v>速度传感器</v>
          </cell>
        </row>
        <row r="3864">
          <cell r="O3864" t="str">
            <v>SC2442SO</v>
          </cell>
          <cell r="P3864" t="str">
            <v>STC9906R</v>
          </cell>
          <cell r="Q3864" t="str">
            <v>磁性位置传感器</v>
          </cell>
        </row>
        <row r="3865">
          <cell r="O3865" t="str">
            <v>SC2442SO</v>
          </cell>
          <cell r="P3865" t="str">
            <v>STC9906R</v>
          </cell>
          <cell r="Q3865" t="str">
            <v>磁性位置传感器</v>
          </cell>
        </row>
        <row r="3866">
          <cell r="O3866" t="str">
            <v>SC9641TS-PC</v>
          </cell>
          <cell r="P3866" t="str">
            <v>STC9A001I</v>
          </cell>
          <cell r="Q3866" t="str">
            <v>速度传感器</v>
          </cell>
        </row>
        <row r="3867">
          <cell r="O3867" t="str">
            <v>SC9641TS-PC</v>
          </cell>
          <cell r="P3867" t="str">
            <v>STC9A001I</v>
          </cell>
          <cell r="Q3867" t="str">
            <v>速度传感器</v>
          </cell>
        </row>
        <row r="3868">
          <cell r="O3868" t="str">
            <v>SC2442SO</v>
          </cell>
          <cell r="P3868" t="str">
            <v>STC9906R</v>
          </cell>
          <cell r="Q3868" t="str">
            <v>磁性位置传感器</v>
          </cell>
        </row>
        <row r="3869">
          <cell r="O3869" t="str">
            <v>SC2442SO</v>
          </cell>
          <cell r="P3869" t="str">
            <v>STC9906R</v>
          </cell>
          <cell r="Q3869" t="str">
            <v>磁性位置传感器</v>
          </cell>
        </row>
        <row r="3870">
          <cell r="O3870" t="str">
            <v>SC9641TS-P</v>
          </cell>
          <cell r="P3870" t="str">
            <v>STC9A001I</v>
          </cell>
          <cell r="Q3870" t="str">
            <v>速度传感器</v>
          </cell>
        </row>
        <row r="3871">
          <cell r="O3871" t="str">
            <v>SC9641TS-P</v>
          </cell>
          <cell r="P3871" t="str">
            <v>STC9A001I</v>
          </cell>
          <cell r="Q3871" t="str">
            <v>速度传感器</v>
          </cell>
        </row>
        <row r="3872">
          <cell r="O3872" t="str">
            <v>SC9641TS-P</v>
          </cell>
          <cell r="P3872" t="str">
            <v>STC9A001I</v>
          </cell>
          <cell r="Q3872" t="str">
            <v>速度传感器</v>
          </cell>
        </row>
        <row r="3873">
          <cell r="O3873" t="str">
            <v>SC9641TS-PC</v>
          </cell>
          <cell r="P3873" t="str">
            <v>STC9A001I</v>
          </cell>
          <cell r="Q3873" t="str">
            <v>速度传感器</v>
          </cell>
        </row>
        <row r="3874">
          <cell r="O3874" t="str">
            <v>SC9641TS-PC</v>
          </cell>
          <cell r="P3874" t="str">
            <v>STC9A001I</v>
          </cell>
          <cell r="Q3874" t="str">
            <v>速度传感器</v>
          </cell>
        </row>
        <row r="3875">
          <cell r="O3875" t="str">
            <v>SC9642TS</v>
          </cell>
          <cell r="P3875" t="str">
            <v>STC9A001G</v>
          </cell>
          <cell r="Q3875" t="str">
            <v>速度传感器</v>
          </cell>
        </row>
        <row r="3876">
          <cell r="O3876" t="str">
            <v>SC4643VB-P</v>
          </cell>
          <cell r="P3876" t="str">
            <v>STC9D03E</v>
          </cell>
          <cell r="Q3876" t="str">
            <v>电流传感器</v>
          </cell>
        </row>
        <row r="3877">
          <cell r="O3877" t="str">
            <v>SC1645A1</v>
          </cell>
          <cell r="P3877" t="str">
            <v>STC2899AE</v>
          </cell>
          <cell r="Q3877" t="str">
            <v>磁性位置传感器</v>
          </cell>
        </row>
        <row r="3878">
          <cell r="O3878" t="str">
            <v>SC1645A1</v>
          </cell>
          <cell r="P3878" t="str">
            <v>STC2899AE</v>
          </cell>
          <cell r="Q3878" t="str">
            <v>磁性位置传感器</v>
          </cell>
        </row>
        <row r="3879">
          <cell r="O3879" t="str">
            <v>SC1645A1</v>
          </cell>
          <cell r="P3879" t="str">
            <v>STC2899AE</v>
          </cell>
          <cell r="Q3879" t="str">
            <v>磁性位置传感器</v>
          </cell>
        </row>
        <row r="3880">
          <cell r="O3880" t="str">
            <v>SC1645A1</v>
          </cell>
          <cell r="P3880" t="str">
            <v>STC2899AE</v>
          </cell>
          <cell r="Q3880" t="str">
            <v>磁性位置传感器</v>
          </cell>
        </row>
        <row r="3881">
          <cell r="O3881" t="str">
            <v>SC1645A1</v>
          </cell>
          <cell r="P3881" t="str">
            <v>STC2899AE</v>
          </cell>
          <cell r="Q3881" t="str">
            <v>磁性位置传感器</v>
          </cell>
        </row>
        <row r="3882">
          <cell r="O3882" t="str">
            <v>SC4688SA</v>
          </cell>
          <cell r="P3882" t="str">
            <v>STC9D01C</v>
          </cell>
          <cell r="Q3882" t="str">
            <v>角度传感器</v>
          </cell>
        </row>
        <row r="3883">
          <cell r="O3883" t="str">
            <v>SC60224-D-1024</v>
          </cell>
          <cell r="P3883" t="str">
            <v>STC9D04C</v>
          </cell>
          <cell r="Q3883" t="str">
            <v>电机编码器</v>
          </cell>
        </row>
        <row r="3884">
          <cell r="O3884" t="str">
            <v>SC9632VB</v>
          </cell>
          <cell r="P3884" t="str">
            <v>STC9905E</v>
          </cell>
          <cell r="Q3884" t="str">
            <v>速度传感器</v>
          </cell>
        </row>
        <row r="3885">
          <cell r="O3885" t="str">
            <v>SC2436SO</v>
          </cell>
          <cell r="P3885" t="str">
            <v>STC9906M</v>
          </cell>
          <cell r="Q3885" t="str">
            <v>磁性位置传感器</v>
          </cell>
        </row>
        <row r="3886">
          <cell r="O3886" t="str">
            <v>SC2402UA</v>
          </cell>
          <cell r="P3886" t="str">
            <v>STC9902J</v>
          </cell>
          <cell r="Q3886" t="str">
            <v>磁性位置传感器</v>
          </cell>
        </row>
        <row r="3887">
          <cell r="O3887" t="str">
            <v>SC2402UA</v>
          </cell>
          <cell r="P3887" t="str">
            <v>STC9902J</v>
          </cell>
          <cell r="Q3887" t="str">
            <v>磁性位置传感器</v>
          </cell>
        </row>
        <row r="3888">
          <cell r="O3888" t="str">
            <v>SC2402UA</v>
          </cell>
          <cell r="P3888" t="str">
            <v>STC9902J</v>
          </cell>
          <cell r="Q3888" t="str">
            <v>磁性位置传感器</v>
          </cell>
        </row>
        <row r="3889">
          <cell r="O3889" t="str">
            <v>SC2402UA-G</v>
          </cell>
          <cell r="P3889" t="str">
            <v>STC9G002B</v>
          </cell>
          <cell r="Q3889" t="str">
            <v>磁性位置传感器</v>
          </cell>
        </row>
        <row r="3890">
          <cell r="O3890" t="str">
            <v>SC2402SO-N</v>
          </cell>
          <cell r="P3890" t="str">
            <v>STC9H001A</v>
          </cell>
          <cell r="Q3890" t="str">
            <v>磁性位置传感器</v>
          </cell>
        </row>
        <row r="3891">
          <cell r="O3891" t="str">
            <v>SC2402SO-N</v>
          </cell>
          <cell r="P3891" t="str">
            <v>STC9H001A</v>
          </cell>
          <cell r="Q3891" t="str">
            <v>磁性位置传感器</v>
          </cell>
        </row>
        <row r="3892">
          <cell r="O3892" t="str">
            <v>SC2462SO</v>
          </cell>
          <cell r="P3892" t="str">
            <v>STC9906J</v>
          </cell>
          <cell r="Q3892" t="str">
            <v>磁性位置传感器</v>
          </cell>
        </row>
        <row r="3893">
          <cell r="O3893" t="str">
            <v>SC2436SO</v>
          </cell>
          <cell r="P3893" t="str">
            <v>STC9906M</v>
          </cell>
          <cell r="Q3893" t="str">
            <v>磁性位置传感器</v>
          </cell>
        </row>
        <row r="3894">
          <cell r="O3894" t="str">
            <v>SC2432SO-N</v>
          </cell>
          <cell r="P3894" t="str">
            <v>STC9906I</v>
          </cell>
          <cell r="Q3894" t="str">
            <v>磁性位置传感器</v>
          </cell>
        </row>
        <row r="3895">
          <cell r="O3895" t="str">
            <v>SC2436SO</v>
          </cell>
          <cell r="P3895" t="str">
            <v>STC9906M</v>
          </cell>
          <cell r="Q3895" t="str">
            <v>磁性位置传感器</v>
          </cell>
        </row>
        <row r="3896">
          <cell r="O3896" t="str">
            <v>SC2436SO</v>
          </cell>
          <cell r="P3896" t="str">
            <v>STC9906M</v>
          </cell>
          <cell r="Q3896" t="str">
            <v>磁性位置传感器</v>
          </cell>
        </row>
        <row r="3897">
          <cell r="O3897" t="str">
            <v>SC2436SO</v>
          </cell>
          <cell r="P3897" t="str">
            <v>STC9906M</v>
          </cell>
          <cell r="Q3897" t="str">
            <v>磁性位置传感器</v>
          </cell>
        </row>
        <row r="3898">
          <cell r="O3898" t="str">
            <v>SC2442UA</v>
          </cell>
          <cell r="P3898" t="str">
            <v>STC9906P</v>
          </cell>
          <cell r="Q3898" t="str">
            <v>磁性位置传感器</v>
          </cell>
        </row>
        <row r="3899">
          <cell r="O3899" t="str">
            <v>SC2402UA</v>
          </cell>
          <cell r="P3899" t="str">
            <v>STC9G002B</v>
          </cell>
          <cell r="Q3899" t="str">
            <v>磁性位置传感器</v>
          </cell>
        </row>
        <row r="3900">
          <cell r="O3900" t="str">
            <v>SC2064UA</v>
          </cell>
          <cell r="P3900" t="str">
            <v>STC9G001C</v>
          </cell>
          <cell r="Q3900" t="str">
            <v>磁性位置传感器</v>
          </cell>
        </row>
        <row r="3901">
          <cell r="O3901" t="str">
            <v>ATK-E512</v>
          </cell>
          <cell r="P3901" t="str">
            <v>STC4011B</v>
          </cell>
          <cell r="Q3901" t="str">
            <v>磁性位置传感器</v>
          </cell>
        </row>
        <row r="3902">
          <cell r="O3902" t="str">
            <v>ATK-E512</v>
          </cell>
          <cell r="P3902" t="str">
            <v>STC4011B</v>
          </cell>
          <cell r="Q3902" t="str">
            <v>磁性位置传感器</v>
          </cell>
        </row>
        <row r="3903">
          <cell r="O3903" t="str">
            <v>ATK-E512</v>
          </cell>
          <cell r="P3903" t="str">
            <v>STC4011B</v>
          </cell>
          <cell r="Q3903" t="str">
            <v>磁性位置传感器</v>
          </cell>
        </row>
        <row r="3904">
          <cell r="O3904" t="str">
            <v>ATK-E512</v>
          </cell>
          <cell r="P3904" t="str">
            <v>STC4011B</v>
          </cell>
          <cell r="Q3904" t="str">
            <v>磁性位置传感器</v>
          </cell>
        </row>
        <row r="3905">
          <cell r="O3905" t="str">
            <v>ATK-E512</v>
          </cell>
          <cell r="P3905" t="str">
            <v>STC4011B</v>
          </cell>
          <cell r="Q3905" t="str">
            <v>磁性位置传感器</v>
          </cell>
        </row>
        <row r="3906">
          <cell r="O3906" t="str">
            <v>ATK-E512</v>
          </cell>
          <cell r="P3906" t="str">
            <v>STC4011B</v>
          </cell>
          <cell r="Q3906" t="str">
            <v>磁性位置传感器</v>
          </cell>
        </row>
        <row r="3907">
          <cell r="O3907" t="str">
            <v>ATK-E512</v>
          </cell>
          <cell r="P3907" t="str">
            <v>STC4011B</v>
          </cell>
          <cell r="Q3907" t="str">
            <v>磁性位置传感器</v>
          </cell>
        </row>
        <row r="3908">
          <cell r="O3908" t="str">
            <v>ATK-E512</v>
          </cell>
          <cell r="P3908" t="str">
            <v>STC4011B</v>
          </cell>
          <cell r="Q3908" t="str">
            <v>磁性位置传感器</v>
          </cell>
        </row>
        <row r="3909">
          <cell r="O3909" t="str">
            <v>ATK-E512</v>
          </cell>
          <cell r="P3909" t="str">
            <v>STC4011B</v>
          </cell>
          <cell r="Q3909" t="str">
            <v>磁性位置传感器</v>
          </cell>
        </row>
        <row r="3910">
          <cell r="O3910" t="str">
            <v>ATK-E512</v>
          </cell>
          <cell r="P3910" t="str">
            <v>STC4011B</v>
          </cell>
          <cell r="Q3910" t="str">
            <v>磁性位置传感器</v>
          </cell>
        </row>
        <row r="3911">
          <cell r="O3911" t="str">
            <v>ATK-E512</v>
          </cell>
          <cell r="P3911" t="str">
            <v>STC4011B</v>
          </cell>
          <cell r="Q3911" t="str">
            <v>磁性位置传感器</v>
          </cell>
        </row>
        <row r="3912">
          <cell r="O3912" t="str">
            <v>ATK-E512</v>
          </cell>
          <cell r="P3912" t="str">
            <v>STC4011B</v>
          </cell>
          <cell r="Q3912" t="str">
            <v>磁性位置传感器</v>
          </cell>
        </row>
        <row r="3913">
          <cell r="O3913" t="str">
            <v>SC2442SO-N</v>
          </cell>
          <cell r="P3913" t="str">
            <v>STC9906P</v>
          </cell>
          <cell r="Q3913" t="str">
            <v>磁性位置传感器</v>
          </cell>
        </row>
        <row r="3914">
          <cell r="O3914" t="str">
            <v>SC2442SO-N</v>
          </cell>
          <cell r="P3914" t="str">
            <v>STC9906P</v>
          </cell>
          <cell r="Q3914" t="str">
            <v>磁性位置传感器</v>
          </cell>
        </row>
        <row r="3915">
          <cell r="O3915" t="str">
            <v>SC2442SO-N</v>
          </cell>
          <cell r="P3915" t="str">
            <v>STC9906P</v>
          </cell>
          <cell r="Q3915" t="str">
            <v>磁性位置传感器</v>
          </cell>
        </row>
        <row r="3916">
          <cell r="O3916" t="str">
            <v>SC2442SO-N</v>
          </cell>
          <cell r="P3916" t="str">
            <v>STC9906P</v>
          </cell>
          <cell r="Q3916" t="str">
            <v>磁性位置传感器</v>
          </cell>
        </row>
        <row r="3917">
          <cell r="O3917" t="str">
            <v>SC2402SO-N</v>
          </cell>
          <cell r="P3917" t="str">
            <v>STC9902J</v>
          </cell>
          <cell r="Q3917" t="str">
            <v>磁性位置传感器</v>
          </cell>
        </row>
        <row r="3918">
          <cell r="O3918" t="str">
            <v>SC2402SO-N</v>
          </cell>
          <cell r="P3918" t="str">
            <v>STC9902J</v>
          </cell>
          <cell r="Q3918" t="str">
            <v>磁性位置传感器</v>
          </cell>
        </row>
        <row r="3919">
          <cell r="O3919" t="str">
            <v>G01</v>
          </cell>
          <cell r="P3919" t="str">
            <v>STC4011B</v>
          </cell>
          <cell r="Q3919" t="str">
            <v>磁性位置传感器</v>
          </cell>
        </row>
        <row r="3920">
          <cell r="O3920" t="str">
            <v>G01</v>
          </cell>
          <cell r="P3920" t="str">
            <v>STC4011B</v>
          </cell>
          <cell r="Q3920" t="str">
            <v>磁性位置传感器</v>
          </cell>
        </row>
        <row r="3921">
          <cell r="O3921" t="str">
            <v>G01</v>
          </cell>
          <cell r="P3921" t="str">
            <v>STC4011B</v>
          </cell>
          <cell r="Q3921" t="str">
            <v>磁性位置传感器</v>
          </cell>
        </row>
        <row r="3922">
          <cell r="O3922" t="str">
            <v>G01</v>
          </cell>
          <cell r="P3922" t="str">
            <v>STC4011B</v>
          </cell>
          <cell r="Q3922" t="str">
            <v>磁性位置传感器</v>
          </cell>
        </row>
        <row r="3923">
          <cell r="O3923" t="str">
            <v>SC2442UA</v>
          </cell>
          <cell r="P3923" t="str">
            <v>STC9906P</v>
          </cell>
          <cell r="Q3923" t="str">
            <v>磁性位置传感器</v>
          </cell>
        </row>
        <row r="3924">
          <cell r="O3924" t="str">
            <v>G01</v>
          </cell>
          <cell r="P3924" t="str">
            <v>STC4011B</v>
          </cell>
          <cell r="Q3924" t="str">
            <v>磁性位置传感器</v>
          </cell>
        </row>
        <row r="3925">
          <cell r="O3925" t="str">
            <v>G01</v>
          </cell>
          <cell r="P3925" t="str">
            <v>STC4011B</v>
          </cell>
          <cell r="Q3925" t="str">
            <v>磁性位置传感器</v>
          </cell>
        </row>
        <row r="3926">
          <cell r="O3926" t="str">
            <v>G01</v>
          </cell>
          <cell r="P3926" t="str">
            <v>STC4011B</v>
          </cell>
          <cell r="Q3926" t="str">
            <v>磁性位置传感器</v>
          </cell>
        </row>
        <row r="3927">
          <cell r="O3927" t="str">
            <v>SC1134UA</v>
          </cell>
          <cell r="P3927" t="str">
            <v>STC1898AI</v>
          </cell>
          <cell r="Q3927" t="str">
            <v>磁性位置传感器</v>
          </cell>
        </row>
        <row r="3928">
          <cell r="O3928" t="str">
            <v>SC4643VB-A</v>
          </cell>
          <cell r="P3928" t="str">
            <v>STC9D03E</v>
          </cell>
          <cell r="Q3928" t="str">
            <v>电流传感器</v>
          </cell>
        </row>
        <row r="3929">
          <cell r="O3929" t="str">
            <v>SC4643VB-A</v>
          </cell>
          <cell r="P3929" t="str">
            <v>STC9D03E</v>
          </cell>
          <cell r="Q3929" t="str">
            <v>电流传感器</v>
          </cell>
        </row>
        <row r="3930">
          <cell r="O3930" t="str">
            <v>SC4643VB-A</v>
          </cell>
          <cell r="P3930" t="str">
            <v>STC9D03E</v>
          </cell>
          <cell r="Q3930" t="str">
            <v>电流传感器</v>
          </cell>
        </row>
        <row r="3931">
          <cell r="O3931" t="str">
            <v>SC2436SO</v>
          </cell>
          <cell r="P3931" t="str">
            <v>STC9906M</v>
          </cell>
          <cell r="Q3931" t="str">
            <v>磁性位置传感器</v>
          </cell>
        </row>
        <row r="3932">
          <cell r="O3932" t="str">
            <v>SC2432SO-N</v>
          </cell>
          <cell r="P3932" t="str">
            <v>STC9906I</v>
          </cell>
          <cell r="Q3932" t="str">
            <v>磁性位置传感器</v>
          </cell>
        </row>
        <row r="3933">
          <cell r="O3933" t="str">
            <v>SC2442UA</v>
          </cell>
          <cell r="P3933" t="str">
            <v>STC9906P</v>
          </cell>
          <cell r="Q3933" t="str">
            <v>磁性位置传感器</v>
          </cell>
        </row>
        <row r="3934">
          <cell r="O3934" t="str">
            <v>SC2442UA</v>
          </cell>
          <cell r="P3934" t="str">
            <v>STC9906P</v>
          </cell>
          <cell r="Q3934" t="str">
            <v>磁性位置传感器</v>
          </cell>
        </row>
        <row r="3935">
          <cell r="O3935" t="str">
            <v>SC9648TS-P</v>
          </cell>
          <cell r="P3935" t="str">
            <v>STC9A001I</v>
          </cell>
          <cell r="Q3935" t="str">
            <v>速度传感器</v>
          </cell>
        </row>
        <row r="3936">
          <cell r="O3936" t="str">
            <v>SC9648TS-P</v>
          </cell>
          <cell r="P3936" t="str">
            <v>STC9A001I</v>
          </cell>
          <cell r="Q3936" t="str">
            <v>速度传感器</v>
          </cell>
        </row>
        <row r="3937">
          <cell r="O3937" t="str">
            <v>SC9648TS-P</v>
          </cell>
          <cell r="P3937" t="str">
            <v>STC9A001I</v>
          </cell>
          <cell r="Q3937" t="str">
            <v>速度传感器</v>
          </cell>
        </row>
        <row r="3938">
          <cell r="O3938" t="str">
            <v>SC9648TS-P</v>
          </cell>
          <cell r="P3938" t="str">
            <v>STC9A001I</v>
          </cell>
          <cell r="Q3938" t="str">
            <v>速度传感器</v>
          </cell>
        </row>
        <row r="3939">
          <cell r="O3939" t="str">
            <v>SC9648TS-P</v>
          </cell>
          <cell r="P3939" t="str">
            <v>STC9A001I</v>
          </cell>
          <cell r="Q3939" t="str">
            <v>速度传感器</v>
          </cell>
        </row>
        <row r="3940">
          <cell r="O3940" t="str">
            <v>SC9648TS-P</v>
          </cell>
          <cell r="P3940" t="str">
            <v>STC9A001I</v>
          </cell>
          <cell r="Q3940" t="str">
            <v>速度传感器</v>
          </cell>
        </row>
        <row r="3941">
          <cell r="O3941" t="str">
            <v>SC4688DC</v>
          </cell>
          <cell r="P3941" t="str">
            <v>STC9D01C</v>
          </cell>
          <cell r="Q3941" t="str">
            <v>角度传感器</v>
          </cell>
        </row>
        <row r="3942">
          <cell r="O3942" t="str">
            <v>SC2442UA</v>
          </cell>
          <cell r="P3942" t="str">
            <v>STC9906P</v>
          </cell>
          <cell r="Q3942" t="str">
            <v>磁性位置传感器</v>
          </cell>
        </row>
        <row r="3943">
          <cell r="O3943" t="str">
            <v>SC4688编程板</v>
          </cell>
          <cell r="P3943" t="str">
            <v xml:space="preserve"> </v>
          </cell>
          <cell r="Q3943" t="str">
            <v>角度传感器</v>
          </cell>
        </row>
        <row r="3944">
          <cell r="O3944" t="str">
            <v>S41H</v>
          </cell>
          <cell r="P3944" t="str">
            <v>STC2899AI</v>
          </cell>
          <cell r="Q3944" t="str">
            <v>磁性位置传感器</v>
          </cell>
        </row>
        <row r="3945">
          <cell r="O3945" t="str">
            <v>S41H</v>
          </cell>
          <cell r="P3945" t="str">
            <v>STC2899AI</v>
          </cell>
          <cell r="Q3945" t="str">
            <v>磁性位置传感器</v>
          </cell>
        </row>
        <row r="3946">
          <cell r="O3946" t="str">
            <v>SC2242UA</v>
          </cell>
          <cell r="P3946" t="str">
            <v>STC9906H</v>
          </cell>
          <cell r="Q3946" t="str">
            <v>磁性位置传感器</v>
          </cell>
        </row>
        <row r="3947">
          <cell r="O3947" t="str">
            <v>SC2242UA</v>
          </cell>
          <cell r="P3947" t="str">
            <v>STC9906H</v>
          </cell>
          <cell r="Q3947" t="str">
            <v>磁性位置传感器</v>
          </cell>
        </row>
        <row r="3948">
          <cell r="O3948" t="str">
            <v>SC2242UA</v>
          </cell>
          <cell r="P3948" t="str">
            <v>STC9906H</v>
          </cell>
          <cell r="Q3948" t="str">
            <v>磁性位置传感器</v>
          </cell>
        </row>
        <row r="3949">
          <cell r="O3949" t="str">
            <v>SC9642TS-E</v>
          </cell>
          <cell r="P3949" t="str">
            <v>STC9A001H</v>
          </cell>
          <cell r="Q3949" t="str">
            <v>速度传感器</v>
          </cell>
        </row>
        <row r="3950">
          <cell r="O3950" t="str">
            <v>SC9642TS</v>
          </cell>
          <cell r="P3950" t="str">
            <v>STC9A001G</v>
          </cell>
          <cell r="Q3950" t="str">
            <v>速度传感器</v>
          </cell>
        </row>
        <row r="3951">
          <cell r="O3951" t="str">
            <v>SC9648TS-P</v>
          </cell>
          <cell r="P3951" t="str">
            <v>STC9A001I</v>
          </cell>
          <cell r="Q3951" t="str">
            <v>速度传感器</v>
          </cell>
        </row>
        <row r="3952">
          <cell r="O3952" t="str">
            <v>SC9675IM-P-LRF00</v>
          </cell>
          <cell r="P3952" t="str">
            <v>STC9A002B</v>
          </cell>
          <cell r="Q3952" t="str">
            <v>速度传感器</v>
          </cell>
        </row>
        <row r="3953">
          <cell r="O3953" t="str">
            <v>SC4643VB-P-2.5S</v>
          </cell>
          <cell r="P3953" t="str">
            <v>STC9D03E</v>
          </cell>
          <cell r="Q3953" t="str">
            <v>电流传感器</v>
          </cell>
        </row>
        <row r="3954">
          <cell r="O3954" t="str">
            <v>SC69401D</v>
          </cell>
          <cell r="P3954" t="str">
            <v>STC9H002DQ</v>
          </cell>
          <cell r="Q3954" t="str">
            <v>角度传感器</v>
          </cell>
        </row>
        <row r="3955">
          <cell r="O3955" t="str">
            <v>SC9642TS</v>
          </cell>
          <cell r="P3955" t="str">
            <v>STC9A001G</v>
          </cell>
          <cell r="Q3955" t="str">
            <v>速度传感器</v>
          </cell>
        </row>
        <row r="3956">
          <cell r="O3956" t="str">
            <v>SC2442UA</v>
          </cell>
          <cell r="P3956" t="str">
            <v>STC9906P</v>
          </cell>
          <cell r="Q3956" t="str">
            <v>磁性位置传感器</v>
          </cell>
        </row>
        <row r="3957">
          <cell r="O3957" t="str">
            <v>SC60221-D-256</v>
          </cell>
          <cell r="P3957" t="str">
            <v>STC9D04C</v>
          </cell>
          <cell r="Q3957" t="str">
            <v>电机编码器</v>
          </cell>
        </row>
        <row r="3958">
          <cell r="O3958" t="str">
            <v>SC2462SO</v>
          </cell>
          <cell r="P3958" t="str">
            <v>STC9906J</v>
          </cell>
          <cell r="Q3958" t="str">
            <v>磁性位置传感器</v>
          </cell>
        </row>
        <row r="3959">
          <cell r="O3959" t="str">
            <v>SC1002A1</v>
          </cell>
          <cell r="P3959" t="str">
            <v>STC1002AG</v>
          </cell>
          <cell r="Q3959" t="str">
            <v>磁性位置传感器</v>
          </cell>
        </row>
        <row r="3960">
          <cell r="O3960" t="str">
            <v>SC1002A1</v>
          </cell>
          <cell r="P3960" t="str">
            <v>STC1002AG</v>
          </cell>
          <cell r="Q3960" t="str">
            <v>磁性位置传感器</v>
          </cell>
        </row>
        <row r="3961">
          <cell r="O3961" t="str">
            <v>SC1002A1</v>
          </cell>
          <cell r="P3961" t="str">
            <v>STC1002AG</v>
          </cell>
          <cell r="Q3961" t="str">
            <v>磁性位置传感器</v>
          </cell>
        </row>
        <row r="3962">
          <cell r="O3962" t="str">
            <v>SC2442UA</v>
          </cell>
          <cell r="P3962" t="str">
            <v>STC9906P</v>
          </cell>
          <cell r="Q3962" t="str">
            <v>磁性位置传感器</v>
          </cell>
        </row>
        <row r="3963">
          <cell r="O3963" t="str">
            <v>SC2442UA</v>
          </cell>
          <cell r="P3963" t="str">
            <v>STC9906P</v>
          </cell>
          <cell r="Q3963" t="str">
            <v>磁性位置传感器</v>
          </cell>
        </row>
        <row r="3964">
          <cell r="O3964" t="str">
            <v>SC2242SO</v>
          </cell>
          <cell r="P3964" t="str">
            <v>STC9906H</v>
          </cell>
          <cell r="Q3964" t="str">
            <v>磁性位置传感器</v>
          </cell>
        </row>
        <row r="3965">
          <cell r="O3965" t="str">
            <v>SC2242SO</v>
          </cell>
          <cell r="P3965" t="str">
            <v>STC9906H</v>
          </cell>
          <cell r="Q3965" t="str">
            <v>磁性位置传感器</v>
          </cell>
        </row>
        <row r="3966">
          <cell r="O3966" t="str">
            <v>SD211VB</v>
          </cell>
          <cell r="P3966" t="str">
            <v>FD1016A</v>
          </cell>
          <cell r="Q3966" t="str">
            <v>电机驱动</v>
          </cell>
        </row>
        <row r="3967">
          <cell r="O3967" t="str">
            <v>SD211VB</v>
          </cell>
          <cell r="P3967" t="str">
            <v>FD1016A</v>
          </cell>
          <cell r="Q3967" t="str">
            <v>电机驱动</v>
          </cell>
        </row>
        <row r="3968">
          <cell r="O3968" t="str">
            <v>SD211VB</v>
          </cell>
          <cell r="P3968" t="str">
            <v>FD1016A</v>
          </cell>
          <cell r="Q3968" t="str">
            <v>电机驱动</v>
          </cell>
        </row>
        <row r="3969">
          <cell r="O3969" t="str">
            <v>SD211VB</v>
          </cell>
          <cell r="P3969" t="str">
            <v>FD1016A</v>
          </cell>
          <cell r="Q3969" t="str">
            <v>电机驱动</v>
          </cell>
        </row>
        <row r="3970">
          <cell r="O3970" t="str">
            <v>SD211VB</v>
          </cell>
          <cell r="P3970" t="str">
            <v>FD1016A</v>
          </cell>
          <cell r="Q3970" t="str">
            <v>电机驱动</v>
          </cell>
        </row>
        <row r="3971">
          <cell r="O3971" t="str">
            <v>SD211VB</v>
          </cell>
          <cell r="P3971" t="str">
            <v>FD1016A</v>
          </cell>
          <cell r="Q3971" t="str">
            <v>电机驱动</v>
          </cell>
        </row>
        <row r="3972">
          <cell r="O3972" t="str">
            <v>SD211VB</v>
          </cell>
          <cell r="P3972" t="str">
            <v>FD1016A</v>
          </cell>
          <cell r="Q3972" t="str">
            <v>电机驱动</v>
          </cell>
        </row>
        <row r="3973">
          <cell r="O3973" t="str">
            <v>SD211VB</v>
          </cell>
          <cell r="P3973" t="str">
            <v>FD1016A</v>
          </cell>
          <cell r="Q3973" t="str">
            <v>电机驱动</v>
          </cell>
        </row>
        <row r="3974">
          <cell r="O3974" t="str">
            <v>SD211VB</v>
          </cell>
          <cell r="P3974" t="str">
            <v>FD1016A</v>
          </cell>
          <cell r="Q3974" t="str">
            <v>电机驱动</v>
          </cell>
        </row>
        <row r="3975">
          <cell r="O3975" t="str">
            <v>SD211VB</v>
          </cell>
          <cell r="P3975" t="str">
            <v>FD1016A</v>
          </cell>
          <cell r="Q3975" t="str">
            <v>电机驱动</v>
          </cell>
        </row>
        <row r="3976">
          <cell r="O3976" t="str">
            <v>SC2448SO</v>
          </cell>
          <cell r="P3976" t="str">
            <v>STC9906S</v>
          </cell>
          <cell r="Q3976" t="str">
            <v>磁性位置传感器</v>
          </cell>
        </row>
        <row r="3977">
          <cell r="O3977" t="str">
            <v>SC2448SO</v>
          </cell>
          <cell r="P3977" t="str">
            <v>STC9906S</v>
          </cell>
          <cell r="Q3977" t="str">
            <v>磁性位置传感器</v>
          </cell>
        </row>
        <row r="3978">
          <cell r="O3978" t="str">
            <v>SC2448SO</v>
          </cell>
          <cell r="P3978" t="str">
            <v>STC9906S</v>
          </cell>
          <cell r="Q3978" t="str">
            <v>磁性位置传感器</v>
          </cell>
        </row>
        <row r="3979">
          <cell r="O3979" t="str">
            <v>SC2434SO</v>
          </cell>
          <cell r="P3979" t="str">
            <v>STC9906I</v>
          </cell>
          <cell r="Q3979" t="str">
            <v>磁性位置传感器</v>
          </cell>
        </row>
        <row r="3980">
          <cell r="O3980" t="str">
            <v>SC9648TS-P</v>
          </cell>
          <cell r="P3980" t="str">
            <v>STC9A001I</v>
          </cell>
          <cell r="Q3980" t="str">
            <v>速度传感器</v>
          </cell>
        </row>
        <row r="3981">
          <cell r="O3981" t="str">
            <v>SYLMV324BPD2R</v>
          </cell>
          <cell r="P3981" t="str">
            <v>STC9G003B</v>
          </cell>
          <cell r="Q3981" t="str">
            <v>其他数模混合</v>
          </cell>
        </row>
        <row r="3982">
          <cell r="O3982" t="str">
            <v>SC2064SO</v>
          </cell>
          <cell r="P3982" t="str">
            <v>STC9G001C</v>
          </cell>
          <cell r="Q3982" t="str">
            <v>磁性位置传感器</v>
          </cell>
        </row>
        <row r="3983">
          <cell r="O3983" t="str">
            <v>SC2064SO</v>
          </cell>
          <cell r="P3983" t="str">
            <v>STC9G001C</v>
          </cell>
          <cell r="Q3983" t="str">
            <v>磁性位置传感器</v>
          </cell>
        </row>
        <row r="3984">
          <cell r="O3984" t="str">
            <v>SC2063SO</v>
          </cell>
          <cell r="P3984" t="str">
            <v>STC9G001C</v>
          </cell>
          <cell r="Q3984" t="str">
            <v>磁性位置传感器</v>
          </cell>
        </row>
        <row r="3985">
          <cell r="O3985" t="str">
            <v>SC2402UA</v>
          </cell>
          <cell r="P3985" t="str">
            <v>STC9902J</v>
          </cell>
          <cell r="Q3985" t="str">
            <v>磁性位置传感器</v>
          </cell>
        </row>
        <row r="3986">
          <cell r="O3986" t="str">
            <v>SC2402UA</v>
          </cell>
          <cell r="P3986" t="str">
            <v>STC9902J</v>
          </cell>
          <cell r="Q3986" t="str">
            <v>磁性位置传感器</v>
          </cell>
        </row>
        <row r="3987">
          <cell r="O3987" t="str">
            <v>SC2434SO-N</v>
          </cell>
          <cell r="P3987" t="str">
            <v>STC9906I</v>
          </cell>
          <cell r="Q3987" t="str">
            <v>磁性位置传感器</v>
          </cell>
        </row>
        <row r="3988">
          <cell r="O3988" t="str">
            <v>SC1245SO-N</v>
          </cell>
          <cell r="P3988" t="str">
            <v>STC1898AD</v>
          </cell>
          <cell r="Q3988" t="str">
            <v>磁性位置传感器</v>
          </cell>
        </row>
        <row r="3989">
          <cell r="O3989" t="str">
            <v>SC1245SO-N</v>
          </cell>
          <cell r="P3989" t="str">
            <v>STC1898AD</v>
          </cell>
          <cell r="Q3989" t="str">
            <v>磁性位置传感器</v>
          </cell>
        </row>
        <row r="3990">
          <cell r="O3990" t="str">
            <v>SC1245SO-N</v>
          </cell>
          <cell r="P3990" t="str">
            <v>STC1898AD</v>
          </cell>
          <cell r="Q3990" t="str">
            <v>磁性位置传感器</v>
          </cell>
        </row>
        <row r="3991">
          <cell r="O3991" t="str">
            <v>SC69401</v>
          </cell>
          <cell r="P3991" t="str">
            <v>STC9H002D</v>
          </cell>
          <cell r="Q3991" t="str">
            <v>角度传感器</v>
          </cell>
        </row>
        <row r="3992">
          <cell r="O3992" t="str">
            <v>SC60224-U-P4-1024</v>
          </cell>
          <cell r="P3992" t="str">
            <v>STC9D04C</v>
          </cell>
          <cell r="Q3992" t="str">
            <v>电机编码器</v>
          </cell>
        </row>
        <row r="3993">
          <cell r="O3993" t="str">
            <v>SC60224-U-P4-1024</v>
          </cell>
          <cell r="P3993" t="str">
            <v>STC9D04C</v>
          </cell>
          <cell r="Q3993" t="str">
            <v>电机编码器</v>
          </cell>
        </row>
        <row r="3994">
          <cell r="O3994" t="str">
            <v>SC60228DC</v>
          </cell>
          <cell r="P3994" t="str">
            <v>STC9D04C</v>
          </cell>
          <cell r="Q3994" t="str">
            <v>电机编码器</v>
          </cell>
        </row>
        <row r="3995">
          <cell r="O3995" t="str">
            <v>SC4643VB-P</v>
          </cell>
          <cell r="P3995" t="str">
            <v>STC9D03E</v>
          </cell>
          <cell r="Q3995" t="str">
            <v>电流传感器</v>
          </cell>
        </row>
        <row r="3996">
          <cell r="O3996" t="str">
            <v>SC4688SA-A</v>
          </cell>
          <cell r="P3996" t="str">
            <v>STC9D01C</v>
          </cell>
          <cell r="Q3996" t="str">
            <v>角度传感器</v>
          </cell>
        </row>
        <row r="3997">
          <cell r="O3997" t="str">
            <v>SC9314UA</v>
          </cell>
          <cell r="P3997" t="str">
            <v>STC9901AF</v>
          </cell>
          <cell r="Q3997" t="str">
            <v>速度传感器</v>
          </cell>
        </row>
        <row r="3998">
          <cell r="O3998" t="str">
            <v>SC9641TS-P</v>
          </cell>
          <cell r="P3998" t="str">
            <v>STC9A001I</v>
          </cell>
          <cell r="Q3998" t="str">
            <v>速度传感器</v>
          </cell>
        </row>
        <row r="3999">
          <cell r="O3999" t="str">
            <v>SC2442SO</v>
          </cell>
          <cell r="P3999" t="str">
            <v>STC9906R</v>
          </cell>
          <cell r="Q3999" t="str">
            <v>磁性位置传感器</v>
          </cell>
        </row>
        <row r="4000">
          <cell r="O4000" t="str">
            <v>SC2442SO</v>
          </cell>
          <cell r="P4000" t="str">
            <v>STC9906R</v>
          </cell>
          <cell r="Q4000" t="str">
            <v>磁性位置传感器</v>
          </cell>
        </row>
        <row r="4001">
          <cell r="O4001" t="str">
            <v>SC2464SO</v>
          </cell>
          <cell r="P4001" t="str">
            <v>STC9906J</v>
          </cell>
          <cell r="Q4001" t="str">
            <v>磁性位置传感器</v>
          </cell>
        </row>
        <row r="4002">
          <cell r="O4002" t="str">
            <v>SC2462UA</v>
          </cell>
          <cell r="P4002" t="str">
            <v>STC9906J</v>
          </cell>
          <cell r="Q4002" t="str">
            <v>磁性位置传感器</v>
          </cell>
        </row>
        <row r="4003">
          <cell r="O4003" t="str">
            <v>SC2436SO</v>
          </cell>
          <cell r="P4003" t="str">
            <v>STC9906I</v>
          </cell>
          <cell r="Q4003" t="str">
            <v>磁性位置传感器</v>
          </cell>
        </row>
        <row r="4004">
          <cell r="O4004" t="str">
            <v>SC2464UA</v>
          </cell>
          <cell r="P4004" t="str">
            <v>STC9906J</v>
          </cell>
          <cell r="Q4004" t="str">
            <v>磁性位置传感器</v>
          </cell>
        </row>
        <row r="4005">
          <cell r="O4005" t="str">
            <v>SC2462SO</v>
          </cell>
          <cell r="P4005" t="str">
            <v>STC9906J</v>
          </cell>
          <cell r="Q4005" t="str">
            <v>磁性位置传感器</v>
          </cell>
        </row>
        <row r="4006">
          <cell r="O4006" t="str">
            <v>SC2434SO-N</v>
          </cell>
          <cell r="P4006" t="str">
            <v>STC9906I</v>
          </cell>
          <cell r="Q4006" t="str">
            <v>磁性位置传感器</v>
          </cell>
        </row>
        <row r="4007">
          <cell r="O4007" t="str">
            <v>SC2402UA</v>
          </cell>
          <cell r="P4007" t="str">
            <v>STC9902J</v>
          </cell>
          <cell r="Q4007" t="str">
            <v>磁性位置传感器</v>
          </cell>
        </row>
        <row r="4008">
          <cell r="O4008" t="str">
            <v>SC2442UA</v>
          </cell>
          <cell r="P4008" t="str">
            <v>STC9906P</v>
          </cell>
          <cell r="Q4008" t="str">
            <v>磁性位置传感器</v>
          </cell>
        </row>
        <row r="4009">
          <cell r="O4009" t="str">
            <v>SC2242SO</v>
          </cell>
          <cell r="P4009" t="str">
            <v>STC9906H</v>
          </cell>
          <cell r="Q4009" t="str">
            <v>磁性位置传感器</v>
          </cell>
        </row>
        <row r="4010">
          <cell r="O4010" t="str">
            <v>SC2242UA</v>
          </cell>
          <cell r="P4010" t="str">
            <v>STC9906H</v>
          </cell>
          <cell r="Q4010" t="str">
            <v>磁性位置传感器</v>
          </cell>
        </row>
        <row r="4011">
          <cell r="O4011" t="str">
            <v>SC1245SO-N</v>
          </cell>
          <cell r="P4011" t="str">
            <v>STC1898AD</v>
          </cell>
          <cell r="Q4011" t="str">
            <v>磁性位置传感器</v>
          </cell>
        </row>
        <row r="4012">
          <cell r="O4012" t="str">
            <v>SC1245A1</v>
          </cell>
          <cell r="P4012" t="str">
            <v>STC1898AD</v>
          </cell>
          <cell r="Q4012" t="str">
            <v>磁性位置传感器</v>
          </cell>
        </row>
        <row r="4013">
          <cell r="O4013" t="str">
            <v>SC1134SO-N</v>
          </cell>
          <cell r="P4013" t="str">
            <v>STC1898AI</v>
          </cell>
          <cell r="Q4013" t="str">
            <v>磁性位置传感器</v>
          </cell>
        </row>
        <row r="4014">
          <cell r="O4014" t="str">
            <v>SC1134SO-N</v>
          </cell>
          <cell r="P4014" t="str">
            <v>STC1898AI</v>
          </cell>
          <cell r="Q4014" t="str">
            <v>磁性位置传感器</v>
          </cell>
        </row>
        <row r="4015">
          <cell r="O4015" t="str">
            <v>SC1134UA</v>
          </cell>
          <cell r="P4015" t="str">
            <v>STC1898AI</v>
          </cell>
          <cell r="Q4015" t="str">
            <v>磁性位置传感器</v>
          </cell>
        </row>
        <row r="4016">
          <cell r="O4016" t="str">
            <v>SC2202SO-N</v>
          </cell>
          <cell r="P4016" t="str">
            <v>STC9902E</v>
          </cell>
          <cell r="Q4016" t="str">
            <v>磁性位置传感器</v>
          </cell>
        </row>
        <row r="4017">
          <cell r="O4017" t="str">
            <v>ZH639D0JT</v>
          </cell>
          <cell r="P4017" t="str">
            <v xml:space="preserve"> </v>
          </cell>
          <cell r="Q4017" t="str">
            <v>电机驱动</v>
          </cell>
        </row>
        <row r="4018">
          <cell r="O4018" t="str">
            <v>SC2064SO</v>
          </cell>
          <cell r="P4018" t="str">
            <v>STC9G001C</v>
          </cell>
          <cell r="Q4018" t="str">
            <v>磁性位置传感器</v>
          </cell>
        </row>
        <row r="4019">
          <cell r="O4019" t="str">
            <v>SC2063SO</v>
          </cell>
          <cell r="P4019" t="str">
            <v>STC9G001C</v>
          </cell>
          <cell r="Q4019" t="str">
            <v>磁性位置传感器</v>
          </cell>
        </row>
        <row r="4020">
          <cell r="O4020" t="str">
            <v>SC2402DN</v>
          </cell>
          <cell r="P4020" t="str">
            <v>STC9G002B</v>
          </cell>
          <cell r="Q4020" t="str">
            <v>磁性位置传感器</v>
          </cell>
        </row>
        <row r="4021">
          <cell r="O4021" t="str">
            <v>SC2402SO-N</v>
          </cell>
          <cell r="P4021" t="str">
            <v>STC9H001A</v>
          </cell>
          <cell r="Q4021" t="str">
            <v>磁性位置传感器</v>
          </cell>
        </row>
        <row r="4022">
          <cell r="O4022" t="str">
            <v>SC2448SO</v>
          </cell>
          <cell r="P4022" t="str">
            <v>STC9906S</v>
          </cell>
          <cell r="Q4022" t="str">
            <v>磁性位置传感器</v>
          </cell>
        </row>
        <row r="4023">
          <cell r="O4023" t="str">
            <v>SC2498SO</v>
          </cell>
          <cell r="P4023" t="str">
            <v>SC9915C</v>
          </cell>
          <cell r="Q4023" t="str">
            <v>磁性位置传感器</v>
          </cell>
        </row>
        <row r="4024">
          <cell r="O4024" t="str">
            <v>SC2498UA-N</v>
          </cell>
          <cell r="P4024" t="str">
            <v>SC9915C</v>
          </cell>
          <cell r="Q4024" t="str">
            <v>磁性位置传感器</v>
          </cell>
        </row>
        <row r="4025">
          <cell r="O4025" t="str">
            <v>SC4011SO-N</v>
          </cell>
          <cell r="P4025" t="str">
            <v>STC4011B</v>
          </cell>
          <cell r="Q4025" t="str">
            <v>磁性位置传感器</v>
          </cell>
        </row>
        <row r="4026">
          <cell r="O4026" t="str">
            <v>SC4001UA</v>
          </cell>
          <cell r="P4026" t="str">
            <v>STC4001AB</v>
          </cell>
          <cell r="Q4026" t="str">
            <v>磁性位置传感器</v>
          </cell>
        </row>
        <row r="4027">
          <cell r="O4027" t="str">
            <v>SC4002UA</v>
          </cell>
          <cell r="P4027" t="str">
            <v>STC4000AA</v>
          </cell>
          <cell r="Q4027" t="str">
            <v>磁性位置传感器</v>
          </cell>
        </row>
        <row r="4028">
          <cell r="O4028" t="str">
            <v>49E</v>
          </cell>
          <cell r="P4028" t="str">
            <v>STC4011B</v>
          </cell>
          <cell r="Q4028" t="str">
            <v>磁性位置传感器</v>
          </cell>
        </row>
        <row r="4029">
          <cell r="O4029" t="str">
            <v>49E</v>
          </cell>
          <cell r="P4029" t="str">
            <v>STC4011B</v>
          </cell>
          <cell r="Q4029" t="str">
            <v>磁性位置传感器</v>
          </cell>
        </row>
        <row r="4030">
          <cell r="O4030" t="str">
            <v>G01</v>
          </cell>
          <cell r="P4030" t="str">
            <v>STC4011B</v>
          </cell>
          <cell r="Q4030" t="str">
            <v>磁性位置传感器</v>
          </cell>
        </row>
        <row r="4031">
          <cell r="O4031" t="str">
            <v>SC2443SO</v>
          </cell>
          <cell r="P4031" t="str">
            <v>STC9906T</v>
          </cell>
          <cell r="Q4031" t="str">
            <v>磁性位置传感器</v>
          </cell>
        </row>
        <row r="4032">
          <cell r="O4032" t="str">
            <v>SC2443SO</v>
          </cell>
          <cell r="P4032" t="str">
            <v>STC9906T</v>
          </cell>
          <cell r="Q4032" t="str">
            <v>磁性位置传感器</v>
          </cell>
        </row>
        <row r="4033">
          <cell r="O4033" t="str">
            <v>SC9621VB-A</v>
          </cell>
          <cell r="P4033" t="str">
            <v>STC9910F</v>
          </cell>
          <cell r="Q4033" t="str">
            <v>速度传感器</v>
          </cell>
        </row>
        <row r="4034">
          <cell r="O4034" t="str">
            <v>SC9625VB</v>
          </cell>
          <cell r="P4034" t="str">
            <v>STC9910B</v>
          </cell>
          <cell r="Q4034" t="str">
            <v>速度传感器</v>
          </cell>
        </row>
        <row r="4035">
          <cell r="O4035" t="str">
            <v>SC9625VB</v>
          </cell>
          <cell r="P4035" t="str">
            <v>STC9910B</v>
          </cell>
          <cell r="Q4035" t="str">
            <v>速度传感器</v>
          </cell>
        </row>
        <row r="4036">
          <cell r="O4036" t="str">
            <v>SC9641TS-P</v>
          </cell>
          <cell r="P4036" t="str">
            <v>STC9A001I</v>
          </cell>
          <cell r="Q4036" t="str">
            <v>速度传感器</v>
          </cell>
        </row>
        <row r="4037">
          <cell r="O4037" t="str">
            <v>SC9675IM-P-LRF00</v>
          </cell>
          <cell r="P4037" t="str">
            <v>STC9A002B</v>
          </cell>
          <cell r="Q4037" t="str">
            <v>速度传感器</v>
          </cell>
        </row>
        <row r="4038">
          <cell r="O4038" t="str">
            <v>SC9641TS-PC</v>
          </cell>
          <cell r="P4038" t="str">
            <v>STC9A001I</v>
          </cell>
          <cell r="Q4038" t="str">
            <v>速度传感器</v>
          </cell>
        </row>
        <row r="4039">
          <cell r="O4039" t="str">
            <v>SC9641TS-PC</v>
          </cell>
          <cell r="P4039" t="str">
            <v>STC9A001I</v>
          </cell>
          <cell r="Q4039" t="str">
            <v>速度传感器</v>
          </cell>
        </row>
        <row r="4040">
          <cell r="O4040" t="str">
            <v>SC9641TS-PC</v>
          </cell>
          <cell r="P4040" t="str">
            <v>STC9A001I</v>
          </cell>
          <cell r="Q4040" t="str">
            <v>速度传感器</v>
          </cell>
        </row>
        <row r="4041">
          <cell r="O4041" t="str">
            <v>ZH6338C-Mask</v>
          </cell>
          <cell r="P4041" t="str">
            <v xml:space="preserve"> </v>
          </cell>
          <cell r="Q4041" t="str">
            <v>电机驱动</v>
          </cell>
        </row>
        <row r="4042">
          <cell r="O4042" t="str">
            <v>ZH6521P-Mask</v>
          </cell>
          <cell r="P4042" t="str">
            <v xml:space="preserve"> </v>
          </cell>
          <cell r="Q4042" t="str">
            <v>电机驱动</v>
          </cell>
        </row>
        <row r="4043">
          <cell r="O4043" t="str">
            <v>ZH6521P</v>
          </cell>
          <cell r="P4043" t="str">
            <v>ZH6521P</v>
          </cell>
          <cell r="Q4043" t="str">
            <v>电机驱动</v>
          </cell>
        </row>
        <row r="4044">
          <cell r="O4044" t="str">
            <v>ZH6338C</v>
          </cell>
          <cell r="P4044" t="str">
            <v>ZH6338C</v>
          </cell>
          <cell r="Q4044" t="str">
            <v>电机驱动</v>
          </cell>
        </row>
        <row r="4045">
          <cell r="O4045" t="str">
            <v>SC2443UA</v>
          </cell>
          <cell r="P4045" t="str">
            <v>STC9906W</v>
          </cell>
          <cell r="Q4045" t="str">
            <v>磁性位置传感器</v>
          </cell>
        </row>
        <row r="4046">
          <cell r="O4046" t="str">
            <v>SC2443UA</v>
          </cell>
          <cell r="P4046" t="str">
            <v>STC9906W</v>
          </cell>
          <cell r="Q4046" t="str">
            <v>磁性位置传感器</v>
          </cell>
        </row>
        <row r="4047">
          <cell r="O4047" t="str">
            <v>SC2443UA</v>
          </cell>
          <cell r="P4047" t="str">
            <v>STC9906W</v>
          </cell>
          <cell r="Q4047" t="str">
            <v>磁性位置传感器</v>
          </cell>
        </row>
        <row r="4048">
          <cell r="O4048" t="str">
            <v>SC2443UA</v>
          </cell>
          <cell r="P4048" t="str">
            <v>STC9906W</v>
          </cell>
          <cell r="Q4048" t="str">
            <v>磁性位置传感器</v>
          </cell>
        </row>
        <row r="4049">
          <cell r="O4049" t="str">
            <v>SC2443UA</v>
          </cell>
          <cell r="P4049" t="str">
            <v>STC9906W</v>
          </cell>
          <cell r="Q4049" t="str">
            <v>磁性位置传感器</v>
          </cell>
        </row>
        <row r="4050">
          <cell r="O4050" t="str">
            <v>SC2443UA</v>
          </cell>
          <cell r="P4050" t="str">
            <v>STC9906W</v>
          </cell>
          <cell r="Q4050" t="str">
            <v>磁性位置传感器</v>
          </cell>
        </row>
        <row r="4051">
          <cell r="O4051" t="str">
            <v>SC2443UA</v>
          </cell>
          <cell r="P4051" t="str">
            <v>STC9906W</v>
          </cell>
          <cell r="Q4051" t="str">
            <v>磁性位置传感器</v>
          </cell>
        </row>
        <row r="4052">
          <cell r="O4052" t="str">
            <v>SC2443UA</v>
          </cell>
          <cell r="P4052" t="str">
            <v>STC9906W</v>
          </cell>
          <cell r="Q4052" t="str">
            <v>磁性位置传感器</v>
          </cell>
        </row>
        <row r="4053">
          <cell r="O4053" t="str">
            <v>SC2443UA</v>
          </cell>
          <cell r="P4053" t="str">
            <v>STC9906W</v>
          </cell>
          <cell r="Q4053" t="str">
            <v>磁性位置传感器</v>
          </cell>
        </row>
        <row r="4054">
          <cell r="O4054" t="str">
            <v>SC2443UA</v>
          </cell>
          <cell r="P4054" t="str">
            <v>STC9906W</v>
          </cell>
          <cell r="Q4054" t="str">
            <v>磁性位置传感器</v>
          </cell>
        </row>
        <row r="4055">
          <cell r="O4055" t="str">
            <v>SC2443UA</v>
          </cell>
          <cell r="P4055" t="str">
            <v>STC9906W</v>
          </cell>
          <cell r="Q4055" t="str">
            <v>磁性位置传感器</v>
          </cell>
        </row>
        <row r="4056">
          <cell r="O4056" t="str">
            <v>SC2443UA</v>
          </cell>
          <cell r="P4056" t="str">
            <v>STC9906W</v>
          </cell>
          <cell r="Q4056" t="str">
            <v>磁性位置传感器</v>
          </cell>
        </row>
        <row r="4057">
          <cell r="O4057" t="str">
            <v>SC1138SO-N</v>
          </cell>
          <cell r="P4057" t="str">
            <v>STC1898AC</v>
          </cell>
          <cell r="Q4057" t="str">
            <v>磁性位置传感器</v>
          </cell>
        </row>
        <row r="4058">
          <cell r="O4058" t="str">
            <v>SC1138SO-N</v>
          </cell>
          <cell r="P4058" t="str">
            <v>STC1898AC</v>
          </cell>
          <cell r="Q4058" t="str">
            <v>磁性位置传感器</v>
          </cell>
        </row>
        <row r="4059">
          <cell r="O4059" t="str">
            <v>SC1134SO-N</v>
          </cell>
          <cell r="P4059" t="str">
            <v>STC1898AI</v>
          </cell>
          <cell r="Q4059" t="str">
            <v>磁性位置传感器</v>
          </cell>
        </row>
        <row r="4060">
          <cell r="O4060" t="str">
            <v>SC1134SO-N</v>
          </cell>
          <cell r="P4060" t="str">
            <v>STC1898AI</v>
          </cell>
          <cell r="Q4060" t="str">
            <v>磁性位置传感器</v>
          </cell>
        </row>
        <row r="4061">
          <cell r="O4061" t="str">
            <v>SC4616UA-10.2NF</v>
          </cell>
          <cell r="P4061" t="str">
            <v>STC9907D</v>
          </cell>
          <cell r="Q4061" t="str">
            <v>电流传感器</v>
          </cell>
        </row>
        <row r="4062">
          <cell r="O4062" t="str">
            <v>SC4616UA-10.2NF</v>
          </cell>
          <cell r="P4062" t="str">
            <v>STC9907D</v>
          </cell>
          <cell r="Q4062" t="str">
            <v>电流传感器</v>
          </cell>
        </row>
        <row r="4063">
          <cell r="O4063" t="str">
            <v>SC4616UA-10.2NF</v>
          </cell>
          <cell r="P4063" t="str">
            <v>STC9907D</v>
          </cell>
          <cell r="Q4063" t="str">
            <v>电流传感器</v>
          </cell>
        </row>
        <row r="4064">
          <cell r="O4064" t="str">
            <v>SC1245UA</v>
          </cell>
          <cell r="P4064" t="str">
            <v>STC1898AD</v>
          </cell>
          <cell r="Q4064" t="str">
            <v>磁性位置传感器</v>
          </cell>
        </row>
        <row r="4065">
          <cell r="O4065" t="str">
            <v>SC1002F1</v>
          </cell>
          <cell r="P4065" t="str">
            <v>STC1002AG</v>
          </cell>
          <cell r="Q4065" t="str">
            <v>磁性位置传感器</v>
          </cell>
        </row>
        <row r="4066">
          <cell r="O4066" t="str">
            <v>SC9641TS-PC</v>
          </cell>
          <cell r="P4066" t="str">
            <v>STC9A001I</v>
          </cell>
          <cell r="Q4066" t="str">
            <v>速度传感器</v>
          </cell>
        </row>
        <row r="4067">
          <cell r="O4067" t="str">
            <v>SC9641TS-PC</v>
          </cell>
          <cell r="P4067" t="str">
            <v>STC9A001I</v>
          </cell>
          <cell r="Q4067" t="str">
            <v>速度传感器</v>
          </cell>
        </row>
        <row r="4068">
          <cell r="O4068" t="str">
            <v>SC9641TS-PC</v>
          </cell>
          <cell r="P4068" t="str">
            <v>STC9A001I</v>
          </cell>
          <cell r="Q4068" t="str">
            <v>速度传感器</v>
          </cell>
        </row>
        <row r="4069">
          <cell r="O4069" t="str">
            <v>SC2442SO-N</v>
          </cell>
          <cell r="P4069" t="str">
            <v>STC9906P</v>
          </cell>
          <cell r="Q4069" t="str">
            <v>磁性位置传感器</v>
          </cell>
        </row>
        <row r="4070">
          <cell r="O4070" t="str">
            <v>SC2442SO-N</v>
          </cell>
          <cell r="P4070" t="str">
            <v>STC9906P</v>
          </cell>
          <cell r="Q4070" t="str">
            <v>磁性位置传感器</v>
          </cell>
        </row>
        <row r="4071">
          <cell r="O4071" t="str">
            <v>SC2442SO-N</v>
          </cell>
          <cell r="P4071" t="str">
            <v>STC9906P</v>
          </cell>
          <cell r="Q4071" t="str">
            <v>磁性位置传感器</v>
          </cell>
        </row>
        <row r="4072">
          <cell r="O4072" t="str">
            <v>SC2442UA</v>
          </cell>
          <cell r="P4072" t="str">
            <v>STC9906P</v>
          </cell>
          <cell r="Q4072" t="str">
            <v>磁性位置传感器</v>
          </cell>
        </row>
        <row r="4073">
          <cell r="O4073" t="str">
            <v>SC1134SO-N</v>
          </cell>
          <cell r="P4073" t="str">
            <v>STC1898AI</v>
          </cell>
          <cell r="Q4073" t="str">
            <v>磁性位置传感器</v>
          </cell>
        </row>
        <row r="4074">
          <cell r="O4074" t="str">
            <v>SC60221-U-P1-256-244-mai</v>
          </cell>
          <cell r="P4074" t="str">
            <v>STC9D04C</v>
          </cell>
          <cell r="Q4074" t="str">
            <v>电机编码器</v>
          </cell>
        </row>
        <row r="4075">
          <cell r="O4075" t="str">
            <v>SCN919</v>
          </cell>
          <cell r="P4075" t="str">
            <v>STC9909B</v>
          </cell>
          <cell r="Q4075" t="str">
            <v>磁性位置传感器</v>
          </cell>
        </row>
        <row r="4076">
          <cell r="O4076" t="str">
            <v>SC1445A1</v>
          </cell>
          <cell r="P4076" t="str">
            <v>STC2899AB</v>
          </cell>
          <cell r="Q4076" t="str">
            <v>磁性位置传感器</v>
          </cell>
        </row>
        <row r="4077">
          <cell r="O4077" t="str">
            <v>SC1445A1</v>
          </cell>
          <cell r="P4077" t="str">
            <v>STC2899AB</v>
          </cell>
          <cell r="Q4077" t="str">
            <v>磁性位置传感器</v>
          </cell>
        </row>
        <row r="4078">
          <cell r="O4078" t="str">
            <v>SC2442UA</v>
          </cell>
          <cell r="P4078" t="str">
            <v>STC9906P</v>
          </cell>
          <cell r="Q4078" t="str">
            <v>磁性位置传感器</v>
          </cell>
        </row>
        <row r="4079">
          <cell r="O4079" t="str">
            <v>SC2442UA</v>
          </cell>
          <cell r="P4079" t="str">
            <v>STC9906P</v>
          </cell>
          <cell r="Q4079" t="str">
            <v>磁性位置传感器</v>
          </cell>
        </row>
        <row r="4080">
          <cell r="O4080" t="str">
            <v>SC2442UA</v>
          </cell>
          <cell r="P4080" t="str">
            <v>STC9906P</v>
          </cell>
          <cell r="Q4080" t="str">
            <v>磁性位置传感器</v>
          </cell>
        </row>
        <row r="4081">
          <cell r="O4081" t="str">
            <v>SC2434SO-N</v>
          </cell>
          <cell r="P4081" t="str">
            <v>STC9906I</v>
          </cell>
          <cell r="Q4081" t="str">
            <v>磁性位置传感器</v>
          </cell>
        </row>
        <row r="4082">
          <cell r="O4082" t="str">
            <v>G01</v>
          </cell>
          <cell r="P4082" t="str">
            <v>STC4011B</v>
          </cell>
          <cell r="Q4082" t="str">
            <v>磁性位置传感器</v>
          </cell>
        </row>
        <row r="4083">
          <cell r="O4083" t="str">
            <v>G01</v>
          </cell>
          <cell r="P4083" t="str">
            <v>STC4011B</v>
          </cell>
          <cell r="Q4083" t="str">
            <v>磁性位置传感器</v>
          </cell>
        </row>
        <row r="4084">
          <cell r="O4084" t="str">
            <v>G01</v>
          </cell>
          <cell r="P4084" t="str">
            <v>STC4011B</v>
          </cell>
          <cell r="Q4084" t="str">
            <v>磁性位置传感器</v>
          </cell>
        </row>
        <row r="4085">
          <cell r="O4085" t="str">
            <v>G01</v>
          </cell>
          <cell r="P4085" t="str">
            <v>STC4011B</v>
          </cell>
          <cell r="Q4085" t="str">
            <v>磁性位置传感器</v>
          </cell>
        </row>
        <row r="4086">
          <cell r="O4086" t="str">
            <v>G01</v>
          </cell>
          <cell r="P4086" t="str">
            <v>STC4011B</v>
          </cell>
          <cell r="Q4086" t="str">
            <v>磁性位置传感器</v>
          </cell>
        </row>
        <row r="4087">
          <cell r="O4087" t="str">
            <v>G01</v>
          </cell>
          <cell r="P4087" t="str">
            <v>STC4011B</v>
          </cell>
          <cell r="Q4087" t="str">
            <v>磁性位置传感器</v>
          </cell>
        </row>
        <row r="4088">
          <cell r="O4088" t="str">
            <v>SC1138UA</v>
          </cell>
          <cell r="P4088" t="str">
            <v>STC1898AC</v>
          </cell>
          <cell r="Q4088" t="str">
            <v>磁性位置传感器</v>
          </cell>
        </row>
        <row r="4089">
          <cell r="O4089" t="str">
            <v>SC1245SO-N</v>
          </cell>
          <cell r="P4089" t="str">
            <v>STC1898AD</v>
          </cell>
          <cell r="Q4089" t="str">
            <v>磁性位置传感器</v>
          </cell>
        </row>
        <row r="4090">
          <cell r="O4090" t="str">
            <v>SC2432SO-N</v>
          </cell>
          <cell r="P4090" t="str">
            <v>STC9906I</v>
          </cell>
          <cell r="Q4090" t="str">
            <v>磁性位置传感器</v>
          </cell>
        </row>
        <row r="4091">
          <cell r="O4091" t="str">
            <v>SC2432SO-N</v>
          </cell>
          <cell r="P4091" t="str">
            <v>STC9906I</v>
          </cell>
          <cell r="Q4091" t="str">
            <v>磁性位置传感器</v>
          </cell>
        </row>
        <row r="4092">
          <cell r="O4092" t="str">
            <v>SC1245SO-N</v>
          </cell>
          <cell r="P4092" t="str">
            <v>STC1898AD</v>
          </cell>
          <cell r="Q4092" t="str">
            <v>磁性位置传感器</v>
          </cell>
        </row>
        <row r="4093">
          <cell r="O4093" t="str">
            <v>SC1245SO-N</v>
          </cell>
          <cell r="P4093" t="str">
            <v>STC1898AD</v>
          </cell>
          <cell r="Q4093" t="str">
            <v>磁性位置传感器</v>
          </cell>
        </row>
        <row r="4094">
          <cell r="O4094" t="str">
            <v>SC2202SO-N</v>
          </cell>
          <cell r="P4094" t="str">
            <v>STC9902E</v>
          </cell>
          <cell r="Q4094" t="str">
            <v>磁性位置传感器</v>
          </cell>
        </row>
        <row r="4095">
          <cell r="O4095" t="str">
            <v>SC2242SO</v>
          </cell>
          <cell r="P4095" t="str">
            <v>STC9906H</v>
          </cell>
          <cell r="Q4095" t="str">
            <v>磁性位置传感器</v>
          </cell>
        </row>
        <row r="4096">
          <cell r="O4096" t="str">
            <v>SC1445A1</v>
          </cell>
          <cell r="P4096" t="str">
            <v>STC2899AB</v>
          </cell>
          <cell r="Q4096" t="str">
            <v>磁性位置传感器</v>
          </cell>
        </row>
        <row r="4097">
          <cell r="O4097" t="str">
            <v>SC4689SA</v>
          </cell>
          <cell r="P4097" t="str">
            <v>STC9D01F</v>
          </cell>
          <cell r="Q4097" t="str">
            <v>角度传感器</v>
          </cell>
        </row>
        <row r="4098">
          <cell r="O4098" t="str">
            <v>SC4689SA</v>
          </cell>
          <cell r="P4098" t="str">
            <v>STC9D01F</v>
          </cell>
          <cell r="Q4098" t="str">
            <v>角度传感器</v>
          </cell>
        </row>
        <row r="4099">
          <cell r="O4099" t="str">
            <v>SC4643VB-S</v>
          </cell>
          <cell r="P4099" t="str">
            <v>STC9D03E</v>
          </cell>
          <cell r="Q4099" t="str">
            <v>电流传感器</v>
          </cell>
        </row>
        <row r="4100">
          <cell r="O4100" t="str">
            <v>SC9641TS-PC</v>
          </cell>
          <cell r="P4100" t="str">
            <v>STC9A001I</v>
          </cell>
          <cell r="Q4100" t="str">
            <v>速度传感器</v>
          </cell>
        </row>
        <row r="4101">
          <cell r="O4101" t="str">
            <v>SC9641TS-PC</v>
          </cell>
          <cell r="P4101" t="str">
            <v>STC9A001I</v>
          </cell>
          <cell r="Q4101" t="str">
            <v>速度传感器</v>
          </cell>
        </row>
        <row r="4102">
          <cell r="O4102" t="str">
            <v>SC9641TS-PC</v>
          </cell>
          <cell r="P4102" t="str">
            <v>STC9A001I</v>
          </cell>
          <cell r="Q4102" t="str">
            <v>速度传感器</v>
          </cell>
        </row>
        <row r="4103">
          <cell r="O4103" t="str">
            <v>SC9641TS-PC</v>
          </cell>
          <cell r="P4103" t="str">
            <v>STC9A001I</v>
          </cell>
          <cell r="Q4103" t="str">
            <v>速度传感器</v>
          </cell>
        </row>
        <row r="4104">
          <cell r="O4104" t="str">
            <v>SC9641TS-PC</v>
          </cell>
          <cell r="P4104" t="str">
            <v>STC9A001I</v>
          </cell>
          <cell r="Q4104" t="str">
            <v>速度传感器</v>
          </cell>
        </row>
        <row r="4105">
          <cell r="O4105" t="str">
            <v>SC9641TS-PC</v>
          </cell>
          <cell r="P4105" t="str">
            <v>STC9A001I</v>
          </cell>
          <cell r="Q4105" t="str">
            <v>速度传感器</v>
          </cell>
        </row>
        <row r="4106">
          <cell r="O4106" t="str">
            <v>SC9641TS-PC</v>
          </cell>
          <cell r="P4106" t="str">
            <v>STC9A001I</v>
          </cell>
          <cell r="Q4106" t="str">
            <v>速度传感器</v>
          </cell>
        </row>
        <row r="4107">
          <cell r="O4107" t="str">
            <v>SC4643VB</v>
          </cell>
          <cell r="P4107" t="str">
            <v>STC9D03E</v>
          </cell>
          <cell r="Q4107" t="str">
            <v>电流传感器</v>
          </cell>
        </row>
        <row r="4108">
          <cell r="O4108" t="str">
            <v>SC4643VB</v>
          </cell>
          <cell r="P4108" t="str">
            <v>STC9D03E</v>
          </cell>
          <cell r="Q4108" t="str">
            <v>电流传感器</v>
          </cell>
        </row>
        <row r="4109">
          <cell r="O4109" t="str">
            <v>SC4643VB</v>
          </cell>
          <cell r="P4109" t="str">
            <v>STC9D03E</v>
          </cell>
          <cell r="Q4109" t="str">
            <v>电流传感器</v>
          </cell>
        </row>
        <row r="4110">
          <cell r="O4110" t="str">
            <v>SC1138SO-N</v>
          </cell>
          <cell r="P4110" t="str">
            <v>STC1898AC</v>
          </cell>
          <cell r="Q4110" t="str">
            <v>磁性位置传感器</v>
          </cell>
        </row>
        <row r="4111">
          <cell r="O4111" t="str">
            <v>SC1138SO-N</v>
          </cell>
          <cell r="P4111" t="str">
            <v>STC1898AC</v>
          </cell>
          <cell r="Q4111" t="str">
            <v>磁性位置传感器</v>
          </cell>
        </row>
        <row r="4112">
          <cell r="O4112" t="str">
            <v>SC1138SO-N</v>
          </cell>
          <cell r="P4112" t="str">
            <v>STC1898AC</v>
          </cell>
          <cell r="Q4112" t="str">
            <v>磁性位置传感器</v>
          </cell>
        </row>
        <row r="4113">
          <cell r="O4113" t="str">
            <v>SC1138SO-N</v>
          </cell>
          <cell r="P4113" t="str">
            <v>STC1898AC</v>
          </cell>
          <cell r="Q4113" t="str">
            <v>磁性位置传感器</v>
          </cell>
        </row>
        <row r="4114">
          <cell r="O4114" t="str">
            <v>SC4643VB-A</v>
          </cell>
          <cell r="P4114" t="str">
            <v>STC9D03E</v>
          </cell>
          <cell r="Q4114" t="str">
            <v>电流传感器</v>
          </cell>
        </row>
        <row r="4115">
          <cell r="O4115" t="str">
            <v>SC4643VB-A</v>
          </cell>
          <cell r="P4115" t="str">
            <v>STC9D03E</v>
          </cell>
          <cell r="Q4115" t="str">
            <v>电流传感器</v>
          </cell>
        </row>
        <row r="4116">
          <cell r="O4116" t="str">
            <v>SC4643VB-A</v>
          </cell>
          <cell r="P4116" t="str">
            <v>STC9D03E</v>
          </cell>
          <cell r="Q4116" t="str">
            <v>电流传感器</v>
          </cell>
        </row>
        <row r="4117">
          <cell r="O4117" t="str">
            <v>SC4643VB-A</v>
          </cell>
          <cell r="P4117" t="str">
            <v>STC9D03E</v>
          </cell>
          <cell r="Q4117" t="str">
            <v>电流传感器</v>
          </cell>
        </row>
        <row r="4118">
          <cell r="O4118" t="str">
            <v>SC4643VB-A</v>
          </cell>
          <cell r="P4118" t="str">
            <v>STC9D03E</v>
          </cell>
          <cell r="Q4118" t="str">
            <v>电流传感器</v>
          </cell>
        </row>
        <row r="4119">
          <cell r="O4119" t="str">
            <v>SC4643VB-A</v>
          </cell>
          <cell r="P4119" t="str">
            <v>STC9D03E</v>
          </cell>
          <cell r="Q4119" t="str">
            <v>电流传感器</v>
          </cell>
        </row>
        <row r="4120">
          <cell r="O4120" t="str">
            <v>SC4643VB-A</v>
          </cell>
          <cell r="P4120" t="str">
            <v>STC9D03E</v>
          </cell>
          <cell r="Q4120" t="str">
            <v>电流传感器</v>
          </cell>
        </row>
        <row r="4121">
          <cell r="O4121" t="str">
            <v>SC4643VB-A</v>
          </cell>
          <cell r="P4121" t="str">
            <v>STC9D03E</v>
          </cell>
          <cell r="Q4121" t="str">
            <v>电流传感器</v>
          </cell>
        </row>
        <row r="4122">
          <cell r="O4122" t="str">
            <v>SC4643VB-A</v>
          </cell>
          <cell r="P4122" t="str">
            <v>STC9D03E</v>
          </cell>
          <cell r="Q4122" t="str">
            <v>电流传感器</v>
          </cell>
        </row>
        <row r="4123">
          <cell r="O4123" t="str">
            <v>SC4643VB-A</v>
          </cell>
          <cell r="P4123" t="str">
            <v>STC9D03E</v>
          </cell>
          <cell r="Q4123" t="str">
            <v>电流传感器</v>
          </cell>
        </row>
        <row r="4124">
          <cell r="O4124" t="str">
            <v>SC9621VB</v>
          </cell>
          <cell r="P4124" t="str">
            <v>STC9910C</v>
          </cell>
          <cell r="Q4124" t="str">
            <v>速度传感器</v>
          </cell>
        </row>
        <row r="4125">
          <cell r="O4125" t="str">
            <v>SC9621VB</v>
          </cell>
          <cell r="P4125" t="str">
            <v>STC9910C</v>
          </cell>
          <cell r="Q4125" t="str">
            <v>速度传感器</v>
          </cell>
        </row>
        <row r="4126">
          <cell r="O4126" t="str">
            <v>SC9621VB</v>
          </cell>
          <cell r="P4126" t="str">
            <v>STC9910C</v>
          </cell>
          <cell r="Q4126" t="str">
            <v>速度传感器</v>
          </cell>
        </row>
        <row r="4127">
          <cell r="O4127" t="str">
            <v>SC9641TS-PC</v>
          </cell>
          <cell r="P4127" t="str">
            <v>STC9A001I</v>
          </cell>
          <cell r="Q4127" t="str">
            <v>速度传感器</v>
          </cell>
        </row>
        <row r="4128">
          <cell r="O4128" t="str">
            <v>SC9641TS-PC</v>
          </cell>
          <cell r="P4128" t="str">
            <v>STC9A001I</v>
          </cell>
          <cell r="Q4128" t="str">
            <v>速度传感器</v>
          </cell>
        </row>
        <row r="4129">
          <cell r="O4129" t="str">
            <v>SC9641TS-P</v>
          </cell>
          <cell r="P4129" t="str">
            <v>STC9A001I</v>
          </cell>
          <cell r="Q4129" t="str">
            <v>速度传感器</v>
          </cell>
        </row>
        <row r="4130">
          <cell r="O4130" t="str">
            <v>SC9648TS-P</v>
          </cell>
          <cell r="P4130" t="str">
            <v>STC9A001I</v>
          </cell>
          <cell r="Q4130" t="str">
            <v>速度传感器</v>
          </cell>
        </row>
        <row r="4131">
          <cell r="O4131" t="str">
            <v>SC9314UA</v>
          </cell>
          <cell r="P4131" t="str">
            <v>STC9901AF</v>
          </cell>
          <cell r="Q4131" t="str">
            <v>速度传感器</v>
          </cell>
        </row>
        <row r="4132">
          <cell r="O4132" t="str">
            <v>SC9314UA</v>
          </cell>
          <cell r="P4132" t="str">
            <v>STC9901AF</v>
          </cell>
          <cell r="Q4132" t="str">
            <v>速度传感器</v>
          </cell>
        </row>
        <row r="4133">
          <cell r="O4133" t="str">
            <v>SC9314UA</v>
          </cell>
          <cell r="P4133" t="str">
            <v>STC9901AF</v>
          </cell>
          <cell r="Q4133" t="str">
            <v>速度传感器</v>
          </cell>
        </row>
        <row r="4134">
          <cell r="O4134" t="str">
            <v>SC9648TS-P</v>
          </cell>
          <cell r="P4134" t="str">
            <v>STC9A001I</v>
          </cell>
          <cell r="Q4134" t="str">
            <v>速度传感器</v>
          </cell>
        </row>
        <row r="4135">
          <cell r="O4135" t="str">
            <v>SC9648TS-P</v>
          </cell>
          <cell r="P4135" t="str">
            <v>STC9A001I</v>
          </cell>
          <cell r="Q4135" t="str">
            <v>速度传感器</v>
          </cell>
        </row>
        <row r="4136">
          <cell r="O4136" t="str">
            <v>SC9648TS-P</v>
          </cell>
          <cell r="P4136" t="str">
            <v>STC9A001I</v>
          </cell>
          <cell r="Q4136" t="str">
            <v>速度传感器</v>
          </cell>
        </row>
        <row r="4137">
          <cell r="O4137" t="str">
            <v>SC9641TS-PC</v>
          </cell>
          <cell r="P4137" t="str">
            <v>STC9A001I</v>
          </cell>
          <cell r="Q4137" t="str">
            <v>速度传感器</v>
          </cell>
        </row>
        <row r="4138">
          <cell r="O4138" t="str">
            <v>SC9641TS-PC</v>
          </cell>
          <cell r="P4138" t="str">
            <v>STC9A001I</v>
          </cell>
          <cell r="Q4138" t="str">
            <v>速度传感器</v>
          </cell>
        </row>
        <row r="4139">
          <cell r="O4139" t="str">
            <v>SC9648TS-P</v>
          </cell>
          <cell r="P4139" t="str">
            <v>STC9A001I</v>
          </cell>
          <cell r="Q4139" t="str">
            <v>速度传感器</v>
          </cell>
        </row>
        <row r="4140">
          <cell r="O4140" t="str">
            <v>SC9648TS-P</v>
          </cell>
          <cell r="P4140" t="str">
            <v>STC9A001I</v>
          </cell>
          <cell r="Q4140" t="str">
            <v>速度传感器</v>
          </cell>
        </row>
        <row r="4141">
          <cell r="O4141" t="str">
            <v>SC9641TS-PC</v>
          </cell>
          <cell r="P4141" t="str">
            <v>STC9A001I</v>
          </cell>
          <cell r="Q4141" t="str">
            <v>速度传感器</v>
          </cell>
        </row>
        <row r="4142">
          <cell r="O4142" t="str">
            <v>SC9648TS-P</v>
          </cell>
          <cell r="P4142" t="str">
            <v>STC9A001I</v>
          </cell>
          <cell r="Q4142" t="str">
            <v>速度传感器</v>
          </cell>
        </row>
        <row r="4143">
          <cell r="O4143" t="str">
            <v>SC9641TS-PC</v>
          </cell>
          <cell r="P4143" t="str">
            <v>STC9A001I</v>
          </cell>
          <cell r="Q4143" t="str">
            <v>速度传感器</v>
          </cell>
        </row>
        <row r="4144">
          <cell r="O4144" t="str">
            <v>SC9641TS-PC</v>
          </cell>
          <cell r="P4144" t="str">
            <v>STC9A001I</v>
          </cell>
          <cell r="Q4144" t="str">
            <v>速度传感器</v>
          </cell>
        </row>
        <row r="4145">
          <cell r="O4145" t="str">
            <v>SC60224-D-1024</v>
          </cell>
          <cell r="P4145" t="str">
            <v>STC9D04C</v>
          </cell>
          <cell r="Q4145" t="str">
            <v>电机编码器</v>
          </cell>
        </row>
        <row r="4146">
          <cell r="O4146" t="str">
            <v>SC60224-D-1024</v>
          </cell>
          <cell r="P4146" t="str">
            <v>STC9D04C</v>
          </cell>
          <cell r="Q4146" t="str">
            <v>电机编码器</v>
          </cell>
        </row>
        <row r="4147">
          <cell r="O4147" t="str">
            <v>SC60224-D-1024</v>
          </cell>
          <cell r="P4147" t="str">
            <v>STC9D04C</v>
          </cell>
          <cell r="Q4147" t="str">
            <v>电机编码器</v>
          </cell>
        </row>
        <row r="4148">
          <cell r="O4148" t="str">
            <v>SC60104</v>
          </cell>
          <cell r="P4148" t="str">
            <v>STC9D02C</v>
          </cell>
          <cell r="Q4148" t="str">
            <v>电机编码器</v>
          </cell>
        </row>
        <row r="4149">
          <cell r="O4149" t="str">
            <v>SC60104</v>
          </cell>
          <cell r="P4149" t="str">
            <v>STC9D02C</v>
          </cell>
          <cell r="Q4149" t="str">
            <v>电机编码器</v>
          </cell>
        </row>
        <row r="4150">
          <cell r="O4150" t="str">
            <v>SC60104</v>
          </cell>
          <cell r="P4150" t="str">
            <v>STC9D02C</v>
          </cell>
          <cell r="Q4150" t="str">
            <v>电机编码器</v>
          </cell>
        </row>
        <row r="4151">
          <cell r="O4151" t="str">
            <v>SC60104</v>
          </cell>
          <cell r="P4151" t="str">
            <v>STC9D02C</v>
          </cell>
          <cell r="Q4151" t="str">
            <v>电机编码器</v>
          </cell>
        </row>
        <row r="4152">
          <cell r="O4152" t="str">
            <v>SC2402SO-N</v>
          </cell>
          <cell r="P4152" t="str">
            <v>STC9H001A</v>
          </cell>
          <cell r="Q4152" t="str">
            <v>磁性位置传感器</v>
          </cell>
        </row>
        <row r="4153">
          <cell r="O4153" t="str">
            <v>SC2402SO-N</v>
          </cell>
          <cell r="P4153" t="str">
            <v>STC9H001A</v>
          </cell>
          <cell r="Q4153" t="str">
            <v>磁性位置传感器</v>
          </cell>
        </row>
        <row r="4154">
          <cell r="O4154" t="str">
            <v>SC2442UA</v>
          </cell>
          <cell r="P4154" t="str">
            <v>STC9906P</v>
          </cell>
          <cell r="Q4154" t="str">
            <v>磁性位置传感器</v>
          </cell>
        </row>
        <row r="4155">
          <cell r="O4155" t="str">
            <v>SC2466SO</v>
          </cell>
          <cell r="P4155" t="str">
            <v>STC9906O</v>
          </cell>
          <cell r="Q4155" t="str">
            <v>磁性位置传感器</v>
          </cell>
        </row>
        <row r="4156">
          <cell r="O4156" t="str">
            <v>SC2466SO</v>
          </cell>
          <cell r="P4156" t="str">
            <v>STC9906O</v>
          </cell>
          <cell r="Q4156" t="str">
            <v>磁性位置传感器</v>
          </cell>
        </row>
        <row r="4157">
          <cell r="O4157" t="str">
            <v>SD211VB</v>
          </cell>
          <cell r="P4157" t="str">
            <v>FD1016A</v>
          </cell>
          <cell r="Q4157" t="str">
            <v>电机驱动</v>
          </cell>
        </row>
        <row r="4158">
          <cell r="O4158" t="str">
            <v>SD211VB</v>
          </cell>
          <cell r="P4158" t="str">
            <v>FD1016A</v>
          </cell>
          <cell r="Q4158" t="str">
            <v>电机驱动</v>
          </cell>
        </row>
        <row r="4159">
          <cell r="O4159" t="str">
            <v>SD211VB</v>
          </cell>
          <cell r="P4159" t="str">
            <v>FD1016A</v>
          </cell>
          <cell r="Q4159" t="str">
            <v>电机驱动</v>
          </cell>
        </row>
        <row r="4160">
          <cell r="O4160" t="str">
            <v>SD211VB</v>
          </cell>
          <cell r="P4160" t="str">
            <v>FD1016A</v>
          </cell>
          <cell r="Q4160" t="str">
            <v>电机驱动</v>
          </cell>
        </row>
        <row r="4161">
          <cell r="O4161" t="str">
            <v>SD211VB</v>
          </cell>
          <cell r="P4161" t="str">
            <v>FD1016A</v>
          </cell>
          <cell r="Q4161" t="str">
            <v>电机驱动</v>
          </cell>
        </row>
        <row r="4162">
          <cell r="O4162" t="str">
            <v>G01</v>
          </cell>
          <cell r="P4162" t="str">
            <v>STC4011B</v>
          </cell>
          <cell r="Q4162" t="str">
            <v>磁性位置传感器</v>
          </cell>
        </row>
        <row r="4163">
          <cell r="O4163" t="str">
            <v>G01</v>
          </cell>
          <cell r="P4163" t="str">
            <v>STC4011B</v>
          </cell>
          <cell r="Q4163" t="str">
            <v>磁性位置传感器</v>
          </cell>
        </row>
        <row r="4164">
          <cell r="O4164" t="str">
            <v>G01</v>
          </cell>
          <cell r="P4164" t="str">
            <v>STC4011B</v>
          </cell>
          <cell r="Q4164" t="str">
            <v>磁性位置传感器</v>
          </cell>
        </row>
        <row r="4165">
          <cell r="O4165" t="str">
            <v>G01</v>
          </cell>
          <cell r="P4165" t="str">
            <v>STC4011B</v>
          </cell>
          <cell r="Q4165" t="str">
            <v>磁性位置传感器</v>
          </cell>
        </row>
        <row r="4166">
          <cell r="O4166" t="str">
            <v>G01</v>
          </cell>
          <cell r="P4166" t="str">
            <v>STC4011B</v>
          </cell>
          <cell r="Q4166" t="str">
            <v>磁性位置传感器</v>
          </cell>
        </row>
        <row r="4167">
          <cell r="O4167" t="str">
            <v>G01</v>
          </cell>
          <cell r="P4167" t="str">
            <v>STC4011B</v>
          </cell>
          <cell r="Q4167" t="str">
            <v>磁性位置传感器</v>
          </cell>
        </row>
        <row r="4168">
          <cell r="O4168" t="str">
            <v>G01</v>
          </cell>
          <cell r="P4168" t="str">
            <v>STC4011B</v>
          </cell>
          <cell r="Q4168" t="str">
            <v>磁性位置传感器</v>
          </cell>
        </row>
        <row r="4169">
          <cell r="O4169" t="str">
            <v>G01</v>
          </cell>
          <cell r="P4169" t="str">
            <v>STC4011B</v>
          </cell>
          <cell r="Q4169" t="str">
            <v>磁性位置传感器</v>
          </cell>
        </row>
        <row r="4170">
          <cell r="O4170" t="str">
            <v>G01</v>
          </cell>
          <cell r="P4170" t="str">
            <v>STC4011B</v>
          </cell>
          <cell r="Q4170" t="str">
            <v>磁性位置传感器</v>
          </cell>
        </row>
        <row r="4171">
          <cell r="O4171" t="str">
            <v>G01</v>
          </cell>
          <cell r="P4171" t="str">
            <v>STC4011B</v>
          </cell>
          <cell r="Q4171" t="str">
            <v>磁性位置传感器</v>
          </cell>
        </row>
        <row r="4172">
          <cell r="O4172" t="str">
            <v>G01</v>
          </cell>
          <cell r="P4172" t="str">
            <v>STC4011B</v>
          </cell>
          <cell r="Q4172" t="str">
            <v>磁性位置传感器</v>
          </cell>
        </row>
        <row r="4173">
          <cell r="O4173" t="str">
            <v>G01</v>
          </cell>
          <cell r="P4173" t="str">
            <v>STC4011B</v>
          </cell>
          <cell r="Q4173" t="str">
            <v>磁性位置传感器</v>
          </cell>
        </row>
        <row r="4174">
          <cell r="O4174" t="str">
            <v>G01</v>
          </cell>
          <cell r="P4174" t="str">
            <v>STC4011B</v>
          </cell>
          <cell r="Q4174" t="str">
            <v>磁性位置传感器</v>
          </cell>
        </row>
        <row r="4175">
          <cell r="O4175" t="str">
            <v>G01</v>
          </cell>
          <cell r="P4175" t="str">
            <v>STC4011B</v>
          </cell>
          <cell r="Q4175" t="str">
            <v>磁性位置传感器</v>
          </cell>
        </row>
        <row r="4176">
          <cell r="O4176" t="str">
            <v>G01</v>
          </cell>
          <cell r="P4176" t="str">
            <v>STC4011B</v>
          </cell>
          <cell r="Q4176" t="str">
            <v>磁性位置传感器</v>
          </cell>
        </row>
        <row r="4177">
          <cell r="O4177" t="str">
            <v>G01</v>
          </cell>
          <cell r="P4177" t="str">
            <v>STC4011B</v>
          </cell>
          <cell r="Q4177" t="str">
            <v>磁性位置传感器</v>
          </cell>
        </row>
        <row r="4178">
          <cell r="O4178" t="str">
            <v>G01</v>
          </cell>
          <cell r="P4178" t="str">
            <v>STC4011B</v>
          </cell>
          <cell r="Q4178" t="str">
            <v>磁性位置传感器</v>
          </cell>
        </row>
        <row r="4179">
          <cell r="O4179" t="str">
            <v>G01</v>
          </cell>
          <cell r="P4179" t="str">
            <v>STC4011B</v>
          </cell>
          <cell r="Q4179" t="str">
            <v>磁性位置传感器</v>
          </cell>
        </row>
        <row r="4180">
          <cell r="O4180" t="str">
            <v>SC2402UA</v>
          </cell>
          <cell r="P4180" t="str">
            <v>STC9902J</v>
          </cell>
          <cell r="Q4180" t="str">
            <v>磁性位置传感器</v>
          </cell>
        </row>
        <row r="4181">
          <cell r="O4181" t="str">
            <v>SC2402UA</v>
          </cell>
          <cell r="P4181" t="str">
            <v>STC9902J</v>
          </cell>
          <cell r="Q4181" t="str">
            <v>磁性位置传感器</v>
          </cell>
        </row>
        <row r="4182">
          <cell r="O4182" t="str">
            <v>SC2442UA</v>
          </cell>
          <cell r="P4182" t="str">
            <v>STC9906P</v>
          </cell>
          <cell r="Q4182" t="str">
            <v>磁性位置传感器</v>
          </cell>
        </row>
        <row r="4183">
          <cell r="O4183" t="str">
            <v>SC9648TS-P</v>
          </cell>
          <cell r="P4183" t="str">
            <v>STC9A001I</v>
          </cell>
          <cell r="Q4183" t="str">
            <v>速度传感器</v>
          </cell>
        </row>
        <row r="4184">
          <cell r="O4184" t="str">
            <v>SC9648TS-P</v>
          </cell>
          <cell r="P4184" t="str">
            <v>STC9A001I</v>
          </cell>
          <cell r="Q4184" t="str">
            <v>速度传感器</v>
          </cell>
        </row>
        <row r="4185">
          <cell r="O4185" t="str">
            <v>SC9648TS-P</v>
          </cell>
          <cell r="P4185" t="str">
            <v>STC9A001I</v>
          </cell>
          <cell r="Q4185" t="str">
            <v>速度传感器</v>
          </cell>
        </row>
        <row r="4186">
          <cell r="O4186" t="str">
            <v>SC9648TS-P</v>
          </cell>
          <cell r="P4186" t="str">
            <v>STC9A001I</v>
          </cell>
          <cell r="Q4186" t="str">
            <v>速度传感器</v>
          </cell>
        </row>
        <row r="4187">
          <cell r="O4187" t="str">
            <v>SC2442UA</v>
          </cell>
          <cell r="P4187" t="str">
            <v>STC9906P</v>
          </cell>
          <cell r="Q4187" t="str">
            <v>磁性位置传感器</v>
          </cell>
        </row>
        <row r="4188">
          <cell r="O4188" t="str">
            <v>SC2442SO</v>
          </cell>
          <cell r="P4188" t="str">
            <v>STC9906R</v>
          </cell>
          <cell r="Q4188" t="str">
            <v>磁性位置传感器</v>
          </cell>
        </row>
        <row r="4189">
          <cell r="O4189" t="str">
            <v>SC9314UA</v>
          </cell>
          <cell r="P4189" t="str">
            <v>STC9901AF</v>
          </cell>
          <cell r="Q4189" t="str">
            <v>速度传感器</v>
          </cell>
        </row>
        <row r="4190">
          <cell r="O4190" t="str">
            <v>SC1245SO-N</v>
          </cell>
          <cell r="P4190" t="str">
            <v>STC1898AD</v>
          </cell>
          <cell r="Q4190" t="str">
            <v>磁性位置传感器</v>
          </cell>
        </row>
        <row r="4191">
          <cell r="O4191" t="str">
            <v>SC1245SO-N</v>
          </cell>
          <cell r="P4191" t="str">
            <v>STC1898AD</v>
          </cell>
          <cell r="Q4191" t="str">
            <v>磁性位置传感器</v>
          </cell>
        </row>
        <row r="4192">
          <cell r="O4192" t="str">
            <v>SC1245UA</v>
          </cell>
          <cell r="P4192" t="str">
            <v>STC1898AD</v>
          </cell>
          <cell r="Q4192" t="str">
            <v>磁性位置传感器</v>
          </cell>
        </row>
        <row r="4193">
          <cell r="O4193" t="str">
            <v>SC9632VB</v>
          </cell>
          <cell r="P4193" t="str">
            <v>STC9905E</v>
          </cell>
          <cell r="Q4193" t="str">
            <v>速度传感器</v>
          </cell>
        </row>
        <row r="4194">
          <cell r="O4194" t="str">
            <v>SC69401D</v>
          </cell>
          <cell r="P4194" t="str">
            <v>STC9H002D</v>
          </cell>
          <cell r="Q4194" t="str">
            <v>角度传感器</v>
          </cell>
        </row>
        <row r="4195">
          <cell r="O4195" t="str">
            <v>SC69401</v>
          </cell>
          <cell r="P4195" t="str">
            <v>STC9H002D</v>
          </cell>
          <cell r="Q4195" t="str">
            <v>角度传感器</v>
          </cell>
        </row>
        <row r="4196">
          <cell r="O4196" t="str">
            <v>SC9642TS</v>
          </cell>
          <cell r="P4196" t="str">
            <v>STC9A001G</v>
          </cell>
          <cell r="Q4196" t="str">
            <v>速度传感器</v>
          </cell>
        </row>
        <row r="4197">
          <cell r="O4197" t="str">
            <v>SC9642TS</v>
          </cell>
          <cell r="P4197" t="str">
            <v>STC9A001G</v>
          </cell>
          <cell r="Q4197" t="str">
            <v>速度传感器</v>
          </cell>
        </row>
        <row r="4198">
          <cell r="O4198" t="str">
            <v>SC9642TS</v>
          </cell>
          <cell r="P4198" t="str">
            <v>STC9A001G</v>
          </cell>
          <cell r="Q4198" t="str">
            <v>速度传感器</v>
          </cell>
        </row>
        <row r="4199">
          <cell r="O4199" t="str">
            <v>SC9642TS</v>
          </cell>
          <cell r="P4199" t="str">
            <v>STC9A001G</v>
          </cell>
          <cell r="Q4199" t="str">
            <v>速度传感器</v>
          </cell>
        </row>
        <row r="4200">
          <cell r="O4200" t="str">
            <v>SC9642TS</v>
          </cell>
          <cell r="P4200" t="str">
            <v>STC9A001G</v>
          </cell>
          <cell r="Q4200" t="str">
            <v>速度传感器</v>
          </cell>
        </row>
        <row r="4201">
          <cell r="O4201" t="str">
            <v>SC9642TS</v>
          </cell>
          <cell r="P4201" t="str">
            <v>STC9A001G</v>
          </cell>
          <cell r="Q4201" t="str">
            <v>速度传感器</v>
          </cell>
        </row>
        <row r="4202">
          <cell r="O4202" t="str">
            <v>SC9642TS</v>
          </cell>
          <cell r="P4202" t="str">
            <v>STC9A001G</v>
          </cell>
          <cell r="Q4202" t="str">
            <v>速度传感器</v>
          </cell>
        </row>
        <row r="4203">
          <cell r="O4203" t="str">
            <v>SC9642TS</v>
          </cell>
          <cell r="P4203" t="str">
            <v>STC9A001G</v>
          </cell>
          <cell r="Q4203" t="str">
            <v>速度传感器</v>
          </cell>
        </row>
        <row r="4204">
          <cell r="O4204" t="str">
            <v>SC9642TS</v>
          </cell>
          <cell r="P4204" t="str">
            <v>STC9A001G</v>
          </cell>
          <cell r="Q4204" t="str">
            <v>速度传感器</v>
          </cell>
        </row>
        <row r="4205">
          <cell r="O4205" t="str">
            <v>SC9642TS</v>
          </cell>
          <cell r="P4205" t="str">
            <v>STC9A001G</v>
          </cell>
          <cell r="Q4205" t="str">
            <v>速度传感器</v>
          </cell>
        </row>
        <row r="4206">
          <cell r="O4206" t="str">
            <v>SC9642TS</v>
          </cell>
          <cell r="P4206" t="str">
            <v>STC9A001G</v>
          </cell>
          <cell r="Q4206" t="str">
            <v>速度传感器</v>
          </cell>
        </row>
        <row r="4207">
          <cell r="O4207" t="str">
            <v>SC9642TS</v>
          </cell>
          <cell r="P4207" t="str">
            <v>STC9A001G</v>
          </cell>
          <cell r="Q4207" t="str">
            <v>速度传感器</v>
          </cell>
        </row>
        <row r="4208">
          <cell r="O4208" t="str">
            <v>SC9642TS</v>
          </cell>
          <cell r="P4208" t="str">
            <v>STC9A001G</v>
          </cell>
          <cell r="Q4208" t="str">
            <v>速度传感器</v>
          </cell>
        </row>
        <row r="4209">
          <cell r="O4209" t="str">
            <v>SC9642TS</v>
          </cell>
          <cell r="P4209" t="str">
            <v>STC9A001G</v>
          </cell>
          <cell r="Q4209" t="str">
            <v>速度传感器</v>
          </cell>
        </row>
        <row r="4210">
          <cell r="O4210" t="str">
            <v>SC9642TS</v>
          </cell>
          <cell r="P4210" t="str">
            <v>STC9A001G</v>
          </cell>
          <cell r="Q4210" t="str">
            <v>速度传感器</v>
          </cell>
        </row>
        <row r="4211">
          <cell r="O4211" t="str">
            <v>SC9642TS</v>
          </cell>
          <cell r="P4211" t="str">
            <v>STC9A001G</v>
          </cell>
          <cell r="Q4211" t="str">
            <v>速度传感器</v>
          </cell>
        </row>
        <row r="4212">
          <cell r="O4212" t="str">
            <v>SC9642TS</v>
          </cell>
          <cell r="P4212" t="str">
            <v>STC9A001G</v>
          </cell>
          <cell r="Q4212" t="str">
            <v>速度传感器</v>
          </cell>
        </row>
        <row r="4213">
          <cell r="O4213" t="str">
            <v>SC9642TS</v>
          </cell>
          <cell r="P4213" t="str">
            <v>STC9A001G</v>
          </cell>
          <cell r="Q4213" t="str">
            <v>速度传感器</v>
          </cell>
        </row>
        <row r="4214">
          <cell r="O4214" t="str">
            <v>SC9632VB</v>
          </cell>
          <cell r="P4214" t="str">
            <v>STC9905E</v>
          </cell>
          <cell r="Q4214" t="str">
            <v>速度传感器</v>
          </cell>
        </row>
        <row r="4215">
          <cell r="O4215" t="str">
            <v>SC4643VB-P</v>
          </cell>
          <cell r="P4215" t="str">
            <v>STC9D03E</v>
          </cell>
          <cell r="Q4215" t="str">
            <v>电流传感器</v>
          </cell>
        </row>
        <row r="4216">
          <cell r="O4216" t="str">
            <v>SC9642TS</v>
          </cell>
          <cell r="P4216" t="str">
            <v>STC9A001G</v>
          </cell>
          <cell r="Q4216" t="str">
            <v>速度传感器</v>
          </cell>
        </row>
        <row r="4217">
          <cell r="O4217" t="str">
            <v>SC9642TS</v>
          </cell>
          <cell r="P4217" t="str">
            <v>STC9A001G</v>
          </cell>
          <cell r="Q4217" t="str">
            <v>速度传感器</v>
          </cell>
        </row>
        <row r="4218">
          <cell r="O4218" t="str">
            <v>SC9642TS</v>
          </cell>
          <cell r="P4218" t="str">
            <v>STC9A001G</v>
          </cell>
          <cell r="Q4218" t="str">
            <v>速度传感器</v>
          </cell>
        </row>
        <row r="4219">
          <cell r="O4219" t="str">
            <v>SCN919</v>
          </cell>
          <cell r="P4219" t="str">
            <v>STC9909B</v>
          </cell>
          <cell r="Q4219" t="str">
            <v>磁性位置传感器</v>
          </cell>
        </row>
        <row r="4220">
          <cell r="O4220" t="str">
            <v>SCN919</v>
          </cell>
          <cell r="P4220" t="str">
            <v>STC9909B</v>
          </cell>
          <cell r="Q4220" t="str">
            <v>磁性位置传感器</v>
          </cell>
        </row>
        <row r="4221">
          <cell r="O4221" t="str">
            <v>SC1002N1W</v>
          </cell>
          <cell r="P4221" t="str">
            <v>STC1002AL</v>
          </cell>
          <cell r="Q4221" t="str">
            <v>磁性位置传感器</v>
          </cell>
        </row>
        <row r="4222">
          <cell r="O4222" t="str">
            <v>SC1002N1W</v>
          </cell>
          <cell r="P4222" t="str">
            <v>STC1002AL</v>
          </cell>
          <cell r="Q4222" t="str">
            <v>磁性位置传感器</v>
          </cell>
        </row>
        <row r="4223">
          <cell r="O4223" t="str">
            <v>SC2442SO-N</v>
          </cell>
          <cell r="P4223" t="str">
            <v>STC9906P</v>
          </cell>
          <cell r="Q4223" t="str">
            <v>磁性位置传感器</v>
          </cell>
        </row>
        <row r="4224">
          <cell r="O4224" t="str">
            <v>SC2442SO-N</v>
          </cell>
          <cell r="P4224" t="str">
            <v>STC9906P</v>
          </cell>
          <cell r="Q4224" t="str">
            <v>磁性位置传感器</v>
          </cell>
        </row>
        <row r="4225">
          <cell r="O4225" t="str">
            <v>SC2442SO-N</v>
          </cell>
          <cell r="P4225" t="str">
            <v>STC9906P</v>
          </cell>
          <cell r="Q4225" t="str">
            <v>磁性位置传感器</v>
          </cell>
        </row>
        <row r="4226">
          <cell r="O4226" t="str">
            <v>SYLMV358BPA3R</v>
          </cell>
          <cell r="P4226" t="str">
            <v>STC9G003B</v>
          </cell>
          <cell r="Q4226" t="str">
            <v>其他数模混合</v>
          </cell>
        </row>
        <row r="4227">
          <cell r="O4227" t="str">
            <v>SYLMV358BPA3R</v>
          </cell>
          <cell r="P4227" t="str">
            <v>STC9G003B</v>
          </cell>
          <cell r="Q4227" t="str">
            <v>其他数模混合</v>
          </cell>
        </row>
        <row r="4228">
          <cell r="O4228" t="str">
            <v>SC2498UA-N</v>
          </cell>
          <cell r="P4228" t="str">
            <v>SC9915C</v>
          </cell>
          <cell r="Q4228" t="str">
            <v>磁性位置传感器</v>
          </cell>
        </row>
        <row r="4229">
          <cell r="O4229" t="str">
            <v>SC2498UA-N</v>
          </cell>
          <cell r="P4229" t="str">
            <v>SC9915C</v>
          </cell>
          <cell r="Q4229" t="str">
            <v>磁性位置传感器</v>
          </cell>
        </row>
        <row r="4230">
          <cell r="O4230" t="str">
            <v>SC2442UA</v>
          </cell>
          <cell r="P4230" t="str">
            <v>STC9906P</v>
          </cell>
          <cell r="Q4230" t="str">
            <v>磁性位置传感器</v>
          </cell>
        </row>
        <row r="4231">
          <cell r="O4231" t="str">
            <v>SC2442SO-N</v>
          </cell>
          <cell r="P4231" t="str">
            <v>STC9906P</v>
          </cell>
          <cell r="Q4231" t="str">
            <v>磁性位置传感器</v>
          </cell>
        </row>
        <row r="4232">
          <cell r="O4232" t="str">
            <v>SC9634VB</v>
          </cell>
          <cell r="P4232" t="str">
            <v>STC9905G</v>
          </cell>
          <cell r="Q4232" t="str">
            <v>速度传感器</v>
          </cell>
        </row>
        <row r="4233">
          <cell r="O4233" t="str">
            <v>SC9634VB</v>
          </cell>
          <cell r="P4233" t="str">
            <v>STC9905G</v>
          </cell>
          <cell r="Q4233" t="str">
            <v>速度传感器</v>
          </cell>
        </row>
        <row r="4234">
          <cell r="O4234" t="str">
            <v>SC9634VB</v>
          </cell>
          <cell r="P4234" t="str">
            <v>STC9905G</v>
          </cell>
          <cell r="Q4234" t="str">
            <v>速度传感器</v>
          </cell>
        </row>
        <row r="4235">
          <cell r="O4235" t="str">
            <v>SC9634VB</v>
          </cell>
          <cell r="P4235" t="str">
            <v>STC9905G</v>
          </cell>
          <cell r="Q4235" t="str">
            <v>速度传感器</v>
          </cell>
        </row>
        <row r="4236">
          <cell r="O4236" t="str">
            <v>SC9633VB</v>
          </cell>
          <cell r="P4236" t="str">
            <v>STC9905F</v>
          </cell>
          <cell r="Q4236" t="str">
            <v>速度传感器</v>
          </cell>
        </row>
        <row r="4237">
          <cell r="O4237" t="str">
            <v>SC9633VB</v>
          </cell>
          <cell r="P4237" t="str">
            <v>STC9905F</v>
          </cell>
          <cell r="Q4237" t="str">
            <v>速度传感器</v>
          </cell>
        </row>
        <row r="4238">
          <cell r="O4238" t="str">
            <v>SC9632VB</v>
          </cell>
          <cell r="P4238" t="str">
            <v>STC9905E</v>
          </cell>
          <cell r="Q4238" t="str">
            <v>速度传感器</v>
          </cell>
        </row>
        <row r="4239">
          <cell r="O4239" t="str">
            <v>SC9633VB</v>
          </cell>
          <cell r="P4239" t="str">
            <v>STC9905F</v>
          </cell>
          <cell r="Q4239" t="str">
            <v>速度传感器</v>
          </cell>
        </row>
        <row r="4240">
          <cell r="O4240" t="str">
            <v>SC9632VB</v>
          </cell>
          <cell r="P4240" t="str">
            <v>STC9905E</v>
          </cell>
          <cell r="Q4240" t="str">
            <v>速度传感器</v>
          </cell>
        </row>
        <row r="4241">
          <cell r="O4241" t="str">
            <v>SC9632VB</v>
          </cell>
          <cell r="P4241" t="str">
            <v>STC9905E</v>
          </cell>
          <cell r="Q4241" t="str">
            <v>速度传感器</v>
          </cell>
        </row>
        <row r="4242">
          <cell r="O4242" t="str">
            <v>SC9632VB</v>
          </cell>
          <cell r="P4242" t="str">
            <v>STC9905E</v>
          </cell>
          <cell r="Q4242" t="str">
            <v>速度传感器</v>
          </cell>
        </row>
        <row r="4243">
          <cell r="O4243" t="str">
            <v>SC2442SO-N</v>
          </cell>
          <cell r="P4243" t="str">
            <v>STC9906P</v>
          </cell>
          <cell r="Q4243" t="str">
            <v>磁性位置传感器</v>
          </cell>
        </row>
        <row r="4244">
          <cell r="O4244" t="str">
            <v>SC9314UA</v>
          </cell>
          <cell r="P4244" t="str">
            <v>STC9901AF</v>
          </cell>
          <cell r="Q4244" t="str">
            <v>速度传感器</v>
          </cell>
        </row>
        <row r="4245">
          <cell r="O4245" t="str">
            <v>SC4688SA</v>
          </cell>
          <cell r="P4245" t="str">
            <v>STC9D01C</v>
          </cell>
          <cell r="Q4245" t="str">
            <v>角度传感器</v>
          </cell>
        </row>
        <row r="4246">
          <cell r="O4246" t="str">
            <v>SC4688SA</v>
          </cell>
          <cell r="P4246" t="str">
            <v>STC9D01C</v>
          </cell>
          <cell r="Q4246" t="str">
            <v>角度传感器</v>
          </cell>
        </row>
        <row r="4247">
          <cell r="O4247" t="str">
            <v>SC4688SA</v>
          </cell>
          <cell r="P4247" t="str">
            <v>STC9D01C</v>
          </cell>
          <cell r="Q4247" t="str">
            <v>角度传感器</v>
          </cell>
        </row>
        <row r="4248">
          <cell r="O4248" t="str">
            <v>SC4688SA</v>
          </cell>
          <cell r="P4248" t="str">
            <v>STC9D01C</v>
          </cell>
          <cell r="Q4248" t="str">
            <v>角度传感器</v>
          </cell>
        </row>
        <row r="4249">
          <cell r="O4249" t="str">
            <v>SC4688SA</v>
          </cell>
          <cell r="P4249" t="str">
            <v>STC9D01C</v>
          </cell>
          <cell r="Q4249" t="str">
            <v>角度传感器</v>
          </cell>
        </row>
        <row r="4250">
          <cell r="O4250" t="str">
            <v>SC2442SO</v>
          </cell>
          <cell r="P4250" t="str">
            <v>STC9906R</v>
          </cell>
          <cell r="Q4250" t="str">
            <v>磁性位置传感器</v>
          </cell>
        </row>
        <row r="4251">
          <cell r="O4251" t="str">
            <v>SC60224-D-500</v>
          </cell>
          <cell r="P4251" t="str">
            <v>STC9D04C</v>
          </cell>
          <cell r="Q4251" t="str">
            <v>电机编码器</v>
          </cell>
        </row>
        <row r="4252">
          <cell r="O4252" t="str">
            <v>SC2063UA</v>
          </cell>
          <cell r="P4252" t="str">
            <v>STC9G001C</v>
          </cell>
          <cell r="Q4252" t="str">
            <v>磁性位置传感器</v>
          </cell>
        </row>
        <row r="4253">
          <cell r="O4253" t="str">
            <v>SC2063UA</v>
          </cell>
          <cell r="P4253" t="str">
            <v>STC9G001C</v>
          </cell>
          <cell r="Q4253" t="str">
            <v>磁性位置传感器</v>
          </cell>
        </row>
        <row r="4254">
          <cell r="O4254" t="str">
            <v>SC2063UA</v>
          </cell>
          <cell r="P4254" t="str">
            <v>STC9G001C</v>
          </cell>
          <cell r="Q4254" t="str">
            <v>磁性位置传感器</v>
          </cell>
        </row>
        <row r="4255">
          <cell r="O4255" t="str">
            <v>SC2063UA</v>
          </cell>
          <cell r="P4255" t="str">
            <v>STC9G001C</v>
          </cell>
          <cell r="Q4255" t="str">
            <v>磁性位置传感器</v>
          </cell>
        </row>
        <row r="4256">
          <cell r="O4256" t="str">
            <v>SC2063UA</v>
          </cell>
          <cell r="P4256" t="str">
            <v>STC9G001C</v>
          </cell>
          <cell r="Q4256" t="str">
            <v>磁性位置传感器</v>
          </cell>
        </row>
        <row r="4257">
          <cell r="O4257" t="str">
            <v>SC1245SO-N</v>
          </cell>
          <cell r="P4257" t="str">
            <v>STC1898AD</v>
          </cell>
          <cell r="Q4257" t="str">
            <v>磁性位置传感器</v>
          </cell>
        </row>
        <row r="4258">
          <cell r="O4258" t="str">
            <v>SC1245SO-N</v>
          </cell>
          <cell r="P4258" t="str">
            <v>STC1898AD</v>
          </cell>
          <cell r="Q4258" t="str">
            <v>磁性位置传感器</v>
          </cell>
        </row>
        <row r="4259">
          <cell r="O4259" t="str">
            <v>SC1245SO-N</v>
          </cell>
          <cell r="P4259" t="str">
            <v>STC1898AD</v>
          </cell>
          <cell r="Q4259" t="str">
            <v>磁性位置传感器</v>
          </cell>
        </row>
        <row r="4260">
          <cell r="O4260" t="str">
            <v>SC2063UA</v>
          </cell>
          <cell r="P4260" t="str">
            <v>STC9G001C</v>
          </cell>
          <cell r="Q4260" t="str">
            <v>磁性位置传感器</v>
          </cell>
        </row>
        <row r="4261">
          <cell r="O4261" t="str">
            <v>V2201E</v>
          </cell>
          <cell r="P4261" t="str">
            <v>V2201E</v>
          </cell>
          <cell r="Q4261" t="str">
            <v>电源管理</v>
          </cell>
        </row>
        <row r="4262">
          <cell r="O4262" t="str">
            <v>V2201D</v>
          </cell>
          <cell r="P4262" t="str">
            <v>V2201D</v>
          </cell>
          <cell r="Q4262" t="str">
            <v>电源管理</v>
          </cell>
        </row>
        <row r="4263">
          <cell r="O4263" t="str">
            <v>V2302C</v>
          </cell>
          <cell r="P4263" t="str">
            <v>V2302C</v>
          </cell>
          <cell r="Q4263" t="str">
            <v>电源管理</v>
          </cell>
        </row>
        <row r="4264">
          <cell r="O4264" t="str">
            <v>V2302C</v>
          </cell>
          <cell r="P4264" t="str">
            <v>V2302C</v>
          </cell>
          <cell r="Q4264" t="str">
            <v>电源管理</v>
          </cell>
        </row>
        <row r="4265">
          <cell r="O4265" t="str">
            <v>V2302C</v>
          </cell>
          <cell r="P4265" t="str">
            <v>V2302C</v>
          </cell>
          <cell r="Q4265" t="str">
            <v>电源管理</v>
          </cell>
        </row>
        <row r="4266">
          <cell r="O4266" t="str">
            <v>V2302C</v>
          </cell>
          <cell r="P4266" t="str">
            <v>V2302C</v>
          </cell>
          <cell r="Q4266" t="str">
            <v>电源管理</v>
          </cell>
        </row>
        <row r="4267">
          <cell r="O4267" t="str">
            <v>V2302C</v>
          </cell>
          <cell r="P4267" t="str">
            <v>V2302C</v>
          </cell>
          <cell r="Q4267" t="str">
            <v>电源管理</v>
          </cell>
        </row>
        <row r="4268">
          <cell r="O4268" t="str">
            <v>V2302C</v>
          </cell>
          <cell r="P4268" t="str">
            <v>V2302C</v>
          </cell>
          <cell r="Q4268" t="str">
            <v>电源管理</v>
          </cell>
        </row>
        <row r="4269">
          <cell r="O4269" t="str">
            <v>V2303A</v>
          </cell>
          <cell r="P4269" t="str">
            <v>V2303A</v>
          </cell>
          <cell r="Q4269" t="str">
            <v>电源管理</v>
          </cell>
        </row>
        <row r="4270">
          <cell r="O4270" t="str">
            <v>V2302B</v>
          </cell>
          <cell r="P4270" t="str">
            <v>V2302B</v>
          </cell>
          <cell r="Q4270" t="str">
            <v>电源管理</v>
          </cell>
        </row>
        <row r="4271">
          <cell r="O4271" t="str">
            <v>V2302B</v>
          </cell>
          <cell r="P4271" t="str">
            <v>V2302B</v>
          </cell>
          <cell r="Q4271" t="str">
            <v>电源管理</v>
          </cell>
        </row>
        <row r="4272">
          <cell r="O4272" t="str">
            <v>V2302B</v>
          </cell>
          <cell r="P4272" t="str">
            <v>V2302B</v>
          </cell>
          <cell r="Q4272" t="str">
            <v>电源管理</v>
          </cell>
        </row>
        <row r="4273">
          <cell r="O4273" t="str">
            <v>V2302B</v>
          </cell>
          <cell r="P4273" t="str">
            <v>V2302B</v>
          </cell>
          <cell r="Q4273" t="str">
            <v>电源管理</v>
          </cell>
        </row>
        <row r="4274">
          <cell r="O4274" t="str">
            <v>V2302B</v>
          </cell>
          <cell r="P4274" t="str">
            <v>V2302B</v>
          </cell>
          <cell r="Q4274" t="str">
            <v>电源管理</v>
          </cell>
        </row>
        <row r="4275">
          <cell r="O4275" t="str">
            <v>V2302B</v>
          </cell>
          <cell r="P4275" t="str">
            <v>V2302B</v>
          </cell>
          <cell r="Q4275" t="str">
            <v>电源管理</v>
          </cell>
        </row>
        <row r="4276">
          <cell r="O4276" t="str">
            <v>V2304A</v>
          </cell>
          <cell r="P4276" t="str">
            <v>V2304A</v>
          </cell>
          <cell r="Q4276" t="str">
            <v>电源管理</v>
          </cell>
        </row>
        <row r="4277">
          <cell r="O4277" t="str">
            <v>V2304A</v>
          </cell>
          <cell r="P4277" t="str">
            <v>V2304A</v>
          </cell>
          <cell r="Q4277" t="str">
            <v>电源管理</v>
          </cell>
        </row>
        <row r="4278">
          <cell r="O4278" t="str">
            <v>V2302C-mask</v>
          </cell>
          <cell r="P4278" t="str">
            <v xml:space="preserve"> </v>
          </cell>
          <cell r="Q4278" t="str">
            <v>电源管理</v>
          </cell>
        </row>
        <row r="4279">
          <cell r="O4279" t="str">
            <v>V2302B-mask</v>
          </cell>
          <cell r="P4279" t="str">
            <v xml:space="preserve"> </v>
          </cell>
          <cell r="Q4279" t="str">
            <v>电源管理</v>
          </cell>
        </row>
        <row r="4280">
          <cell r="O4280" t="str">
            <v>V2201E-mask</v>
          </cell>
          <cell r="P4280" t="str">
            <v xml:space="preserve"> </v>
          </cell>
          <cell r="Q4280" t="str">
            <v>电源管理</v>
          </cell>
        </row>
        <row r="4281">
          <cell r="O4281" t="str">
            <v>V2201D-mask</v>
          </cell>
          <cell r="P4281" t="str">
            <v xml:space="preserve"> </v>
          </cell>
          <cell r="Q4281" t="str">
            <v>电源管理</v>
          </cell>
        </row>
        <row r="4282">
          <cell r="O4282" t="str">
            <v>V2201C-mask</v>
          </cell>
          <cell r="P4282" t="str">
            <v xml:space="preserve"> </v>
          </cell>
          <cell r="Q4282" t="str">
            <v>电源管理</v>
          </cell>
        </row>
        <row r="4283">
          <cell r="O4283" t="str">
            <v>V2201B-mask</v>
          </cell>
          <cell r="P4283" t="str">
            <v xml:space="preserve"> </v>
          </cell>
          <cell r="Q4283" t="str">
            <v>电源管理</v>
          </cell>
        </row>
        <row r="4284">
          <cell r="O4284" t="str">
            <v>SC2202SO-N</v>
          </cell>
          <cell r="P4284" t="str">
            <v>STC9902E</v>
          </cell>
          <cell r="Q4284" t="str">
            <v>磁性位置传感器</v>
          </cell>
        </row>
        <row r="4285">
          <cell r="O4285" t="str">
            <v>SC2202SO-N</v>
          </cell>
          <cell r="P4285" t="str">
            <v>STC9902E</v>
          </cell>
          <cell r="Q4285" t="str">
            <v>磁性位置传感器</v>
          </cell>
        </row>
        <row r="4286">
          <cell r="O4286" t="str">
            <v>SC1138SO-N</v>
          </cell>
          <cell r="P4286" t="str">
            <v>STC1898AC</v>
          </cell>
          <cell r="Q4286" t="str">
            <v>磁性位置传感器</v>
          </cell>
        </row>
        <row r="4287">
          <cell r="O4287" t="str">
            <v>SC1138SO-N</v>
          </cell>
          <cell r="P4287" t="str">
            <v>STC1898AC</v>
          </cell>
          <cell r="Q4287" t="str">
            <v>磁性位置传感器</v>
          </cell>
        </row>
        <row r="4288">
          <cell r="O4288" t="str">
            <v>SC4689SA</v>
          </cell>
          <cell r="P4288" t="str">
            <v>STC9D01F</v>
          </cell>
          <cell r="Q4288" t="str">
            <v>角度传感器</v>
          </cell>
        </row>
        <row r="4289">
          <cell r="O4289" t="str">
            <v>SC69401-A</v>
          </cell>
          <cell r="P4289" t="str">
            <v>STC9H002DQ</v>
          </cell>
          <cell r="Q4289" t="str">
            <v>角度传感器</v>
          </cell>
        </row>
        <row r="4290">
          <cell r="O4290" t="str">
            <v>SC4125SOR</v>
          </cell>
          <cell r="P4290" t="str">
            <v>STC11201B</v>
          </cell>
          <cell r="Q4290" t="str">
            <v>磁性位置传感器</v>
          </cell>
        </row>
        <row r="4291">
          <cell r="O4291" t="str">
            <v>SC4125SOR</v>
          </cell>
          <cell r="P4291" t="str">
            <v>STC11201B</v>
          </cell>
          <cell r="Q4291" t="str">
            <v>磁性位置传感器</v>
          </cell>
        </row>
        <row r="4292">
          <cell r="O4292" t="str">
            <v>ZH6242</v>
          </cell>
          <cell r="P4292" t="str">
            <v>ZH6242</v>
          </cell>
          <cell r="Q4292" t="str">
            <v>电机驱动</v>
          </cell>
        </row>
        <row r="4293">
          <cell r="O4293" t="str">
            <v>SC4688SA</v>
          </cell>
          <cell r="P4293" t="str">
            <v>STC9D01C</v>
          </cell>
          <cell r="Q4293" t="str">
            <v>角度传感器</v>
          </cell>
        </row>
        <row r="4294">
          <cell r="O4294" t="str">
            <v>SC4688SA</v>
          </cell>
          <cell r="P4294" t="str">
            <v>STC9D01C</v>
          </cell>
          <cell r="Q4294" t="str">
            <v>角度传感器</v>
          </cell>
        </row>
        <row r="4295">
          <cell r="O4295" t="str">
            <v>SC9641TS</v>
          </cell>
          <cell r="P4295" t="str">
            <v>STC9910BN</v>
          </cell>
          <cell r="Q4295" t="str">
            <v>速度传感器</v>
          </cell>
        </row>
        <row r="4296">
          <cell r="O4296" t="str">
            <v>SC9641TS</v>
          </cell>
          <cell r="P4296" t="str">
            <v>STC9910BN</v>
          </cell>
          <cell r="Q4296" t="str">
            <v>速度传感器</v>
          </cell>
        </row>
        <row r="4297">
          <cell r="O4297" t="str">
            <v>SC9641TS</v>
          </cell>
          <cell r="P4297" t="str">
            <v>STC9910BN</v>
          </cell>
          <cell r="Q4297" t="str">
            <v>速度传感器</v>
          </cell>
        </row>
        <row r="4298">
          <cell r="O4298" t="str">
            <v>SC9641TS</v>
          </cell>
          <cell r="P4298" t="str">
            <v>STC9910BN</v>
          </cell>
          <cell r="Q4298" t="str">
            <v>速度传感器</v>
          </cell>
        </row>
        <row r="4299">
          <cell r="O4299" t="str">
            <v>SC9641TS</v>
          </cell>
          <cell r="P4299" t="str">
            <v>STC9910BN</v>
          </cell>
          <cell r="Q4299" t="str">
            <v>速度传感器</v>
          </cell>
        </row>
        <row r="4300">
          <cell r="O4300" t="str">
            <v>SC9641TS</v>
          </cell>
          <cell r="P4300" t="str">
            <v>STC9910BN</v>
          </cell>
          <cell r="Q4300" t="str">
            <v>速度传感器</v>
          </cell>
        </row>
        <row r="4301">
          <cell r="O4301" t="str">
            <v>SC9641TS</v>
          </cell>
          <cell r="P4301" t="str">
            <v>STC9910BN</v>
          </cell>
          <cell r="Q4301" t="str">
            <v>速度传感器</v>
          </cell>
        </row>
        <row r="4302">
          <cell r="O4302" t="str">
            <v>SC9642TS</v>
          </cell>
          <cell r="P4302" t="str">
            <v>STC9A001G</v>
          </cell>
          <cell r="Q4302" t="str">
            <v>速度传感器</v>
          </cell>
        </row>
        <row r="4303">
          <cell r="O4303" t="str">
            <v>SC9642TS</v>
          </cell>
          <cell r="P4303" t="str">
            <v>STC9A001G</v>
          </cell>
          <cell r="Q4303" t="str">
            <v>速度传感器</v>
          </cell>
        </row>
        <row r="4304">
          <cell r="O4304" t="str">
            <v>SC2242SO</v>
          </cell>
          <cell r="P4304" t="str">
            <v>STC9906H</v>
          </cell>
          <cell r="Q4304" t="str">
            <v>磁性位置传感器</v>
          </cell>
        </row>
        <row r="4305">
          <cell r="O4305" t="str">
            <v>SC2462UA</v>
          </cell>
          <cell r="P4305" t="str">
            <v>STC9906J</v>
          </cell>
          <cell r="Q4305" t="str">
            <v>磁性位置传感器</v>
          </cell>
        </row>
        <row r="4306">
          <cell r="O4306" t="str">
            <v>SC2438SO</v>
          </cell>
          <cell r="P4306" t="str">
            <v>STC9906I</v>
          </cell>
          <cell r="Q4306" t="str">
            <v>磁性位置传感器</v>
          </cell>
        </row>
        <row r="4307">
          <cell r="O4307" t="str">
            <v>STC4011B-DS</v>
          </cell>
          <cell r="P4307" t="str">
            <v>STC4011B</v>
          </cell>
          <cell r="Q4307" t="str">
            <v>磁性位置传感器</v>
          </cell>
        </row>
        <row r="4308">
          <cell r="O4308" t="str">
            <v>SC2546VB</v>
          </cell>
          <cell r="P4308" t="str">
            <v>STC9906H</v>
          </cell>
          <cell r="Q4308" t="str">
            <v>磁性位置传感器</v>
          </cell>
        </row>
        <row r="4309">
          <cell r="O4309" t="str">
            <v>SC2546VB</v>
          </cell>
          <cell r="P4309" t="str">
            <v>STC9906H</v>
          </cell>
          <cell r="Q4309" t="str">
            <v>磁性位置传感器</v>
          </cell>
        </row>
        <row r="4310">
          <cell r="O4310" t="str">
            <v>SC1134BU</v>
          </cell>
          <cell r="P4310" t="str">
            <v>STC1898AI</v>
          </cell>
          <cell r="Q4310" t="str">
            <v>磁性位置传感器</v>
          </cell>
        </row>
        <row r="4311">
          <cell r="O4311" t="str">
            <v>SC1134BU</v>
          </cell>
          <cell r="P4311" t="str">
            <v>STC1898AI</v>
          </cell>
          <cell r="Q4311" t="str">
            <v>磁性位置传感器</v>
          </cell>
        </row>
        <row r="4312">
          <cell r="O4312" t="str">
            <v>SC2546VB</v>
          </cell>
          <cell r="P4312" t="str">
            <v>STC9906H</v>
          </cell>
          <cell r="Q4312" t="str">
            <v>磁性位置传感器</v>
          </cell>
        </row>
        <row r="4313">
          <cell r="O4313" t="str">
            <v>SC9641TS-P</v>
          </cell>
          <cell r="P4313" t="str">
            <v>STC9A001I</v>
          </cell>
          <cell r="Q4313" t="str">
            <v>速度传感器</v>
          </cell>
        </row>
        <row r="4314">
          <cell r="O4314" t="str">
            <v>SC9641TS-P</v>
          </cell>
          <cell r="P4314" t="str">
            <v>STC9A001I</v>
          </cell>
          <cell r="Q4314" t="str">
            <v>速度传感器</v>
          </cell>
        </row>
        <row r="4315">
          <cell r="O4315" t="str">
            <v>SC9314UA</v>
          </cell>
          <cell r="P4315" t="str">
            <v>STC9901AF</v>
          </cell>
          <cell r="Q4315" t="str">
            <v>速度传感器</v>
          </cell>
        </row>
        <row r="4316">
          <cell r="O4316" t="str">
            <v>SC2546VB</v>
          </cell>
          <cell r="P4316" t="str">
            <v>STC9906H</v>
          </cell>
          <cell r="Q4316" t="str">
            <v>磁性位置传感器</v>
          </cell>
        </row>
        <row r="4317">
          <cell r="O4317" t="str">
            <v>SC9641TS-PC</v>
          </cell>
          <cell r="P4317" t="str">
            <v>STC9A001I</v>
          </cell>
          <cell r="Q4317" t="str">
            <v>速度传感器</v>
          </cell>
        </row>
        <row r="4318">
          <cell r="O4318" t="str">
            <v>SC2442SO</v>
          </cell>
          <cell r="P4318" t="str">
            <v>STC9906R</v>
          </cell>
          <cell r="Q4318" t="str">
            <v>磁性位置传感器</v>
          </cell>
        </row>
        <row r="4319">
          <cell r="O4319" t="str">
            <v>SC2442SO</v>
          </cell>
          <cell r="P4319" t="str">
            <v>STC9906R</v>
          </cell>
          <cell r="Q4319" t="str">
            <v>磁性位置传感器</v>
          </cell>
        </row>
        <row r="4320">
          <cell r="O4320" t="str">
            <v>SC2442SO</v>
          </cell>
          <cell r="P4320" t="str">
            <v>STC9906R</v>
          </cell>
          <cell r="Q4320" t="str">
            <v>磁性位置传感器</v>
          </cell>
        </row>
        <row r="4321">
          <cell r="O4321" t="str">
            <v>SD211VB</v>
          </cell>
          <cell r="P4321" t="str">
            <v>FD1016A</v>
          </cell>
          <cell r="Q4321" t="str">
            <v>电机驱动</v>
          </cell>
        </row>
        <row r="4322">
          <cell r="O4322" t="str">
            <v>SC9621VB</v>
          </cell>
          <cell r="P4322" t="str">
            <v>STC9910C</v>
          </cell>
          <cell r="Q4322" t="str">
            <v>速度传感器</v>
          </cell>
        </row>
        <row r="4323">
          <cell r="O4323" t="str">
            <v>SC2448SO</v>
          </cell>
          <cell r="P4323" t="str">
            <v>STC9906S</v>
          </cell>
          <cell r="Q4323" t="str">
            <v>磁性位置传感器</v>
          </cell>
        </row>
        <row r="4324">
          <cell r="O4324" t="str">
            <v>SC2448SO</v>
          </cell>
          <cell r="P4324" t="str">
            <v>STC9906S</v>
          </cell>
          <cell r="Q4324" t="str">
            <v>磁性位置传感器</v>
          </cell>
        </row>
        <row r="4325">
          <cell r="O4325" t="str">
            <v>SC2448SO</v>
          </cell>
          <cell r="P4325" t="str">
            <v>STC9906S</v>
          </cell>
          <cell r="Q4325" t="str">
            <v>磁性位置传感器</v>
          </cell>
        </row>
        <row r="4326">
          <cell r="O4326" t="str">
            <v>SC2448SO</v>
          </cell>
          <cell r="P4326" t="str">
            <v>STC9906S</v>
          </cell>
          <cell r="Q4326" t="str">
            <v>磁性位置传感器</v>
          </cell>
        </row>
        <row r="4327">
          <cell r="O4327" t="str">
            <v>SC4643VB-P</v>
          </cell>
          <cell r="P4327" t="str">
            <v>STC9D03E</v>
          </cell>
          <cell r="Q4327" t="str">
            <v>电流传感器</v>
          </cell>
        </row>
        <row r="4328">
          <cell r="O4328" t="str">
            <v>SI485E</v>
          </cell>
          <cell r="P4328" t="str">
            <v>STC42302A</v>
          </cell>
          <cell r="Q4328" t="str">
            <v>其他数模混合</v>
          </cell>
        </row>
        <row r="4329">
          <cell r="O4329" t="str">
            <v>SC2402SO-N</v>
          </cell>
          <cell r="P4329" t="str">
            <v>STC9H001A</v>
          </cell>
          <cell r="Q4329" t="str">
            <v>磁性位置传感器</v>
          </cell>
        </row>
        <row r="4330">
          <cell r="O4330" t="str">
            <v>SC2402SO-N</v>
          </cell>
          <cell r="P4330" t="str">
            <v>STC9H001A</v>
          </cell>
          <cell r="Q4330" t="str">
            <v>磁性位置传感器</v>
          </cell>
        </row>
        <row r="4331">
          <cell r="O4331" t="str">
            <v>SC2402SO-N</v>
          </cell>
          <cell r="P4331" t="str">
            <v>STC9H001A</v>
          </cell>
          <cell r="Q4331" t="str">
            <v>磁性位置传感器</v>
          </cell>
        </row>
        <row r="4332">
          <cell r="O4332" t="str">
            <v>SC1133UA</v>
          </cell>
          <cell r="P4332" t="str">
            <v>STC1898AJ</v>
          </cell>
          <cell r="Q4332" t="str">
            <v>磁性位置传感器</v>
          </cell>
        </row>
        <row r="4333">
          <cell r="O4333" t="str">
            <v>SD211VB</v>
          </cell>
          <cell r="P4333" t="str">
            <v>FD1016A</v>
          </cell>
          <cell r="Q4333" t="str">
            <v>电机驱动</v>
          </cell>
        </row>
        <row r="4334">
          <cell r="O4334" t="str">
            <v>SD211VB</v>
          </cell>
          <cell r="P4334" t="str">
            <v>FD1016A</v>
          </cell>
          <cell r="Q4334" t="str">
            <v>电机驱动</v>
          </cell>
        </row>
        <row r="4335">
          <cell r="O4335" t="str">
            <v>STC4011B-DS</v>
          </cell>
          <cell r="P4335" t="str">
            <v>STC4011B</v>
          </cell>
          <cell r="Q4335" t="str">
            <v>磁性位置传感器</v>
          </cell>
        </row>
        <row r="4336">
          <cell r="O4336" t="str">
            <v>STC4011B-DS</v>
          </cell>
          <cell r="P4336" t="str">
            <v>STC4011B</v>
          </cell>
          <cell r="Q4336" t="str">
            <v>磁性位置传感器</v>
          </cell>
        </row>
        <row r="4337">
          <cell r="O4337" t="str">
            <v>G01</v>
          </cell>
          <cell r="P4337" t="str">
            <v>STC4011B</v>
          </cell>
          <cell r="Q4337" t="str">
            <v>磁性位置传感器</v>
          </cell>
        </row>
        <row r="4338">
          <cell r="O4338" t="str">
            <v>G01</v>
          </cell>
          <cell r="P4338" t="str">
            <v>STC4011B</v>
          </cell>
          <cell r="Q4338" t="str">
            <v>磁性位置传感器</v>
          </cell>
        </row>
        <row r="4339">
          <cell r="O4339" t="str">
            <v>G01</v>
          </cell>
          <cell r="P4339" t="str">
            <v>STC4011B</v>
          </cell>
          <cell r="Q4339" t="str">
            <v>磁性位置传感器</v>
          </cell>
        </row>
        <row r="4340">
          <cell r="O4340" t="str">
            <v>G01</v>
          </cell>
          <cell r="P4340" t="str">
            <v>STC4011B</v>
          </cell>
          <cell r="Q4340" t="str">
            <v>磁性位置传感器</v>
          </cell>
        </row>
        <row r="4341">
          <cell r="O4341" t="str">
            <v>G01</v>
          </cell>
          <cell r="P4341" t="str">
            <v>STC4011B</v>
          </cell>
          <cell r="Q4341" t="str">
            <v>磁性位置传感器</v>
          </cell>
        </row>
        <row r="4342">
          <cell r="O4342" t="str">
            <v>G01</v>
          </cell>
          <cell r="P4342" t="str">
            <v>STC4011B</v>
          </cell>
          <cell r="Q4342" t="str">
            <v>磁性位置传感器</v>
          </cell>
        </row>
        <row r="4343">
          <cell r="O4343" t="str">
            <v>G01</v>
          </cell>
          <cell r="P4343" t="str">
            <v>STC4011B</v>
          </cell>
          <cell r="Q4343" t="str">
            <v>磁性位置传感器</v>
          </cell>
        </row>
        <row r="4344">
          <cell r="O4344" t="str">
            <v>G01</v>
          </cell>
          <cell r="P4344" t="str">
            <v>STC4011B</v>
          </cell>
          <cell r="Q4344" t="str">
            <v>磁性位置传感器</v>
          </cell>
        </row>
        <row r="4345">
          <cell r="O4345" t="str">
            <v>G01</v>
          </cell>
          <cell r="P4345" t="str">
            <v>STC4011B</v>
          </cell>
          <cell r="Q4345" t="str">
            <v>磁性位置传感器</v>
          </cell>
        </row>
        <row r="4346">
          <cell r="O4346" t="str">
            <v>G01</v>
          </cell>
          <cell r="P4346" t="str">
            <v>STC4011B</v>
          </cell>
          <cell r="Q4346" t="str">
            <v>磁性位置传感器</v>
          </cell>
        </row>
        <row r="4347">
          <cell r="O4347" t="str">
            <v>G01</v>
          </cell>
          <cell r="P4347" t="str">
            <v>STC4011B</v>
          </cell>
          <cell r="Q4347" t="str">
            <v>磁性位置传感器</v>
          </cell>
        </row>
        <row r="4348">
          <cell r="O4348" t="str">
            <v>G01</v>
          </cell>
          <cell r="P4348" t="str">
            <v>STC4011B</v>
          </cell>
          <cell r="Q4348" t="str">
            <v>磁性位置传感器</v>
          </cell>
        </row>
        <row r="4349">
          <cell r="O4349" t="str">
            <v>G01</v>
          </cell>
          <cell r="P4349" t="str">
            <v>STC4011B</v>
          </cell>
          <cell r="Q4349" t="str">
            <v>磁性位置传感器</v>
          </cell>
        </row>
        <row r="4350">
          <cell r="O4350" t="str">
            <v>G01</v>
          </cell>
          <cell r="P4350" t="str">
            <v>STC4011B</v>
          </cell>
          <cell r="Q4350" t="str">
            <v>磁性位置传感器</v>
          </cell>
        </row>
        <row r="4351">
          <cell r="O4351" t="str">
            <v>G01</v>
          </cell>
          <cell r="P4351" t="str">
            <v>STC4011B</v>
          </cell>
          <cell r="Q4351" t="str">
            <v>磁性位置传感器</v>
          </cell>
        </row>
        <row r="4352">
          <cell r="O4352" t="str">
            <v>G01</v>
          </cell>
          <cell r="P4352" t="str">
            <v>STC4011B</v>
          </cell>
          <cell r="Q4352" t="str">
            <v>磁性位置传感器</v>
          </cell>
        </row>
        <row r="4353">
          <cell r="O4353" t="str">
            <v>G01</v>
          </cell>
          <cell r="P4353" t="str">
            <v>STC4011B</v>
          </cell>
          <cell r="Q4353" t="str">
            <v>磁性位置传感器</v>
          </cell>
        </row>
        <row r="4354">
          <cell r="O4354" t="str">
            <v>G01</v>
          </cell>
          <cell r="P4354" t="str">
            <v>STC4011B</v>
          </cell>
          <cell r="Q4354" t="str">
            <v>磁性位置传感器</v>
          </cell>
        </row>
        <row r="4355">
          <cell r="O4355" t="str">
            <v>G01</v>
          </cell>
          <cell r="P4355" t="str">
            <v>STC4011B</v>
          </cell>
          <cell r="Q4355" t="str">
            <v>磁性位置传感器</v>
          </cell>
        </row>
        <row r="4356">
          <cell r="O4356" t="str">
            <v>SC2498UA-N</v>
          </cell>
          <cell r="P4356" t="str">
            <v>SC9915C</v>
          </cell>
          <cell r="Q4356" t="str">
            <v>磁性位置传感器</v>
          </cell>
        </row>
        <row r="4357">
          <cell r="O4357" t="str">
            <v>SC2448SO</v>
          </cell>
          <cell r="P4357" t="str">
            <v>STC9906S</v>
          </cell>
          <cell r="Q4357" t="str">
            <v>磁性位置传感器</v>
          </cell>
        </row>
        <row r="4358">
          <cell r="O4358" t="str">
            <v>SC9641TS-PC</v>
          </cell>
          <cell r="P4358" t="str">
            <v>STC9A001I</v>
          </cell>
          <cell r="Q4358" t="str">
            <v>速度传感器</v>
          </cell>
        </row>
        <row r="4359">
          <cell r="O4359" t="str">
            <v>SC2442SO</v>
          </cell>
          <cell r="P4359" t="str">
            <v>STC9906R</v>
          </cell>
          <cell r="Q4359" t="str">
            <v>磁性位置传感器</v>
          </cell>
        </row>
        <row r="4360">
          <cell r="O4360" t="str">
            <v>SC2442SO</v>
          </cell>
          <cell r="P4360" t="str">
            <v>STC9906R</v>
          </cell>
          <cell r="Q4360" t="str">
            <v>磁性位置传感器</v>
          </cell>
        </row>
        <row r="4361">
          <cell r="O4361" t="str">
            <v>SC9625VB-L</v>
          </cell>
          <cell r="P4361" t="str">
            <v>STC9910E</v>
          </cell>
          <cell r="Q4361" t="str">
            <v>速度传感器</v>
          </cell>
        </row>
        <row r="4362">
          <cell r="O4362" t="str">
            <v>SC9625VB-L</v>
          </cell>
          <cell r="P4362" t="str">
            <v>STC9910E</v>
          </cell>
          <cell r="Q4362" t="str">
            <v>速度传感器</v>
          </cell>
        </row>
        <row r="4363">
          <cell r="O4363" t="str">
            <v>SC9632VB</v>
          </cell>
          <cell r="P4363" t="str">
            <v>STC9905E</v>
          </cell>
          <cell r="Q4363" t="str">
            <v>速度传感器</v>
          </cell>
        </row>
        <row r="4364">
          <cell r="O4364" t="str">
            <v>SC9642TS-E</v>
          </cell>
          <cell r="P4364" t="str">
            <v>STC9A001H</v>
          </cell>
          <cell r="Q4364" t="str">
            <v>速度传感器</v>
          </cell>
        </row>
        <row r="4365">
          <cell r="O4365" t="str">
            <v>SC2498CUA-N</v>
          </cell>
          <cell r="P4365" t="str">
            <v>SC9915C</v>
          </cell>
          <cell r="Q4365" t="str">
            <v>磁性位置传感器</v>
          </cell>
        </row>
        <row r="4366">
          <cell r="O4366" t="str">
            <v>SC2498CUA-N</v>
          </cell>
          <cell r="P4366" t="str">
            <v>SC9915C</v>
          </cell>
          <cell r="Q4366" t="str">
            <v>磁性位置传感器</v>
          </cell>
        </row>
        <row r="4367">
          <cell r="O4367" t="str">
            <v>SC2498CUA-N</v>
          </cell>
          <cell r="P4367" t="str">
            <v>SC9915C</v>
          </cell>
          <cell r="Q4367" t="str">
            <v>磁性位置传感器</v>
          </cell>
        </row>
        <row r="4368">
          <cell r="O4368" t="str">
            <v>SC2498CUA-N</v>
          </cell>
          <cell r="P4368" t="str">
            <v>SC9915C</v>
          </cell>
          <cell r="Q4368" t="str">
            <v>磁性位置传感器</v>
          </cell>
        </row>
        <row r="4369">
          <cell r="O4369" t="str">
            <v>SC2498CUA-N</v>
          </cell>
          <cell r="P4369" t="str">
            <v>SC9915C</v>
          </cell>
          <cell r="Q4369" t="str">
            <v>磁性位置传感器</v>
          </cell>
        </row>
        <row r="4370">
          <cell r="O4370" t="str">
            <v>SC2498CUA-N</v>
          </cell>
          <cell r="P4370" t="str">
            <v>SC9915C</v>
          </cell>
          <cell r="Q4370" t="str">
            <v>磁性位置传感器</v>
          </cell>
        </row>
        <row r="4371">
          <cell r="O4371" t="str">
            <v>SC2498CUA-N</v>
          </cell>
          <cell r="P4371" t="str">
            <v>SC9915C</v>
          </cell>
          <cell r="Q4371" t="str">
            <v>磁性位置传感器</v>
          </cell>
        </row>
        <row r="4372">
          <cell r="O4372" t="str">
            <v>SC2442SO</v>
          </cell>
          <cell r="P4372" t="str">
            <v>STC9906R</v>
          </cell>
          <cell r="Q4372" t="str">
            <v>磁性位置传感器</v>
          </cell>
        </row>
        <row r="4373">
          <cell r="O4373" t="str">
            <v>SC2442SO</v>
          </cell>
          <cell r="P4373" t="str">
            <v>STC9906R</v>
          </cell>
          <cell r="Q4373" t="str">
            <v>磁性位置传感器</v>
          </cell>
        </row>
        <row r="4374">
          <cell r="O4374" t="str">
            <v>SC2442SO</v>
          </cell>
          <cell r="P4374" t="str">
            <v>STC9906R</v>
          </cell>
          <cell r="Q4374" t="str">
            <v>磁性位置传感器</v>
          </cell>
        </row>
        <row r="4375">
          <cell r="O4375" t="str">
            <v>SC2442SO</v>
          </cell>
          <cell r="P4375" t="str">
            <v>STC9906R</v>
          </cell>
          <cell r="Q4375" t="str">
            <v>磁性位置传感器</v>
          </cell>
        </row>
        <row r="4376">
          <cell r="O4376" t="str">
            <v>SC9641TS-PC</v>
          </cell>
          <cell r="P4376" t="str">
            <v>STC9A001I</v>
          </cell>
          <cell r="Q4376" t="str">
            <v>速度传感器</v>
          </cell>
        </row>
        <row r="4377">
          <cell r="O4377" t="str">
            <v>SC9641TS-PC</v>
          </cell>
          <cell r="P4377" t="str">
            <v>STC9A001I</v>
          </cell>
          <cell r="Q4377" t="str">
            <v>速度传感器</v>
          </cell>
        </row>
        <row r="4378">
          <cell r="O4378" t="str">
            <v>SC9641TS-PC</v>
          </cell>
          <cell r="P4378" t="str">
            <v>STC9A001I</v>
          </cell>
          <cell r="Q4378" t="str">
            <v>速度传感器</v>
          </cell>
        </row>
        <row r="4379">
          <cell r="O4379" t="str">
            <v>SC9648TS-P</v>
          </cell>
          <cell r="P4379" t="str">
            <v>STC9A001I</v>
          </cell>
          <cell r="Q4379" t="str">
            <v>速度传感器</v>
          </cell>
        </row>
        <row r="4380">
          <cell r="O4380" t="str">
            <v>SC9648TS-P</v>
          </cell>
          <cell r="P4380" t="str">
            <v>STC9A001I</v>
          </cell>
          <cell r="Q4380" t="str">
            <v>速度传感器</v>
          </cell>
        </row>
        <row r="4381">
          <cell r="O4381" t="str">
            <v>SC9648TS-P</v>
          </cell>
          <cell r="P4381" t="str">
            <v>STC9A001I</v>
          </cell>
          <cell r="Q4381" t="str">
            <v>速度传感器</v>
          </cell>
        </row>
        <row r="4382">
          <cell r="O4382" t="str">
            <v>SC9648TS-P</v>
          </cell>
          <cell r="P4382" t="str">
            <v>STC9A001I</v>
          </cell>
          <cell r="Q4382" t="str">
            <v>速度传感器</v>
          </cell>
        </row>
        <row r="4383">
          <cell r="O4383" t="str">
            <v>SC9314UA</v>
          </cell>
          <cell r="P4383" t="str">
            <v>STC9901AF</v>
          </cell>
          <cell r="Q4383" t="str">
            <v>速度传感器</v>
          </cell>
        </row>
        <row r="4384">
          <cell r="O4384" t="str">
            <v>SC2413SO-N</v>
          </cell>
          <cell r="P4384" t="str">
            <v>STC9902D</v>
          </cell>
          <cell r="Q4384" t="str">
            <v>磁性位置传感器</v>
          </cell>
        </row>
        <row r="4385">
          <cell r="O4385" t="str">
            <v>SC2413SO-N</v>
          </cell>
          <cell r="P4385" t="str">
            <v>STC9902D</v>
          </cell>
          <cell r="Q4385" t="str">
            <v>磁性位置传感器</v>
          </cell>
        </row>
        <row r="4386">
          <cell r="O4386" t="str">
            <v>SC2413SO-N</v>
          </cell>
          <cell r="P4386" t="str">
            <v>STC9902D</v>
          </cell>
          <cell r="Q4386" t="str">
            <v>磁性位置传感器</v>
          </cell>
        </row>
        <row r="4387">
          <cell r="O4387" t="str">
            <v>SC4688SA-A</v>
          </cell>
          <cell r="P4387" t="str">
            <v>STC9D01C</v>
          </cell>
          <cell r="Q4387" t="str">
            <v>角度传感器</v>
          </cell>
        </row>
        <row r="4388">
          <cell r="O4388" t="str">
            <v>SD211VB</v>
          </cell>
          <cell r="P4388" t="str">
            <v>FD1016A</v>
          </cell>
          <cell r="Q4388" t="str">
            <v>电机驱动</v>
          </cell>
        </row>
        <row r="4389">
          <cell r="O4389" t="str">
            <v>SC9648TS-P</v>
          </cell>
          <cell r="P4389" t="str">
            <v>STC9A001I</v>
          </cell>
          <cell r="Q4389" t="str">
            <v>速度传感器</v>
          </cell>
        </row>
        <row r="4390">
          <cell r="O4390" t="str">
            <v>SC2402SO-N</v>
          </cell>
          <cell r="P4390" t="str">
            <v>STC9902J</v>
          </cell>
          <cell r="Q4390" t="str">
            <v>磁性位置传感器</v>
          </cell>
        </row>
        <row r="4391">
          <cell r="O4391" t="str">
            <v>SC2526VB</v>
          </cell>
          <cell r="P4391" t="str">
            <v>STC11131A</v>
          </cell>
          <cell r="Q4391" t="str">
            <v>磁性位置传感器</v>
          </cell>
        </row>
        <row r="4392">
          <cell r="O4392" t="str">
            <v>SC2526VB</v>
          </cell>
          <cell r="P4392" t="str">
            <v>STC11131A</v>
          </cell>
          <cell r="Q4392" t="str">
            <v>磁性位置传感器</v>
          </cell>
        </row>
        <row r="4393">
          <cell r="O4393" t="str">
            <v>SC2526VB</v>
          </cell>
          <cell r="P4393" t="str">
            <v>STC11131A</v>
          </cell>
          <cell r="Q4393" t="str">
            <v>磁性位置传感器</v>
          </cell>
        </row>
        <row r="4394">
          <cell r="O4394" t="str">
            <v>SC2402UA</v>
          </cell>
          <cell r="P4394" t="str">
            <v>STC9G002B</v>
          </cell>
          <cell r="Q4394" t="str">
            <v>磁性位置传感器</v>
          </cell>
        </row>
        <row r="4395">
          <cell r="O4395" t="str">
            <v>SC1134UA</v>
          </cell>
          <cell r="P4395" t="str">
            <v>STC1898AI</v>
          </cell>
          <cell r="Q4395" t="str">
            <v>磁性位置传感器</v>
          </cell>
        </row>
        <row r="4396">
          <cell r="O4396" t="str">
            <v>SC1134SO-N</v>
          </cell>
          <cell r="P4396" t="str">
            <v>STC1898AI</v>
          </cell>
          <cell r="Q4396" t="str">
            <v>磁性位置传感器</v>
          </cell>
        </row>
        <row r="4397">
          <cell r="O4397" t="str">
            <v>SC1134SO-N</v>
          </cell>
          <cell r="P4397" t="str">
            <v>STC1898AI</v>
          </cell>
          <cell r="Q4397" t="str">
            <v>磁性位置传感器</v>
          </cell>
        </row>
        <row r="4398">
          <cell r="O4398" t="str">
            <v>SC2402SO-N</v>
          </cell>
          <cell r="P4398" t="str">
            <v>STC9G002A</v>
          </cell>
          <cell r="Q4398" t="str">
            <v>磁性位置传感器</v>
          </cell>
        </row>
        <row r="4399">
          <cell r="O4399" t="str">
            <v>SC2402SO-N-G</v>
          </cell>
          <cell r="P4399" t="str">
            <v>STC9G002A</v>
          </cell>
          <cell r="Q4399" t="str">
            <v>磁性位置传感器</v>
          </cell>
        </row>
        <row r="4400">
          <cell r="O4400" t="str">
            <v>SC2402SO-N</v>
          </cell>
          <cell r="P4400" t="str">
            <v>STC9G002A</v>
          </cell>
          <cell r="Q4400" t="str">
            <v>磁性位置传感器</v>
          </cell>
        </row>
        <row r="4401">
          <cell r="O4401" t="str">
            <v>SC2402UA</v>
          </cell>
          <cell r="P4401" t="str">
            <v>STC9902J</v>
          </cell>
          <cell r="Q4401" t="str">
            <v>磁性位置传感器</v>
          </cell>
        </row>
        <row r="4402">
          <cell r="O4402" t="str">
            <v>SC2402UA</v>
          </cell>
          <cell r="P4402" t="str">
            <v>STC9902J</v>
          </cell>
          <cell r="Q4402" t="str">
            <v>磁性位置传感器</v>
          </cell>
        </row>
        <row r="4403">
          <cell r="O4403" t="str">
            <v>SC2442SO-N</v>
          </cell>
          <cell r="P4403" t="str">
            <v>STC9906P</v>
          </cell>
          <cell r="Q4403" t="str">
            <v>磁性位置传感器</v>
          </cell>
        </row>
        <row r="4404">
          <cell r="O4404" t="str">
            <v>SC2242SO</v>
          </cell>
          <cell r="P4404" t="str">
            <v>STC9906H</v>
          </cell>
          <cell r="Q4404" t="str">
            <v>磁性位置传感器</v>
          </cell>
        </row>
        <row r="4405">
          <cell r="O4405" t="str">
            <v>SC2242SO</v>
          </cell>
          <cell r="P4405" t="str">
            <v>STC9906H</v>
          </cell>
          <cell r="Q4405" t="str">
            <v>磁性位置传感器</v>
          </cell>
        </row>
        <row r="4406">
          <cell r="O4406" t="str">
            <v>SC4688SA-A</v>
          </cell>
          <cell r="P4406" t="str">
            <v>STC9D01C</v>
          </cell>
          <cell r="Q4406" t="str">
            <v>角度传感器</v>
          </cell>
        </row>
        <row r="4407">
          <cell r="O4407" t="str">
            <v>SC9641TS-P</v>
          </cell>
          <cell r="P4407" t="str">
            <v>STC9A001I</v>
          </cell>
          <cell r="Q4407" t="str">
            <v>速度传感器</v>
          </cell>
        </row>
        <row r="4408">
          <cell r="O4408" t="str">
            <v>SC9641TS-P</v>
          </cell>
          <cell r="P4408" t="str">
            <v>STC9A001I</v>
          </cell>
          <cell r="Q4408" t="str">
            <v>速度传感器</v>
          </cell>
        </row>
        <row r="4409">
          <cell r="O4409" t="str">
            <v>SC9625VB-L</v>
          </cell>
          <cell r="P4409" t="str">
            <v>STC9910E</v>
          </cell>
          <cell r="Q4409" t="str">
            <v>速度传感器</v>
          </cell>
        </row>
        <row r="4410">
          <cell r="O4410" t="str">
            <v>SC9625VB-L</v>
          </cell>
          <cell r="P4410" t="str">
            <v>STC9910E</v>
          </cell>
          <cell r="Q4410" t="str">
            <v>速度传感器</v>
          </cell>
        </row>
        <row r="4411">
          <cell r="O4411" t="str">
            <v>SC9625VB-L</v>
          </cell>
          <cell r="P4411" t="str">
            <v>STC9910E</v>
          </cell>
          <cell r="Q4411" t="str">
            <v>速度传感器</v>
          </cell>
        </row>
        <row r="4412">
          <cell r="O4412" t="str">
            <v>SC9625VB-L</v>
          </cell>
          <cell r="P4412" t="str">
            <v>STC9910E</v>
          </cell>
          <cell r="Q4412" t="str">
            <v>速度传感器</v>
          </cell>
        </row>
        <row r="4413">
          <cell r="O4413" t="str">
            <v>SC9625VB-L</v>
          </cell>
          <cell r="P4413" t="str">
            <v>STC9910E</v>
          </cell>
          <cell r="Q4413" t="str">
            <v>速度传感器</v>
          </cell>
        </row>
        <row r="4414">
          <cell r="O4414" t="str">
            <v>SC9314UA</v>
          </cell>
          <cell r="P4414" t="str">
            <v>STC9901AF</v>
          </cell>
          <cell r="Q4414" t="str">
            <v>速度传感器</v>
          </cell>
        </row>
        <row r="4415">
          <cell r="O4415" t="str">
            <v>SC9641TS-P</v>
          </cell>
          <cell r="P4415" t="str">
            <v>STC9A001I</v>
          </cell>
          <cell r="Q4415" t="str">
            <v>速度传感器</v>
          </cell>
        </row>
        <row r="4416">
          <cell r="O4416" t="str">
            <v>SC9641TS-P</v>
          </cell>
          <cell r="P4416" t="str">
            <v>STC9A001I</v>
          </cell>
          <cell r="Q4416" t="str">
            <v>速度传感器</v>
          </cell>
        </row>
        <row r="4417">
          <cell r="O4417" t="str">
            <v>SC9641TS-P</v>
          </cell>
          <cell r="P4417" t="str">
            <v>STC9A001I</v>
          </cell>
          <cell r="Q4417" t="str">
            <v>速度传感器</v>
          </cell>
        </row>
        <row r="4418">
          <cell r="O4418" t="str">
            <v>SC9641TS-P</v>
          </cell>
          <cell r="P4418" t="str">
            <v>STC9A001I</v>
          </cell>
          <cell r="Q4418" t="str">
            <v>速度传感器</v>
          </cell>
        </row>
        <row r="4419">
          <cell r="O4419" t="str">
            <v>SC9641TS-P</v>
          </cell>
          <cell r="P4419" t="str">
            <v>STC9A001I</v>
          </cell>
          <cell r="Q4419" t="str">
            <v>速度传感器</v>
          </cell>
        </row>
        <row r="4420">
          <cell r="O4420" t="str">
            <v>ZH6352</v>
          </cell>
          <cell r="P4420" t="str">
            <v>ZH6352</v>
          </cell>
          <cell r="Q4420" t="str">
            <v>电机驱动</v>
          </cell>
        </row>
        <row r="4421">
          <cell r="O4421" t="str">
            <v>SC2402SO-N</v>
          </cell>
          <cell r="P4421" t="str">
            <v>STC9902J</v>
          </cell>
          <cell r="Q4421" t="str">
            <v>磁性位置传感器</v>
          </cell>
        </row>
        <row r="4422">
          <cell r="O4422" t="str">
            <v>SC2402SO-N</v>
          </cell>
          <cell r="P4422" t="str">
            <v>STC9902J</v>
          </cell>
          <cell r="Q4422" t="str">
            <v>磁性位置传感器</v>
          </cell>
        </row>
        <row r="4423">
          <cell r="O4423" t="str">
            <v>SC2402SO-N</v>
          </cell>
          <cell r="P4423" t="str">
            <v>STC9902J</v>
          </cell>
          <cell r="Q4423" t="str">
            <v>磁性位置传感器</v>
          </cell>
        </row>
        <row r="4424">
          <cell r="O4424" t="str">
            <v>SC2442UA</v>
          </cell>
          <cell r="P4424" t="str">
            <v>STC9906P</v>
          </cell>
          <cell r="Q4424" t="str">
            <v>磁性位置传感器</v>
          </cell>
        </row>
        <row r="4425">
          <cell r="O4425" t="str">
            <v>SC2442UA</v>
          </cell>
          <cell r="P4425" t="str">
            <v>STC9906P</v>
          </cell>
          <cell r="Q4425" t="str">
            <v>磁性位置传感器</v>
          </cell>
        </row>
        <row r="4426">
          <cell r="O4426" t="str">
            <v>SC2448SO</v>
          </cell>
          <cell r="P4426" t="str">
            <v>STC9906S</v>
          </cell>
          <cell r="Q4426" t="str">
            <v>磁性位置传感器</v>
          </cell>
        </row>
        <row r="4427">
          <cell r="O4427" t="str">
            <v>SC2448SO</v>
          </cell>
          <cell r="P4427" t="str">
            <v>STC9906S</v>
          </cell>
          <cell r="Q4427" t="str">
            <v>磁性位置传感器</v>
          </cell>
        </row>
        <row r="4428">
          <cell r="O4428" t="str">
            <v>SC9641TS-P</v>
          </cell>
          <cell r="P4428" t="str">
            <v>STC9A001I</v>
          </cell>
          <cell r="Q4428" t="str">
            <v>速度传感器</v>
          </cell>
        </row>
        <row r="4429">
          <cell r="O4429" t="str">
            <v>SC9314UA</v>
          </cell>
          <cell r="P4429" t="str">
            <v>STC9901AF</v>
          </cell>
          <cell r="Q4429" t="str">
            <v>速度传感器</v>
          </cell>
        </row>
        <row r="4430">
          <cell r="O4430" t="str">
            <v>SC4688SA-A</v>
          </cell>
          <cell r="P4430" t="str">
            <v>STC9D01C</v>
          </cell>
          <cell r="Q4430" t="str">
            <v>角度传感器</v>
          </cell>
        </row>
        <row r="4431">
          <cell r="O4431" t="str">
            <v>SC4688SA-A</v>
          </cell>
          <cell r="P4431" t="str">
            <v>STC9D01C</v>
          </cell>
          <cell r="Q4431" t="str">
            <v>角度传感器</v>
          </cell>
        </row>
        <row r="4432">
          <cell r="O4432" t="str">
            <v>SC2063SO</v>
          </cell>
          <cell r="P4432" t="str">
            <v>STC9G001C</v>
          </cell>
          <cell r="Q4432" t="str">
            <v>磁性位置传感器</v>
          </cell>
        </row>
        <row r="4433">
          <cell r="O4433" t="str">
            <v>SC1134SO-N</v>
          </cell>
          <cell r="P4433" t="str">
            <v>STC1898AI</v>
          </cell>
          <cell r="Q4433" t="str">
            <v>磁性位置传感器</v>
          </cell>
        </row>
        <row r="4434">
          <cell r="O4434" t="str">
            <v>SC2402SO-N</v>
          </cell>
          <cell r="P4434" t="str">
            <v>STC9H001A</v>
          </cell>
          <cell r="Q4434" t="str">
            <v>磁性位置传感器</v>
          </cell>
        </row>
        <row r="4435">
          <cell r="O4435" t="str">
            <v>SC2402SO-N</v>
          </cell>
          <cell r="P4435" t="str">
            <v>STC9H001A</v>
          </cell>
          <cell r="Q4435" t="str">
            <v>磁性位置传感器</v>
          </cell>
        </row>
        <row r="4436">
          <cell r="O4436" t="str">
            <v>SC9621VB</v>
          </cell>
          <cell r="P4436" t="str">
            <v>STC9910C</v>
          </cell>
          <cell r="Q4436" t="str">
            <v>速度传感器</v>
          </cell>
        </row>
        <row r="4437">
          <cell r="O4437" t="str">
            <v>SD211VB</v>
          </cell>
          <cell r="P4437" t="str">
            <v>FD1016A</v>
          </cell>
          <cell r="Q4437" t="str">
            <v>电机驱动</v>
          </cell>
        </row>
        <row r="4438">
          <cell r="O4438" t="str">
            <v>SD211VB</v>
          </cell>
          <cell r="P4438" t="str">
            <v>FD1016A</v>
          </cell>
          <cell r="Q4438" t="str">
            <v>电机驱动</v>
          </cell>
        </row>
        <row r="4439">
          <cell r="O4439" t="str">
            <v>SC2442SO-N</v>
          </cell>
          <cell r="P4439" t="str">
            <v>STC9906P</v>
          </cell>
          <cell r="Q4439" t="str">
            <v>磁性位置传感器</v>
          </cell>
        </row>
        <row r="4440">
          <cell r="O4440" t="str">
            <v>SC2442SO-N</v>
          </cell>
          <cell r="P4440" t="str">
            <v>STC9906P</v>
          </cell>
          <cell r="Q4440" t="str">
            <v>磁性位置传感器</v>
          </cell>
        </row>
        <row r="4441">
          <cell r="O4441" t="str">
            <v>SC1134UA</v>
          </cell>
          <cell r="P4441" t="str">
            <v>STC1898AI</v>
          </cell>
          <cell r="Q4441" t="str">
            <v>磁性位置传感器</v>
          </cell>
        </row>
        <row r="4442">
          <cell r="O4442" t="str">
            <v>SC2448SO</v>
          </cell>
          <cell r="P4442" t="str">
            <v>STC9906S</v>
          </cell>
          <cell r="Q4442" t="str">
            <v>磁性位置传感器</v>
          </cell>
        </row>
        <row r="4443">
          <cell r="O4443" t="str">
            <v>SC2063SO</v>
          </cell>
          <cell r="P4443" t="str">
            <v>STC9G001C</v>
          </cell>
          <cell r="Q4443" t="str">
            <v>磁性位置传感器</v>
          </cell>
        </row>
        <row r="4444">
          <cell r="O4444" t="str">
            <v>SC2064SO</v>
          </cell>
          <cell r="P4444" t="str">
            <v>STC9G001C</v>
          </cell>
          <cell r="Q4444" t="str">
            <v>磁性位置传感器</v>
          </cell>
        </row>
        <row r="4445">
          <cell r="O4445" t="str">
            <v>SC1134SO-N</v>
          </cell>
          <cell r="P4445" t="str">
            <v>STC1898AI</v>
          </cell>
          <cell r="Q4445" t="str">
            <v>磁性位置传感器</v>
          </cell>
        </row>
        <row r="4446">
          <cell r="O4446" t="str">
            <v>SC2442SO-N</v>
          </cell>
          <cell r="P4446" t="str">
            <v>STC9906P</v>
          </cell>
          <cell r="Q4446" t="str">
            <v>磁性位置传感器</v>
          </cell>
        </row>
        <row r="4447">
          <cell r="O4447" t="str">
            <v>SC2442SO-N</v>
          </cell>
          <cell r="P4447" t="str">
            <v>STC9906P</v>
          </cell>
          <cell r="Q4447" t="str">
            <v>磁性位置传感器</v>
          </cell>
        </row>
        <row r="4448">
          <cell r="O4448" t="str">
            <v>SC2442SO-N</v>
          </cell>
          <cell r="P4448" t="str">
            <v>STC9906P</v>
          </cell>
          <cell r="Q4448" t="str">
            <v>磁性位置传感器</v>
          </cell>
        </row>
        <row r="4449">
          <cell r="O4449" t="str">
            <v>SC2442SO-N</v>
          </cell>
          <cell r="P4449" t="str">
            <v>STC9906P</v>
          </cell>
          <cell r="Q4449" t="str">
            <v>磁性位置传感器</v>
          </cell>
        </row>
        <row r="4450">
          <cell r="O4450" t="str">
            <v>SC2442SO-N</v>
          </cell>
          <cell r="P4450" t="str">
            <v>STC9906P</v>
          </cell>
          <cell r="Q4450" t="str">
            <v>磁性位置传感器</v>
          </cell>
        </row>
        <row r="4451">
          <cell r="O4451" t="str">
            <v>SC4688编程板</v>
          </cell>
          <cell r="P4451" t="str">
            <v xml:space="preserve"> </v>
          </cell>
          <cell r="Q4451" t="str">
            <v>角度传感器</v>
          </cell>
        </row>
        <row r="4452">
          <cell r="O4452" t="str">
            <v>SC9648TS-P</v>
          </cell>
          <cell r="P4452" t="str">
            <v>STC9A001I</v>
          </cell>
          <cell r="Q4452" t="str">
            <v>速度传感器</v>
          </cell>
        </row>
        <row r="4453">
          <cell r="O4453" t="str">
            <v>SC9648TS-P</v>
          </cell>
          <cell r="P4453" t="str">
            <v>STC9A001I</v>
          </cell>
          <cell r="Q4453" t="str">
            <v>速度传感器</v>
          </cell>
        </row>
        <row r="4454">
          <cell r="O4454" t="str">
            <v>SC9648TS-P</v>
          </cell>
          <cell r="P4454" t="str">
            <v>STC9A001I</v>
          </cell>
          <cell r="Q4454" t="str">
            <v>速度传感器</v>
          </cell>
        </row>
        <row r="4455">
          <cell r="O4455" t="str">
            <v>SC9648TS-P</v>
          </cell>
          <cell r="P4455" t="str">
            <v>STC9A001I</v>
          </cell>
          <cell r="Q4455" t="str">
            <v>速度传感器</v>
          </cell>
        </row>
        <row r="4456">
          <cell r="O4456" t="str">
            <v>SC9648TS-P</v>
          </cell>
          <cell r="P4456" t="str">
            <v>STC9A001I</v>
          </cell>
          <cell r="Q4456" t="str">
            <v>速度传感器</v>
          </cell>
        </row>
        <row r="4457">
          <cell r="O4457" t="str">
            <v>SC9641TS-PC</v>
          </cell>
          <cell r="P4457" t="str">
            <v>STC9A001I</v>
          </cell>
          <cell r="Q4457" t="str">
            <v>速度传感器</v>
          </cell>
        </row>
        <row r="4458">
          <cell r="O4458" t="str">
            <v>SC9641TS-PC</v>
          </cell>
          <cell r="P4458" t="str">
            <v>STC9A001I</v>
          </cell>
          <cell r="Q4458" t="str">
            <v>速度传感器</v>
          </cell>
        </row>
        <row r="4459">
          <cell r="O4459" t="str">
            <v>SC2443UA</v>
          </cell>
          <cell r="P4459" t="str">
            <v>STC9906W</v>
          </cell>
          <cell r="Q4459" t="str">
            <v>磁性位置传感器</v>
          </cell>
        </row>
        <row r="4460">
          <cell r="O4460" t="str">
            <v>SC9314UA</v>
          </cell>
          <cell r="P4460" t="str">
            <v>STC9901AF</v>
          </cell>
          <cell r="Q4460" t="str">
            <v>速度传感器</v>
          </cell>
        </row>
        <row r="4461">
          <cell r="O4461" t="str">
            <v>SC2442SO-N</v>
          </cell>
          <cell r="P4461" t="str">
            <v>STC9906P</v>
          </cell>
          <cell r="Q4461" t="str">
            <v>磁性位置传感器</v>
          </cell>
        </row>
        <row r="4462">
          <cell r="O4462" t="str">
            <v>SC2442SO-N</v>
          </cell>
          <cell r="P4462" t="str">
            <v>STC9906P</v>
          </cell>
          <cell r="Q4462" t="str">
            <v>磁性位置传感器</v>
          </cell>
        </row>
        <row r="4463">
          <cell r="O4463" t="str">
            <v>SC2442SO-N</v>
          </cell>
          <cell r="P4463" t="str">
            <v>STC9906P</v>
          </cell>
          <cell r="Q4463" t="str">
            <v>磁性位置传感器</v>
          </cell>
        </row>
        <row r="4464">
          <cell r="O4464" t="str">
            <v>SC2442SO-N</v>
          </cell>
          <cell r="P4464" t="str">
            <v>STC9906P</v>
          </cell>
          <cell r="Q4464" t="str">
            <v>磁性位置传感器</v>
          </cell>
        </row>
        <row r="4465">
          <cell r="O4465" t="str">
            <v>SC2442SO-N</v>
          </cell>
          <cell r="P4465" t="str">
            <v>STC9906P</v>
          </cell>
          <cell r="Q4465" t="str">
            <v>磁性位置传感器</v>
          </cell>
        </row>
        <row r="4466">
          <cell r="O4466" t="str">
            <v>SC2442SO-N</v>
          </cell>
          <cell r="P4466" t="str">
            <v>STC9906P</v>
          </cell>
          <cell r="Q4466" t="str">
            <v>磁性位置传感器</v>
          </cell>
        </row>
        <row r="4467">
          <cell r="O4467" t="str">
            <v>SC2442SO</v>
          </cell>
          <cell r="P4467" t="str">
            <v>STC9906R</v>
          </cell>
          <cell r="Q4467" t="str">
            <v>磁性位置传感器</v>
          </cell>
        </row>
        <row r="4468">
          <cell r="O4468" t="str">
            <v>SC2442SO</v>
          </cell>
          <cell r="P4468" t="str">
            <v>STC9906R</v>
          </cell>
          <cell r="Q4468" t="str">
            <v>磁性位置传感器</v>
          </cell>
        </row>
        <row r="4469">
          <cell r="O4469" t="str">
            <v>SC9641TS-PC</v>
          </cell>
          <cell r="P4469" t="str">
            <v>STC9A001I</v>
          </cell>
          <cell r="Q4469" t="str">
            <v>速度传感器</v>
          </cell>
        </row>
        <row r="4470">
          <cell r="O4470" t="str">
            <v>SC9314UA</v>
          </cell>
          <cell r="P4470" t="str">
            <v>STC9901AF</v>
          </cell>
          <cell r="Q4470" t="str">
            <v>速度传感器</v>
          </cell>
        </row>
        <row r="4471">
          <cell r="O4471" t="str">
            <v>SCN919</v>
          </cell>
          <cell r="P4471" t="str">
            <v>STC9909B</v>
          </cell>
          <cell r="Q4471" t="str">
            <v>磁性位置传感器</v>
          </cell>
        </row>
        <row r="4472">
          <cell r="O4472" t="str">
            <v>SC2462SO</v>
          </cell>
          <cell r="P4472" t="str">
            <v>STC9906J</v>
          </cell>
          <cell r="Q4472" t="str">
            <v>磁性位置传感器</v>
          </cell>
        </row>
        <row r="4473">
          <cell r="O4473" t="str">
            <v>SC2462SO</v>
          </cell>
          <cell r="P4473" t="str">
            <v>STC9906J</v>
          </cell>
          <cell r="Q4473" t="str">
            <v>磁性位置传感器</v>
          </cell>
        </row>
        <row r="4474">
          <cell r="O4474" t="str">
            <v>SC4688SA-A</v>
          </cell>
          <cell r="P4474" t="str">
            <v>STC9D01C</v>
          </cell>
          <cell r="Q4474" t="str">
            <v>角度传感器</v>
          </cell>
        </row>
        <row r="4475">
          <cell r="O4475" t="str">
            <v>SD211VB</v>
          </cell>
          <cell r="P4475" t="str">
            <v>FD1016A</v>
          </cell>
          <cell r="Q4475" t="str">
            <v>电机驱动</v>
          </cell>
        </row>
        <row r="4476">
          <cell r="O4476" t="str">
            <v>SD211VB</v>
          </cell>
          <cell r="P4476" t="str">
            <v>FD1016A</v>
          </cell>
          <cell r="Q4476" t="str">
            <v>电机驱动</v>
          </cell>
        </row>
        <row r="4477">
          <cell r="O4477" t="str">
            <v>SD211VB</v>
          </cell>
          <cell r="P4477" t="str">
            <v>FD1016A</v>
          </cell>
          <cell r="Q4477" t="str">
            <v>电机驱动</v>
          </cell>
        </row>
        <row r="4478">
          <cell r="O4478" t="str">
            <v>SD211VB</v>
          </cell>
          <cell r="P4478" t="str">
            <v>FD1016A</v>
          </cell>
          <cell r="Q4478" t="str">
            <v>电机驱动</v>
          </cell>
        </row>
        <row r="4479">
          <cell r="O4479" t="str">
            <v>SD211VB</v>
          </cell>
          <cell r="P4479" t="str">
            <v>FD1016A</v>
          </cell>
          <cell r="Q4479" t="str">
            <v>电机驱动</v>
          </cell>
        </row>
        <row r="4480">
          <cell r="O4480" t="str">
            <v>SD211VB</v>
          </cell>
          <cell r="P4480" t="str">
            <v>FD1016A</v>
          </cell>
          <cell r="Q4480" t="str">
            <v>电机驱动</v>
          </cell>
        </row>
        <row r="4481">
          <cell r="O4481" t="str">
            <v>SD211VB</v>
          </cell>
          <cell r="P4481" t="str">
            <v>FD1016A</v>
          </cell>
          <cell r="Q4481" t="str">
            <v>电机驱动</v>
          </cell>
        </row>
        <row r="4482">
          <cell r="O4482" t="str">
            <v>SC1645A1</v>
          </cell>
          <cell r="P4482" t="str">
            <v>STC2899AE</v>
          </cell>
          <cell r="Q4482" t="str">
            <v>磁性位置传感器</v>
          </cell>
        </row>
        <row r="4483">
          <cell r="O4483" t="str">
            <v>SC1645A1</v>
          </cell>
          <cell r="P4483" t="str">
            <v>STC2899AE</v>
          </cell>
          <cell r="Q4483" t="str">
            <v>磁性位置传感器</v>
          </cell>
        </row>
        <row r="4484">
          <cell r="O4484" t="str">
            <v>SC1645A1</v>
          </cell>
          <cell r="P4484" t="str">
            <v>STC2899AE</v>
          </cell>
          <cell r="Q4484" t="str">
            <v>磁性位置传感器</v>
          </cell>
        </row>
        <row r="4485">
          <cell r="O4485" t="str">
            <v>SC2448SO</v>
          </cell>
          <cell r="P4485" t="str">
            <v>STC9906S</v>
          </cell>
          <cell r="Q4485" t="str">
            <v>磁性位置传感器</v>
          </cell>
        </row>
        <row r="4486">
          <cell r="O4486" t="str">
            <v>SI485E</v>
          </cell>
          <cell r="P4486" t="str">
            <v>STC42302A</v>
          </cell>
          <cell r="Q4486" t="str">
            <v>其他数模混合</v>
          </cell>
        </row>
        <row r="4487">
          <cell r="O4487" t="str">
            <v>2100</v>
          </cell>
          <cell r="P4487" t="str">
            <v>STC9D03E</v>
          </cell>
          <cell r="Q4487" t="str">
            <v>电流传感器</v>
          </cell>
        </row>
        <row r="4488">
          <cell r="O4488" t="str">
            <v>2100</v>
          </cell>
          <cell r="P4488" t="str">
            <v>STC9D03E</v>
          </cell>
          <cell r="Q4488" t="str">
            <v>电流传感器</v>
          </cell>
        </row>
        <row r="4489">
          <cell r="O4489" t="str">
            <v>2100</v>
          </cell>
          <cell r="P4489" t="str">
            <v>STC9D03E</v>
          </cell>
          <cell r="Q4489" t="str">
            <v>电流传感器</v>
          </cell>
        </row>
        <row r="4490">
          <cell r="O4490" t="str">
            <v>2100</v>
          </cell>
          <cell r="P4490" t="str">
            <v>STC9D03E</v>
          </cell>
          <cell r="Q4490" t="str">
            <v>电流传感器</v>
          </cell>
        </row>
        <row r="4491">
          <cell r="O4491" t="str">
            <v>2100</v>
          </cell>
          <cell r="P4491" t="str">
            <v>STC9D03E</v>
          </cell>
          <cell r="Q4491" t="str">
            <v>电流传感器</v>
          </cell>
        </row>
        <row r="4492">
          <cell r="O4492" t="str">
            <v>2100</v>
          </cell>
          <cell r="P4492" t="str">
            <v>STC9D03E</v>
          </cell>
          <cell r="Q4492" t="str">
            <v>电流传感器</v>
          </cell>
        </row>
        <row r="4493">
          <cell r="O4493" t="str">
            <v>2100</v>
          </cell>
          <cell r="P4493" t="str">
            <v>STC9D03E</v>
          </cell>
          <cell r="Q4493" t="str">
            <v>电流传感器</v>
          </cell>
        </row>
        <row r="4494">
          <cell r="O4494" t="str">
            <v>2100</v>
          </cell>
          <cell r="P4494" t="str">
            <v>STC9D03E</v>
          </cell>
          <cell r="Q4494" t="str">
            <v>电流传感器</v>
          </cell>
        </row>
        <row r="4495">
          <cell r="O4495" t="str">
            <v>2100</v>
          </cell>
          <cell r="P4495" t="str">
            <v>STC9D03E</v>
          </cell>
          <cell r="Q4495" t="str">
            <v>电流传感器</v>
          </cell>
        </row>
        <row r="4496">
          <cell r="O4496" t="str">
            <v>2100</v>
          </cell>
          <cell r="P4496" t="str">
            <v>STC9D03E</v>
          </cell>
          <cell r="Q4496" t="str">
            <v>电流传感器</v>
          </cell>
        </row>
        <row r="4497">
          <cell r="O4497" t="str">
            <v>2100</v>
          </cell>
          <cell r="P4497" t="str">
            <v>STC9D03E</v>
          </cell>
          <cell r="Q4497" t="str">
            <v>电流传感器</v>
          </cell>
        </row>
        <row r="4498">
          <cell r="O4498" t="str">
            <v>2100</v>
          </cell>
          <cell r="P4498" t="str">
            <v>STC9D03E</v>
          </cell>
          <cell r="Q4498" t="str">
            <v>电流传感器</v>
          </cell>
        </row>
        <row r="4499">
          <cell r="O4499" t="str">
            <v>2100</v>
          </cell>
          <cell r="P4499" t="str">
            <v>STC9D03E</v>
          </cell>
          <cell r="Q4499" t="str">
            <v>电流传感器</v>
          </cell>
        </row>
        <row r="4500">
          <cell r="O4500" t="str">
            <v>SC1134SO-N</v>
          </cell>
          <cell r="P4500" t="str">
            <v>STC1002AF</v>
          </cell>
          <cell r="Q4500" t="str">
            <v>磁性位置传感器</v>
          </cell>
        </row>
        <row r="4501">
          <cell r="O4501" t="str">
            <v>SC2402UA</v>
          </cell>
          <cell r="P4501" t="str">
            <v>STC9G002B</v>
          </cell>
          <cell r="Q4501" t="str">
            <v>磁性位置传感器</v>
          </cell>
        </row>
        <row r="4502">
          <cell r="O4502" t="str">
            <v>SC2402UA</v>
          </cell>
          <cell r="P4502" t="str">
            <v>STC9G002B</v>
          </cell>
          <cell r="Q4502" t="str">
            <v>磁性位置传感器</v>
          </cell>
        </row>
        <row r="4503">
          <cell r="O4503" t="str">
            <v>SC2033SO-N</v>
          </cell>
          <cell r="P4503" t="str">
            <v>STC9G001D</v>
          </cell>
          <cell r="Q4503" t="str">
            <v>磁性位置传感器</v>
          </cell>
        </row>
        <row r="4504">
          <cell r="O4504" t="str">
            <v>SC2033SO-N</v>
          </cell>
          <cell r="P4504" t="str">
            <v>STC9G001D</v>
          </cell>
          <cell r="Q4504" t="str">
            <v>磁性位置传感器</v>
          </cell>
        </row>
        <row r="4505">
          <cell r="O4505" t="str">
            <v>SC2442SO-N</v>
          </cell>
          <cell r="P4505" t="str">
            <v>STC9906P</v>
          </cell>
          <cell r="Q4505" t="str">
            <v>磁性位置传感器</v>
          </cell>
        </row>
        <row r="4506">
          <cell r="O4506" t="str">
            <v>SC2442SO-N</v>
          </cell>
          <cell r="P4506" t="str">
            <v>STC9906P</v>
          </cell>
          <cell r="Q4506" t="str">
            <v>磁性位置传感器</v>
          </cell>
        </row>
        <row r="4507">
          <cell r="O4507" t="str">
            <v>SC60228DC</v>
          </cell>
          <cell r="P4507" t="str">
            <v>STC9D04C</v>
          </cell>
          <cell r="Q4507" t="str">
            <v>电机编码器</v>
          </cell>
        </row>
        <row r="4508">
          <cell r="O4508" t="str">
            <v>SC60228DC</v>
          </cell>
          <cell r="P4508" t="str">
            <v>STC9D04C</v>
          </cell>
          <cell r="Q4508" t="str">
            <v>电机编码器</v>
          </cell>
        </row>
        <row r="4509">
          <cell r="O4509" t="str">
            <v>SC9642TS-E</v>
          </cell>
          <cell r="P4509" t="str">
            <v>STC9A001H</v>
          </cell>
          <cell r="Q4509" t="str">
            <v>速度传感器</v>
          </cell>
        </row>
        <row r="4510">
          <cell r="O4510" t="str">
            <v>SC9648TS-P</v>
          </cell>
          <cell r="P4510" t="str">
            <v>STC9A001I</v>
          </cell>
          <cell r="Q4510" t="str">
            <v>速度传感器</v>
          </cell>
        </row>
        <row r="4511">
          <cell r="O4511" t="str">
            <v>SC9648TS-P</v>
          </cell>
          <cell r="P4511" t="str">
            <v>STC9A001I</v>
          </cell>
          <cell r="Q4511" t="str">
            <v>速度传感器</v>
          </cell>
        </row>
        <row r="4512">
          <cell r="O4512" t="str">
            <v>SC9648TS-P</v>
          </cell>
          <cell r="P4512" t="str">
            <v>STC9A001I</v>
          </cell>
          <cell r="Q4512" t="str">
            <v>速度传感器</v>
          </cell>
        </row>
        <row r="4513">
          <cell r="O4513" t="str">
            <v>SC9648TS-P</v>
          </cell>
          <cell r="P4513" t="str">
            <v>STC9A001I</v>
          </cell>
          <cell r="Q4513" t="str">
            <v>速度传感器</v>
          </cell>
        </row>
        <row r="4514">
          <cell r="O4514" t="str">
            <v>SC9648TS-P</v>
          </cell>
          <cell r="P4514" t="str">
            <v>STC9A001I</v>
          </cell>
          <cell r="Q4514" t="str">
            <v>速度传感器</v>
          </cell>
        </row>
        <row r="4515">
          <cell r="O4515" t="str">
            <v>SC9648TS-P</v>
          </cell>
          <cell r="P4515" t="str">
            <v>STC9A001I</v>
          </cell>
          <cell r="Q4515" t="str">
            <v>速度传感器</v>
          </cell>
        </row>
        <row r="4516">
          <cell r="O4516" t="str">
            <v>SC9641TS-PC</v>
          </cell>
          <cell r="P4516" t="str">
            <v>STC9A001I</v>
          </cell>
          <cell r="Q4516" t="str">
            <v>速度传感器</v>
          </cell>
        </row>
        <row r="4517">
          <cell r="O4517" t="str">
            <v>SC9641TS-PC</v>
          </cell>
          <cell r="P4517" t="str">
            <v>STC9A001I</v>
          </cell>
          <cell r="Q4517" t="str">
            <v>速度传感器</v>
          </cell>
        </row>
        <row r="4518">
          <cell r="O4518" t="str">
            <v>SC9641TS-PC</v>
          </cell>
          <cell r="P4518" t="str">
            <v>STC9A001I</v>
          </cell>
          <cell r="Q4518" t="str">
            <v>速度传感器</v>
          </cell>
        </row>
        <row r="4519">
          <cell r="O4519" t="str">
            <v>SC2498SO</v>
          </cell>
          <cell r="P4519" t="str">
            <v>SC9915C</v>
          </cell>
          <cell r="Q4519" t="str">
            <v>磁性位置传感器</v>
          </cell>
        </row>
        <row r="4520">
          <cell r="O4520" t="str">
            <v>SC9641TS-PC</v>
          </cell>
          <cell r="P4520" t="str">
            <v>STC9A001I</v>
          </cell>
          <cell r="Q4520" t="str">
            <v>速度传感器</v>
          </cell>
        </row>
        <row r="4521">
          <cell r="O4521" t="str">
            <v>SC9675IM-P-LRF00</v>
          </cell>
          <cell r="P4521" t="str">
            <v>STC9A002B</v>
          </cell>
          <cell r="Q4521" t="str">
            <v>速度传感器</v>
          </cell>
        </row>
        <row r="4522">
          <cell r="O4522" t="str">
            <v>SC4688SA-A</v>
          </cell>
          <cell r="P4522" t="str">
            <v>STC9D01C</v>
          </cell>
          <cell r="Q4522" t="str">
            <v>角度传感器</v>
          </cell>
        </row>
        <row r="4523">
          <cell r="O4523" t="str">
            <v>SC60228DC</v>
          </cell>
          <cell r="P4523" t="str">
            <v>STC9D04C</v>
          </cell>
          <cell r="Q4523" t="str">
            <v>电机编码器</v>
          </cell>
        </row>
        <row r="4524">
          <cell r="O4524" t="str">
            <v>SCN919</v>
          </cell>
          <cell r="P4524" t="str">
            <v>STC9909B</v>
          </cell>
          <cell r="Q4524" t="str">
            <v>磁性位置传感器</v>
          </cell>
        </row>
        <row r="4525">
          <cell r="O4525" t="str">
            <v>STC4011B-DS</v>
          </cell>
          <cell r="P4525" t="str">
            <v>STC4011B</v>
          </cell>
          <cell r="Q4525" t="str">
            <v>磁性位置传感器</v>
          </cell>
        </row>
        <row r="4526">
          <cell r="O4526" t="str">
            <v>SC2402SO-N</v>
          </cell>
          <cell r="P4526" t="str">
            <v>STC9H001A</v>
          </cell>
          <cell r="Q4526" t="str">
            <v>磁性位置传感器</v>
          </cell>
        </row>
        <row r="4527">
          <cell r="O4527" t="str">
            <v>SC2402SO-N-H</v>
          </cell>
          <cell r="P4527" t="str">
            <v>STC9H001A</v>
          </cell>
          <cell r="Q4527" t="str">
            <v>磁性位置传感器</v>
          </cell>
        </row>
        <row r="4528">
          <cell r="O4528" t="str">
            <v>KH276</v>
          </cell>
          <cell r="P4528" t="str">
            <v>FD1014A</v>
          </cell>
          <cell r="Q4528" t="str">
            <v>电机驱动</v>
          </cell>
        </row>
        <row r="4529">
          <cell r="O4529" t="str">
            <v>SD211VB</v>
          </cell>
          <cell r="P4529" t="str">
            <v>FD1016A</v>
          </cell>
          <cell r="Q4529" t="str">
            <v>电机驱动</v>
          </cell>
        </row>
        <row r="4530">
          <cell r="O4530" t="str">
            <v>SD211VB</v>
          </cell>
          <cell r="P4530" t="str">
            <v>FD1016A</v>
          </cell>
          <cell r="Q4530" t="str">
            <v>电机驱动</v>
          </cell>
        </row>
        <row r="4531">
          <cell r="O4531" t="str">
            <v>SD211VB</v>
          </cell>
          <cell r="P4531" t="str">
            <v>FD1016A</v>
          </cell>
          <cell r="Q4531" t="str">
            <v>电机驱动</v>
          </cell>
        </row>
        <row r="4532">
          <cell r="O4532" t="str">
            <v>ATK-E512</v>
          </cell>
          <cell r="P4532" t="str">
            <v>STC4011B</v>
          </cell>
          <cell r="Q4532" t="str">
            <v>磁性位置传感器</v>
          </cell>
        </row>
        <row r="4533">
          <cell r="O4533" t="str">
            <v>ATK-E512</v>
          </cell>
          <cell r="P4533" t="str">
            <v>STC4011B</v>
          </cell>
          <cell r="Q4533" t="str">
            <v>磁性位置传感器</v>
          </cell>
        </row>
        <row r="4534">
          <cell r="O4534" t="str">
            <v>ATK-E512</v>
          </cell>
          <cell r="P4534" t="str">
            <v>STC4011B</v>
          </cell>
          <cell r="Q4534" t="str">
            <v>磁性位置传感器</v>
          </cell>
        </row>
        <row r="4535">
          <cell r="O4535" t="str">
            <v>ATK-E512</v>
          </cell>
          <cell r="P4535" t="str">
            <v>STC4011B</v>
          </cell>
          <cell r="Q4535" t="str">
            <v>磁性位置传感器</v>
          </cell>
        </row>
        <row r="4536">
          <cell r="O4536" t="str">
            <v>ATK-E512</v>
          </cell>
          <cell r="P4536" t="str">
            <v>STC4011B</v>
          </cell>
          <cell r="Q4536" t="str">
            <v>磁性位置传感器</v>
          </cell>
        </row>
        <row r="4537">
          <cell r="O4537" t="str">
            <v>ATK-E512</v>
          </cell>
          <cell r="P4537" t="str">
            <v>STC4011B</v>
          </cell>
          <cell r="Q4537" t="str">
            <v>磁性位置传感器</v>
          </cell>
        </row>
        <row r="4538">
          <cell r="O4538" t="str">
            <v>ATK-E512</v>
          </cell>
          <cell r="P4538" t="str">
            <v>STC4011B</v>
          </cell>
          <cell r="Q4538" t="str">
            <v>磁性位置传感器</v>
          </cell>
        </row>
        <row r="4539">
          <cell r="O4539" t="str">
            <v>ATK-E512</v>
          </cell>
          <cell r="P4539" t="str">
            <v>STC4011B</v>
          </cell>
          <cell r="Q4539" t="str">
            <v>磁性位置传感器</v>
          </cell>
        </row>
        <row r="4540">
          <cell r="O4540" t="str">
            <v>ATK-E512</v>
          </cell>
          <cell r="P4540" t="str">
            <v>STC4011B</v>
          </cell>
          <cell r="Q4540" t="str">
            <v>磁性位置传感器</v>
          </cell>
        </row>
        <row r="4541">
          <cell r="O4541" t="str">
            <v>ATK-E512</v>
          </cell>
          <cell r="P4541" t="str">
            <v>STC4011B</v>
          </cell>
          <cell r="Q4541" t="str">
            <v>磁性位置传感器</v>
          </cell>
        </row>
        <row r="4542">
          <cell r="O4542" t="str">
            <v>ATK-E512</v>
          </cell>
          <cell r="P4542" t="str">
            <v>STC4011B</v>
          </cell>
          <cell r="Q4542" t="str">
            <v>磁性位置传感器</v>
          </cell>
        </row>
        <row r="4543">
          <cell r="O4543" t="str">
            <v>ATK-E512</v>
          </cell>
          <cell r="P4543" t="str">
            <v>STC4011B</v>
          </cell>
          <cell r="Q4543" t="str">
            <v>磁性位置传感器</v>
          </cell>
        </row>
        <row r="4544">
          <cell r="O4544" t="str">
            <v>ATK-E512</v>
          </cell>
          <cell r="P4544" t="str">
            <v>STC4011B</v>
          </cell>
          <cell r="Q4544" t="str">
            <v>磁性位置传感器</v>
          </cell>
        </row>
        <row r="4545">
          <cell r="O4545" t="str">
            <v>ATK-E512</v>
          </cell>
          <cell r="P4545" t="str">
            <v>STC4011B</v>
          </cell>
          <cell r="Q4545" t="str">
            <v>磁性位置传感器</v>
          </cell>
        </row>
        <row r="4546">
          <cell r="O4546" t="str">
            <v>ATK-E512</v>
          </cell>
          <cell r="P4546" t="str">
            <v>STC4011B</v>
          </cell>
          <cell r="Q4546" t="str">
            <v>磁性位置传感器</v>
          </cell>
        </row>
        <row r="4547">
          <cell r="O4547" t="str">
            <v>SC2402SO-N</v>
          </cell>
          <cell r="P4547" t="str">
            <v>STC9902J</v>
          </cell>
          <cell r="Q4547" t="str">
            <v>磁性位置传感器</v>
          </cell>
        </row>
        <row r="4548">
          <cell r="O4548" t="str">
            <v>SC2402SO-N</v>
          </cell>
          <cell r="P4548" t="str">
            <v>STC9902J</v>
          </cell>
          <cell r="Q4548" t="str">
            <v>磁性位置传感器</v>
          </cell>
        </row>
        <row r="4549">
          <cell r="O4549" t="str">
            <v>SC2402SO-N</v>
          </cell>
          <cell r="P4549" t="str">
            <v>STC9902J</v>
          </cell>
          <cell r="Q4549" t="str">
            <v>磁性位置传感器</v>
          </cell>
        </row>
        <row r="4550">
          <cell r="O4550" t="str">
            <v>SC2402SO-N</v>
          </cell>
          <cell r="P4550" t="str">
            <v>STC9902J</v>
          </cell>
          <cell r="Q4550" t="str">
            <v>磁性位置传感器</v>
          </cell>
        </row>
        <row r="4551">
          <cell r="O4551" t="str">
            <v>SC2402SO-N</v>
          </cell>
          <cell r="P4551" t="str">
            <v>STC9902J</v>
          </cell>
          <cell r="Q4551" t="str">
            <v>磁性位置传感器</v>
          </cell>
        </row>
        <row r="4552">
          <cell r="O4552" t="str">
            <v>SC1134UA</v>
          </cell>
          <cell r="P4552" t="str">
            <v>STC1898AI</v>
          </cell>
          <cell r="Q4552" t="str">
            <v>磁性位置传感器</v>
          </cell>
        </row>
        <row r="4553">
          <cell r="O4553" t="str">
            <v>SC1134UA</v>
          </cell>
          <cell r="P4553" t="str">
            <v>STC1898AI</v>
          </cell>
          <cell r="Q4553" t="str">
            <v>磁性位置传感器</v>
          </cell>
        </row>
        <row r="4554">
          <cell r="O4554" t="str">
            <v>SC2443SO</v>
          </cell>
          <cell r="P4554" t="str">
            <v>STC9906T</v>
          </cell>
          <cell r="Q4554" t="str">
            <v>磁性位置传感器</v>
          </cell>
        </row>
        <row r="4555">
          <cell r="O4555" t="str">
            <v>SC2443SO</v>
          </cell>
          <cell r="P4555" t="str">
            <v>STC9906T</v>
          </cell>
          <cell r="Q4555" t="str">
            <v>磁性位置传感器</v>
          </cell>
        </row>
        <row r="4556">
          <cell r="O4556" t="str">
            <v>SC2498SO</v>
          </cell>
          <cell r="P4556" t="str">
            <v>SC9915C</v>
          </cell>
          <cell r="Q4556" t="str">
            <v>磁性位置传感器</v>
          </cell>
        </row>
        <row r="4557">
          <cell r="O4557" t="str">
            <v>SC4643VB-P</v>
          </cell>
          <cell r="P4557" t="str">
            <v>STC9D03E</v>
          </cell>
          <cell r="Q4557" t="str">
            <v>电流传感器</v>
          </cell>
        </row>
        <row r="4558">
          <cell r="O4558" t="str">
            <v>SC9648TS-P</v>
          </cell>
          <cell r="P4558" t="str">
            <v>STC9A001I</v>
          </cell>
          <cell r="Q4558" t="str">
            <v>速度传感器</v>
          </cell>
        </row>
        <row r="4559">
          <cell r="O4559" t="str">
            <v>SC9648TS-P</v>
          </cell>
          <cell r="P4559" t="str">
            <v>STC9A001I</v>
          </cell>
          <cell r="Q4559" t="str">
            <v>速度传感器</v>
          </cell>
        </row>
        <row r="4560">
          <cell r="O4560" t="str">
            <v>SC9648TS-P</v>
          </cell>
          <cell r="P4560" t="str">
            <v>STC9A001I</v>
          </cell>
          <cell r="Q4560" t="str">
            <v>速度传感器</v>
          </cell>
        </row>
        <row r="4561">
          <cell r="O4561" t="str">
            <v>SC9641TS-PC</v>
          </cell>
          <cell r="P4561" t="str">
            <v>STC9A001I</v>
          </cell>
          <cell r="Q4561" t="str">
            <v>速度传感器</v>
          </cell>
        </row>
        <row r="4562">
          <cell r="O4562" t="str">
            <v>SC2443UA</v>
          </cell>
          <cell r="P4562" t="str">
            <v>STC9906W</v>
          </cell>
          <cell r="Q4562" t="str">
            <v>磁性位置传感器</v>
          </cell>
        </row>
        <row r="4563">
          <cell r="O4563" t="str">
            <v>SC2443UA</v>
          </cell>
          <cell r="P4563" t="str">
            <v>STC9906W</v>
          </cell>
          <cell r="Q4563" t="str">
            <v>磁性位置传感器</v>
          </cell>
        </row>
        <row r="4564">
          <cell r="O4564" t="str">
            <v>SC2443UA</v>
          </cell>
          <cell r="P4564" t="str">
            <v>STC9906W</v>
          </cell>
          <cell r="Q4564" t="str">
            <v>磁性位置传感器</v>
          </cell>
        </row>
        <row r="4565">
          <cell r="O4565" t="str">
            <v>SC2443UA</v>
          </cell>
          <cell r="P4565" t="str">
            <v>STC9906W</v>
          </cell>
          <cell r="Q4565" t="str">
            <v>磁性位置传感器</v>
          </cell>
        </row>
        <row r="4566">
          <cell r="O4566" t="str">
            <v>SC2443UA</v>
          </cell>
          <cell r="P4566" t="str">
            <v>STC9906W</v>
          </cell>
          <cell r="Q4566" t="str">
            <v>磁性位置传感器</v>
          </cell>
        </row>
        <row r="4567">
          <cell r="O4567" t="str">
            <v>SC2443SO</v>
          </cell>
          <cell r="P4567" t="str">
            <v>STC9906T</v>
          </cell>
          <cell r="Q4567" t="str">
            <v>磁性位置传感器</v>
          </cell>
        </row>
        <row r="4568">
          <cell r="O4568" t="str">
            <v>SC1134SO-N</v>
          </cell>
          <cell r="P4568" t="str">
            <v>STC1898AI</v>
          </cell>
          <cell r="Q4568" t="str">
            <v>磁性位置传感器</v>
          </cell>
        </row>
        <row r="4569">
          <cell r="O4569" t="str">
            <v>SC4643VB</v>
          </cell>
          <cell r="P4569" t="str">
            <v>STC9D03E</v>
          </cell>
          <cell r="Q4569" t="str">
            <v>电流传感器</v>
          </cell>
        </row>
        <row r="4570">
          <cell r="O4570" t="str">
            <v>SC9641TS-P</v>
          </cell>
          <cell r="P4570" t="str">
            <v>STC9A001I</v>
          </cell>
          <cell r="Q4570" t="str">
            <v>速度传感器</v>
          </cell>
        </row>
        <row r="4571">
          <cell r="O4571" t="str">
            <v>SC9641TS-PC</v>
          </cell>
          <cell r="P4571" t="str">
            <v>STC9A001I</v>
          </cell>
          <cell r="Q4571" t="str">
            <v>速度传感器</v>
          </cell>
        </row>
        <row r="4572">
          <cell r="O4572" t="str">
            <v>SC9625VB-L</v>
          </cell>
          <cell r="P4572" t="str">
            <v>STC9910E</v>
          </cell>
          <cell r="Q4572" t="str">
            <v>速度传感器</v>
          </cell>
        </row>
        <row r="4573">
          <cell r="O4573" t="str">
            <v>SC9625VB-L</v>
          </cell>
          <cell r="P4573" t="str">
            <v>STC9910E</v>
          </cell>
          <cell r="Q4573" t="str">
            <v>速度传感器</v>
          </cell>
        </row>
        <row r="4574">
          <cell r="O4574" t="str">
            <v>SC9625VB-L</v>
          </cell>
          <cell r="P4574" t="str">
            <v>STC9910E</v>
          </cell>
          <cell r="Q4574" t="str">
            <v>速度传感器</v>
          </cell>
        </row>
        <row r="4575">
          <cell r="O4575" t="str">
            <v>SC9625VB-L</v>
          </cell>
          <cell r="P4575" t="str">
            <v>STC9910E</v>
          </cell>
          <cell r="Q4575" t="str">
            <v>速度传感器</v>
          </cell>
        </row>
        <row r="4576">
          <cell r="O4576" t="str">
            <v>SC4616BU</v>
          </cell>
          <cell r="P4576" t="str">
            <v>STC9907D</v>
          </cell>
          <cell r="Q4576" t="str">
            <v>电流传感器</v>
          </cell>
        </row>
        <row r="4577">
          <cell r="O4577" t="str">
            <v>SC4616BU</v>
          </cell>
          <cell r="P4577" t="str">
            <v>STC9907D</v>
          </cell>
          <cell r="Q4577" t="str">
            <v>电流传感器</v>
          </cell>
        </row>
        <row r="4578">
          <cell r="O4578" t="str">
            <v>SC4616BU</v>
          </cell>
          <cell r="P4578" t="str">
            <v>STC9907D</v>
          </cell>
          <cell r="Q4578" t="str">
            <v>电流传感器</v>
          </cell>
        </row>
        <row r="4579">
          <cell r="O4579" t="str">
            <v>SC1445A1</v>
          </cell>
          <cell r="P4579" t="str">
            <v>STC2899AB</v>
          </cell>
          <cell r="Q4579" t="str">
            <v>磁性位置传感器</v>
          </cell>
        </row>
        <row r="4580">
          <cell r="O4580" t="str">
            <v>SC1445A1</v>
          </cell>
          <cell r="P4580" t="str">
            <v>STC2899AB</v>
          </cell>
          <cell r="Q4580" t="str">
            <v>磁性位置传感器</v>
          </cell>
        </row>
        <row r="4581">
          <cell r="O4581" t="str">
            <v>SC60221-U-P1-256-244-mai</v>
          </cell>
          <cell r="P4581" t="str">
            <v>STC9D04C</v>
          </cell>
          <cell r="Q4581" t="str">
            <v>电机编码器</v>
          </cell>
        </row>
        <row r="4582">
          <cell r="O4582" t="str">
            <v>SC60104</v>
          </cell>
          <cell r="P4582" t="str">
            <v>STC9D02C</v>
          </cell>
          <cell r="Q4582" t="str">
            <v>电机编码器</v>
          </cell>
        </row>
        <row r="4583">
          <cell r="O4583" t="str">
            <v>SC60224-D-1024</v>
          </cell>
          <cell r="P4583" t="str">
            <v>STC9D04C</v>
          </cell>
          <cell r="Q4583" t="str">
            <v>电机编码器</v>
          </cell>
        </row>
        <row r="4584">
          <cell r="O4584" t="str">
            <v>SCN919</v>
          </cell>
          <cell r="P4584" t="str">
            <v>STC9909B</v>
          </cell>
          <cell r="Q4584" t="str">
            <v>磁性位置传感器</v>
          </cell>
        </row>
        <row r="4585">
          <cell r="O4585" t="str">
            <v>SC1245SO-N</v>
          </cell>
          <cell r="P4585" t="str">
            <v>STC1898AD</v>
          </cell>
          <cell r="Q4585" t="str">
            <v>磁性位置传感器</v>
          </cell>
        </row>
        <row r="4586">
          <cell r="O4586" t="str">
            <v>SC1645A1</v>
          </cell>
          <cell r="P4586" t="str">
            <v>STC2899AE</v>
          </cell>
          <cell r="Q4586" t="str">
            <v>磁性位置传感器</v>
          </cell>
        </row>
        <row r="4587">
          <cell r="O4587" t="str">
            <v>SD211VB</v>
          </cell>
          <cell r="P4587" t="str">
            <v>FD1016A</v>
          </cell>
          <cell r="Q4587" t="str">
            <v>电机驱动</v>
          </cell>
        </row>
        <row r="4588">
          <cell r="O4588" t="str">
            <v>SC1134SO-N</v>
          </cell>
          <cell r="P4588" t="str">
            <v>STC1898AI</v>
          </cell>
          <cell r="Q4588" t="str">
            <v>磁性位置传感器</v>
          </cell>
        </row>
        <row r="4589">
          <cell r="O4589" t="str">
            <v>SC1134SO-N</v>
          </cell>
          <cell r="P4589" t="str">
            <v>STC1898AI</v>
          </cell>
          <cell r="Q4589" t="str">
            <v>磁性位置传感器</v>
          </cell>
        </row>
        <row r="4590">
          <cell r="O4590" t="str">
            <v>SC1138SO-N</v>
          </cell>
          <cell r="P4590" t="str">
            <v>STC1898AC</v>
          </cell>
          <cell r="Q4590" t="str">
            <v>磁性位置传感器</v>
          </cell>
        </row>
        <row r="4591">
          <cell r="O4591" t="str">
            <v>SC1138SO-N</v>
          </cell>
          <cell r="P4591" t="str">
            <v>STC1898AC</v>
          </cell>
          <cell r="Q4591" t="str">
            <v>磁性位置传感器</v>
          </cell>
        </row>
        <row r="4592">
          <cell r="O4592" t="str">
            <v>SC1138SO-N</v>
          </cell>
          <cell r="P4592" t="str">
            <v>STC1898AC</v>
          </cell>
          <cell r="Q4592" t="str">
            <v>磁性位置传感器</v>
          </cell>
        </row>
        <row r="4593">
          <cell r="O4593" t="str">
            <v>SC1138SO-N</v>
          </cell>
          <cell r="P4593" t="str">
            <v>STC1898AC</v>
          </cell>
          <cell r="Q4593" t="str">
            <v>磁性位置传感器</v>
          </cell>
        </row>
        <row r="4594">
          <cell r="O4594" t="str">
            <v>SC1138SO-N</v>
          </cell>
          <cell r="P4594" t="str">
            <v>STC1898AC</v>
          </cell>
          <cell r="Q4594" t="str">
            <v>磁性位置传感器</v>
          </cell>
        </row>
        <row r="4595">
          <cell r="O4595" t="str">
            <v>SC2402SO-N</v>
          </cell>
          <cell r="P4595" t="str">
            <v>STC9902J</v>
          </cell>
          <cell r="Q4595" t="str">
            <v>磁性位置传感器</v>
          </cell>
        </row>
        <row r="4596">
          <cell r="O4596" t="str">
            <v>SC2242SO</v>
          </cell>
          <cell r="P4596" t="str">
            <v>STC9906H</v>
          </cell>
          <cell r="Q4596" t="str">
            <v>磁性位置传感器</v>
          </cell>
        </row>
        <row r="4597">
          <cell r="O4597" t="str">
            <v>SC2242SO</v>
          </cell>
          <cell r="P4597" t="str">
            <v>STC9906H</v>
          </cell>
          <cell r="Q4597" t="str">
            <v>磁性位置传感器</v>
          </cell>
        </row>
        <row r="4598">
          <cell r="O4598" t="str">
            <v>SC2402UA</v>
          </cell>
          <cell r="P4598" t="str">
            <v>STC9G002B</v>
          </cell>
          <cell r="Q4598" t="str">
            <v>磁性位置传感器</v>
          </cell>
        </row>
        <row r="4599">
          <cell r="O4599" t="str">
            <v>SC2242SO</v>
          </cell>
          <cell r="P4599" t="str">
            <v>STC9906H</v>
          </cell>
          <cell r="Q4599" t="str">
            <v>磁性位置传感器</v>
          </cell>
        </row>
        <row r="4600">
          <cell r="O4600" t="str">
            <v>SC1134UA</v>
          </cell>
          <cell r="P4600" t="str">
            <v>STC1898AI</v>
          </cell>
          <cell r="Q4600" t="str">
            <v>磁性位置传感器</v>
          </cell>
        </row>
        <row r="4601">
          <cell r="O4601" t="str">
            <v>SC1134UA</v>
          </cell>
          <cell r="P4601" t="str">
            <v>STC1898AI</v>
          </cell>
          <cell r="Q4601" t="str">
            <v>磁性位置传感器</v>
          </cell>
        </row>
        <row r="4602">
          <cell r="O4602" t="str">
            <v>SC1134UA</v>
          </cell>
          <cell r="P4602" t="str">
            <v>STC1898AI</v>
          </cell>
          <cell r="Q4602" t="str">
            <v>磁性位置传感器</v>
          </cell>
        </row>
        <row r="4603">
          <cell r="O4603" t="str">
            <v>SC1134UA</v>
          </cell>
          <cell r="P4603" t="str">
            <v>STC1898AI</v>
          </cell>
          <cell r="Q4603" t="str">
            <v>磁性位置传感器</v>
          </cell>
        </row>
        <row r="4604">
          <cell r="O4604" t="str">
            <v>SC9633VB</v>
          </cell>
          <cell r="P4604" t="str">
            <v>STC9905F</v>
          </cell>
          <cell r="Q4604" t="str">
            <v>速度传感器</v>
          </cell>
        </row>
        <row r="4605">
          <cell r="O4605" t="str">
            <v>STC4011B-DS</v>
          </cell>
          <cell r="P4605" t="str">
            <v>STC4011B</v>
          </cell>
          <cell r="Q4605" t="str">
            <v>磁性位置传感器</v>
          </cell>
        </row>
        <row r="4606">
          <cell r="O4606" t="str">
            <v>49E</v>
          </cell>
          <cell r="P4606" t="str">
            <v>STC4011B</v>
          </cell>
          <cell r="Q4606" t="str">
            <v>磁性位置传感器</v>
          </cell>
        </row>
        <row r="4607">
          <cell r="O4607" t="str">
            <v>49E</v>
          </cell>
          <cell r="P4607" t="str">
            <v>STC4011B</v>
          </cell>
          <cell r="Q4607" t="str">
            <v>磁性位置传感器</v>
          </cell>
        </row>
        <row r="4608">
          <cell r="O4608" t="str">
            <v>49E</v>
          </cell>
          <cell r="P4608" t="str">
            <v>STC4011B</v>
          </cell>
          <cell r="Q4608" t="str">
            <v>磁性位置传感器</v>
          </cell>
        </row>
        <row r="4609">
          <cell r="O4609" t="str">
            <v>VE1430Q1VA3RADJ</v>
          </cell>
          <cell r="P4609" t="str">
            <v>V2201E</v>
          </cell>
          <cell r="Q4609" t="str">
            <v>电源管理</v>
          </cell>
        </row>
        <row r="4610">
          <cell r="O4610" t="str">
            <v>VE2430Q1A8R</v>
          </cell>
          <cell r="P4610" t="str">
            <v>V2318A</v>
          </cell>
          <cell r="Q4610" t="str">
            <v>电源管理</v>
          </cell>
        </row>
        <row r="4611">
          <cell r="O4611" t="str">
            <v>VE8602Q1A5R</v>
          </cell>
          <cell r="P4611" t="str">
            <v>V2302C</v>
          </cell>
          <cell r="Q4611" t="str">
            <v>电源管理</v>
          </cell>
        </row>
        <row r="4612">
          <cell r="O4612" t="str">
            <v>SC9648TS-P</v>
          </cell>
          <cell r="P4612" t="str">
            <v>STC9A001I</v>
          </cell>
          <cell r="Q4612" t="str">
            <v>速度传感器</v>
          </cell>
        </row>
        <row r="4613">
          <cell r="O4613" t="str">
            <v>SC9641TS-PC</v>
          </cell>
          <cell r="P4613" t="str">
            <v>STC9A001I</v>
          </cell>
          <cell r="Q4613" t="str">
            <v>速度传感器</v>
          </cell>
        </row>
        <row r="4614">
          <cell r="O4614" t="str">
            <v>SC2402SO-N</v>
          </cell>
          <cell r="P4614" t="str">
            <v>STC9H001A</v>
          </cell>
          <cell r="Q4614" t="str">
            <v>磁性位置传感器</v>
          </cell>
        </row>
        <row r="4615">
          <cell r="O4615" t="str">
            <v>SC2443UA</v>
          </cell>
          <cell r="P4615" t="str">
            <v>STC9906W</v>
          </cell>
          <cell r="Q4615" t="str">
            <v>磁性位置传感器</v>
          </cell>
        </row>
        <row r="4616">
          <cell r="O4616" t="str">
            <v>SC4643VB</v>
          </cell>
          <cell r="P4616" t="str">
            <v>STC9D03E</v>
          </cell>
          <cell r="Q4616" t="str">
            <v>电流传感器</v>
          </cell>
        </row>
        <row r="4617">
          <cell r="O4617" t="str">
            <v>SC9641TS-P</v>
          </cell>
          <cell r="P4617" t="str">
            <v>STC9A001I</v>
          </cell>
          <cell r="Q4617" t="str">
            <v>速度传感器</v>
          </cell>
        </row>
        <row r="4618">
          <cell r="O4618" t="str">
            <v>SC9641TS-PC</v>
          </cell>
          <cell r="P4618" t="str">
            <v>STC9A001I</v>
          </cell>
          <cell r="Q4618" t="str">
            <v>速度传感器</v>
          </cell>
        </row>
        <row r="4619">
          <cell r="O4619" t="str">
            <v>SC4689SA</v>
          </cell>
          <cell r="P4619" t="str">
            <v>STC9D01F</v>
          </cell>
          <cell r="Q4619" t="str">
            <v>角度传感器</v>
          </cell>
        </row>
        <row r="4620">
          <cell r="O4620" t="str">
            <v>SC1645A1</v>
          </cell>
          <cell r="P4620" t="str">
            <v>STC2899AE</v>
          </cell>
          <cell r="Q4620" t="str">
            <v>磁性位置传感器</v>
          </cell>
        </row>
        <row r="4621">
          <cell r="O4621" t="str">
            <v>SC1645B1</v>
          </cell>
          <cell r="P4621" t="str">
            <v>STC2899AE</v>
          </cell>
          <cell r="Q4621" t="str">
            <v>磁性位置传感器</v>
          </cell>
        </row>
        <row r="4622">
          <cell r="O4622" t="str">
            <v>SC1645A1</v>
          </cell>
          <cell r="P4622" t="str">
            <v>STC2899AE</v>
          </cell>
          <cell r="Q4622" t="str">
            <v>磁性位置传感器</v>
          </cell>
        </row>
        <row r="4623">
          <cell r="O4623" t="str">
            <v>SC1645A1</v>
          </cell>
          <cell r="P4623" t="str">
            <v>STC2899AE</v>
          </cell>
          <cell r="Q4623" t="str">
            <v>磁性位置传感器</v>
          </cell>
        </row>
        <row r="4624">
          <cell r="O4624" t="str">
            <v>SC1645A1</v>
          </cell>
          <cell r="P4624" t="str">
            <v>STC2899AE</v>
          </cell>
          <cell r="Q4624" t="str">
            <v>磁性位置传感器</v>
          </cell>
        </row>
        <row r="4625">
          <cell r="O4625" t="str">
            <v>SC2448SO</v>
          </cell>
          <cell r="P4625" t="str">
            <v>STC9906S</v>
          </cell>
          <cell r="Q4625" t="str">
            <v>磁性位置传感器</v>
          </cell>
        </row>
        <row r="4626">
          <cell r="O4626" t="str">
            <v>SD211VB</v>
          </cell>
          <cell r="P4626" t="str">
            <v>FD1016A</v>
          </cell>
          <cell r="Q4626" t="str">
            <v>电机驱动</v>
          </cell>
        </row>
        <row r="4627">
          <cell r="O4627" t="str">
            <v>SC2464SO</v>
          </cell>
          <cell r="P4627" t="str">
            <v>STC9906J</v>
          </cell>
          <cell r="Q4627" t="str">
            <v>磁性位置传感器</v>
          </cell>
        </row>
        <row r="4628">
          <cell r="O4628" t="str">
            <v>SC1134SO-N</v>
          </cell>
          <cell r="P4628" t="str">
            <v>STC1898AI</v>
          </cell>
          <cell r="Q4628" t="str">
            <v>磁性位置传感器</v>
          </cell>
        </row>
        <row r="4629">
          <cell r="O4629" t="str">
            <v>SC1134SO-N</v>
          </cell>
          <cell r="P4629" t="str">
            <v>STC1898AI</v>
          </cell>
          <cell r="Q4629" t="str">
            <v>磁性位置传感器</v>
          </cell>
        </row>
        <row r="4630">
          <cell r="O4630" t="str">
            <v>SC1134SO-N</v>
          </cell>
          <cell r="P4630" t="str">
            <v>STC1898AI</v>
          </cell>
          <cell r="Q4630" t="str">
            <v>磁性位置传感器</v>
          </cell>
        </row>
        <row r="4631">
          <cell r="O4631" t="str">
            <v>SC2242SO</v>
          </cell>
          <cell r="P4631" t="str">
            <v>STC9906H</v>
          </cell>
          <cell r="Q4631" t="str">
            <v>磁性位置传感器</v>
          </cell>
        </row>
        <row r="4632">
          <cell r="O4632" t="str">
            <v>SC2063SO</v>
          </cell>
          <cell r="P4632" t="str">
            <v>STC9G001C</v>
          </cell>
          <cell r="Q4632" t="str">
            <v>磁性位置传感器</v>
          </cell>
        </row>
        <row r="4633">
          <cell r="O4633" t="str">
            <v>SC2442SO-N</v>
          </cell>
          <cell r="P4633" t="str">
            <v>STC9906P</v>
          </cell>
          <cell r="Q4633" t="str">
            <v>磁性位置传感器</v>
          </cell>
        </row>
        <row r="4634">
          <cell r="O4634" t="str">
            <v>49E</v>
          </cell>
          <cell r="P4634" t="str">
            <v>STC4011B</v>
          </cell>
          <cell r="Q4634" t="str">
            <v>磁性位置传感器</v>
          </cell>
        </row>
        <row r="4635">
          <cell r="O4635" t="str">
            <v>49E</v>
          </cell>
          <cell r="P4635" t="str">
            <v>STC4011B</v>
          </cell>
          <cell r="Q4635" t="str">
            <v>磁性位置传感器</v>
          </cell>
        </row>
        <row r="4636">
          <cell r="O4636" t="str">
            <v>49E</v>
          </cell>
          <cell r="P4636" t="str">
            <v>STC4011B</v>
          </cell>
          <cell r="Q4636" t="str">
            <v>磁性位置传感器</v>
          </cell>
        </row>
        <row r="4637">
          <cell r="O4637" t="str">
            <v>SC2434SO-N</v>
          </cell>
          <cell r="P4637" t="str">
            <v>STC9906I</v>
          </cell>
          <cell r="Q4637" t="str">
            <v>磁性位置传感器</v>
          </cell>
        </row>
        <row r="4638">
          <cell r="O4638" t="str">
            <v>SC9641TS-PC</v>
          </cell>
          <cell r="P4638" t="str">
            <v>STC9A001I</v>
          </cell>
          <cell r="Q4638" t="str">
            <v>速度传感器</v>
          </cell>
        </row>
        <row r="4639">
          <cell r="O4639" t="str">
            <v>SC9641TS-P</v>
          </cell>
          <cell r="P4639" t="str">
            <v>STC9A001I</v>
          </cell>
          <cell r="Q4639" t="str">
            <v>速度传感器</v>
          </cell>
        </row>
        <row r="4640">
          <cell r="O4640" t="str">
            <v>SC9641TS-P</v>
          </cell>
          <cell r="P4640" t="str">
            <v>STC9A001I</v>
          </cell>
          <cell r="Q4640" t="str">
            <v>速度传感器</v>
          </cell>
        </row>
        <row r="4641">
          <cell r="O4641" t="str">
            <v>SC9641TS-P</v>
          </cell>
          <cell r="P4641" t="str">
            <v>STC9A001I</v>
          </cell>
          <cell r="Q4641" t="str">
            <v>速度传感器</v>
          </cell>
        </row>
        <row r="4642">
          <cell r="O4642" t="str">
            <v>SC9641TS-P</v>
          </cell>
          <cell r="P4642" t="str">
            <v>STC9A001I</v>
          </cell>
          <cell r="Q4642" t="str">
            <v>速度传感器</v>
          </cell>
        </row>
        <row r="4643">
          <cell r="O4643" t="str">
            <v>SC9642TS-E</v>
          </cell>
          <cell r="P4643" t="str">
            <v>STC9A001H</v>
          </cell>
          <cell r="Q4643" t="str">
            <v>速度传感器</v>
          </cell>
        </row>
        <row r="4644">
          <cell r="O4644" t="str">
            <v>SC9648TS-P</v>
          </cell>
          <cell r="P4644" t="str">
            <v>STC9A001I</v>
          </cell>
          <cell r="Q4644" t="str">
            <v>速度传感器</v>
          </cell>
        </row>
        <row r="4645">
          <cell r="O4645" t="str">
            <v>SC9648TS-P</v>
          </cell>
          <cell r="P4645" t="str">
            <v>STC9A001I</v>
          </cell>
          <cell r="Q4645" t="str">
            <v>速度传感器</v>
          </cell>
        </row>
        <row r="4646">
          <cell r="O4646" t="str">
            <v>SC9648TS-P</v>
          </cell>
          <cell r="P4646" t="str">
            <v>STC9A001I</v>
          </cell>
          <cell r="Q4646" t="str">
            <v>速度传感器</v>
          </cell>
        </row>
        <row r="4647">
          <cell r="O4647" t="str">
            <v>SC9648TS-P</v>
          </cell>
          <cell r="P4647" t="str">
            <v>STC9A001I</v>
          </cell>
          <cell r="Q4647" t="str">
            <v>速度传感器</v>
          </cell>
        </row>
        <row r="4648">
          <cell r="O4648" t="str">
            <v>SC9648TS-P</v>
          </cell>
          <cell r="P4648" t="str">
            <v>STC9A001I</v>
          </cell>
          <cell r="Q4648" t="str">
            <v>速度传感器</v>
          </cell>
        </row>
        <row r="4649">
          <cell r="O4649" t="str">
            <v>SC9641TS-PC</v>
          </cell>
          <cell r="P4649" t="str">
            <v>STC9A001I</v>
          </cell>
          <cell r="Q4649" t="str">
            <v>速度传感器</v>
          </cell>
        </row>
        <row r="4650">
          <cell r="O4650" t="str">
            <v>SC9641TS-PC</v>
          </cell>
          <cell r="P4650" t="str">
            <v>STC9A001I</v>
          </cell>
          <cell r="Q4650" t="str">
            <v>速度传感器</v>
          </cell>
        </row>
        <row r="4651">
          <cell r="O4651" t="str">
            <v>SC9641TS-PC</v>
          </cell>
          <cell r="P4651" t="str">
            <v>STC9A001I</v>
          </cell>
          <cell r="Q4651" t="str">
            <v>速度传感器</v>
          </cell>
        </row>
        <row r="4652">
          <cell r="O4652" t="str">
            <v>ZH639D0B</v>
          </cell>
          <cell r="P4652" t="str">
            <v>ZH639D0B</v>
          </cell>
          <cell r="Q4652" t="str">
            <v>电机驱动</v>
          </cell>
        </row>
        <row r="4653">
          <cell r="O4653" t="str">
            <v>ZH6252B</v>
          </cell>
          <cell r="P4653" t="str">
            <v>ZH6252B</v>
          </cell>
          <cell r="Q4653" t="str">
            <v>电机驱动</v>
          </cell>
        </row>
        <row r="4654">
          <cell r="O4654" t="str">
            <v>SC1138SO-N</v>
          </cell>
          <cell r="P4654" t="str">
            <v>STC1898AC</v>
          </cell>
          <cell r="Q4654" t="str">
            <v>磁性位置传感器</v>
          </cell>
        </row>
        <row r="4655">
          <cell r="O4655" t="str">
            <v>SC1138SO-N</v>
          </cell>
          <cell r="P4655" t="str">
            <v>STC1898AC</v>
          </cell>
          <cell r="Q4655" t="str">
            <v>磁性位置传感器</v>
          </cell>
        </row>
        <row r="4656">
          <cell r="O4656" t="str">
            <v>SC1138SO-N</v>
          </cell>
          <cell r="P4656" t="str">
            <v>STC1898AC</v>
          </cell>
          <cell r="Q4656" t="str">
            <v>磁性位置传感器</v>
          </cell>
        </row>
        <row r="4657">
          <cell r="O4657" t="str">
            <v>SC1138SO-N</v>
          </cell>
          <cell r="P4657" t="str">
            <v>STC1898AC</v>
          </cell>
          <cell r="Q4657" t="str">
            <v>磁性位置传感器</v>
          </cell>
        </row>
        <row r="4658">
          <cell r="O4658" t="str">
            <v>SC1138SO-N</v>
          </cell>
          <cell r="P4658" t="str">
            <v>STC1898AC</v>
          </cell>
          <cell r="Q4658" t="str">
            <v>磁性位置传感器</v>
          </cell>
        </row>
        <row r="4659">
          <cell r="O4659" t="str">
            <v>SC1138SO-N</v>
          </cell>
          <cell r="P4659" t="str">
            <v>STC1898AC</v>
          </cell>
          <cell r="Q4659" t="str">
            <v>磁性位置传感器</v>
          </cell>
        </row>
        <row r="4660">
          <cell r="O4660" t="str">
            <v>SC2442SO</v>
          </cell>
          <cell r="P4660" t="str">
            <v>STC9906R</v>
          </cell>
          <cell r="Q4660" t="str">
            <v>磁性位置传感器</v>
          </cell>
        </row>
        <row r="4661">
          <cell r="O4661" t="str">
            <v>SC1245UA</v>
          </cell>
          <cell r="P4661" t="str">
            <v>STC1898AD</v>
          </cell>
          <cell r="Q4661" t="str">
            <v>磁性位置传感器</v>
          </cell>
        </row>
        <row r="4662">
          <cell r="O4662" t="str">
            <v>SC1245UA</v>
          </cell>
          <cell r="P4662" t="str">
            <v>STC1898AD</v>
          </cell>
          <cell r="Q4662" t="str">
            <v>磁性位置传感器</v>
          </cell>
        </row>
        <row r="4663">
          <cell r="O4663" t="str">
            <v>SC9641TS-P</v>
          </cell>
          <cell r="P4663" t="str">
            <v>STC9A001I</v>
          </cell>
          <cell r="Q4663" t="str">
            <v>速度传感器</v>
          </cell>
        </row>
        <row r="4664">
          <cell r="O4664" t="str">
            <v>SC9641TS-P</v>
          </cell>
          <cell r="P4664" t="str">
            <v>STC9A001I</v>
          </cell>
          <cell r="Q4664" t="str">
            <v>速度传感器</v>
          </cell>
        </row>
        <row r="4665">
          <cell r="O4665" t="str">
            <v>SC9641TS-PC</v>
          </cell>
          <cell r="P4665" t="str">
            <v>STC9A001I</v>
          </cell>
          <cell r="Q4665" t="str">
            <v>速度传感器</v>
          </cell>
        </row>
        <row r="4666">
          <cell r="O4666" t="str">
            <v>SC9641TS-PC</v>
          </cell>
          <cell r="P4666" t="str">
            <v>STC9A001I</v>
          </cell>
          <cell r="Q4666" t="str">
            <v>速度传感器</v>
          </cell>
        </row>
        <row r="4667">
          <cell r="O4667" t="str">
            <v>SC9641TS-PC</v>
          </cell>
          <cell r="P4667" t="str">
            <v>STC9A001I</v>
          </cell>
          <cell r="Q4667" t="str">
            <v>速度传感器</v>
          </cell>
        </row>
        <row r="4668">
          <cell r="O4668" t="str">
            <v>SC60224-D-1024</v>
          </cell>
          <cell r="P4668" t="str">
            <v>STC9D04C</v>
          </cell>
          <cell r="Q4668" t="str">
            <v>电机编码器</v>
          </cell>
        </row>
        <row r="4669">
          <cell r="O4669" t="str">
            <v>SC2402SO-N-H</v>
          </cell>
          <cell r="P4669" t="str">
            <v>STC9H001A</v>
          </cell>
          <cell r="Q4669" t="str">
            <v>磁性位置传感器</v>
          </cell>
        </row>
        <row r="4670">
          <cell r="O4670" t="str">
            <v>SC2402SO-N-H</v>
          </cell>
          <cell r="P4670" t="str">
            <v>STC9H001A</v>
          </cell>
          <cell r="Q4670" t="str">
            <v>磁性位置传感器</v>
          </cell>
        </row>
        <row r="4671">
          <cell r="O4671" t="str">
            <v>SC9314UA</v>
          </cell>
          <cell r="P4671" t="str">
            <v>STC9901AF</v>
          </cell>
          <cell r="Q4671" t="str">
            <v>速度传感器</v>
          </cell>
        </row>
        <row r="4672">
          <cell r="O4672" t="str">
            <v>SD211VB</v>
          </cell>
          <cell r="P4672" t="str">
            <v>FD1016A</v>
          </cell>
          <cell r="Q4672" t="str">
            <v>电机驱动</v>
          </cell>
        </row>
        <row r="4673">
          <cell r="O4673" t="str">
            <v>SC2442SO</v>
          </cell>
          <cell r="P4673" t="str">
            <v>STC9906R</v>
          </cell>
          <cell r="Q4673" t="str">
            <v>磁性位置传感器</v>
          </cell>
        </row>
        <row r="4674">
          <cell r="O4674" t="str">
            <v>SC1645A1</v>
          </cell>
          <cell r="P4674" t="str">
            <v>STC2899AE</v>
          </cell>
          <cell r="Q4674" t="str">
            <v>磁性位置传感器</v>
          </cell>
        </row>
        <row r="4675">
          <cell r="O4675" t="str">
            <v>SC1645A1</v>
          </cell>
          <cell r="P4675" t="str">
            <v>STC2899AE</v>
          </cell>
          <cell r="Q4675" t="str">
            <v>磁性位置传感器</v>
          </cell>
        </row>
        <row r="4676">
          <cell r="O4676" t="str">
            <v>SC4002UA</v>
          </cell>
          <cell r="P4676" t="str">
            <v>STC4000AA</v>
          </cell>
          <cell r="Q4676" t="str">
            <v>磁性位置传感器</v>
          </cell>
        </row>
        <row r="4677">
          <cell r="O4677" t="str">
            <v>SC2442SO-N</v>
          </cell>
          <cell r="P4677" t="str">
            <v>STC11102B</v>
          </cell>
          <cell r="Q4677" t="str">
            <v>磁性位置传感器</v>
          </cell>
        </row>
        <row r="4678">
          <cell r="O4678" t="str">
            <v>SC2442SO-N</v>
          </cell>
          <cell r="P4678" t="str">
            <v>STC11102B</v>
          </cell>
          <cell r="Q4678" t="str">
            <v>磁性位置传感器</v>
          </cell>
        </row>
        <row r="4679">
          <cell r="O4679" t="str">
            <v>SC2448SO</v>
          </cell>
          <cell r="P4679" t="str">
            <v>STC9906S</v>
          </cell>
          <cell r="Q4679" t="str">
            <v>磁性位置传感器</v>
          </cell>
        </row>
        <row r="4680">
          <cell r="O4680" t="str">
            <v>SC2448SO</v>
          </cell>
          <cell r="P4680" t="str">
            <v>STC9906S</v>
          </cell>
          <cell r="Q4680" t="str">
            <v>磁性位置传感器</v>
          </cell>
        </row>
        <row r="4681">
          <cell r="O4681" t="str">
            <v>SC9632VB</v>
          </cell>
          <cell r="P4681" t="str">
            <v>STC9905E</v>
          </cell>
          <cell r="Q4681" t="str">
            <v>速度传感器</v>
          </cell>
        </row>
        <row r="4682">
          <cell r="O4682" t="str">
            <v>49E</v>
          </cell>
          <cell r="P4682" t="str">
            <v>STC4011B</v>
          </cell>
          <cell r="Q4682" t="str">
            <v>磁性位置传感器</v>
          </cell>
        </row>
        <row r="4683">
          <cell r="O4683" t="str">
            <v>49E</v>
          </cell>
          <cell r="P4683" t="str">
            <v>STC4011B</v>
          </cell>
          <cell r="Q4683" t="str">
            <v>磁性位置传感器</v>
          </cell>
        </row>
        <row r="4684">
          <cell r="O4684" t="str">
            <v>SC2432SO-N</v>
          </cell>
          <cell r="P4684" t="str">
            <v>STC9906I</v>
          </cell>
          <cell r="Q4684" t="str">
            <v>磁性位置传感器</v>
          </cell>
        </row>
        <row r="4685">
          <cell r="O4685" t="str">
            <v>SC2442SO</v>
          </cell>
          <cell r="P4685" t="str">
            <v>STC9906R</v>
          </cell>
          <cell r="Q4685" t="str">
            <v>磁性位置传感器</v>
          </cell>
        </row>
        <row r="4686">
          <cell r="O4686" t="str">
            <v>SC2442SO</v>
          </cell>
          <cell r="P4686" t="str">
            <v>STC9906R</v>
          </cell>
          <cell r="Q4686" t="str">
            <v>磁性位置传感器</v>
          </cell>
        </row>
        <row r="4687">
          <cell r="O4687" t="str">
            <v>SC2442SO</v>
          </cell>
          <cell r="P4687" t="str">
            <v>STC9906R</v>
          </cell>
          <cell r="Q4687" t="str">
            <v>磁性位置传感器</v>
          </cell>
        </row>
        <row r="4688">
          <cell r="O4688" t="str">
            <v>SC2442SO</v>
          </cell>
          <cell r="P4688" t="str">
            <v>STC9906R</v>
          </cell>
          <cell r="Q4688" t="str">
            <v>磁性位置传感器</v>
          </cell>
        </row>
        <row r="4689">
          <cell r="O4689" t="str">
            <v>SC2402UA-G</v>
          </cell>
          <cell r="P4689" t="str">
            <v>STC9G002B</v>
          </cell>
          <cell r="Q4689" t="str">
            <v>磁性位置传感器</v>
          </cell>
        </row>
        <row r="4690">
          <cell r="O4690" t="str">
            <v>SC2402UA-G</v>
          </cell>
          <cell r="P4690" t="str">
            <v>STC9G002B</v>
          </cell>
          <cell r="Q4690" t="str">
            <v>磁性位置传感器</v>
          </cell>
        </row>
        <row r="4691">
          <cell r="O4691" t="str">
            <v>SC60370</v>
          </cell>
          <cell r="P4691" t="str">
            <v>STC9D05C</v>
          </cell>
          <cell r="Q4691" t="str">
            <v>电机编码器</v>
          </cell>
        </row>
        <row r="4692">
          <cell r="O4692" t="str">
            <v>SC2448SO</v>
          </cell>
          <cell r="P4692" t="str">
            <v>STC9906S</v>
          </cell>
          <cell r="Q4692" t="str">
            <v>磁性位置传感器</v>
          </cell>
        </row>
        <row r="4693">
          <cell r="O4693" t="str">
            <v>SC2442SO</v>
          </cell>
          <cell r="P4693" t="str">
            <v>STC9906R</v>
          </cell>
          <cell r="Q4693" t="str">
            <v>磁性位置传感器</v>
          </cell>
        </row>
        <row r="4694">
          <cell r="O4694" t="str">
            <v>SC2442SO</v>
          </cell>
          <cell r="P4694" t="str">
            <v>STC9906R</v>
          </cell>
          <cell r="Q4694" t="str">
            <v>磁性位置传感器</v>
          </cell>
        </row>
        <row r="4695">
          <cell r="O4695" t="str">
            <v>SC69401-A</v>
          </cell>
          <cell r="P4695" t="str">
            <v>STC9H002DQ</v>
          </cell>
          <cell r="Q4695" t="str">
            <v>角度传感器</v>
          </cell>
        </row>
        <row r="4696">
          <cell r="O4696" t="str">
            <v>SC9642TS</v>
          </cell>
          <cell r="P4696" t="str">
            <v>STC9A001G</v>
          </cell>
          <cell r="Q4696" t="str">
            <v>速度传感器</v>
          </cell>
        </row>
        <row r="4697">
          <cell r="O4697" t="str">
            <v>SC9642TS</v>
          </cell>
          <cell r="P4697" t="str">
            <v>STC9A001G</v>
          </cell>
          <cell r="Q4697" t="str">
            <v>速度传感器</v>
          </cell>
        </row>
        <row r="4698">
          <cell r="O4698" t="str">
            <v>SC9642TS</v>
          </cell>
          <cell r="P4698" t="str">
            <v>STC9A001G</v>
          </cell>
          <cell r="Q4698" t="str">
            <v>速度传感器</v>
          </cell>
        </row>
        <row r="4699">
          <cell r="O4699" t="str">
            <v>SC9642TS</v>
          </cell>
          <cell r="P4699" t="str">
            <v>STC9A001G</v>
          </cell>
          <cell r="Q4699" t="str">
            <v>速度传感器</v>
          </cell>
        </row>
        <row r="4700">
          <cell r="O4700" t="str">
            <v>SC9642TS</v>
          </cell>
          <cell r="P4700" t="str">
            <v>STC9A001G</v>
          </cell>
          <cell r="Q4700" t="str">
            <v>速度传感器</v>
          </cell>
        </row>
        <row r="4701">
          <cell r="O4701" t="str">
            <v>SC4688DA</v>
          </cell>
          <cell r="P4701" t="str">
            <v>STC9D01C</v>
          </cell>
          <cell r="Q4701" t="str">
            <v>角度传感器</v>
          </cell>
        </row>
        <row r="4702">
          <cell r="O4702" t="str">
            <v>SC4688DC</v>
          </cell>
          <cell r="P4702" t="str">
            <v>STC9D01C</v>
          </cell>
          <cell r="Q4702" t="str">
            <v>角度传感器</v>
          </cell>
        </row>
        <row r="4703">
          <cell r="O4703" t="str">
            <v>SCN919</v>
          </cell>
          <cell r="P4703" t="str">
            <v>STC9909B</v>
          </cell>
          <cell r="Q4703" t="str">
            <v>磁性位置传感器</v>
          </cell>
        </row>
        <row r="4704">
          <cell r="O4704" t="str">
            <v>SD211VB</v>
          </cell>
          <cell r="P4704" t="str">
            <v>FD1016A</v>
          </cell>
          <cell r="Q4704" t="str">
            <v>电机驱动</v>
          </cell>
        </row>
        <row r="4705">
          <cell r="O4705" t="str">
            <v>SC9633VB</v>
          </cell>
          <cell r="P4705" t="str">
            <v>STC9905F</v>
          </cell>
          <cell r="Q4705" t="str">
            <v>速度传感器</v>
          </cell>
        </row>
        <row r="4706">
          <cell r="O4706" t="str">
            <v>SC9633VB</v>
          </cell>
          <cell r="P4706" t="str">
            <v>STC9905F</v>
          </cell>
          <cell r="Q4706" t="str">
            <v>速度传感器</v>
          </cell>
        </row>
        <row r="4707">
          <cell r="O4707" t="str">
            <v>SC9621VB</v>
          </cell>
          <cell r="P4707" t="str">
            <v>STC9910C</v>
          </cell>
          <cell r="Q4707" t="str">
            <v>速度传感器</v>
          </cell>
        </row>
        <row r="4708">
          <cell r="O4708" t="str">
            <v>SC9621VB</v>
          </cell>
          <cell r="P4708" t="str">
            <v>STC9910C</v>
          </cell>
          <cell r="Q4708" t="str">
            <v>速度传感器</v>
          </cell>
        </row>
        <row r="4709">
          <cell r="O4709" t="str">
            <v>SC9641TS-PC</v>
          </cell>
          <cell r="P4709" t="str">
            <v>STC9A001I</v>
          </cell>
          <cell r="Q4709" t="str">
            <v>速度传感器</v>
          </cell>
        </row>
        <row r="4710">
          <cell r="O4710" t="str">
            <v>SC9641TS-PC</v>
          </cell>
          <cell r="P4710" t="str">
            <v>STC9A001I</v>
          </cell>
          <cell r="Q4710" t="str">
            <v>速度传感器</v>
          </cell>
        </row>
        <row r="4711">
          <cell r="O4711" t="str">
            <v>SC9642TS-EC</v>
          </cell>
          <cell r="P4711" t="str">
            <v>STC9A001H</v>
          </cell>
          <cell r="Q4711" t="str">
            <v>速度传感器</v>
          </cell>
        </row>
        <row r="4712">
          <cell r="O4712" t="str">
            <v>49E</v>
          </cell>
          <cell r="P4712" t="str">
            <v>STC4011B</v>
          </cell>
          <cell r="Q4712" t="str">
            <v>磁性位置传感器</v>
          </cell>
        </row>
        <row r="4713">
          <cell r="O4713" t="str">
            <v>49E</v>
          </cell>
          <cell r="P4713" t="str">
            <v>STC4011B</v>
          </cell>
          <cell r="Q4713" t="str">
            <v>磁性位置传感器</v>
          </cell>
        </row>
        <row r="4714">
          <cell r="O4714" t="str">
            <v>G01</v>
          </cell>
          <cell r="P4714" t="str">
            <v>STC4011B</v>
          </cell>
          <cell r="Q4714" t="str">
            <v>磁性位置传感器</v>
          </cell>
        </row>
        <row r="4715">
          <cell r="O4715" t="str">
            <v>G01</v>
          </cell>
          <cell r="P4715" t="str">
            <v>STC4011B</v>
          </cell>
          <cell r="Q4715" t="str">
            <v>磁性位置传感器</v>
          </cell>
        </row>
        <row r="4716">
          <cell r="O4716" t="str">
            <v>G01</v>
          </cell>
          <cell r="P4716" t="str">
            <v>STC4011B</v>
          </cell>
          <cell r="Q4716" t="str">
            <v>磁性位置传感器</v>
          </cell>
        </row>
        <row r="4717">
          <cell r="O4717" t="str">
            <v>G01</v>
          </cell>
          <cell r="P4717" t="str">
            <v>STC4011B</v>
          </cell>
          <cell r="Q4717" t="str">
            <v>磁性位置传感器</v>
          </cell>
        </row>
        <row r="4718">
          <cell r="O4718" t="str">
            <v>G01</v>
          </cell>
          <cell r="P4718" t="str">
            <v>STC4011B</v>
          </cell>
          <cell r="Q4718" t="str">
            <v>磁性位置传感器</v>
          </cell>
        </row>
        <row r="4719">
          <cell r="O4719" t="str">
            <v>G01</v>
          </cell>
          <cell r="P4719" t="str">
            <v>STC4011B</v>
          </cell>
          <cell r="Q4719" t="str">
            <v>磁性位置传感器</v>
          </cell>
        </row>
        <row r="4720">
          <cell r="O4720" t="str">
            <v>G01</v>
          </cell>
          <cell r="P4720" t="str">
            <v>STC4011B</v>
          </cell>
          <cell r="Q4720" t="str">
            <v>磁性位置传感器</v>
          </cell>
        </row>
        <row r="4721">
          <cell r="O4721" t="str">
            <v>VE1430Q1VA3RADJ</v>
          </cell>
          <cell r="P4721" t="str">
            <v>V2201E</v>
          </cell>
          <cell r="Q4721" t="str">
            <v>电源管理</v>
          </cell>
        </row>
        <row r="4722">
          <cell r="O4722" t="str">
            <v>SC9641TS-P</v>
          </cell>
          <cell r="P4722" t="str">
            <v>STC9A001I</v>
          </cell>
          <cell r="Q4722" t="str">
            <v>速度传感器</v>
          </cell>
        </row>
        <row r="4723">
          <cell r="O4723" t="str">
            <v>SC9641TS-P</v>
          </cell>
          <cell r="P4723" t="str">
            <v>STC9A001I</v>
          </cell>
          <cell r="Q4723" t="str">
            <v>速度传感器</v>
          </cell>
        </row>
        <row r="4724">
          <cell r="O4724" t="str">
            <v>SC9641TS-P</v>
          </cell>
          <cell r="P4724" t="str">
            <v>STC9A001I</v>
          </cell>
          <cell r="Q4724" t="str">
            <v>速度传感器</v>
          </cell>
        </row>
        <row r="4725">
          <cell r="O4725" t="str">
            <v>SC9621VB</v>
          </cell>
          <cell r="P4725" t="str">
            <v>STC9910C</v>
          </cell>
          <cell r="Q4725" t="str">
            <v>速度传感器</v>
          </cell>
        </row>
        <row r="4726">
          <cell r="O4726" t="str">
            <v>SC9648TS-P</v>
          </cell>
          <cell r="P4726" t="str">
            <v>STC9A001I</v>
          </cell>
          <cell r="Q4726" t="str">
            <v>速度传感器</v>
          </cell>
        </row>
        <row r="4727">
          <cell r="O4727" t="str">
            <v>SC9648TS-P</v>
          </cell>
          <cell r="P4727" t="str">
            <v>STC9A001I</v>
          </cell>
          <cell r="Q4727" t="str">
            <v>速度传感器</v>
          </cell>
        </row>
        <row r="4728">
          <cell r="O4728" t="str">
            <v>SC9648TS-P</v>
          </cell>
          <cell r="P4728" t="str">
            <v>STC9A001I</v>
          </cell>
          <cell r="Q4728" t="str">
            <v>速度传感器</v>
          </cell>
        </row>
        <row r="4729">
          <cell r="O4729" t="str">
            <v>SC9648TS-P</v>
          </cell>
          <cell r="P4729" t="str">
            <v>STC9A001I</v>
          </cell>
          <cell r="Q4729" t="str">
            <v>速度传感器</v>
          </cell>
        </row>
        <row r="4730">
          <cell r="O4730" t="str">
            <v>SC9648TS-P</v>
          </cell>
          <cell r="P4730" t="str">
            <v>STC9A001I</v>
          </cell>
          <cell r="Q4730" t="str">
            <v>速度传感器</v>
          </cell>
        </row>
        <row r="4731">
          <cell r="O4731" t="str">
            <v>SC9648TS-P</v>
          </cell>
          <cell r="P4731" t="str">
            <v>STC9A001I</v>
          </cell>
          <cell r="Q4731" t="str">
            <v>速度传感器</v>
          </cell>
        </row>
        <row r="4732">
          <cell r="O4732" t="str">
            <v>SC9642TS-EC</v>
          </cell>
          <cell r="P4732" t="str">
            <v>STC9A001H</v>
          </cell>
          <cell r="Q4732" t="str">
            <v>速度传感器</v>
          </cell>
        </row>
        <row r="4733">
          <cell r="O4733" t="str">
            <v>SC9642TS-EC</v>
          </cell>
          <cell r="P4733" t="str">
            <v>STC9A001H</v>
          </cell>
          <cell r="Q4733" t="str">
            <v>速度传感器</v>
          </cell>
        </row>
        <row r="4734">
          <cell r="O4734" t="str">
            <v>SC9642TS-EC</v>
          </cell>
          <cell r="P4734" t="str">
            <v>STC9A001H</v>
          </cell>
          <cell r="Q4734" t="str">
            <v>速度传感器</v>
          </cell>
        </row>
        <row r="4735">
          <cell r="O4735" t="str">
            <v>SC9641TS-PC</v>
          </cell>
          <cell r="P4735" t="str">
            <v>STC9A001I</v>
          </cell>
          <cell r="Q4735" t="str">
            <v>速度传感器</v>
          </cell>
        </row>
        <row r="4736">
          <cell r="O4736" t="str">
            <v>SC2442UA</v>
          </cell>
          <cell r="P4736" t="str">
            <v>STC9906P</v>
          </cell>
          <cell r="Q4736" t="str">
            <v>磁性位置传感器</v>
          </cell>
        </row>
        <row r="4737">
          <cell r="O4737" t="str">
            <v>SC2442UA</v>
          </cell>
          <cell r="P4737" t="str">
            <v>STC9906P</v>
          </cell>
          <cell r="Q4737" t="str">
            <v>磁性位置传感器</v>
          </cell>
        </row>
        <row r="4738">
          <cell r="O4738" t="str">
            <v>SC2442UA</v>
          </cell>
          <cell r="P4738" t="str">
            <v>STC9906P</v>
          </cell>
          <cell r="Q4738" t="str">
            <v>磁性位置传感器</v>
          </cell>
        </row>
        <row r="4739">
          <cell r="O4739" t="str">
            <v>SC2498UA-N</v>
          </cell>
          <cell r="P4739" t="str">
            <v>SC9915C</v>
          </cell>
          <cell r="Q4739" t="str">
            <v>磁性位置传感器</v>
          </cell>
        </row>
        <row r="4740">
          <cell r="O4740" t="str">
            <v>SC2448UA-N</v>
          </cell>
          <cell r="P4740" t="str">
            <v>STC9906S</v>
          </cell>
          <cell r="Q4740" t="str">
            <v>磁性位置传感器</v>
          </cell>
        </row>
        <row r="4741">
          <cell r="O4741" t="str">
            <v>SC2448UA-N</v>
          </cell>
          <cell r="P4741" t="str">
            <v>STC9906S</v>
          </cell>
          <cell r="Q4741" t="str">
            <v>磁性位置传感器</v>
          </cell>
        </row>
        <row r="4742">
          <cell r="O4742" t="str">
            <v>SC2448UA-N</v>
          </cell>
          <cell r="P4742" t="str">
            <v>STC9906S</v>
          </cell>
          <cell r="Q4742" t="str">
            <v>磁性位置传感器</v>
          </cell>
        </row>
        <row r="4743">
          <cell r="O4743" t="str">
            <v>SC4643VB</v>
          </cell>
          <cell r="P4743" t="str">
            <v>STC9D03E</v>
          </cell>
          <cell r="Q4743" t="str">
            <v>电流传感器</v>
          </cell>
        </row>
        <row r="4744">
          <cell r="O4744" t="str">
            <v>SC4643VB</v>
          </cell>
          <cell r="P4744" t="str">
            <v>STC9D03E</v>
          </cell>
          <cell r="Q4744" t="str">
            <v>电流传感器</v>
          </cell>
        </row>
        <row r="4745">
          <cell r="O4745" t="str">
            <v>SC9641TS-P</v>
          </cell>
          <cell r="P4745" t="str">
            <v>STC9A001I</v>
          </cell>
          <cell r="Q4745" t="str">
            <v>速度传感器</v>
          </cell>
        </row>
        <row r="4746">
          <cell r="O4746" t="str">
            <v>SC4695DC</v>
          </cell>
          <cell r="P4746" t="str">
            <v>STC9D01C</v>
          </cell>
          <cell r="Q4746" t="str">
            <v>角度传感器</v>
          </cell>
        </row>
        <row r="4747">
          <cell r="O4747" t="str">
            <v>SC4695DC</v>
          </cell>
          <cell r="P4747" t="str">
            <v>STC9D01C</v>
          </cell>
          <cell r="Q4747" t="str">
            <v>角度传感器</v>
          </cell>
        </row>
        <row r="4748">
          <cell r="O4748" t="str">
            <v>SC4695DC</v>
          </cell>
          <cell r="P4748" t="str">
            <v>STC9D01C</v>
          </cell>
          <cell r="Q4748" t="str">
            <v>角度传感器</v>
          </cell>
        </row>
        <row r="4749">
          <cell r="O4749" t="str">
            <v>SC4695DC</v>
          </cell>
          <cell r="P4749" t="str">
            <v>STC9D01C</v>
          </cell>
          <cell r="Q4749" t="str">
            <v>角度传感器</v>
          </cell>
        </row>
        <row r="4750">
          <cell r="O4750" t="str">
            <v>SC4695DC</v>
          </cell>
          <cell r="P4750" t="str">
            <v>STC9D01C</v>
          </cell>
          <cell r="Q4750" t="str">
            <v>角度传感器</v>
          </cell>
        </row>
        <row r="4751">
          <cell r="O4751" t="str">
            <v>SC4695DC</v>
          </cell>
          <cell r="P4751" t="str">
            <v>STC9D01C</v>
          </cell>
          <cell r="Q4751" t="str">
            <v>角度传感器</v>
          </cell>
        </row>
        <row r="4752">
          <cell r="O4752" t="str">
            <v>SC4695DC</v>
          </cell>
          <cell r="P4752" t="str">
            <v>STC9D01C</v>
          </cell>
          <cell r="Q4752" t="str">
            <v>角度传感器</v>
          </cell>
        </row>
        <row r="4753">
          <cell r="O4753" t="str">
            <v>SC4695DC</v>
          </cell>
          <cell r="P4753" t="str">
            <v>STC9D01C</v>
          </cell>
          <cell r="Q4753" t="str">
            <v>角度传感器</v>
          </cell>
        </row>
        <row r="4754">
          <cell r="O4754" t="str">
            <v>STC4011B</v>
          </cell>
          <cell r="P4754" t="str">
            <v>STC4011B</v>
          </cell>
          <cell r="Q4754" t="str">
            <v>磁性位置传感器</v>
          </cell>
        </row>
        <row r="4755">
          <cell r="O4755" t="str">
            <v>STC4011B</v>
          </cell>
          <cell r="P4755" t="str">
            <v>STC4011B</v>
          </cell>
          <cell r="Q4755" t="str">
            <v>磁性位置传感器</v>
          </cell>
        </row>
        <row r="4756">
          <cell r="O4756" t="str">
            <v>STC4011B</v>
          </cell>
          <cell r="P4756" t="str">
            <v>STC4011B</v>
          </cell>
          <cell r="Q4756" t="str">
            <v>磁性位置传感器</v>
          </cell>
        </row>
        <row r="4757">
          <cell r="O4757" t="str">
            <v>STC4011B</v>
          </cell>
          <cell r="P4757" t="str">
            <v>STC4011B</v>
          </cell>
          <cell r="Q4757" t="str">
            <v>磁性位置传感器</v>
          </cell>
        </row>
        <row r="4758">
          <cell r="O4758" t="str">
            <v>STC4011B</v>
          </cell>
          <cell r="P4758" t="str">
            <v>STC4011B</v>
          </cell>
          <cell r="Q4758" t="str">
            <v>磁性位置传感器</v>
          </cell>
        </row>
        <row r="4759">
          <cell r="O4759" t="str">
            <v>SC9641TS-PC</v>
          </cell>
          <cell r="P4759" t="str">
            <v>STC9A001I</v>
          </cell>
          <cell r="Q4759" t="str">
            <v>速度传感器</v>
          </cell>
        </row>
        <row r="4760">
          <cell r="O4760" t="str">
            <v>SC2430UA</v>
          </cell>
          <cell r="P4760" t="str">
            <v>STC9906I</v>
          </cell>
          <cell r="Q4760" t="str">
            <v>磁性位置传感器</v>
          </cell>
        </row>
        <row r="4761">
          <cell r="O4761" t="str">
            <v>SC2430UA</v>
          </cell>
          <cell r="P4761" t="str">
            <v>STC9906I</v>
          </cell>
          <cell r="Q4761" t="str">
            <v>磁性位置传感器</v>
          </cell>
        </row>
        <row r="4762">
          <cell r="O4762" t="str">
            <v>SC2430UA</v>
          </cell>
          <cell r="P4762" t="str">
            <v>STC9906I</v>
          </cell>
          <cell r="Q4762" t="str">
            <v>磁性位置传感器</v>
          </cell>
        </row>
        <row r="4763">
          <cell r="O4763" t="str">
            <v>SC9675IM-P-LRF01</v>
          </cell>
          <cell r="P4763" t="str">
            <v>STC9A002B</v>
          </cell>
          <cell r="Q4763" t="str">
            <v>速度传感器</v>
          </cell>
        </row>
        <row r="4764">
          <cell r="O4764" t="str">
            <v>SC9648TS-P</v>
          </cell>
          <cell r="P4764" t="str">
            <v>STC9A001I</v>
          </cell>
          <cell r="Q4764" t="str">
            <v>速度传感器</v>
          </cell>
        </row>
        <row r="4765">
          <cell r="O4765" t="str">
            <v>SC9648TS-P</v>
          </cell>
          <cell r="P4765" t="str">
            <v>STC9A001I</v>
          </cell>
          <cell r="Q4765" t="str">
            <v>速度传感器</v>
          </cell>
        </row>
        <row r="4766">
          <cell r="O4766" t="str">
            <v>SC9642TS</v>
          </cell>
          <cell r="P4766" t="str">
            <v>STC9A001G</v>
          </cell>
          <cell r="Q4766" t="str">
            <v>速度传感器</v>
          </cell>
        </row>
        <row r="4767">
          <cell r="O4767" t="str">
            <v>SC9642TS</v>
          </cell>
          <cell r="P4767" t="str">
            <v>STC9A001G</v>
          </cell>
          <cell r="Q4767" t="str">
            <v>速度传感器</v>
          </cell>
        </row>
        <row r="4768">
          <cell r="O4768" t="str">
            <v>SC9642TS</v>
          </cell>
          <cell r="P4768" t="str">
            <v>STC9A001G</v>
          </cell>
          <cell r="Q4768" t="str">
            <v>速度传感器</v>
          </cell>
        </row>
        <row r="4769">
          <cell r="O4769" t="str">
            <v>SC4688编程板</v>
          </cell>
          <cell r="P4769" t="str">
            <v xml:space="preserve"> </v>
          </cell>
          <cell r="Q4769" t="str">
            <v>角度传感器</v>
          </cell>
        </row>
        <row r="4770">
          <cell r="O4770" t="str">
            <v>SC60224-U-P4-1024</v>
          </cell>
          <cell r="P4770" t="str">
            <v>STC9D04C</v>
          </cell>
          <cell r="Q4770" t="str">
            <v>电机编码器</v>
          </cell>
        </row>
        <row r="4771">
          <cell r="O4771" t="str">
            <v>SC60224-U-P1-1024</v>
          </cell>
          <cell r="P4771" t="str">
            <v>STC9D04C</v>
          </cell>
          <cell r="Q4771" t="str">
            <v>电机编码器</v>
          </cell>
        </row>
        <row r="4772">
          <cell r="O4772" t="str">
            <v>SC60224-U-P1-1024</v>
          </cell>
          <cell r="P4772" t="str">
            <v>STC9D04C</v>
          </cell>
          <cell r="Q4772" t="str">
            <v>电机编码器</v>
          </cell>
        </row>
        <row r="4773">
          <cell r="O4773" t="str">
            <v>SC60224-U-P4-1024</v>
          </cell>
          <cell r="P4773" t="str">
            <v>STC9D04C</v>
          </cell>
          <cell r="Q4773" t="str">
            <v>电机编码器</v>
          </cell>
        </row>
        <row r="4774">
          <cell r="O4774" t="str">
            <v>SC60224-U-P4-1024</v>
          </cell>
          <cell r="P4774" t="str">
            <v>STC9D04C</v>
          </cell>
          <cell r="Q4774" t="str">
            <v>电机编码器</v>
          </cell>
        </row>
        <row r="4775">
          <cell r="O4775" t="str">
            <v>SC60224-U-P1-1024</v>
          </cell>
          <cell r="P4775" t="str">
            <v>STC9D04C</v>
          </cell>
          <cell r="Q4775" t="str">
            <v>电机编码器</v>
          </cell>
        </row>
        <row r="4776">
          <cell r="O4776" t="str">
            <v>SCN919</v>
          </cell>
          <cell r="P4776" t="str">
            <v>STC9909B</v>
          </cell>
          <cell r="Q4776" t="str">
            <v>磁性位置传感器</v>
          </cell>
        </row>
        <row r="4777">
          <cell r="O4777" t="str">
            <v>G01</v>
          </cell>
          <cell r="P4777" t="str">
            <v>STC4011B</v>
          </cell>
          <cell r="Q4777" t="str">
            <v>磁性位置传感器</v>
          </cell>
        </row>
        <row r="4778">
          <cell r="O4778" t="str">
            <v>G01</v>
          </cell>
          <cell r="P4778" t="str">
            <v>STC4011B</v>
          </cell>
          <cell r="Q4778" t="str">
            <v>磁性位置传感器</v>
          </cell>
        </row>
        <row r="4779">
          <cell r="O4779" t="str">
            <v>G01</v>
          </cell>
          <cell r="P4779" t="str">
            <v>STC4011B</v>
          </cell>
          <cell r="Q4779" t="str">
            <v>磁性位置传感器</v>
          </cell>
        </row>
        <row r="4780">
          <cell r="O4780" t="str">
            <v>G01</v>
          </cell>
          <cell r="P4780" t="str">
            <v>STC4011B</v>
          </cell>
          <cell r="Q4780" t="str">
            <v>磁性位置传感器</v>
          </cell>
        </row>
        <row r="4781">
          <cell r="O4781" t="str">
            <v>49E</v>
          </cell>
          <cell r="P4781" t="str">
            <v>STC4011B</v>
          </cell>
          <cell r="Q4781" t="str">
            <v>磁性位置传感器</v>
          </cell>
        </row>
        <row r="4782">
          <cell r="O4782" t="str">
            <v>49E</v>
          </cell>
          <cell r="P4782" t="str">
            <v>STC4011B</v>
          </cell>
          <cell r="Q4782" t="str">
            <v>磁性位置传感器</v>
          </cell>
        </row>
        <row r="4783">
          <cell r="O4783" t="str">
            <v>49E</v>
          </cell>
          <cell r="P4783" t="str">
            <v>STC4011B</v>
          </cell>
          <cell r="Q4783" t="str">
            <v>磁性位置传感器</v>
          </cell>
        </row>
        <row r="4784">
          <cell r="O4784" t="str">
            <v>G01</v>
          </cell>
          <cell r="P4784" t="str">
            <v>STC4011B</v>
          </cell>
          <cell r="Q4784" t="str">
            <v>磁性位置传感器</v>
          </cell>
        </row>
        <row r="4785">
          <cell r="O4785" t="str">
            <v>G01</v>
          </cell>
          <cell r="P4785" t="str">
            <v>STC4011B</v>
          </cell>
          <cell r="Q4785" t="str">
            <v>磁性位置传感器</v>
          </cell>
        </row>
        <row r="4786">
          <cell r="O4786" t="str">
            <v>SC2402SO-N-H</v>
          </cell>
          <cell r="P4786" t="str">
            <v>STC9H001A</v>
          </cell>
          <cell r="Q4786" t="str">
            <v>磁性位置传感器</v>
          </cell>
        </row>
        <row r="4787">
          <cell r="O4787" t="str">
            <v>SC2402SO-N-H</v>
          </cell>
          <cell r="P4787" t="str">
            <v>STC9H001A</v>
          </cell>
          <cell r="Q4787" t="str">
            <v>磁性位置传感器</v>
          </cell>
        </row>
        <row r="4788">
          <cell r="O4788" t="str">
            <v>SC2448SO</v>
          </cell>
          <cell r="P4788" t="str">
            <v>STC9906S</v>
          </cell>
          <cell r="Q4788" t="str">
            <v>磁性位置传感器</v>
          </cell>
        </row>
        <row r="4789">
          <cell r="O4789" t="str">
            <v>SC2448SO</v>
          </cell>
          <cell r="P4789" t="str">
            <v>STC9906S</v>
          </cell>
          <cell r="Q4789" t="str">
            <v>磁性位置传感器</v>
          </cell>
        </row>
        <row r="4790">
          <cell r="O4790" t="str">
            <v>SC2442SO-N</v>
          </cell>
          <cell r="P4790" t="str">
            <v>STC11102B</v>
          </cell>
          <cell r="Q4790" t="str">
            <v>磁性位置传感器</v>
          </cell>
        </row>
        <row r="4791">
          <cell r="O4791" t="str">
            <v>SD2276</v>
          </cell>
          <cell r="P4791" t="str">
            <v>FD1014A</v>
          </cell>
          <cell r="Q4791" t="str">
            <v>电机驱动</v>
          </cell>
        </row>
        <row r="4792">
          <cell r="O4792" t="str">
            <v>SD2276</v>
          </cell>
          <cell r="P4792" t="str">
            <v>FD1014A</v>
          </cell>
          <cell r="Q4792" t="str">
            <v>电机驱动</v>
          </cell>
        </row>
        <row r="4793">
          <cell r="O4793" t="str">
            <v>SD2276</v>
          </cell>
          <cell r="P4793" t="str">
            <v>FD1014A</v>
          </cell>
          <cell r="Q4793" t="str">
            <v>电机驱动</v>
          </cell>
        </row>
        <row r="4794">
          <cell r="O4794" t="str">
            <v>SD2276</v>
          </cell>
          <cell r="P4794" t="str">
            <v>FD1014A</v>
          </cell>
          <cell r="Q4794" t="str">
            <v>电机驱动</v>
          </cell>
        </row>
        <row r="4795">
          <cell r="O4795" t="str">
            <v>SC1134UA</v>
          </cell>
          <cell r="P4795" t="str">
            <v>STC1898AI</v>
          </cell>
          <cell r="Q4795" t="str">
            <v>磁性位置传感器</v>
          </cell>
        </row>
        <row r="4796">
          <cell r="O4796" t="str">
            <v>SC2442SO</v>
          </cell>
          <cell r="P4796" t="str">
            <v>STC9906R</v>
          </cell>
          <cell r="Q4796" t="str">
            <v>磁性位置传感器</v>
          </cell>
        </row>
        <row r="4797">
          <cell r="O4797" t="str">
            <v>SC1245UA</v>
          </cell>
          <cell r="P4797" t="str">
            <v>STC1898AD</v>
          </cell>
          <cell r="Q4797" t="str">
            <v>磁性位置传感器</v>
          </cell>
        </row>
        <row r="4798">
          <cell r="O4798" t="str">
            <v>SC1245UA</v>
          </cell>
          <cell r="P4798" t="str">
            <v>STC1898AD</v>
          </cell>
          <cell r="Q4798" t="str">
            <v>磁性位置传感器</v>
          </cell>
        </row>
        <row r="4799">
          <cell r="O4799" t="str">
            <v>SC9632VB</v>
          </cell>
          <cell r="P4799" t="str">
            <v>STC9905E</v>
          </cell>
          <cell r="Q4799" t="str">
            <v>速度传感器</v>
          </cell>
        </row>
        <row r="4800">
          <cell r="O4800" t="str">
            <v>SC9632VB</v>
          </cell>
          <cell r="P4800" t="str">
            <v>STC9905E</v>
          </cell>
          <cell r="Q4800" t="str">
            <v>速度传感器</v>
          </cell>
        </row>
        <row r="4801">
          <cell r="O4801" t="str">
            <v>SC9632VB</v>
          </cell>
          <cell r="P4801" t="str">
            <v>STC9905E</v>
          </cell>
          <cell r="Q4801" t="str">
            <v>速度传感器</v>
          </cell>
        </row>
        <row r="4802">
          <cell r="O4802" t="str">
            <v>SC2402SO-N-G</v>
          </cell>
          <cell r="P4802" t="str">
            <v>STC9G002A</v>
          </cell>
          <cell r="Q4802" t="str">
            <v>磁性位置传感器</v>
          </cell>
        </row>
        <row r="4803">
          <cell r="O4803" t="str">
            <v>SC2402SO-N-G</v>
          </cell>
          <cell r="P4803" t="str">
            <v>STC9G002A</v>
          </cell>
          <cell r="Q4803" t="str">
            <v>磁性位置传感器</v>
          </cell>
        </row>
        <row r="4804">
          <cell r="O4804" t="str">
            <v>G01</v>
          </cell>
          <cell r="P4804" t="str">
            <v>STC4011B</v>
          </cell>
          <cell r="Q4804" t="str">
            <v>磁性位置传感器</v>
          </cell>
        </row>
        <row r="4805">
          <cell r="O4805" t="str">
            <v>G01</v>
          </cell>
          <cell r="P4805" t="str">
            <v>STC4011B</v>
          </cell>
          <cell r="Q4805" t="str">
            <v>磁性位置传感器</v>
          </cell>
        </row>
        <row r="4806">
          <cell r="O4806" t="str">
            <v>49E</v>
          </cell>
          <cell r="P4806" t="str">
            <v>STC4011B</v>
          </cell>
          <cell r="Q4806" t="str">
            <v>磁性位置传感器</v>
          </cell>
        </row>
        <row r="4807">
          <cell r="O4807" t="str">
            <v>49E</v>
          </cell>
          <cell r="P4807" t="str">
            <v>STC4011B</v>
          </cell>
          <cell r="Q4807" t="str">
            <v>磁性位置传感器</v>
          </cell>
        </row>
        <row r="4808">
          <cell r="O4808" t="str">
            <v>G01</v>
          </cell>
          <cell r="P4808" t="str">
            <v>STC4011B</v>
          </cell>
          <cell r="Q4808" t="str">
            <v>磁性位置传感器</v>
          </cell>
        </row>
        <row r="4809">
          <cell r="O4809" t="str">
            <v>G01</v>
          </cell>
          <cell r="P4809" t="str">
            <v>STC4011B</v>
          </cell>
          <cell r="Q4809" t="str">
            <v>磁性位置传感器</v>
          </cell>
        </row>
        <row r="4810">
          <cell r="O4810" t="str">
            <v>G01</v>
          </cell>
          <cell r="P4810" t="str">
            <v>STC4011B</v>
          </cell>
          <cell r="Q4810" t="str">
            <v>磁性位置传感器</v>
          </cell>
        </row>
        <row r="4811">
          <cell r="O4811" t="str">
            <v>G01</v>
          </cell>
          <cell r="P4811" t="str">
            <v>STC4011B</v>
          </cell>
          <cell r="Q4811" t="str">
            <v>磁性位置传感器</v>
          </cell>
        </row>
        <row r="4812">
          <cell r="O4812" t="str">
            <v>SC2242UA</v>
          </cell>
          <cell r="P4812" t="str">
            <v>STC9906H</v>
          </cell>
          <cell r="Q4812" t="str">
            <v>磁性位置传感器</v>
          </cell>
        </row>
        <row r="4813">
          <cell r="O4813" t="str">
            <v>SC2442SO-N</v>
          </cell>
          <cell r="P4813" t="str">
            <v>STC9906P</v>
          </cell>
          <cell r="Q4813" t="str">
            <v>磁性位置传感器</v>
          </cell>
        </row>
        <row r="4814">
          <cell r="O4814" t="str">
            <v>SC2442SO-N</v>
          </cell>
          <cell r="P4814" t="str">
            <v>STC9906P</v>
          </cell>
          <cell r="Q4814" t="str">
            <v>磁性位置传感器</v>
          </cell>
        </row>
        <row r="4815">
          <cell r="O4815" t="str">
            <v>SC4688SA</v>
          </cell>
          <cell r="P4815" t="str">
            <v>STC9D01C</v>
          </cell>
          <cell r="Q4815" t="str">
            <v>角度传感器</v>
          </cell>
        </row>
        <row r="4816">
          <cell r="O4816" t="str">
            <v>SC1445A1</v>
          </cell>
          <cell r="P4816" t="str">
            <v>STC2899AB</v>
          </cell>
          <cell r="Q4816" t="str">
            <v>磁性位置传感器</v>
          </cell>
        </row>
        <row r="4817">
          <cell r="O4817" t="str">
            <v>SC9641TS-P</v>
          </cell>
          <cell r="P4817" t="str">
            <v>STC9A001I</v>
          </cell>
          <cell r="Q4817" t="str">
            <v>速度传感器</v>
          </cell>
        </row>
        <row r="4818">
          <cell r="O4818" t="str">
            <v>SC2442SO</v>
          </cell>
          <cell r="P4818" t="str">
            <v>STC9906R</v>
          </cell>
          <cell r="Q4818" t="str">
            <v>磁性位置传感器</v>
          </cell>
        </row>
        <row r="4819">
          <cell r="O4819" t="str">
            <v>SC2442SO</v>
          </cell>
          <cell r="P4819" t="str">
            <v>STC9906R</v>
          </cell>
          <cell r="Q4819" t="str">
            <v>磁性位置传感器</v>
          </cell>
        </row>
        <row r="4820">
          <cell r="O4820" t="str">
            <v>SC2443SO</v>
          </cell>
          <cell r="P4820" t="str">
            <v>STC9906T</v>
          </cell>
          <cell r="Q4820" t="str">
            <v>磁性位置传感器</v>
          </cell>
        </row>
        <row r="4821">
          <cell r="O4821" t="str">
            <v>SC2443SO</v>
          </cell>
          <cell r="P4821" t="str">
            <v>STC9906T</v>
          </cell>
          <cell r="Q4821" t="str">
            <v>磁性位置传感器</v>
          </cell>
        </row>
        <row r="4822">
          <cell r="O4822" t="str">
            <v>SC2443SO</v>
          </cell>
          <cell r="P4822" t="str">
            <v>STC9906T</v>
          </cell>
          <cell r="Q4822" t="str">
            <v>磁性位置传感器</v>
          </cell>
        </row>
        <row r="4823">
          <cell r="O4823" t="str">
            <v>SC2443UA</v>
          </cell>
          <cell r="P4823" t="str">
            <v>STC9906W</v>
          </cell>
          <cell r="Q4823" t="str">
            <v>磁性位置传感器</v>
          </cell>
        </row>
        <row r="4824">
          <cell r="O4824" t="str">
            <v>SC2443UA</v>
          </cell>
          <cell r="P4824" t="str">
            <v>STC9906W</v>
          </cell>
          <cell r="Q4824" t="str">
            <v>磁性位置传感器</v>
          </cell>
        </row>
        <row r="4825">
          <cell r="O4825" t="str">
            <v>SC2443UA</v>
          </cell>
          <cell r="P4825" t="str">
            <v>STC9906W</v>
          </cell>
          <cell r="Q4825" t="str">
            <v>磁性位置传感器</v>
          </cell>
        </row>
        <row r="4826">
          <cell r="O4826" t="str">
            <v>SC2443UA</v>
          </cell>
          <cell r="P4826" t="str">
            <v>STC9906W</v>
          </cell>
          <cell r="Q4826" t="str">
            <v>磁性位置传感器</v>
          </cell>
        </row>
        <row r="4827">
          <cell r="O4827" t="str">
            <v>SC2443UA</v>
          </cell>
          <cell r="P4827" t="str">
            <v>STC9906W</v>
          </cell>
          <cell r="Q4827" t="str">
            <v>磁性位置传感器</v>
          </cell>
        </row>
        <row r="4828">
          <cell r="O4828" t="str">
            <v>SC2443UA</v>
          </cell>
          <cell r="P4828" t="str">
            <v>STC9906W</v>
          </cell>
          <cell r="Q4828" t="str">
            <v>磁性位置传感器</v>
          </cell>
        </row>
        <row r="4829">
          <cell r="O4829" t="str">
            <v>SC2443UA</v>
          </cell>
          <cell r="P4829" t="str">
            <v>STC9906W</v>
          </cell>
          <cell r="Q4829" t="str">
            <v>磁性位置传感器</v>
          </cell>
        </row>
        <row r="4830">
          <cell r="O4830" t="str">
            <v>SC2464SO</v>
          </cell>
          <cell r="P4830" t="str">
            <v>STC9906J</v>
          </cell>
          <cell r="Q4830" t="str">
            <v>磁性位置传感器</v>
          </cell>
        </row>
        <row r="4831">
          <cell r="O4831" t="str">
            <v>SC2464SO</v>
          </cell>
          <cell r="P4831" t="str">
            <v>STC9906J</v>
          </cell>
          <cell r="Q4831" t="str">
            <v>磁性位置传感器</v>
          </cell>
        </row>
        <row r="4832">
          <cell r="O4832" t="str">
            <v>SC2464SO</v>
          </cell>
          <cell r="P4832" t="str">
            <v>STC9906J</v>
          </cell>
          <cell r="Q4832" t="str">
            <v>磁性位置传感器</v>
          </cell>
        </row>
        <row r="4833">
          <cell r="O4833" t="str">
            <v>SC2442SO</v>
          </cell>
          <cell r="P4833" t="str">
            <v>STC9906R</v>
          </cell>
          <cell r="Q4833" t="str">
            <v>磁性位置传感器</v>
          </cell>
        </row>
        <row r="4834">
          <cell r="O4834" t="str">
            <v>SC2442SO</v>
          </cell>
          <cell r="P4834" t="str">
            <v>STC9906R</v>
          </cell>
          <cell r="Q4834" t="str">
            <v>磁性位置传感器</v>
          </cell>
        </row>
        <row r="4835">
          <cell r="O4835" t="str">
            <v>SC9641TS-P</v>
          </cell>
          <cell r="P4835" t="str">
            <v>STC9A001I</v>
          </cell>
          <cell r="Q4835" t="str">
            <v>速度传感器</v>
          </cell>
        </row>
        <row r="4836">
          <cell r="O4836" t="str">
            <v>SC9641TS-P</v>
          </cell>
          <cell r="P4836" t="str">
            <v>STC9A001I</v>
          </cell>
          <cell r="Q4836" t="str">
            <v>速度传感器</v>
          </cell>
        </row>
        <row r="4837">
          <cell r="O4837" t="str">
            <v>SC9641TS-PC</v>
          </cell>
          <cell r="P4837" t="str">
            <v>STC9A001I</v>
          </cell>
          <cell r="Q4837" t="str">
            <v>速度传感器</v>
          </cell>
        </row>
        <row r="4838">
          <cell r="O4838" t="str">
            <v>SC2242UA</v>
          </cell>
          <cell r="P4838" t="str">
            <v>STC9906H</v>
          </cell>
          <cell r="Q4838" t="str">
            <v>磁性位置传感器</v>
          </cell>
        </row>
        <row r="4839">
          <cell r="O4839" t="str">
            <v>SC2642SO</v>
          </cell>
          <cell r="P4839" t="str">
            <v>STC9906H</v>
          </cell>
          <cell r="Q4839" t="str">
            <v>磁性位置传感器</v>
          </cell>
        </row>
        <row r="4840">
          <cell r="O4840" t="str">
            <v>SC2642SO</v>
          </cell>
          <cell r="P4840" t="str">
            <v>STC9906H</v>
          </cell>
          <cell r="Q4840" t="str">
            <v>磁性位置传感器</v>
          </cell>
        </row>
        <row r="4841">
          <cell r="O4841" t="str">
            <v>SC2642SO</v>
          </cell>
          <cell r="P4841" t="str">
            <v>STC9906H</v>
          </cell>
          <cell r="Q4841" t="str">
            <v>磁性位置传感器</v>
          </cell>
        </row>
        <row r="4842">
          <cell r="O4842" t="str">
            <v>SC2642SO</v>
          </cell>
          <cell r="P4842" t="str">
            <v>STC9906H</v>
          </cell>
          <cell r="Q4842" t="str">
            <v>磁性位置传感器</v>
          </cell>
        </row>
        <row r="4843">
          <cell r="O4843" t="str">
            <v>SC9675IM-P-LRF01</v>
          </cell>
          <cell r="P4843" t="str">
            <v>STC9A002B</v>
          </cell>
          <cell r="Q4843" t="str">
            <v>速度传感器</v>
          </cell>
        </row>
        <row r="4844">
          <cell r="O4844" t="str">
            <v>SC9675IM-P-LRF01</v>
          </cell>
          <cell r="P4844" t="str">
            <v>STC9A002B</v>
          </cell>
          <cell r="Q4844" t="str">
            <v>速度传感器</v>
          </cell>
        </row>
        <row r="4845">
          <cell r="O4845" t="str">
            <v>SC9641TS-PC</v>
          </cell>
          <cell r="P4845" t="str">
            <v>STC9A001I</v>
          </cell>
          <cell r="Q4845" t="str">
            <v>速度传感器</v>
          </cell>
        </row>
        <row r="4846">
          <cell r="O4846" t="str">
            <v>SC9641TS-PC</v>
          </cell>
          <cell r="P4846" t="str">
            <v>STC9A001I</v>
          </cell>
          <cell r="Q4846" t="str">
            <v>速度传感器</v>
          </cell>
        </row>
        <row r="4847">
          <cell r="O4847" t="str">
            <v>SC9642TS</v>
          </cell>
          <cell r="P4847" t="str">
            <v>STC9A001G</v>
          </cell>
          <cell r="Q4847" t="str">
            <v>速度传感器</v>
          </cell>
        </row>
        <row r="4848">
          <cell r="O4848" t="str">
            <v>SC9642TS</v>
          </cell>
          <cell r="P4848" t="str">
            <v>STC9A001G</v>
          </cell>
          <cell r="Q4848" t="str">
            <v>速度传感器</v>
          </cell>
        </row>
        <row r="4849">
          <cell r="O4849" t="str">
            <v>SC9642TS</v>
          </cell>
          <cell r="P4849" t="str">
            <v>STC9A001G</v>
          </cell>
          <cell r="Q4849" t="str">
            <v>速度传感器</v>
          </cell>
        </row>
        <row r="4850">
          <cell r="O4850" t="str">
            <v>SC60221-D-64</v>
          </cell>
          <cell r="P4850" t="str">
            <v>STC9D04C</v>
          </cell>
          <cell r="Q4850" t="str">
            <v>电机编码器</v>
          </cell>
        </row>
        <row r="4851">
          <cell r="O4851" t="str">
            <v>SC60221-D-400</v>
          </cell>
          <cell r="P4851" t="str">
            <v>STC9D04C</v>
          </cell>
          <cell r="Q4851" t="str">
            <v>电机编码器</v>
          </cell>
        </row>
        <row r="4852">
          <cell r="O4852" t="str">
            <v>SC4643VB</v>
          </cell>
          <cell r="P4852" t="str">
            <v>STC9D03E</v>
          </cell>
          <cell r="Q4852" t="str">
            <v>电流传感器</v>
          </cell>
        </row>
        <row r="4853">
          <cell r="O4853" t="str">
            <v>SC2442SO</v>
          </cell>
          <cell r="P4853" t="str">
            <v>STC9906R</v>
          </cell>
          <cell r="Q4853" t="str">
            <v>磁性位置传感器</v>
          </cell>
        </row>
        <row r="4854">
          <cell r="O4854" t="str">
            <v>SC2442SO</v>
          </cell>
          <cell r="P4854" t="str">
            <v>STC9906R</v>
          </cell>
          <cell r="Q4854" t="str">
            <v>磁性位置传感器</v>
          </cell>
        </row>
        <row r="4855">
          <cell r="O4855" t="str">
            <v>KH276</v>
          </cell>
          <cell r="P4855" t="str">
            <v>FD1014A</v>
          </cell>
          <cell r="Q4855" t="str">
            <v>电机驱动</v>
          </cell>
        </row>
        <row r="4856">
          <cell r="O4856" t="str">
            <v>KH276</v>
          </cell>
          <cell r="P4856" t="str">
            <v>FD1014A</v>
          </cell>
          <cell r="Q4856" t="str">
            <v>电机驱动</v>
          </cell>
        </row>
        <row r="4857">
          <cell r="O4857" t="str">
            <v>KH276</v>
          </cell>
          <cell r="P4857" t="str">
            <v>FD1014A</v>
          </cell>
          <cell r="Q4857" t="str">
            <v>电机驱动</v>
          </cell>
        </row>
        <row r="4858">
          <cell r="O4858" t="str">
            <v>KH276</v>
          </cell>
          <cell r="P4858" t="str">
            <v>FD1014A</v>
          </cell>
          <cell r="Q4858" t="str">
            <v>电机驱动</v>
          </cell>
        </row>
        <row r="4859">
          <cell r="O4859" t="str">
            <v>SC2442SO</v>
          </cell>
          <cell r="P4859" t="str">
            <v>STC9906R</v>
          </cell>
          <cell r="Q4859" t="str">
            <v>磁性位置传感器</v>
          </cell>
        </row>
        <row r="4860">
          <cell r="O4860" t="str">
            <v>SC2436SO</v>
          </cell>
          <cell r="P4860" t="str">
            <v>STC9906I</v>
          </cell>
          <cell r="Q4860" t="str">
            <v>磁性位置传感器</v>
          </cell>
        </row>
        <row r="4861">
          <cell r="O4861" t="str">
            <v>SC2436SO</v>
          </cell>
          <cell r="P4861" t="str">
            <v>STC9906I</v>
          </cell>
          <cell r="Q4861" t="str">
            <v>磁性位置传感器</v>
          </cell>
        </row>
        <row r="4862">
          <cell r="O4862" t="str">
            <v>SYLMV358BPA3R</v>
          </cell>
          <cell r="P4862" t="str">
            <v>STC9G003B</v>
          </cell>
          <cell r="Q4862" t="str">
            <v>其他数模混合</v>
          </cell>
        </row>
        <row r="4863">
          <cell r="O4863" t="str">
            <v>SYLMV358BPA4R</v>
          </cell>
          <cell r="P4863" t="str">
            <v>STC9G003B</v>
          </cell>
          <cell r="Q4863" t="str">
            <v>其他数模混合</v>
          </cell>
        </row>
        <row r="4864">
          <cell r="O4864" t="str">
            <v>SC4103DN</v>
          </cell>
          <cell r="P4864" t="str">
            <v>STC11201B</v>
          </cell>
          <cell r="Q4864" t="str">
            <v>磁性位置传感器</v>
          </cell>
        </row>
        <row r="4865">
          <cell r="O4865" t="str">
            <v>ATK-E512</v>
          </cell>
          <cell r="P4865" t="str">
            <v>STC4011B</v>
          </cell>
          <cell r="Q4865" t="str">
            <v>磁性位置传感器</v>
          </cell>
        </row>
        <row r="4866">
          <cell r="O4866" t="str">
            <v>ATK-E512</v>
          </cell>
          <cell r="P4866" t="str">
            <v>STC4011B</v>
          </cell>
          <cell r="Q4866" t="str">
            <v>磁性位置传感器</v>
          </cell>
        </row>
        <row r="4867">
          <cell r="O4867" t="str">
            <v>ATK-E512</v>
          </cell>
          <cell r="P4867" t="str">
            <v>STC4011B</v>
          </cell>
          <cell r="Q4867" t="str">
            <v>磁性位置传感器</v>
          </cell>
        </row>
        <row r="4868">
          <cell r="O4868" t="str">
            <v>ATK-E512</v>
          </cell>
          <cell r="P4868" t="str">
            <v>STC4011B</v>
          </cell>
          <cell r="Q4868" t="str">
            <v>磁性位置传感器</v>
          </cell>
        </row>
        <row r="4869">
          <cell r="O4869" t="str">
            <v>ATK-E512</v>
          </cell>
          <cell r="P4869" t="str">
            <v>STC4011B</v>
          </cell>
          <cell r="Q4869" t="str">
            <v>磁性位置传感器</v>
          </cell>
        </row>
        <row r="4870">
          <cell r="O4870" t="str">
            <v>ATK-E512</v>
          </cell>
          <cell r="P4870" t="str">
            <v>STC4011B</v>
          </cell>
          <cell r="Q4870" t="str">
            <v>磁性位置传感器</v>
          </cell>
        </row>
        <row r="4871">
          <cell r="O4871" t="str">
            <v>ATK-E512</v>
          </cell>
          <cell r="P4871" t="str">
            <v>STC4011B</v>
          </cell>
          <cell r="Q4871" t="str">
            <v>磁性位置传感器</v>
          </cell>
        </row>
        <row r="4872">
          <cell r="O4872" t="str">
            <v>SC2402UA</v>
          </cell>
          <cell r="P4872" t="str">
            <v>STC9902J</v>
          </cell>
          <cell r="Q4872" t="str">
            <v>磁性位置传感器</v>
          </cell>
        </row>
        <row r="4873">
          <cell r="O4873" t="str">
            <v>SC2402UA</v>
          </cell>
          <cell r="P4873" t="str">
            <v>STC9902J</v>
          </cell>
          <cell r="Q4873" t="str">
            <v>磁性位置传感器</v>
          </cell>
        </row>
        <row r="4874">
          <cell r="O4874" t="str">
            <v>SC2442SO-N</v>
          </cell>
          <cell r="P4874" t="str">
            <v>STC9906P</v>
          </cell>
          <cell r="Q4874" t="str">
            <v>磁性位置传感器</v>
          </cell>
        </row>
        <row r="4875">
          <cell r="O4875" t="str">
            <v>SC2442SO-N</v>
          </cell>
          <cell r="P4875" t="str">
            <v>STC9906P</v>
          </cell>
          <cell r="Q4875" t="str">
            <v>磁性位置传感器</v>
          </cell>
        </row>
        <row r="4876">
          <cell r="O4876" t="str">
            <v>G01</v>
          </cell>
          <cell r="P4876" t="str">
            <v>STC4011B</v>
          </cell>
          <cell r="Q4876" t="str">
            <v>磁性位置传感器</v>
          </cell>
        </row>
        <row r="4877">
          <cell r="O4877" t="str">
            <v>G01</v>
          </cell>
          <cell r="P4877" t="str">
            <v>STC4011B</v>
          </cell>
          <cell r="Q4877" t="str">
            <v>磁性位置传感器</v>
          </cell>
        </row>
        <row r="4878">
          <cell r="O4878" t="str">
            <v>G01</v>
          </cell>
          <cell r="P4878" t="str">
            <v>STC4011B</v>
          </cell>
          <cell r="Q4878" t="str">
            <v>磁性位置传感器</v>
          </cell>
        </row>
        <row r="4879">
          <cell r="O4879" t="str">
            <v>G01</v>
          </cell>
          <cell r="P4879" t="str">
            <v>STC4011B</v>
          </cell>
          <cell r="Q4879" t="str">
            <v>磁性位置传感器</v>
          </cell>
        </row>
        <row r="4880">
          <cell r="O4880" t="str">
            <v>49E</v>
          </cell>
          <cell r="P4880" t="str">
            <v>STC4011B</v>
          </cell>
          <cell r="Q4880" t="str">
            <v>磁性位置传感器</v>
          </cell>
        </row>
        <row r="4881">
          <cell r="O4881" t="str">
            <v>G01</v>
          </cell>
          <cell r="P4881" t="str">
            <v>STC4011B</v>
          </cell>
          <cell r="Q4881" t="str">
            <v>磁性位置传感器</v>
          </cell>
        </row>
        <row r="4882">
          <cell r="O4882" t="str">
            <v>G01</v>
          </cell>
          <cell r="P4882" t="str">
            <v>STC4011B</v>
          </cell>
          <cell r="Q4882" t="str">
            <v>磁性位置传感器</v>
          </cell>
        </row>
        <row r="4883">
          <cell r="O4883" t="str">
            <v>SC2442SO-N</v>
          </cell>
          <cell r="P4883" t="str">
            <v>STC9906P</v>
          </cell>
          <cell r="Q4883" t="str">
            <v>磁性位置传感器</v>
          </cell>
        </row>
        <row r="4884">
          <cell r="O4884" t="str">
            <v>SC2443SO</v>
          </cell>
          <cell r="P4884" t="str">
            <v>STC9906T</v>
          </cell>
          <cell r="Q4884" t="str">
            <v>磁性位置传感器</v>
          </cell>
        </row>
        <row r="4885">
          <cell r="O4885" t="str">
            <v>SC9641TS-P</v>
          </cell>
          <cell r="P4885" t="str">
            <v>STC9A001I</v>
          </cell>
          <cell r="Q4885" t="str">
            <v>速度传感器</v>
          </cell>
        </row>
        <row r="4886">
          <cell r="O4886" t="str">
            <v>SC9641TS-PC</v>
          </cell>
          <cell r="P4886" t="str">
            <v>STC9A001I</v>
          </cell>
          <cell r="Q4886" t="str">
            <v>速度传感器</v>
          </cell>
        </row>
        <row r="4887">
          <cell r="O4887" t="str">
            <v>SC4643VB</v>
          </cell>
          <cell r="P4887" t="str">
            <v>STC9D03E</v>
          </cell>
          <cell r="Q4887" t="str">
            <v>电流传感器</v>
          </cell>
        </row>
        <row r="4888">
          <cell r="O4888" t="str">
            <v>SC4002BU</v>
          </cell>
          <cell r="P4888" t="str">
            <v>STC4000AA</v>
          </cell>
          <cell r="Q4888" t="str">
            <v>磁性位置传感器</v>
          </cell>
        </row>
        <row r="4889">
          <cell r="O4889" t="str">
            <v>SC4002BU</v>
          </cell>
          <cell r="P4889" t="str">
            <v>STC4000AA</v>
          </cell>
          <cell r="Q4889" t="str">
            <v>磁性位置传感器</v>
          </cell>
        </row>
        <row r="4890">
          <cell r="O4890" t="str">
            <v>SC4002BU</v>
          </cell>
          <cell r="P4890" t="str">
            <v>STC4000AA</v>
          </cell>
          <cell r="Q4890" t="str">
            <v>磁性位置传感器</v>
          </cell>
        </row>
        <row r="4891">
          <cell r="O4891" t="str">
            <v>SC4002BU</v>
          </cell>
          <cell r="P4891" t="str">
            <v>STC4000AA</v>
          </cell>
          <cell r="Q4891" t="str">
            <v>磁性位置传感器</v>
          </cell>
        </row>
        <row r="4892">
          <cell r="O4892" t="str">
            <v>SC4002BU</v>
          </cell>
          <cell r="P4892" t="str">
            <v>STC4000AA</v>
          </cell>
          <cell r="Q4892" t="str">
            <v>磁性位置传感器</v>
          </cell>
        </row>
        <row r="4893">
          <cell r="O4893" t="str">
            <v>SC1134SO-N</v>
          </cell>
          <cell r="P4893" t="str">
            <v>STC1898AI</v>
          </cell>
          <cell r="Q4893" t="str">
            <v>磁性位置传感器</v>
          </cell>
        </row>
        <row r="4894">
          <cell r="O4894" t="str">
            <v>SC2448UA-N</v>
          </cell>
          <cell r="P4894" t="str">
            <v>STC9906S</v>
          </cell>
          <cell r="Q4894" t="str">
            <v>磁性位置传感器</v>
          </cell>
        </row>
        <row r="4895">
          <cell r="O4895" t="str">
            <v>SC1134SO-N</v>
          </cell>
          <cell r="P4895" t="str">
            <v>STC1898AI</v>
          </cell>
          <cell r="Q4895" t="str">
            <v>磁性位置传感器</v>
          </cell>
        </row>
        <row r="4896">
          <cell r="O4896" t="str">
            <v>SC1134SO-N</v>
          </cell>
          <cell r="P4896" t="str">
            <v>STC1898AI</v>
          </cell>
          <cell r="Q4896" t="str">
            <v>磁性位置传感器</v>
          </cell>
        </row>
        <row r="4897">
          <cell r="O4897" t="str">
            <v>SC1134SO-N</v>
          </cell>
          <cell r="P4897" t="str">
            <v>STC1898AI</v>
          </cell>
          <cell r="Q4897" t="str">
            <v>磁性位置传感器</v>
          </cell>
        </row>
        <row r="4898">
          <cell r="O4898" t="str">
            <v>SC9641TS-P</v>
          </cell>
          <cell r="P4898" t="str">
            <v>STC9A001I</v>
          </cell>
          <cell r="Q4898" t="str">
            <v>速度传感器</v>
          </cell>
        </row>
        <row r="4899">
          <cell r="O4899" t="str">
            <v>SC2442SO</v>
          </cell>
          <cell r="P4899" t="str">
            <v>STC9906R</v>
          </cell>
          <cell r="Q4899" t="str">
            <v>磁性位置传感器</v>
          </cell>
        </row>
        <row r="4900">
          <cell r="O4900" t="str">
            <v>SC9641TS</v>
          </cell>
          <cell r="P4900" t="str">
            <v>STC9910BN</v>
          </cell>
          <cell r="Q4900" t="str">
            <v>速度传感器</v>
          </cell>
        </row>
        <row r="4901">
          <cell r="O4901" t="str">
            <v>SC9641TS</v>
          </cell>
          <cell r="P4901" t="str">
            <v>STC9910BN</v>
          </cell>
          <cell r="Q4901" t="str">
            <v>速度传感器</v>
          </cell>
        </row>
        <row r="4902">
          <cell r="O4902" t="str">
            <v>SC9641TS</v>
          </cell>
          <cell r="P4902" t="str">
            <v>STC9910BN</v>
          </cell>
          <cell r="Q4902" t="str">
            <v>速度传感器</v>
          </cell>
        </row>
        <row r="4903">
          <cell r="O4903" t="str">
            <v>SC9641TS</v>
          </cell>
          <cell r="P4903" t="str">
            <v>STC9910BN</v>
          </cell>
          <cell r="Q4903" t="str">
            <v>速度传感器</v>
          </cell>
        </row>
        <row r="4904">
          <cell r="O4904" t="str">
            <v>SC9641TS</v>
          </cell>
          <cell r="P4904" t="str">
            <v>STC9910BN</v>
          </cell>
          <cell r="Q4904" t="str">
            <v>速度传感器</v>
          </cell>
        </row>
        <row r="4905">
          <cell r="O4905" t="str">
            <v>SC9641TS</v>
          </cell>
          <cell r="P4905" t="str">
            <v>STC9910BN</v>
          </cell>
          <cell r="Q4905" t="str">
            <v>速度传感器</v>
          </cell>
        </row>
        <row r="4906">
          <cell r="O4906" t="str">
            <v>SC9641TS</v>
          </cell>
          <cell r="P4906" t="str">
            <v>STC9910BN</v>
          </cell>
          <cell r="Q4906" t="str">
            <v>速度传感器</v>
          </cell>
        </row>
        <row r="4907">
          <cell r="O4907" t="str">
            <v>SC9641TS-PC</v>
          </cell>
          <cell r="P4907" t="str">
            <v>STC9A001I</v>
          </cell>
          <cell r="Q4907" t="str">
            <v>速度传感器</v>
          </cell>
        </row>
        <row r="4908">
          <cell r="O4908" t="str">
            <v>SC9641TS-PC</v>
          </cell>
          <cell r="P4908" t="str">
            <v>STC9A001I</v>
          </cell>
          <cell r="Q4908" t="str">
            <v>速度传感器</v>
          </cell>
        </row>
        <row r="4909">
          <cell r="O4909" t="str">
            <v>SC2430UA</v>
          </cell>
          <cell r="P4909" t="str">
            <v>STC9906I</v>
          </cell>
          <cell r="Q4909" t="str">
            <v>磁性位置传感器</v>
          </cell>
        </row>
        <row r="4910">
          <cell r="O4910" t="str">
            <v>SC2416SE</v>
          </cell>
          <cell r="P4910" t="str">
            <v>STC9902B</v>
          </cell>
          <cell r="Q4910" t="str">
            <v>磁性位置传感器</v>
          </cell>
        </row>
        <row r="4911">
          <cell r="O4911" t="str">
            <v>SC2416SE</v>
          </cell>
          <cell r="P4911" t="str">
            <v>STC9902B</v>
          </cell>
          <cell r="Q4911" t="str">
            <v>磁性位置传感器</v>
          </cell>
        </row>
        <row r="4912">
          <cell r="O4912" t="str">
            <v>SC2416SE</v>
          </cell>
          <cell r="P4912" t="str">
            <v>STC9902B</v>
          </cell>
          <cell r="Q4912" t="str">
            <v>磁性位置传感器</v>
          </cell>
        </row>
        <row r="4913">
          <cell r="O4913" t="str">
            <v>SC9314UA</v>
          </cell>
          <cell r="P4913" t="str">
            <v>STC9901AF</v>
          </cell>
          <cell r="Q4913" t="str">
            <v>速度传感器</v>
          </cell>
        </row>
        <row r="4914">
          <cell r="O4914" t="str">
            <v>SC9642TS</v>
          </cell>
          <cell r="P4914" t="str">
            <v>STC9A001G</v>
          </cell>
          <cell r="Q4914" t="str">
            <v>速度传感器</v>
          </cell>
        </row>
        <row r="4915">
          <cell r="O4915" t="str">
            <v>SC1645B1</v>
          </cell>
          <cell r="P4915" t="str">
            <v>STC2899AE</v>
          </cell>
          <cell r="Q4915" t="str">
            <v>磁性位置传感器</v>
          </cell>
        </row>
        <row r="4916">
          <cell r="O4916" t="str">
            <v>SC1645B1</v>
          </cell>
          <cell r="P4916" t="str">
            <v>STC2899AE</v>
          </cell>
          <cell r="Q4916" t="str">
            <v>磁性位置传感器</v>
          </cell>
        </row>
        <row r="4917">
          <cell r="O4917" t="str">
            <v>SC1645B1</v>
          </cell>
          <cell r="P4917" t="str">
            <v>STC2899AE</v>
          </cell>
          <cell r="Q4917" t="str">
            <v>磁性位置传感器</v>
          </cell>
        </row>
        <row r="4918">
          <cell r="O4918" t="str">
            <v>SC1645B1</v>
          </cell>
          <cell r="P4918" t="str">
            <v>STC2899AE</v>
          </cell>
          <cell r="Q4918" t="str">
            <v>磁性位置传感器</v>
          </cell>
        </row>
        <row r="4919">
          <cell r="O4919" t="str">
            <v>SC1645B1</v>
          </cell>
          <cell r="P4919" t="str">
            <v>STC2899AE</v>
          </cell>
          <cell r="Q4919" t="str">
            <v>磁性位置传感器</v>
          </cell>
        </row>
        <row r="4920">
          <cell r="O4920" t="str">
            <v>SC1645A1</v>
          </cell>
          <cell r="P4920" t="str">
            <v>STC2899AE</v>
          </cell>
          <cell r="Q4920" t="str">
            <v>磁性位置传感器</v>
          </cell>
        </row>
        <row r="4921">
          <cell r="O4921" t="str">
            <v>SC1645A1</v>
          </cell>
          <cell r="P4921" t="str">
            <v>STC2899AE</v>
          </cell>
          <cell r="Q4921" t="str">
            <v>磁性位置传感器</v>
          </cell>
        </row>
        <row r="4922">
          <cell r="O4922" t="str">
            <v>SC1645B1</v>
          </cell>
          <cell r="P4922" t="str">
            <v>STC2899AE</v>
          </cell>
          <cell r="Q4922" t="str">
            <v>磁性位置传感器</v>
          </cell>
        </row>
        <row r="4923">
          <cell r="O4923" t="str">
            <v>SC1645B1</v>
          </cell>
          <cell r="P4923" t="str">
            <v>STC2899AE</v>
          </cell>
          <cell r="Q4923" t="str">
            <v>磁性位置传感器</v>
          </cell>
        </row>
        <row r="4924">
          <cell r="O4924" t="str">
            <v>SC1645B1</v>
          </cell>
          <cell r="P4924" t="str">
            <v>STC2899AE</v>
          </cell>
          <cell r="Q4924" t="str">
            <v>磁性位置传感器</v>
          </cell>
        </row>
        <row r="4925">
          <cell r="O4925" t="str">
            <v>SC1645A1</v>
          </cell>
          <cell r="P4925" t="str">
            <v>STC2899AE</v>
          </cell>
          <cell r="Q4925" t="str">
            <v>磁性位置传感器</v>
          </cell>
        </row>
        <row r="4926">
          <cell r="O4926" t="str">
            <v>SC1645A1</v>
          </cell>
          <cell r="P4926" t="str">
            <v>STC2899AE</v>
          </cell>
          <cell r="Q4926" t="str">
            <v>磁性位置传感器</v>
          </cell>
        </row>
        <row r="4927">
          <cell r="O4927" t="str">
            <v>SC1645B1</v>
          </cell>
          <cell r="P4927" t="str">
            <v>STC2899AE</v>
          </cell>
          <cell r="Q4927" t="str">
            <v>磁性位置传感器</v>
          </cell>
        </row>
        <row r="4928">
          <cell r="O4928" t="str">
            <v>SC60224-D-500</v>
          </cell>
          <cell r="P4928" t="str">
            <v>STC9D04C</v>
          </cell>
          <cell r="Q4928" t="str">
            <v>电机编码器</v>
          </cell>
        </row>
        <row r="4929">
          <cell r="O4929" t="str">
            <v>SC60224-D-500</v>
          </cell>
          <cell r="P4929" t="str">
            <v>STC9D04C</v>
          </cell>
          <cell r="Q4929" t="str">
            <v>电机编码器</v>
          </cell>
        </row>
        <row r="4930">
          <cell r="O4930" t="str">
            <v>SC60221-D-50</v>
          </cell>
          <cell r="P4930" t="str">
            <v>STC9D04C</v>
          </cell>
          <cell r="Q4930" t="str">
            <v>电机编码器</v>
          </cell>
        </row>
        <row r="4931">
          <cell r="O4931" t="str">
            <v>SC60224-D-500</v>
          </cell>
          <cell r="P4931" t="str">
            <v>STC9D04C</v>
          </cell>
          <cell r="Q4931" t="str">
            <v>电机编码器</v>
          </cell>
        </row>
        <row r="4932">
          <cell r="O4932" t="str">
            <v>SC60224-D-600</v>
          </cell>
          <cell r="P4932" t="str">
            <v>STC9D04C</v>
          </cell>
          <cell r="Q4932" t="str">
            <v>电机编码器</v>
          </cell>
        </row>
        <row r="4933">
          <cell r="O4933" t="str">
            <v>SC60224-D-1000</v>
          </cell>
          <cell r="P4933" t="str">
            <v>STC9D04C</v>
          </cell>
          <cell r="Q4933" t="str">
            <v>电机编码器</v>
          </cell>
        </row>
        <row r="4934">
          <cell r="O4934" t="str">
            <v>SC60224-D-1000</v>
          </cell>
          <cell r="P4934" t="str">
            <v>STC9D04C</v>
          </cell>
          <cell r="Q4934" t="str">
            <v>电机编码器</v>
          </cell>
        </row>
        <row r="4935">
          <cell r="O4935" t="str">
            <v>SC2416SE</v>
          </cell>
          <cell r="P4935" t="str">
            <v>STC9902B</v>
          </cell>
          <cell r="Q4935" t="str">
            <v>磁性位置传感器</v>
          </cell>
        </row>
        <row r="4936">
          <cell r="O4936" t="str">
            <v>SD2276</v>
          </cell>
          <cell r="P4936" t="str">
            <v>FD1014A</v>
          </cell>
          <cell r="Q4936" t="str">
            <v>电机驱动</v>
          </cell>
        </row>
        <row r="4937">
          <cell r="O4937" t="str">
            <v>CHY37S</v>
          </cell>
          <cell r="P4937" t="str">
            <v>STC4011B</v>
          </cell>
          <cell r="Q4937" t="str">
            <v>磁性位置传感器</v>
          </cell>
        </row>
        <row r="4938">
          <cell r="O4938" t="str">
            <v>SC4643VB</v>
          </cell>
          <cell r="P4938" t="str">
            <v>STC9D03E</v>
          </cell>
          <cell r="Q4938" t="str">
            <v>电流传感器</v>
          </cell>
        </row>
        <row r="4939">
          <cell r="O4939" t="str">
            <v>SC4643VB</v>
          </cell>
          <cell r="P4939" t="str">
            <v>STC9D03E</v>
          </cell>
          <cell r="Q4939" t="str">
            <v>电流传感器</v>
          </cell>
        </row>
        <row r="4940">
          <cell r="O4940" t="str">
            <v>SC4643VB</v>
          </cell>
          <cell r="P4940" t="str">
            <v>STC9D03E</v>
          </cell>
          <cell r="Q4940" t="str">
            <v>电流传感器</v>
          </cell>
        </row>
        <row r="4941">
          <cell r="O4941" t="str">
            <v>SC1245UA</v>
          </cell>
          <cell r="P4941" t="str">
            <v>STC1898AD</v>
          </cell>
          <cell r="Q4941" t="str">
            <v>磁性位置传感器</v>
          </cell>
        </row>
        <row r="4942">
          <cell r="O4942" t="str">
            <v>SC2464SO</v>
          </cell>
          <cell r="P4942" t="str">
            <v>STC9906J</v>
          </cell>
          <cell r="Q4942" t="str">
            <v>磁性位置传感器</v>
          </cell>
        </row>
        <row r="4943">
          <cell r="O4943" t="str">
            <v>ATK-E512</v>
          </cell>
          <cell r="P4943" t="str">
            <v>STC4011B</v>
          </cell>
          <cell r="Q4943" t="str">
            <v>磁性位置传感器</v>
          </cell>
        </row>
        <row r="4944">
          <cell r="O4944" t="str">
            <v>ATK-E512</v>
          </cell>
          <cell r="P4944" t="str">
            <v>STC4011B</v>
          </cell>
          <cell r="Q4944" t="str">
            <v>磁性位置传感器</v>
          </cell>
        </row>
        <row r="4945">
          <cell r="O4945" t="str">
            <v>ATK-E512</v>
          </cell>
          <cell r="P4945" t="str">
            <v>STC4011B</v>
          </cell>
          <cell r="Q4945" t="str">
            <v>磁性位置传感器</v>
          </cell>
        </row>
        <row r="4946">
          <cell r="O4946" t="str">
            <v>ATK-E512</v>
          </cell>
          <cell r="P4946" t="str">
            <v>STC4011B</v>
          </cell>
          <cell r="Q4946" t="str">
            <v>磁性位置传感器</v>
          </cell>
        </row>
        <row r="4947">
          <cell r="O4947" t="str">
            <v>ATK-E512</v>
          </cell>
          <cell r="P4947" t="str">
            <v>STC4011B</v>
          </cell>
          <cell r="Q4947" t="str">
            <v>磁性位置传感器</v>
          </cell>
        </row>
        <row r="4948">
          <cell r="O4948" t="str">
            <v>ATK-E512</v>
          </cell>
          <cell r="P4948" t="str">
            <v>STC4011B</v>
          </cell>
          <cell r="Q4948" t="str">
            <v>磁性位置传感器</v>
          </cell>
        </row>
        <row r="4949">
          <cell r="O4949" t="str">
            <v>ATK-E512</v>
          </cell>
          <cell r="P4949" t="str">
            <v>STC4011B</v>
          </cell>
          <cell r="Q4949" t="str">
            <v>磁性位置传感器</v>
          </cell>
        </row>
        <row r="4950">
          <cell r="O4950" t="str">
            <v>SC2402SO-N</v>
          </cell>
          <cell r="P4950" t="str">
            <v>STC9902J</v>
          </cell>
          <cell r="Q4950" t="str">
            <v>磁性位置传感器</v>
          </cell>
        </row>
        <row r="4951">
          <cell r="O4951" t="str">
            <v>SC2402SO-N</v>
          </cell>
          <cell r="P4951" t="str">
            <v>STC9902J</v>
          </cell>
          <cell r="Q4951" t="str">
            <v>磁性位置传感器</v>
          </cell>
        </row>
        <row r="4952">
          <cell r="O4952" t="str">
            <v>SC2402SO-N</v>
          </cell>
          <cell r="P4952" t="str">
            <v>STC9902J</v>
          </cell>
          <cell r="Q4952" t="str">
            <v>磁性位置传感器</v>
          </cell>
        </row>
        <row r="4953">
          <cell r="O4953" t="str">
            <v>SC2442SO-N</v>
          </cell>
          <cell r="P4953" t="str">
            <v>STC9906P</v>
          </cell>
          <cell r="Q4953" t="str">
            <v>磁性位置传感器</v>
          </cell>
        </row>
        <row r="4954">
          <cell r="O4954" t="str">
            <v>SC2063SO</v>
          </cell>
          <cell r="P4954" t="str">
            <v>STC9G001C</v>
          </cell>
          <cell r="Q4954" t="str">
            <v>磁性位置传感器</v>
          </cell>
        </row>
        <row r="4955">
          <cell r="O4955" t="str">
            <v>SC2063SO</v>
          </cell>
          <cell r="P4955" t="str">
            <v>STC9G001C</v>
          </cell>
          <cell r="Q4955" t="str">
            <v>磁性位置传感器</v>
          </cell>
        </row>
        <row r="4956">
          <cell r="O4956" t="str">
            <v>SC2063SO</v>
          </cell>
          <cell r="P4956" t="str">
            <v>STC9G001C</v>
          </cell>
          <cell r="Q4956" t="str">
            <v>磁性位置传感器</v>
          </cell>
        </row>
        <row r="4957">
          <cell r="O4957" t="str">
            <v>SC2464SO</v>
          </cell>
          <cell r="P4957" t="str">
            <v>STC9906J</v>
          </cell>
          <cell r="Q4957" t="str">
            <v>磁性位置传感器</v>
          </cell>
        </row>
        <row r="4958">
          <cell r="O4958" t="str">
            <v>SC2442SO-N</v>
          </cell>
          <cell r="P4958" t="str">
            <v>STC9906P</v>
          </cell>
          <cell r="Q4958" t="str">
            <v>磁性位置传感器</v>
          </cell>
        </row>
        <row r="4959">
          <cell r="O4959" t="str">
            <v>SC2442SO-N</v>
          </cell>
          <cell r="P4959" t="str">
            <v>STC9906P</v>
          </cell>
          <cell r="Q4959" t="str">
            <v>磁性位置传感器</v>
          </cell>
        </row>
        <row r="4960">
          <cell r="O4960" t="str">
            <v>SC2402SO-N</v>
          </cell>
          <cell r="P4960" t="str">
            <v>STC9902J</v>
          </cell>
          <cell r="Q4960" t="str">
            <v>磁性位置传感器</v>
          </cell>
        </row>
        <row r="4961">
          <cell r="O4961" t="str">
            <v>SC2402SO-N</v>
          </cell>
          <cell r="P4961" t="str">
            <v>STC9902J</v>
          </cell>
          <cell r="Q4961" t="str">
            <v>磁性位置传感器</v>
          </cell>
        </row>
        <row r="4962">
          <cell r="O4962" t="str">
            <v>G01</v>
          </cell>
          <cell r="P4962" t="str">
            <v>STC4011B</v>
          </cell>
          <cell r="Q4962" t="str">
            <v>磁性位置传感器</v>
          </cell>
        </row>
        <row r="4963">
          <cell r="O4963" t="str">
            <v>G01</v>
          </cell>
          <cell r="P4963" t="str">
            <v>STC4011B</v>
          </cell>
          <cell r="Q4963" t="str">
            <v>磁性位置传感器</v>
          </cell>
        </row>
        <row r="4964">
          <cell r="O4964" t="str">
            <v>G01</v>
          </cell>
          <cell r="P4964" t="str">
            <v>STC4011B</v>
          </cell>
          <cell r="Q4964" t="str">
            <v>磁性位置传感器</v>
          </cell>
        </row>
        <row r="4965">
          <cell r="O4965" t="str">
            <v>G01</v>
          </cell>
          <cell r="P4965" t="str">
            <v>STC4011B</v>
          </cell>
          <cell r="Q4965" t="str">
            <v>磁性位置传感器</v>
          </cell>
        </row>
        <row r="4966">
          <cell r="O4966" t="str">
            <v>G01</v>
          </cell>
          <cell r="P4966" t="str">
            <v>STC4011B</v>
          </cell>
          <cell r="Q4966" t="str">
            <v>磁性位置传感器</v>
          </cell>
        </row>
        <row r="4967">
          <cell r="O4967" t="str">
            <v>G01</v>
          </cell>
          <cell r="P4967" t="str">
            <v>STC4011B</v>
          </cell>
          <cell r="Q4967" t="str">
            <v>磁性位置传感器</v>
          </cell>
        </row>
        <row r="4968">
          <cell r="O4968" t="str">
            <v>G01</v>
          </cell>
          <cell r="P4968" t="str">
            <v>STC4011B</v>
          </cell>
          <cell r="Q4968" t="str">
            <v>磁性位置传感器</v>
          </cell>
        </row>
        <row r="4969">
          <cell r="O4969" t="str">
            <v>SC2402SO-N</v>
          </cell>
          <cell r="P4969" t="str">
            <v>STC9902J</v>
          </cell>
          <cell r="Q4969" t="str">
            <v>磁性位置传感器</v>
          </cell>
        </row>
        <row r="4970">
          <cell r="O4970" t="str">
            <v>SC9314UA</v>
          </cell>
          <cell r="P4970" t="str">
            <v>STC9901AF</v>
          </cell>
          <cell r="Q4970" t="str">
            <v>速度传感器</v>
          </cell>
        </row>
        <row r="4971">
          <cell r="O4971" t="str">
            <v>SC9648TS-P</v>
          </cell>
          <cell r="P4971" t="str">
            <v>STC9A001I</v>
          </cell>
          <cell r="Q4971" t="str">
            <v>速度传感器</v>
          </cell>
        </row>
        <row r="4972">
          <cell r="O4972" t="str">
            <v>SC9648TS-P</v>
          </cell>
          <cell r="P4972" t="str">
            <v>STC9A001I</v>
          </cell>
          <cell r="Q4972" t="str">
            <v>速度传感器</v>
          </cell>
        </row>
        <row r="4973">
          <cell r="O4973" t="str">
            <v>SC9648TS-P</v>
          </cell>
          <cell r="P4973" t="str">
            <v>STC9A001I</v>
          </cell>
          <cell r="Q4973" t="str">
            <v>速度传感器</v>
          </cell>
        </row>
        <row r="4974">
          <cell r="O4974" t="str">
            <v>SC9641TS-P</v>
          </cell>
          <cell r="P4974" t="str">
            <v>STC9A001I</v>
          </cell>
          <cell r="Q4974" t="str">
            <v>速度传感器</v>
          </cell>
        </row>
        <row r="4975">
          <cell r="O4975" t="str">
            <v>SC9641TS-P</v>
          </cell>
          <cell r="P4975" t="str">
            <v>STC9A001I</v>
          </cell>
          <cell r="Q4975" t="str">
            <v>速度传感器</v>
          </cell>
        </row>
        <row r="4976">
          <cell r="O4976" t="str">
            <v>SC9641TS-PC</v>
          </cell>
          <cell r="P4976" t="str">
            <v>STC9A001I</v>
          </cell>
          <cell r="Q4976" t="str">
            <v>速度传感器</v>
          </cell>
        </row>
        <row r="4977">
          <cell r="O4977" t="str">
            <v>SC1134SO-N</v>
          </cell>
          <cell r="P4977" t="str">
            <v>STC1898AI</v>
          </cell>
          <cell r="Q4977" t="str">
            <v>磁性位置传感器</v>
          </cell>
        </row>
        <row r="4978">
          <cell r="O4978" t="str">
            <v>SC1134SO-N</v>
          </cell>
          <cell r="P4978" t="str">
            <v>STC1898AI</v>
          </cell>
          <cell r="Q4978" t="str">
            <v>磁性位置传感器</v>
          </cell>
        </row>
        <row r="4979">
          <cell r="O4979" t="str">
            <v>SC4688SA</v>
          </cell>
          <cell r="P4979" t="str">
            <v>STC9D01C</v>
          </cell>
          <cell r="Q4979" t="str">
            <v>角度传感器</v>
          </cell>
        </row>
        <row r="4980">
          <cell r="O4980" t="str">
            <v>SC4688SA</v>
          </cell>
          <cell r="P4980" t="str">
            <v>STC9D01C</v>
          </cell>
          <cell r="Q4980" t="str">
            <v>角度传感器</v>
          </cell>
        </row>
        <row r="4981">
          <cell r="O4981" t="str">
            <v>SC4688SA</v>
          </cell>
          <cell r="P4981" t="str">
            <v>STC9D01C</v>
          </cell>
          <cell r="Q4981" t="str">
            <v>角度传感器</v>
          </cell>
        </row>
        <row r="4982">
          <cell r="O4982" t="str">
            <v>SC4688SA</v>
          </cell>
          <cell r="P4982" t="str">
            <v>STC9D01C</v>
          </cell>
          <cell r="Q4982" t="str">
            <v>角度传感器</v>
          </cell>
        </row>
        <row r="4983">
          <cell r="O4983" t="str">
            <v>SC4688SA</v>
          </cell>
          <cell r="P4983" t="str">
            <v>STC9D01C</v>
          </cell>
          <cell r="Q4983" t="str">
            <v>角度传感器</v>
          </cell>
        </row>
        <row r="4984">
          <cell r="O4984" t="str">
            <v>SC2442SO</v>
          </cell>
          <cell r="P4984" t="str">
            <v>STC9906R</v>
          </cell>
          <cell r="Q4984" t="str">
            <v>磁性位置传感器</v>
          </cell>
        </row>
        <row r="4985">
          <cell r="O4985" t="str">
            <v>SC9641TS-P</v>
          </cell>
          <cell r="P4985" t="str">
            <v>STC9A001I</v>
          </cell>
          <cell r="Q4985" t="str">
            <v>速度传感器</v>
          </cell>
        </row>
        <row r="4986">
          <cell r="O4986" t="str">
            <v>SC9641TS-P</v>
          </cell>
          <cell r="P4986" t="str">
            <v>STC9A001I</v>
          </cell>
          <cell r="Q4986" t="str">
            <v>速度传感器</v>
          </cell>
        </row>
        <row r="4987">
          <cell r="O4987" t="str">
            <v>SC2442SO-N</v>
          </cell>
          <cell r="P4987" t="str">
            <v>STC9906P</v>
          </cell>
          <cell r="Q4987" t="str">
            <v>磁性位置传感器</v>
          </cell>
        </row>
        <row r="4988">
          <cell r="O4988" t="str">
            <v>SC2442SO-N</v>
          </cell>
          <cell r="P4988" t="str">
            <v>STC9906P</v>
          </cell>
          <cell r="Q4988" t="str">
            <v>磁性位置传感器</v>
          </cell>
        </row>
        <row r="4989">
          <cell r="O4989" t="str">
            <v>PSTC11201B1-SC4104-0</v>
          </cell>
          <cell r="P4989" t="str">
            <v>STC11201B1</v>
          </cell>
          <cell r="Q4989" t="str">
            <v>磁性位置传感器</v>
          </cell>
        </row>
        <row r="4990">
          <cell r="O4990" t="str">
            <v>PSTC11201B1-SC4103-0</v>
          </cell>
          <cell r="P4990" t="str">
            <v>STC11201B1</v>
          </cell>
          <cell r="Q4990" t="str">
            <v>磁性位置传感器</v>
          </cell>
        </row>
        <row r="4991">
          <cell r="O4991" t="str">
            <v>PSTC11201B1-SC4102-0</v>
          </cell>
          <cell r="P4991" t="str">
            <v>STC11201B1</v>
          </cell>
          <cell r="Q4991" t="str">
            <v>磁性位置传感器</v>
          </cell>
        </row>
        <row r="4992">
          <cell r="O4992" t="str">
            <v>PSTC11201B1-SC4101-0</v>
          </cell>
          <cell r="P4992" t="str">
            <v>STC11201B1</v>
          </cell>
          <cell r="Q4992" t="str">
            <v>磁性位置传感器</v>
          </cell>
        </row>
        <row r="4993">
          <cell r="O4993" t="str">
            <v>SC9641TS-PC</v>
          </cell>
          <cell r="P4993" t="str">
            <v>STC9A001I</v>
          </cell>
          <cell r="Q4993" t="str">
            <v>速度传感器</v>
          </cell>
        </row>
        <row r="4994">
          <cell r="O4994" t="str">
            <v>SC9641TS-PC</v>
          </cell>
          <cell r="P4994" t="str">
            <v>STC9A001I</v>
          </cell>
          <cell r="Q4994" t="str">
            <v>速度传感器</v>
          </cell>
        </row>
        <row r="4995">
          <cell r="O4995" t="str">
            <v>SC2416SE</v>
          </cell>
          <cell r="P4995" t="str">
            <v>STC9902B</v>
          </cell>
          <cell r="Q4995" t="str">
            <v>磁性位置传感器</v>
          </cell>
        </row>
        <row r="4996">
          <cell r="O4996" t="str">
            <v>SC2416SE</v>
          </cell>
          <cell r="P4996" t="str">
            <v>STC9902B</v>
          </cell>
          <cell r="Q4996" t="str">
            <v>磁性位置传感器</v>
          </cell>
        </row>
        <row r="4997">
          <cell r="O4997" t="str">
            <v>SC9675IM-P-HRF00</v>
          </cell>
          <cell r="P4997" t="str">
            <v>STC9A002B</v>
          </cell>
          <cell r="Q4997" t="str">
            <v>速度传感器</v>
          </cell>
        </row>
        <row r="4998">
          <cell r="O4998" t="str">
            <v>SC9675IM-P-HRF00</v>
          </cell>
          <cell r="P4998" t="str">
            <v>STC9A002B</v>
          </cell>
          <cell r="Q4998" t="str">
            <v>速度传感器</v>
          </cell>
        </row>
        <row r="4999">
          <cell r="O4999" t="str">
            <v>SC9641TS</v>
          </cell>
          <cell r="P4999" t="str">
            <v>STC9910BN</v>
          </cell>
          <cell r="Q4999" t="str">
            <v>速度传感器</v>
          </cell>
        </row>
        <row r="5000">
          <cell r="O5000" t="str">
            <v>SC9641TS</v>
          </cell>
          <cell r="P5000" t="str">
            <v>STC9910BN</v>
          </cell>
          <cell r="Q5000" t="str">
            <v>速度传感器</v>
          </cell>
        </row>
        <row r="5001">
          <cell r="O5001" t="str">
            <v>SC9642TS</v>
          </cell>
          <cell r="P5001" t="str">
            <v>STC9A001G</v>
          </cell>
          <cell r="Q5001" t="str">
            <v>速度传感器</v>
          </cell>
        </row>
        <row r="5002">
          <cell r="O5002" t="str">
            <v>SC9642TS</v>
          </cell>
          <cell r="P5002" t="str">
            <v>STC9A001G</v>
          </cell>
          <cell r="Q5002" t="str">
            <v>速度传感器</v>
          </cell>
        </row>
        <row r="5003">
          <cell r="O5003" t="str">
            <v>SC4643VB-P</v>
          </cell>
          <cell r="P5003" t="str">
            <v>STC9D03E</v>
          </cell>
          <cell r="Q5003" t="str">
            <v>电流传感器</v>
          </cell>
        </row>
        <row r="5004">
          <cell r="O5004" t="str">
            <v>SC60228DC</v>
          </cell>
          <cell r="P5004" t="str">
            <v>STC9D04C</v>
          </cell>
          <cell r="Q5004" t="str">
            <v>电机编码器</v>
          </cell>
        </row>
        <row r="5005">
          <cell r="O5005" t="str">
            <v>SC60228DC</v>
          </cell>
          <cell r="P5005" t="str">
            <v>STC9D04C</v>
          </cell>
          <cell r="Q5005" t="str">
            <v>电机编码器</v>
          </cell>
        </row>
        <row r="5006">
          <cell r="O5006" t="str">
            <v>SC60228DC</v>
          </cell>
          <cell r="P5006" t="str">
            <v>STC9D04C</v>
          </cell>
          <cell r="Q5006" t="str">
            <v>电机编码器</v>
          </cell>
        </row>
        <row r="5007">
          <cell r="O5007" t="str">
            <v>SC2462SO</v>
          </cell>
          <cell r="P5007" t="str">
            <v>STC9906J</v>
          </cell>
          <cell r="Q5007" t="str">
            <v>磁性位置传感器</v>
          </cell>
        </row>
        <row r="5008">
          <cell r="O5008" t="str">
            <v>SCN919</v>
          </cell>
          <cell r="P5008" t="str">
            <v>STC9909B</v>
          </cell>
          <cell r="Q5008" t="str">
            <v>磁性位置传感器</v>
          </cell>
        </row>
        <row r="5009">
          <cell r="O5009" t="str">
            <v>SC2442SO-N</v>
          </cell>
          <cell r="P5009" t="str">
            <v>STC9906P</v>
          </cell>
          <cell r="Q5009" t="str">
            <v>磁性位置传感器</v>
          </cell>
        </row>
        <row r="5010">
          <cell r="O5010" t="str">
            <v>SC2442SO-N</v>
          </cell>
          <cell r="P5010" t="str">
            <v>STC9906P</v>
          </cell>
          <cell r="Q5010" t="str">
            <v>磁性位置传感器</v>
          </cell>
        </row>
        <row r="5011">
          <cell r="O5011" t="str">
            <v>SC2442SO-N</v>
          </cell>
          <cell r="P5011" t="str">
            <v>STC9906P</v>
          </cell>
          <cell r="Q5011" t="str">
            <v>磁性位置传感器</v>
          </cell>
        </row>
        <row r="5012">
          <cell r="O5012" t="str">
            <v>SC2402SO-N-H</v>
          </cell>
          <cell r="P5012" t="str">
            <v>STC9H001A</v>
          </cell>
          <cell r="Q5012" t="str">
            <v>磁性位置传感器</v>
          </cell>
        </row>
        <row r="5013">
          <cell r="O5013" t="str">
            <v>SC2442SO</v>
          </cell>
          <cell r="P5013" t="str">
            <v>STC9906R</v>
          </cell>
          <cell r="Q5013" t="str">
            <v>磁性位置传感器</v>
          </cell>
        </row>
        <row r="5014">
          <cell r="O5014" t="str">
            <v>SC2442SO</v>
          </cell>
          <cell r="P5014" t="str">
            <v>STC9906R</v>
          </cell>
          <cell r="Q5014" t="str">
            <v>磁性位置传感器</v>
          </cell>
        </row>
        <row r="5015">
          <cell r="O5015" t="str">
            <v>SC2448SO</v>
          </cell>
          <cell r="P5015" t="str">
            <v>STC9906S</v>
          </cell>
          <cell r="Q5015" t="str">
            <v>磁性位置传感器</v>
          </cell>
        </row>
        <row r="5016">
          <cell r="O5016" t="str">
            <v>SC2448SO</v>
          </cell>
          <cell r="P5016" t="str">
            <v>STC9906S</v>
          </cell>
          <cell r="Q5016" t="str">
            <v>磁性位置传感器</v>
          </cell>
        </row>
        <row r="5017">
          <cell r="O5017" t="str">
            <v>SC2448SO</v>
          </cell>
          <cell r="P5017" t="str">
            <v>STC9906S</v>
          </cell>
          <cell r="Q5017" t="str">
            <v>磁性位置传感器</v>
          </cell>
        </row>
        <row r="5018">
          <cell r="O5018" t="str">
            <v>SC2448SO</v>
          </cell>
          <cell r="P5018" t="str">
            <v>STC9906S</v>
          </cell>
          <cell r="Q5018" t="str">
            <v>磁性位置传感器</v>
          </cell>
        </row>
        <row r="5019">
          <cell r="O5019" t="str">
            <v>SC2448SO</v>
          </cell>
          <cell r="P5019" t="str">
            <v>STC11102B</v>
          </cell>
          <cell r="Q5019" t="str">
            <v>磁性位置传感器</v>
          </cell>
        </row>
        <row r="5020">
          <cell r="O5020" t="str">
            <v>SC2442SO</v>
          </cell>
          <cell r="P5020" t="str">
            <v>STC9906R</v>
          </cell>
          <cell r="Q5020" t="str">
            <v>磁性位置传感器</v>
          </cell>
        </row>
        <row r="5021">
          <cell r="O5021" t="str">
            <v>SC2438SO</v>
          </cell>
          <cell r="P5021" t="str">
            <v>STC9906I</v>
          </cell>
          <cell r="Q5021" t="str">
            <v>磁性位置传感器</v>
          </cell>
        </row>
        <row r="5022">
          <cell r="O5022" t="str">
            <v>SC2438SO</v>
          </cell>
          <cell r="P5022" t="str">
            <v>STC9906I</v>
          </cell>
          <cell r="Q5022" t="str">
            <v>磁性位置传感器</v>
          </cell>
        </row>
        <row r="5023">
          <cell r="O5023" t="str">
            <v>SC2448SO</v>
          </cell>
          <cell r="P5023" t="str">
            <v>STC9906S</v>
          </cell>
          <cell r="Q5023" t="str">
            <v>磁性位置传感器</v>
          </cell>
        </row>
        <row r="5024">
          <cell r="O5024" t="str">
            <v>SC2462SO</v>
          </cell>
          <cell r="P5024" t="str">
            <v>STC9906J</v>
          </cell>
          <cell r="Q5024" t="str">
            <v>磁性位置传感器</v>
          </cell>
        </row>
        <row r="5025">
          <cell r="O5025" t="str">
            <v>SC2402UA</v>
          </cell>
          <cell r="P5025" t="str">
            <v>STC9G002B</v>
          </cell>
          <cell r="Q5025" t="str">
            <v>磁性位置传感器</v>
          </cell>
        </row>
        <row r="5026">
          <cell r="O5026" t="str">
            <v>SC2064SO</v>
          </cell>
          <cell r="P5026" t="str">
            <v>STC9G001C</v>
          </cell>
          <cell r="Q5026" t="str">
            <v>磁性位置传感器</v>
          </cell>
        </row>
        <row r="5027">
          <cell r="O5027" t="str">
            <v>ATK-E512</v>
          </cell>
          <cell r="P5027" t="str">
            <v>STC4011B</v>
          </cell>
          <cell r="Q5027" t="str">
            <v>磁性位置传感器</v>
          </cell>
        </row>
        <row r="5028">
          <cell r="O5028" t="str">
            <v>ATK-E512</v>
          </cell>
          <cell r="P5028" t="str">
            <v>STC4011B</v>
          </cell>
          <cell r="Q5028" t="str">
            <v>磁性位置传感器</v>
          </cell>
        </row>
        <row r="5029">
          <cell r="O5029" t="str">
            <v>ATK-E512</v>
          </cell>
          <cell r="P5029" t="str">
            <v>STC4011B</v>
          </cell>
          <cell r="Q5029" t="str">
            <v>磁性位置传感器</v>
          </cell>
        </row>
        <row r="5030">
          <cell r="O5030" t="str">
            <v>ATK-E512</v>
          </cell>
          <cell r="P5030" t="str">
            <v>STC4011B</v>
          </cell>
          <cell r="Q5030" t="str">
            <v>磁性位置传感器</v>
          </cell>
        </row>
        <row r="5031">
          <cell r="O5031" t="str">
            <v>ATK-E512</v>
          </cell>
          <cell r="P5031" t="str">
            <v>STC4011B</v>
          </cell>
          <cell r="Q5031" t="str">
            <v>磁性位置传感器</v>
          </cell>
        </row>
        <row r="5032">
          <cell r="O5032" t="str">
            <v>SC2462SO</v>
          </cell>
          <cell r="P5032" t="str">
            <v>STC9906J</v>
          </cell>
          <cell r="Q5032" t="str">
            <v>磁性位置传感器</v>
          </cell>
        </row>
        <row r="5033">
          <cell r="O5033" t="str">
            <v>SC2462SO</v>
          </cell>
          <cell r="P5033" t="str">
            <v>STC9906J</v>
          </cell>
          <cell r="Q5033" t="str">
            <v>磁性位置传感器</v>
          </cell>
        </row>
        <row r="5034">
          <cell r="O5034" t="str">
            <v>SC9621VB</v>
          </cell>
          <cell r="P5034" t="str">
            <v>STC9910C</v>
          </cell>
          <cell r="Q5034" t="str">
            <v>速度传感器</v>
          </cell>
        </row>
        <row r="5035">
          <cell r="O5035" t="str">
            <v>G01</v>
          </cell>
          <cell r="P5035" t="str">
            <v>STC4011B</v>
          </cell>
          <cell r="Q5035" t="str">
            <v>磁性位置传感器</v>
          </cell>
        </row>
        <row r="5036">
          <cell r="O5036" t="str">
            <v>G01</v>
          </cell>
          <cell r="P5036" t="str">
            <v>STC4011B</v>
          </cell>
          <cell r="Q5036" t="str">
            <v>磁性位置传感器</v>
          </cell>
        </row>
        <row r="5037">
          <cell r="O5037" t="str">
            <v>G01</v>
          </cell>
          <cell r="P5037" t="str">
            <v>STC4011B</v>
          </cell>
          <cell r="Q5037" t="str">
            <v>磁性位置传感器</v>
          </cell>
        </row>
        <row r="5038">
          <cell r="O5038" t="str">
            <v>G01</v>
          </cell>
          <cell r="P5038" t="str">
            <v>STC4011B</v>
          </cell>
          <cell r="Q5038" t="str">
            <v>磁性位置传感器</v>
          </cell>
        </row>
        <row r="5039">
          <cell r="O5039" t="str">
            <v>G01</v>
          </cell>
          <cell r="P5039" t="str">
            <v>STC4011B</v>
          </cell>
          <cell r="Q5039" t="str">
            <v>磁性位置传感器</v>
          </cell>
        </row>
        <row r="5040">
          <cell r="O5040" t="str">
            <v>G01</v>
          </cell>
          <cell r="P5040" t="str">
            <v>STC4011B</v>
          </cell>
          <cell r="Q5040" t="str">
            <v>磁性位置传感器</v>
          </cell>
        </row>
        <row r="5041">
          <cell r="O5041" t="str">
            <v>G01</v>
          </cell>
          <cell r="P5041" t="str">
            <v>STC4011B</v>
          </cell>
          <cell r="Q5041" t="str">
            <v>磁性位置传感器</v>
          </cell>
        </row>
        <row r="5042">
          <cell r="O5042" t="str">
            <v>G01</v>
          </cell>
          <cell r="P5042" t="str">
            <v>STC4011B</v>
          </cell>
          <cell r="Q5042" t="str">
            <v>磁性位置传感器</v>
          </cell>
        </row>
        <row r="5043">
          <cell r="O5043" t="str">
            <v>G01</v>
          </cell>
          <cell r="P5043" t="str">
            <v>STC4011B</v>
          </cell>
          <cell r="Q5043" t="str">
            <v>磁性位置传感器</v>
          </cell>
        </row>
        <row r="5044">
          <cell r="O5044" t="str">
            <v>G01</v>
          </cell>
          <cell r="P5044" t="str">
            <v>STC4011B</v>
          </cell>
          <cell r="Q5044" t="str">
            <v>磁性位置传感器</v>
          </cell>
        </row>
        <row r="5045">
          <cell r="O5045" t="str">
            <v>SC60228DC</v>
          </cell>
          <cell r="P5045" t="str">
            <v>STC9D04C</v>
          </cell>
          <cell r="Q5045" t="str">
            <v>电机编码器</v>
          </cell>
        </row>
        <row r="5046">
          <cell r="O5046" t="str">
            <v>SC9621VB</v>
          </cell>
          <cell r="P5046" t="str">
            <v>STC9910C</v>
          </cell>
          <cell r="Q5046" t="str">
            <v>速度传感器</v>
          </cell>
        </row>
        <row r="5047">
          <cell r="O5047" t="str">
            <v>SC9625VB-L</v>
          </cell>
          <cell r="P5047" t="str">
            <v>STC9910E</v>
          </cell>
          <cell r="Q5047" t="str">
            <v>速度传感器</v>
          </cell>
        </row>
        <row r="5048">
          <cell r="O5048" t="str">
            <v>SC9625VB-L</v>
          </cell>
          <cell r="P5048" t="str">
            <v>STC9910E</v>
          </cell>
          <cell r="Q5048" t="str">
            <v>速度传感器</v>
          </cell>
        </row>
        <row r="5049">
          <cell r="O5049" t="str">
            <v>SC2462SO</v>
          </cell>
          <cell r="P5049" t="str">
            <v>STC9906J</v>
          </cell>
          <cell r="Q5049" t="str">
            <v>磁性位置传感器</v>
          </cell>
        </row>
        <row r="5050">
          <cell r="O5050" t="str">
            <v>SC4689SA</v>
          </cell>
          <cell r="P5050" t="str">
            <v>STC9D01F</v>
          </cell>
          <cell r="Q5050" t="str">
            <v>角度传感器</v>
          </cell>
        </row>
        <row r="5051">
          <cell r="O5051" t="str">
            <v>SC4689SA</v>
          </cell>
          <cell r="P5051" t="str">
            <v>STC9D01F</v>
          </cell>
          <cell r="Q5051" t="str">
            <v>角度传感器</v>
          </cell>
        </row>
        <row r="5052">
          <cell r="O5052" t="str">
            <v>SC9641TS-PC</v>
          </cell>
          <cell r="P5052" t="str">
            <v>STC9A001I</v>
          </cell>
          <cell r="Q5052" t="str">
            <v>速度传感器</v>
          </cell>
        </row>
        <row r="5053">
          <cell r="O5053" t="str">
            <v>SC2443UA</v>
          </cell>
          <cell r="P5053" t="str">
            <v>STC9906W</v>
          </cell>
          <cell r="Q5053" t="str">
            <v>磁性位置传感器</v>
          </cell>
        </row>
        <row r="5054">
          <cell r="O5054" t="str">
            <v>SC2443UA</v>
          </cell>
          <cell r="P5054" t="str">
            <v>STC9906W</v>
          </cell>
          <cell r="Q5054" t="str">
            <v>磁性位置传感器</v>
          </cell>
        </row>
        <row r="5055">
          <cell r="O5055" t="str">
            <v>SC2443UA</v>
          </cell>
          <cell r="P5055" t="str">
            <v>STC9906W</v>
          </cell>
          <cell r="Q5055" t="str">
            <v>磁性位置传感器</v>
          </cell>
        </row>
        <row r="5056">
          <cell r="O5056" t="str">
            <v>SC2443UA</v>
          </cell>
          <cell r="P5056" t="str">
            <v>STC9906W</v>
          </cell>
          <cell r="Q5056" t="str">
            <v>磁性位置传感器</v>
          </cell>
        </row>
        <row r="5057">
          <cell r="O5057" t="str">
            <v>SC2443UA</v>
          </cell>
          <cell r="P5057" t="str">
            <v>STC9906W</v>
          </cell>
          <cell r="Q5057" t="str">
            <v>磁性位置传感器</v>
          </cell>
        </row>
        <row r="5058">
          <cell r="O5058" t="str">
            <v>SC2443UA</v>
          </cell>
          <cell r="P5058" t="str">
            <v>STC9906W</v>
          </cell>
          <cell r="Q5058" t="str">
            <v>磁性位置传感器</v>
          </cell>
        </row>
        <row r="5059">
          <cell r="O5059" t="str">
            <v>SC2443UA</v>
          </cell>
          <cell r="P5059" t="str">
            <v>STC9906W</v>
          </cell>
          <cell r="Q5059" t="str">
            <v>磁性位置传感器</v>
          </cell>
        </row>
        <row r="5060">
          <cell r="O5060" t="str">
            <v>SC2443UA</v>
          </cell>
          <cell r="P5060" t="str">
            <v>STC9906W</v>
          </cell>
          <cell r="Q5060" t="str">
            <v>磁性位置传感器</v>
          </cell>
        </row>
        <row r="5061">
          <cell r="O5061" t="str">
            <v>SC2443SO</v>
          </cell>
          <cell r="P5061" t="str">
            <v>STC9906T</v>
          </cell>
          <cell r="Q5061" t="str">
            <v>磁性位置传感器</v>
          </cell>
        </row>
        <row r="5062">
          <cell r="O5062" t="str">
            <v>SC2448UA-N</v>
          </cell>
          <cell r="P5062" t="str">
            <v>STC9906S</v>
          </cell>
          <cell r="Q5062" t="str">
            <v>磁性位置传感器</v>
          </cell>
        </row>
        <row r="5063">
          <cell r="O5063" t="str">
            <v>SC2448UA-N</v>
          </cell>
          <cell r="P5063" t="str">
            <v>STC9906S</v>
          </cell>
          <cell r="Q5063" t="str">
            <v>磁性位置传感器</v>
          </cell>
        </row>
        <row r="5064">
          <cell r="O5064" t="str">
            <v>SC2448UA-N</v>
          </cell>
          <cell r="P5064" t="str">
            <v>STC9906S</v>
          </cell>
          <cell r="Q5064" t="str">
            <v>磁性位置传感器</v>
          </cell>
        </row>
        <row r="5065">
          <cell r="O5065" t="str">
            <v>SC9314UA</v>
          </cell>
          <cell r="P5065" t="str">
            <v>STC9901AF</v>
          </cell>
          <cell r="Q5065" t="str">
            <v>速度传感器</v>
          </cell>
        </row>
        <row r="5066">
          <cell r="O5066" t="str">
            <v>SC2442SO</v>
          </cell>
          <cell r="P5066" t="str">
            <v>STC9906R</v>
          </cell>
          <cell r="Q5066" t="str">
            <v>磁性位置传感器</v>
          </cell>
        </row>
        <row r="5067">
          <cell r="O5067" t="str">
            <v>SC2498TSO</v>
          </cell>
          <cell r="P5067" t="str">
            <v>STC11300C</v>
          </cell>
          <cell r="Q5067" t="str">
            <v>磁性位置传感器</v>
          </cell>
        </row>
        <row r="5068">
          <cell r="O5068" t="str">
            <v>SC2448SO</v>
          </cell>
          <cell r="P5068" t="str">
            <v>STC9906S</v>
          </cell>
          <cell r="Q5068" t="str">
            <v>磁性位置传感器</v>
          </cell>
        </row>
        <row r="5069">
          <cell r="O5069" t="str">
            <v>SC2448SO</v>
          </cell>
          <cell r="P5069" t="str">
            <v>STC9906S</v>
          </cell>
          <cell r="Q5069" t="str">
            <v>磁性位置传感器</v>
          </cell>
        </row>
        <row r="5070">
          <cell r="O5070" t="str">
            <v>SC9641TS-PC</v>
          </cell>
          <cell r="P5070" t="str">
            <v>STC9A001I</v>
          </cell>
          <cell r="Q5070" t="str">
            <v>速度传感器</v>
          </cell>
        </row>
        <row r="5071">
          <cell r="O5071" t="str">
            <v>SC9632VB</v>
          </cell>
          <cell r="P5071" t="str">
            <v>STC9905E</v>
          </cell>
          <cell r="Q5071" t="str">
            <v>速度传感器</v>
          </cell>
        </row>
        <row r="5072">
          <cell r="O5072" t="str">
            <v>SC60221-D-400</v>
          </cell>
          <cell r="P5072" t="str">
            <v>STC9D04C</v>
          </cell>
          <cell r="Q5072" t="str">
            <v>电机编码器</v>
          </cell>
        </row>
        <row r="5073">
          <cell r="O5073" t="str">
            <v>SC60221-D-400</v>
          </cell>
          <cell r="P5073" t="str">
            <v>STC9D04C</v>
          </cell>
          <cell r="Q5073" t="str">
            <v>电机编码器</v>
          </cell>
        </row>
        <row r="5074">
          <cell r="O5074" t="str">
            <v>SC60221-U-P1-256-244-mai</v>
          </cell>
          <cell r="P5074" t="str">
            <v>STC9D04C</v>
          </cell>
          <cell r="Q5074" t="str">
            <v>电机编码器</v>
          </cell>
        </row>
        <row r="5075">
          <cell r="O5075" t="str">
            <v>SC60221-U-P1-256-244-mai</v>
          </cell>
          <cell r="P5075" t="str">
            <v>STC9D04C</v>
          </cell>
          <cell r="Q5075" t="str">
            <v>电机编码器</v>
          </cell>
        </row>
        <row r="5076">
          <cell r="O5076" t="str">
            <v>SC60221-U-P1-256-244-mai</v>
          </cell>
          <cell r="P5076" t="str">
            <v>STC9D04C</v>
          </cell>
          <cell r="Q5076" t="str">
            <v>电机编码器</v>
          </cell>
        </row>
        <row r="5077">
          <cell r="O5077" t="str">
            <v>SC60221-U-P1-256-244-mai</v>
          </cell>
          <cell r="P5077" t="str">
            <v>STC9D04C</v>
          </cell>
          <cell r="Q5077" t="str">
            <v>电机编码器</v>
          </cell>
        </row>
        <row r="5078">
          <cell r="O5078" t="str">
            <v>SC1645A2</v>
          </cell>
          <cell r="P5078" t="str">
            <v>STC2899AE</v>
          </cell>
          <cell r="Q5078" t="str">
            <v>磁性位置传感器</v>
          </cell>
        </row>
        <row r="5079">
          <cell r="O5079" t="str">
            <v>SC1645A2</v>
          </cell>
          <cell r="P5079" t="str">
            <v>STC2899AE</v>
          </cell>
          <cell r="Q5079" t="str">
            <v>磁性位置传感器</v>
          </cell>
        </row>
        <row r="5080">
          <cell r="O5080" t="str">
            <v>SCN919</v>
          </cell>
          <cell r="P5080" t="str">
            <v>STC9909B</v>
          </cell>
          <cell r="Q5080" t="str">
            <v>磁性位置传感器</v>
          </cell>
        </row>
        <row r="5081">
          <cell r="O5081" t="str">
            <v>SC2442UA</v>
          </cell>
          <cell r="P5081" t="str">
            <v>STC9906P</v>
          </cell>
          <cell r="Q5081" t="str">
            <v>磁性位置传感器</v>
          </cell>
        </row>
        <row r="5082">
          <cell r="O5082" t="str">
            <v>SC2442UA</v>
          </cell>
          <cell r="P5082" t="str">
            <v>STC9906P</v>
          </cell>
          <cell r="Q5082" t="str">
            <v>磁性位置传感器</v>
          </cell>
        </row>
        <row r="5083">
          <cell r="O5083" t="str">
            <v>SC2442UA</v>
          </cell>
          <cell r="P5083" t="str">
            <v>STC11102A</v>
          </cell>
          <cell r="Q5083" t="str">
            <v>磁性位置传感器</v>
          </cell>
        </row>
        <row r="5084">
          <cell r="O5084" t="str">
            <v>SC2442UA</v>
          </cell>
          <cell r="P5084" t="str">
            <v>STC11102A</v>
          </cell>
          <cell r="Q5084" t="str">
            <v>磁性位置传感器</v>
          </cell>
        </row>
        <row r="5085">
          <cell r="O5085" t="str">
            <v>SC9621VB</v>
          </cell>
          <cell r="P5085" t="str">
            <v>STC9910C</v>
          </cell>
          <cell r="Q5085" t="str">
            <v>速度传感器</v>
          </cell>
        </row>
        <row r="5086">
          <cell r="O5086" t="str">
            <v>SC2402SO-N-H</v>
          </cell>
          <cell r="P5086" t="str">
            <v>STC9H001A</v>
          </cell>
          <cell r="Q5086" t="str">
            <v>磁性位置传感器</v>
          </cell>
        </row>
        <row r="5087">
          <cell r="O5087" t="str">
            <v>SC2402SO-N-H</v>
          </cell>
          <cell r="P5087" t="str">
            <v>STC9H001A</v>
          </cell>
          <cell r="Q5087" t="str">
            <v>磁性位置传感器</v>
          </cell>
        </row>
        <row r="5088">
          <cell r="O5088" t="str">
            <v>SL002147</v>
          </cell>
          <cell r="P5088" t="str">
            <v>STC16100A</v>
          </cell>
          <cell r="Q5088" t="str">
            <v>电流传感器</v>
          </cell>
        </row>
        <row r="5089">
          <cell r="O5089" t="str">
            <v>SC2448SO</v>
          </cell>
          <cell r="P5089" t="str">
            <v>STC11102B</v>
          </cell>
          <cell r="Q5089" t="str">
            <v>磁性位置传感器</v>
          </cell>
        </row>
        <row r="5090">
          <cell r="O5090" t="str">
            <v>ATK-E512</v>
          </cell>
          <cell r="P5090" t="str">
            <v>STC4011B</v>
          </cell>
          <cell r="Q5090" t="str">
            <v>磁性位置传感器</v>
          </cell>
        </row>
        <row r="5091">
          <cell r="O5091" t="str">
            <v>ATK-E512</v>
          </cell>
          <cell r="P5091" t="str">
            <v>STC4011B</v>
          </cell>
          <cell r="Q5091" t="str">
            <v>磁性位置传感器</v>
          </cell>
        </row>
        <row r="5092">
          <cell r="O5092" t="str">
            <v>ATK-E512</v>
          </cell>
          <cell r="P5092" t="str">
            <v>STC4011B</v>
          </cell>
          <cell r="Q5092" t="str">
            <v>磁性位置传感器</v>
          </cell>
        </row>
        <row r="5093">
          <cell r="O5093" t="str">
            <v>ATK-E512</v>
          </cell>
          <cell r="P5093" t="str">
            <v>STC4011B</v>
          </cell>
          <cell r="Q5093" t="str">
            <v>磁性位置传感器</v>
          </cell>
        </row>
        <row r="5094">
          <cell r="O5094" t="str">
            <v>ATK-E512</v>
          </cell>
          <cell r="P5094" t="str">
            <v>STC4011B</v>
          </cell>
          <cell r="Q5094" t="str">
            <v>磁性位置传感器</v>
          </cell>
        </row>
        <row r="5095">
          <cell r="O5095" t="str">
            <v>STC4011B-DS</v>
          </cell>
          <cell r="P5095" t="str">
            <v>STC4011B</v>
          </cell>
          <cell r="Q5095" t="str">
            <v>磁性位置传感器</v>
          </cell>
        </row>
        <row r="5096">
          <cell r="O5096" t="str">
            <v>STC4011B-DS</v>
          </cell>
          <cell r="P5096" t="str">
            <v>STC4011B</v>
          </cell>
          <cell r="Q5096" t="str">
            <v>磁性位置传感器</v>
          </cell>
        </row>
        <row r="5097">
          <cell r="O5097" t="str">
            <v>49E</v>
          </cell>
          <cell r="P5097" t="str">
            <v>STC4011B</v>
          </cell>
          <cell r="Q5097" t="str">
            <v>磁性位置传感器</v>
          </cell>
        </row>
        <row r="5098">
          <cell r="O5098" t="str">
            <v>G01</v>
          </cell>
          <cell r="P5098" t="str">
            <v>STC4011B</v>
          </cell>
          <cell r="Q5098" t="str">
            <v>磁性位置传感器</v>
          </cell>
        </row>
        <row r="5099">
          <cell r="O5099" t="str">
            <v>G01</v>
          </cell>
          <cell r="P5099" t="str">
            <v>STC4011B</v>
          </cell>
          <cell r="Q5099" t="str">
            <v>磁性位置传感器</v>
          </cell>
        </row>
        <row r="5100">
          <cell r="O5100" t="str">
            <v>G01</v>
          </cell>
          <cell r="P5100" t="str">
            <v>STC4011B</v>
          </cell>
          <cell r="Q5100" t="str">
            <v>磁性位置传感器</v>
          </cell>
        </row>
        <row r="5101">
          <cell r="O5101" t="str">
            <v>G01</v>
          </cell>
          <cell r="P5101" t="str">
            <v>STC4011B</v>
          </cell>
          <cell r="Q5101" t="str">
            <v>磁性位置传感器</v>
          </cell>
        </row>
        <row r="5102">
          <cell r="O5102" t="str">
            <v>G01</v>
          </cell>
          <cell r="P5102" t="str">
            <v>STC4011B</v>
          </cell>
          <cell r="Q5102" t="str">
            <v>磁性位置传感器</v>
          </cell>
        </row>
        <row r="5103">
          <cell r="O5103" t="str">
            <v>G01</v>
          </cell>
          <cell r="P5103" t="str">
            <v>STC4011B</v>
          </cell>
          <cell r="Q5103" t="str">
            <v>磁性位置传感器</v>
          </cell>
        </row>
        <row r="5104">
          <cell r="O5104" t="str">
            <v>G01</v>
          </cell>
          <cell r="P5104" t="str">
            <v>STC4011B</v>
          </cell>
          <cell r="Q5104" t="str">
            <v>磁性位置传感器</v>
          </cell>
        </row>
        <row r="5105">
          <cell r="O5105" t="str">
            <v>G01</v>
          </cell>
          <cell r="P5105" t="str">
            <v>STC4011B</v>
          </cell>
          <cell r="Q5105" t="str">
            <v>磁性位置传感器</v>
          </cell>
        </row>
        <row r="5106">
          <cell r="O5106" t="str">
            <v>G01</v>
          </cell>
          <cell r="P5106" t="str">
            <v>STC4011B</v>
          </cell>
          <cell r="Q5106" t="str">
            <v>磁性位置传感器</v>
          </cell>
        </row>
        <row r="5107">
          <cell r="O5107" t="str">
            <v>SC9641TS-P</v>
          </cell>
          <cell r="P5107" t="str">
            <v>STC9A001I</v>
          </cell>
          <cell r="Q5107" t="str">
            <v>速度传感器</v>
          </cell>
        </row>
        <row r="5108">
          <cell r="O5108" t="str">
            <v>SC9641TS-P</v>
          </cell>
          <cell r="P5108" t="str">
            <v>STC9A001I</v>
          </cell>
          <cell r="Q5108" t="str">
            <v>速度传感器</v>
          </cell>
        </row>
        <row r="5109">
          <cell r="O5109" t="str">
            <v>SC4689SA</v>
          </cell>
          <cell r="P5109" t="str">
            <v>STC9D01F</v>
          </cell>
          <cell r="Q5109" t="str">
            <v>角度传感器</v>
          </cell>
        </row>
        <row r="5110">
          <cell r="O5110" t="str">
            <v>SC4689SA</v>
          </cell>
          <cell r="P5110" t="str">
            <v>STC9D01F</v>
          </cell>
          <cell r="Q5110" t="str">
            <v>角度传感器</v>
          </cell>
        </row>
        <row r="5111">
          <cell r="O5111" t="str">
            <v>SC4689SA</v>
          </cell>
          <cell r="P5111" t="str">
            <v>STC9D01F</v>
          </cell>
          <cell r="Q5111" t="str">
            <v>角度传感器</v>
          </cell>
        </row>
        <row r="5112">
          <cell r="O5112" t="str">
            <v>SC9648TS-P</v>
          </cell>
          <cell r="P5112" t="str">
            <v>STC9A001I</v>
          </cell>
          <cell r="Q5112" t="str">
            <v>速度传感器</v>
          </cell>
        </row>
        <row r="5113">
          <cell r="O5113" t="str">
            <v>SC9648TS-P</v>
          </cell>
          <cell r="P5113" t="str">
            <v>STC9A001I</v>
          </cell>
          <cell r="Q5113" t="str">
            <v>速度传感器</v>
          </cell>
        </row>
        <row r="5114">
          <cell r="O5114" t="str">
            <v>SC9648TS-P</v>
          </cell>
          <cell r="P5114" t="str">
            <v>STC9A001I</v>
          </cell>
          <cell r="Q5114" t="str">
            <v>速度传感器</v>
          </cell>
        </row>
        <row r="5115">
          <cell r="O5115" t="str">
            <v>SC9648TS-P</v>
          </cell>
          <cell r="P5115" t="str">
            <v>STC9A001I</v>
          </cell>
          <cell r="Q5115" t="str">
            <v>速度传感器</v>
          </cell>
        </row>
        <row r="5116">
          <cell r="O5116" t="str">
            <v>SC9641TS-PC</v>
          </cell>
          <cell r="P5116" t="str">
            <v>STC9A001I</v>
          </cell>
          <cell r="Q5116" t="str">
            <v>速度传感器</v>
          </cell>
        </row>
        <row r="5117">
          <cell r="O5117" t="str">
            <v>SC9641TS-PC</v>
          </cell>
          <cell r="P5117" t="str">
            <v>STC9A001I</v>
          </cell>
          <cell r="Q5117" t="str">
            <v>速度传感器</v>
          </cell>
        </row>
        <row r="5118">
          <cell r="O5118" t="str">
            <v>SC9641TS-PC</v>
          </cell>
          <cell r="P5118" t="str">
            <v>STC9A001I</v>
          </cell>
          <cell r="Q5118" t="str">
            <v>速度传感器</v>
          </cell>
        </row>
        <row r="5119">
          <cell r="O5119" t="str">
            <v>SC2448UA-N</v>
          </cell>
          <cell r="P5119" t="str">
            <v>STC9906S</v>
          </cell>
          <cell r="Q5119" t="str">
            <v>磁性位置传感器</v>
          </cell>
        </row>
        <row r="5120">
          <cell r="O5120" t="str">
            <v>SC2448UA-N</v>
          </cell>
          <cell r="P5120" t="str">
            <v>STC9906S</v>
          </cell>
          <cell r="Q5120" t="str">
            <v>磁性位置传感器</v>
          </cell>
        </row>
        <row r="5121">
          <cell r="O5121" t="str">
            <v>SC2448UA-N</v>
          </cell>
          <cell r="P5121" t="str">
            <v>STC9906S</v>
          </cell>
          <cell r="Q5121" t="str">
            <v>磁性位置传感器</v>
          </cell>
        </row>
        <row r="5122">
          <cell r="O5122" t="str">
            <v>SC2448UA-N</v>
          </cell>
          <cell r="P5122" t="str">
            <v>STC9906S</v>
          </cell>
          <cell r="Q5122" t="str">
            <v>磁性位置传感器</v>
          </cell>
        </row>
        <row r="5123">
          <cell r="O5123" t="str">
            <v>SC2448UA-N</v>
          </cell>
          <cell r="P5123" t="str">
            <v>STC9906S</v>
          </cell>
          <cell r="Q5123" t="str">
            <v>磁性位置传感器</v>
          </cell>
        </row>
        <row r="5124">
          <cell r="O5124" t="str">
            <v>SC4643VB-A</v>
          </cell>
          <cell r="P5124" t="str">
            <v>STC9D03E</v>
          </cell>
          <cell r="Q5124" t="str">
            <v>电流传感器</v>
          </cell>
        </row>
        <row r="5125">
          <cell r="O5125" t="str">
            <v>SC4643VB-A</v>
          </cell>
          <cell r="P5125" t="str">
            <v>STC9D03E</v>
          </cell>
          <cell r="Q5125" t="str">
            <v>电流传感器</v>
          </cell>
        </row>
        <row r="5126">
          <cell r="O5126" t="str">
            <v>SC4643VB-A</v>
          </cell>
          <cell r="P5126" t="str">
            <v>STC9D03E</v>
          </cell>
          <cell r="Q5126" t="str">
            <v>电流传感器</v>
          </cell>
        </row>
        <row r="5127">
          <cell r="O5127" t="str">
            <v>SC4643VB-A</v>
          </cell>
          <cell r="P5127" t="str">
            <v>STC9D03E</v>
          </cell>
          <cell r="Q5127" t="str">
            <v>电流传感器</v>
          </cell>
        </row>
        <row r="5128">
          <cell r="O5128" t="str">
            <v>SC4643VB-A</v>
          </cell>
          <cell r="P5128" t="str">
            <v>STC9D03E</v>
          </cell>
          <cell r="Q5128" t="str">
            <v>电流传感器</v>
          </cell>
        </row>
        <row r="5129">
          <cell r="O5129" t="str">
            <v>SC4643VB-A</v>
          </cell>
          <cell r="P5129" t="str">
            <v>STC9D03E</v>
          </cell>
          <cell r="Q5129" t="str">
            <v>电流传感器</v>
          </cell>
        </row>
        <row r="5130">
          <cell r="O5130" t="str">
            <v>SC4643VB-A</v>
          </cell>
          <cell r="P5130" t="str">
            <v>STC9D03E</v>
          </cell>
          <cell r="Q5130" t="str">
            <v>电流传感器</v>
          </cell>
        </row>
        <row r="5131">
          <cell r="O5131" t="str">
            <v>SC4643VB-A</v>
          </cell>
          <cell r="P5131" t="str">
            <v>STC9D03E</v>
          </cell>
          <cell r="Q5131" t="str">
            <v>电流传感器</v>
          </cell>
        </row>
        <row r="5132">
          <cell r="O5132" t="str">
            <v>SC4643VB-A</v>
          </cell>
          <cell r="P5132" t="str">
            <v>STC9D03E</v>
          </cell>
          <cell r="Q5132" t="str">
            <v>电流传感器</v>
          </cell>
        </row>
        <row r="5133">
          <cell r="O5133" t="str">
            <v>SC4643VB-A</v>
          </cell>
          <cell r="P5133" t="str">
            <v>STC9D03E</v>
          </cell>
          <cell r="Q5133" t="str">
            <v>电流传感器</v>
          </cell>
        </row>
        <row r="5134">
          <cell r="O5134" t="str">
            <v>SC1445A1</v>
          </cell>
          <cell r="P5134" t="str">
            <v>STC2899AB</v>
          </cell>
          <cell r="Q5134" t="str">
            <v>磁性位置传感器</v>
          </cell>
        </row>
        <row r="5135">
          <cell r="O5135" t="str">
            <v>SC9648TS-P</v>
          </cell>
          <cell r="P5135" t="str">
            <v>STC9A001I</v>
          </cell>
          <cell r="Q5135" t="str">
            <v>速度传感器</v>
          </cell>
        </row>
        <row r="5136">
          <cell r="O5136" t="str">
            <v>SC9648TS-P</v>
          </cell>
          <cell r="P5136" t="str">
            <v>STC9A001I</v>
          </cell>
          <cell r="Q5136" t="str">
            <v>速度传感器</v>
          </cell>
        </row>
        <row r="5137">
          <cell r="O5137" t="str">
            <v>SC9648TS-P</v>
          </cell>
          <cell r="P5137" t="str">
            <v>STC9A001I</v>
          </cell>
          <cell r="Q5137" t="str">
            <v>速度传感器</v>
          </cell>
        </row>
        <row r="5138">
          <cell r="O5138" t="str">
            <v>SC9648TS-P</v>
          </cell>
          <cell r="P5138" t="str">
            <v>STC9A001I</v>
          </cell>
          <cell r="Q5138" t="str">
            <v>速度传感器</v>
          </cell>
        </row>
        <row r="5139">
          <cell r="O5139" t="str">
            <v>SC9641TS-PC</v>
          </cell>
          <cell r="P5139" t="str">
            <v>STC9A001I</v>
          </cell>
          <cell r="Q5139" t="str">
            <v>速度传感器</v>
          </cell>
        </row>
        <row r="5140">
          <cell r="O5140" t="str">
            <v>SC1445A1</v>
          </cell>
          <cell r="P5140" t="str">
            <v>STC2899AB</v>
          </cell>
          <cell r="Q5140" t="str">
            <v>磁性位置传感器</v>
          </cell>
        </row>
        <row r="5141">
          <cell r="O5141" t="str">
            <v>SC9642TS</v>
          </cell>
          <cell r="P5141" t="str">
            <v>STC9A001G</v>
          </cell>
          <cell r="Q5141" t="str">
            <v>速度传感器</v>
          </cell>
        </row>
        <row r="5142">
          <cell r="O5142" t="str">
            <v>SC9642TS</v>
          </cell>
          <cell r="P5142" t="str">
            <v>STC9A001G</v>
          </cell>
          <cell r="Q5142" t="str">
            <v>速度传感器</v>
          </cell>
        </row>
        <row r="5143">
          <cell r="O5143" t="str">
            <v>SC60340</v>
          </cell>
          <cell r="P5143" t="str">
            <v>STC9D05B</v>
          </cell>
          <cell r="Q5143" t="str">
            <v>电机编码器</v>
          </cell>
        </row>
        <row r="5144">
          <cell r="O5144" t="str">
            <v>SC9634VB</v>
          </cell>
          <cell r="P5144" t="str">
            <v>STC9905G</v>
          </cell>
          <cell r="Q5144" t="str">
            <v>速度传感器</v>
          </cell>
        </row>
        <row r="5145">
          <cell r="O5145" t="str">
            <v>SC9634VB</v>
          </cell>
          <cell r="P5145" t="str">
            <v>STC9905G</v>
          </cell>
          <cell r="Q5145" t="str">
            <v>速度传感器</v>
          </cell>
        </row>
        <row r="5146">
          <cell r="O5146" t="str">
            <v>ATK-E512</v>
          </cell>
          <cell r="P5146" t="str">
            <v>STC4011B</v>
          </cell>
          <cell r="Q5146" t="str">
            <v>磁性位置传感器</v>
          </cell>
        </row>
        <row r="5147">
          <cell r="O5147" t="str">
            <v>ATK-E512</v>
          </cell>
          <cell r="P5147" t="str">
            <v>STC4011B</v>
          </cell>
          <cell r="Q5147" t="str">
            <v>磁性位置传感器</v>
          </cell>
        </row>
        <row r="5148">
          <cell r="O5148" t="str">
            <v>ATK-E512</v>
          </cell>
          <cell r="P5148" t="str">
            <v>STC4011B</v>
          </cell>
          <cell r="Q5148" t="str">
            <v>磁性位置传感器</v>
          </cell>
        </row>
        <row r="5149">
          <cell r="O5149" t="str">
            <v>ATK-E512</v>
          </cell>
          <cell r="P5149" t="str">
            <v>STC4011B</v>
          </cell>
          <cell r="Q5149" t="str">
            <v>磁性位置传感器</v>
          </cell>
        </row>
        <row r="5150">
          <cell r="O5150" t="str">
            <v>ATK-E512</v>
          </cell>
          <cell r="P5150" t="str">
            <v>STC4011B</v>
          </cell>
          <cell r="Q5150" t="str">
            <v>磁性位置传感器</v>
          </cell>
        </row>
        <row r="5151">
          <cell r="O5151" t="str">
            <v>ATK-E512</v>
          </cell>
          <cell r="P5151" t="str">
            <v>STC4011B</v>
          </cell>
          <cell r="Q5151" t="str">
            <v>磁性位置传感器</v>
          </cell>
        </row>
        <row r="5152">
          <cell r="O5152" t="str">
            <v>ATK-E512</v>
          </cell>
          <cell r="P5152" t="str">
            <v>STC4011B</v>
          </cell>
          <cell r="Q5152" t="str">
            <v>磁性位置传感器</v>
          </cell>
        </row>
        <row r="5153">
          <cell r="O5153" t="str">
            <v>ATK-E512</v>
          </cell>
          <cell r="P5153" t="str">
            <v>STC4011B</v>
          </cell>
          <cell r="Q5153" t="str">
            <v>磁性位置传感器</v>
          </cell>
        </row>
        <row r="5154">
          <cell r="O5154" t="str">
            <v>ATK-E512</v>
          </cell>
          <cell r="P5154" t="str">
            <v>STC4011B</v>
          </cell>
          <cell r="Q5154" t="str">
            <v>磁性位置传感器</v>
          </cell>
        </row>
        <row r="5155">
          <cell r="O5155" t="str">
            <v>ATK-E512</v>
          </cell>
          <cell r="P5155" t="str">
            <v>STC4011B</v>
          </cell>
          <cell r="Q5155" t="str">
            <v>磁性位置传感器</v>
          </cell>
        </row>
        <row r="5156">
          <cell r="O5156" t="str">
            <v>ATK-E512</v>
          </cell>
          <cell r="P5156" t="str">
            <v>STC4011B</v>
          </cell>
          <cell r="Q5156" t="str">
            <v>磁性位置传感器</v>
          </cell>
        </row>
        <row r="5157">
          <cell r="O5157" t="str">
            <v>G01</v>
          </cell>
          <cell r="P5157" t="str">
            <v>STC4011B</v>
          </cell>
          <cell r="Q5157" t="str">
            <v>磁性位置传感器</v>
          </cell>
        </row>
        <row r="5158">
          <cell r="O5158" t="str">
            <v>G01</v>
          </cell>
          <cell r="P5158" t="str">
            <v>STC4011B</v>
          </cell>
          <cell r="Q5158" t="str">
            <v>磁性位置传感器</v>
          </cell>
        </row>
        <row r="5159">
          <cell r="O5159" t="str">
            <v>G01</v>
          </cell>
          <cell r="P5159" t="str">
            <v>STC4011B</v>
          </cell>
          <cell r="Q5159" t="str">
            <v>磁性位置传感器</v>
          </cell>
        </row>
        <row r="5160">
          <cell r="O5160" t="str">
            <v>G01</v>
          </cell>
          <cell r="P5160" t="str">
            <v>STC4011B</v>
          </cell>
          <cell r="Q5160" t="str">
            <v>磁性位置传感器</v>
          </cell>
        </row>
        <row r="5161">
          <cell r="O5161" t="str">
            <v>49E</v>
          </cell>
          <cell r="P5161" t="str">
            <v>STC4011B</v>
          </cell>
          <cell r="Q5161" t="str">
            <v>磁性位置传感器</v>
          </cell>
        </row>
        <row r="5162">
          <cell r="O5162" t="str">
            <v>SC9641TS-PC</v>
          </cell>
          <cell r="P5162" t="str">
            <v>STC9A001I</v>
          </cell>
          <cell r="Q5162" t="str">
            <v>速度传感器</v>
          </cell>
        </row>
        <row r="5163">
          <cell r="O5163" t="str">
            <v>SC9641TS-PC</v>
          </cell>
          <cell r="P5163" t="str">
            <v>STC9A001I</v>
          </cell>
          <cell r="Q5163" t="str">
            <v>速度传感器</v>
          </cell>
        </row>
        <row r="5164">
          <cell r="O5164" t="str">
            <v>SC9641TS-PC</v>
          </cell>
          <cell r="P5164" t="str">
            <v>STC9A001I</v>
          </cell>
          <cell r="Q5164" t="str">
            <v>速度传感器</v>
          </cell>
        </row>
        <row r="5165">
          <cell r="O5165" t="str">
            <v>SC2462SO</v>
          </cell>
          <cell r="P5165" t="str">
            <v>STC9906J</v>
          </cell>
          <cell r="Q5165" t="str">
            <v>磁性位置传感器</v>
          </cell>
        </row>
        <row r="5166">
          <cell r="O5166" t="str">
            <v>SC2448SO</v>
          </cell>
          <cell r="P5166" t="str">
            <v>STC11102B</v>
          </cell>
          <cell r="Q5166" t="str">
            <v>磁性位置传感器</v>
          </cell>
        </row>
        <row r="5167">
          <cell r="O5167" t="str">
            <v>SC2448SO</v>
          </cell>
          <cell r="P5167" t="str">
            <v>STC11102B</v>
          </cell>
          <cell r="Q5167" t="str">
            <v>磁性位置传感器</v>
          </cell>
        </row>
        <row r="5168">
          <cell r="O5168" t="str">
            <v>SC2448SO</v>
          </cell>
          <cell r="P5168" t="str">
            <v>STC11102B</v>
          </cell>
          <cell r="Q5168" t="str">
            <v>磁性位置传感器</v>
          </cell>
        </row>
        <row r="5169">
          <cell r="O5169" t="str">
            <v>SC2402SO-N-H</v>
          </cell>
          <cell r="P5169" t="str">
            <v>STC9H001A</v>
          </cell>
          <cell r="Q5169" t="str">
            <v>磁性位置传感器</v>
          </cell>
        </row>
        <row r="5170">
          <cell r="O5170" t="str">
            <v>SC2438SO</v>
          </cell>
          <cell r="P5170" t="str">
            <v>STC9906I</v>
          </cell>
          <cell r="Q5170" t="str">
            <v>磁性位置传感器</v>
          </cell>
        </row>
        <row r="5171">
          <cell r="O5171" t="str">
            <v>SC2438SO</v>
          </cell>
          <cell r="P5171" t="str">
            <v>STC9906I</v>
          </cell>
          <cell r="Q5171" t="str">
            <v>磁性位置传感器</v>
          </cell>
        </row>
        <row r="5172">
          <cell r="O5172" t="str">
            <v>SC2432SO</v>
          </cell>
          <cell r="P5172" t="str">
            <v>STC9906I</v>
          </cell>
          <cell r="Q5172" t="str">
            <v>磁性位置传感器</v>
          </cell>
        </row>
        <row r="5173">
          <cell r="O5173" t="str">
            <v>SC2432SO-N</v>
          </cell>
          <cell r="P5173" t="str">
            <v>STC9906I</v>
          </cell>
          <cell r="Q5173" t="str">
            <v>磁性位置传感器</v>
          </cell>
        </row>
        <row r="5174">
          <cell r="O5174" t="str">
            <v>SC2432SO-N</v>
          </cell>
          <cell r="P5174" t="str">
            <v>STC9906I</v>
          </cell>
          <cell r="Q5174" t="str">
            <v>磁性位置传感器</v>
          </cell>
        </row>
        <row r="5175">
          <cell r="O5175" t="str">
            <v>SC2432SO-N</v>
          </cell>
          <cell r="P5175" t="str">
            <v>STC9906I</v>
          </cell>
          <cell r="Q5175" t="str">
            <v>磁性位置传感器</v>
          </cell>
        </row>
        <row r="5176">
          <cell r="O5176" t="str">
            <v>SC2462SO</v>
          </cell>
          <cell r="P5176" t="str">
            <v>STC9906J</v>
          </cell>
          <cell r="Q5176" t="str">
            <v>磁性位置传感器</v>
          </cell>
        </row>
        <row r="5177">
          <cell r="O5177" t="str">
            <v>SC2462SO</v>
          </cell>
          <cell r="P5177" t="str">
            <v>STC9906J</v>
          </cell>
          <cell r="Q5177" t="str">
            <v>磁性位置传感器</v>
          </cell>
        </row>
        <row r="5178">
          <cell r="O5178" t="str">
            <v>SC2462SO</v>
          </cell>
          <cell r="P5178" t="str">
            <v>STC9906J</v>
          </cell>
          <cell r="Q5178" t="str">
            <v>磁性位置传感器</v>
          </cell>
        </row>
        <row r="5179">
          <cell r="O5179" t="str">
            <v>SC2462SO</v>
          </cell>
          <cell r="P5179" t="str">
            <v>STC9906J</v>
          </cell>
          <cell r="Q5179" t="str">
            <v>磁性位置传感器</v>
          </cell>
        </row>
        <row r="5180">
          <cell r="O5180" t="str">
            <v>SC2438SO</v>
          </cell>
          <cell r="P5180" t="str">
            <v>STC9906I</v>
          </cell>
          <cell r="Q5180" t="str">
            <v>磁性位置传感器</v>
          </cell>
        </row>
        <row r="5181">
          <cell r="O5181" t="str">
            <v>ATK-E512</v>
          </cell>
          <cell r="P5181" t="str">
            <v>STC4011B</v>
          </cell>
          <cell r="Q5181" t="str">
            <v>磁性位置传感器</v>
          </cell>
        </row>
        <row r="5182">
          <cell r="O5182" t="str">
            <v>ATK-E512</v>
          </cell>
          <cell r="P5182" t="str">
            <v>STC4011B</v>
          </cell>
          <cell r="Q5182" t="str">
            <v>磁性位置传感器</v>
          </cell>
        </row>
        <row r="5183">
          <cell r="O5183" t="str">
            <v>ATK-E512</v>
          </cell>
          <cell r="P5183" t="str">
            <v>STC4011B</v>
          </cell>
          <cell r="Q5183" t="str">
            <v>磁性位置传感器</v>
          </cell>
        </row>
        <row r="5184">
          <cell r="O5184" t="str">
            <v>ATK-E512</v>
          </cell>
          <cell r="P5184" t="str">
            <v>STC4011B</v>
          </cell>
          <cell r="Q5184" t="str">
            <v>磁性位置传感器</v>
          </cell>
        </row>
        <row r="5185">
          <cell r="O5185" t="str">
            <v>ATK-E512</v>
          </cell>
          <cell r="P5185" t="str">
            <v>STC4011B</v>
          </cell>
          <cell r="Q5185" t="str">
            <v>磁性位置传感器</v>
          </cell>
        </row>
        <row r="5186">
          <cell r="O5186" t="str">
            <v>ATK-E512</v>
          </cell>
          <cell r="P5186" t="str">
            <v>STC4011B</v>
          </cell>
          <cell r="Q5186" t="str">
            <v>磁性位置传感器</v>
          </cell>
        </row>
        <row r="5187">
          <cell r="O5187" t="str">
            <v>ATK-E512</v>
          </cell>
          <cell r="P5187" t="str">
            <v>STC4011B</v>
          </cell>
          <cell r="Q5187" t="str">
            <v>磁性位置传感器</v>
          </cell>
        </row>
        <row r="5188">
          <cell r="O5188" t="str">
            <v>ATK-E512</v>
          </cell>
          <cell r="P5188" t="str">
            <v>STC4011B</v>
          </cell>
          <cell r="Q5188" t="str">
            <v>磁性位置传感器</v>
          </cell>
        </row>
        <row r="5189">
          <cell r="O5189" t="str">
            <v>ATK-E512</v>
          </cell>
          <cell r="P5189" t="str">
            <v>STC4011B</v>
          </cell>
          <cell r="Q5189" t="str">
            <v>磁性位置传感器</v>
          </cell>
        </row>
        <row r="5190">
          <cell r="O5190" t="str">
            <v>ATK-E512</v>
          </cell>
          <cell r="P5190" t="str">
            <v>STC4011B</v>
          </cell>
          <cell r="Q5190" t="str">
            <v>磁性位置传感器</v>
          </cell>
        </row>
        <row r="5191">
          <cell r="O5191" t="str">
            <v>SC9633VB</v>
          </cell>
          <cell r="P5191" t="str">
            <v>STC9905F</v>
          </cell>
          <cell r="Q5191" t="str">
            <v>速度传感器</v>
          </cell>
        </row>
        <row r="5192">
          <cell r="O5192" t="str">
            <v>SC2432SO-N</v>
          </cell>
          <cell r="P5192" t="str">
            <v>STC9906I</v>
          </cell>
          <cell r="Q5192" t="str">
            <v>磁性位置传感器</v>
          </cell>
        </row>
        <row r="5193">
          <cell r="O5193" t="str">
            <v>G01</v>
          </cell>
          <cell r="P5193" t="str">
            <v>STC4011B</v>
          </cell>
          <cell r="Q5193" t="str">
            <v>磁性位置传感器</v>
          </cell>
        </row>
        <row r="5194">
          <cell r="O5194" t="str">
            <v>G01</v>
          </cell>
          <cell r="P5194" t="str">
            <v>STC4011B</v>
          </cell>
          <cell r="Q5194" t="str">
            <v>磁性位置传感器</v>
          </cell>
        </row>
        <row r="5195">
          <cell r="O5195" t="str">
            <v>G01</v>
          </cell>
          <cell r="P5195" t="str">
            <v>STC4011B</v>
          </cell>
          <cell r="Q5195" t="str">
            <v>磁性位置传感器</v>
          </cell>
        </row>
        <row r="5196">
          <cell r="O5196" t="str">
            <v>G01</v>
          </cell>
          <cell r="P5196" t="str">
            <v>STC4011B</v>
          </cell>
          <cell r="Q5196" t="str">
            <v>磁性位置传感器</v>
          </cell>
        </row>
        <row r="5197">
          <cell r="O5197" t="str">
            <v>49E</v>
          </cell>
          <cell r="P5197" t="str">
            <v>STC4011B</v>
          </cell>
          <cell r="Q5197" t="str">
            <v>磁性位置传感器</v>
          </cell>
        </row>
        <row r="5198">
          <cell r="O5198" t="str">
            <v>G01</v>
          </cell>
          <cell r="P5198" t="str">
            <v>STC4011B</v>
          </cell>
          <cell r="Q5198" t="str">
            <v>磁性位置传感器</v>
          </cell>
        </row>
        <row r="5199">
          <cell r="O5199" t="str">
            <v>49E</v>
          </cell>
          <cell r="P5199" t="str">
            <v>STC4011B</v>
          </cell>
          <cell r="Q5199" t="str">
            <v>磁性位置传感器</v>
          </cell>
        </row>
        <row r="5200">
          <cell r="O5200" t="str">
            <v>G01</v>
          </cell>
          <cell r="P5200" t="str">
            <v>STC4011B</v>
          </cell>
          <cell r="Q5200" t="str">
            <v>磁性位置传感器</v>
          </cell>
        </row>
        <row r="5201">
          <cell r="O5201" t="str">
            <v>49E</v>
          </cell>
          <cell r="P5201" t="str">
            <v>STC4011B</v>
          </cell>
          <cell r="Q5201" t="str">
            <v>磁性位置传感器</v>
          </cell>
        </row>
        <row r="5202">
          <cell r="O5202" t="str">
            <v>SC9648TS-P</v>
          </cell>
          <cell r="P5202" t="str">
            <v>STC9A001I</v>
          </cell>
          <cell r="Q5202" t="str">
            <v>速度传感器</v>
          </cell>
        </row>
        <row r="5203">
          <cell r="O5203" t="str">
            <v>SC9641TS-PC</v>
          </cell>
          <cell r="P5203" t="str">
            <v>STC9A001I</v>
          </cell>
          <cell r="Q5203" t="str">
            <v>速度传感器</v>
          </cell>
        </row>
        <row r="5204">
          <cell r="O5204" t="str">
            <v>SC2432SO-N</v>
          </cell>
          <cell r="P5204" t="str">
            <v>STC9906I</v>
          </cell>
          <cell r="Q5204" t="str">
            <v>磁性位置传感器</v>
          </cell>
        </row>
        <row r="5205">
          <cell r="O5205" t="str">
            <v>SC4643VB</v>
          </cell>
          <cell r="P5205" t="str">
            <v>STC9D03E</v>
          </cell>
          <cell r="Q5205" t="str">
            <v>电流传感器</v>
          </cell>
        </row>
        <row r="5206">
          <cell r="O5206" t="str">
            <v>SC9641TS-P</v>
          </cell>
          <cell r="P5206" t="str">
            <v>STC9A001I</v>
          </cell>
          <cell r="Q5206" t="str">
            <v>速度传感器</v>
          </cell>
        </row>
        <row r="5207">
          <cell r="O5207" t="str">
            <v>SC9641TS-P</v>
          </cell>
          <cell r="P5207" t="str">
            <v>STC9A001I</v>
          </cell>
          <cell r="Q5207" t="str">
            <v>速度传感器</v>
          </cell>
        </row>
        <row r="5208">
          <cell r="O5208" t="str">
            <v>SC2438SO</v>
          </cell>
          <cell r="P5208" t="str">
            <v>STC9906I</v>
          </cell>
          <cell r="Q5208" t="str">
            <v>磁性位置传感器</v>
          </cell>
        </row>
        <row r="5209">
          <cell r="O5209" t="str">
            <v>SC9641TS-PC</v>
          </cell>
          <cell r="P5209" t="str">
            <v>STC9A001I</v>
          </cell>
          <cell r="Q5209" t="str">
            <v>速度传感器</v>
          </cell>
        </row>
        <row r="5210">
          <cell r="O5210" t="str">
            <v>SC9648TS-P</v>
          </cell>
          <cell r="P5210" t="str">
            <v>STC9A001I</v>
          </cell>
          <cell r="Q5210" t="str">
            <v>速度传感器</v>
          </cell>
        </row>
        <row r="5211">
          <cell r="O5211" t="str">
            <v>SC9641TS-P</v>
          </cell>
          <cell r="P5211" t="str">
            <v>STC9A001I</v>
          </cell>
          <cell r="Q5211" t="str">
            <v>速度传感器</v>
          </cell>
        </row>
        <row r="5212">
          <cell r="O5212" t="str">
            <v>SC9642TS</v>
          </cell>
          <cell r="P5212" t="str">
            <v>STC9A001G</v>
          </cell>
          <cell r="Q5212" t="str">
            <v>速度传感器</v>
          </cell>
        </row>
        <row r="5213">
          <cell r="O5213" t="str">
            <v>SC60221-D-50</v>
          </cell>
          <cell r="P5213" t="str">
            <v>STC9D04C</v>
          </cell>
          <cell r="Q5213" t="str">
            <v>电机编码器</v>
          </cell>
        </row>
        <row r="5214">
          <cell r="O5214" t="str">
            <v>SC60221-D-50</v>
          </cell>
          <cell r="P5214" t="str">
            <v>STC9D04C</v>
          </cell>
          <cell r="Q5214" t="str">
            <v>电机编码器</v>
          </cell>
        </row>
        <row r="5215">
          <cell r="O5215" t="str">
            <v>SC2462SO</v>
          </cell>
          <cell r="P5215" t="str">
            <v>STC9906J</v>
          </cell>
          <cell r="Q5215" t="str">
            <v>磁性位置传感器</v>
          </cell>
        </row>
        <row r="5216">
          <cell r="O5216" t="str">
            <v>SCN919</v>
          </cell>
          <cell r="P5216" t="str">
            <v>STC9909B</v>
          </cell>
          <cell r="Q5216" t="str">
            <v>磁性位置传感器</v>
          </cell>
        </row>
        <row r="5217">
          <cell r="O5217" t="str">
            <v>SC2064SO</v>
          </cell>
          <cell r="P5217" t="str">
            <v>STC9G001C</v>
          </cell>
          <cell r="Q5217" t="str">
            <v>磁性位置传感器</v>
          </cell>
        </row>
        <row r="5218">
          <cell r="O5218" t="str">
            <v>SC2432SO-N</v>
          </cell>
          <cell r="P5218" t="str">
            <v>STC9906I</v>
          </cell>
          <cell r="Q5218" t="str">
            <v>磁性位置传感器</v>
          </cell>
        </row>
        <row r="5219">
          <cell r="O5219" t="str">
            <v>SC2448SO</v>
          </cell>
          <cell r="P5219" t="str">
            <v>STC9906S</v>
          </cell>
          <cell r="Q5219" t="str">
            <v>磁性位置传感器</v>
          </cell>
        </row>
        <row r="5220">
          <cell r="O5220" t="str">
            <v>SC2448SO</v>
          </cell>
          <cell r="P5220" t="str">
            <v>STC9906S</v>
          </cell>
          <cell r="Q5220" t="str">
            <v>磁性位置传感器</v>
          </cell>
        </row>
        <row r="5221">
          <cell r="O5221" t="str">
            <v>SD211VB</v>
          </cell>
          <cell r="P5221" t="str">
            <v>FD1016A</v>
          </cell>
          <cell r="Q5221" t="str">
            <v>电机驱动</v>
          </cell>
        </row>
        <row r="5222">
          <cell r="O5222" t="str">
            <v>SD2276</v>
          </cell>
          <cell r="P5222" t="str">
            <v>FD1014A</v>
          </cell>
          <cell r="Q5222" t="str">
            <v>电机驱动</v>
          </cell>
        </row>
        <row r="5223">
          <cell r="O5223" t="str">
            <v>SC2442SO-N</v>
          </cell>
          <cell r="P5223" t="str">
            <v>STC9906P</v>
          </cell>
          <cell r="Q5223" t="str">
            <v>磁性位置传感器</v>
          </cell>
        </row>
        <row r="5224">
          <cell r="O5224" t="str">
            <v>SC2442SO-N</v>
          </cell>
          <cell r="P5224" t="str">
            <v>STC9906P</v>
          </cell>
          <cell r="Q5224" t="str">
            <v>磁性位置传感器</v>
          </cell>
        </row>
        <row r="5225">
          <cell r="O5225" t="str">
            <v>SC2442SO</v>
          </cell>
          <cell r="P5225" t="str">
            <v>STC9906R</v>
          </cell>
          <cell r="Q5225" t="str">
            <v>磁性位置传感器</v>
          </cell>
        </row>
        <row r="5226">
          <cell r="O5226" t="str">
            <v>SC2434SO</v>
          </cell>
          <cell r="P5226" t="str">
            <v>STC9906I</v>
          </cell>
          <cell r="Q5226" t="str">
            <v>磁性位置传感器</v>
          </cell>
        </row>
        <row r="5227">
          <cell r="O5227" t="str">
            <v>SC2434SO</v>
          </cell>
          <cell r="P5227" t="str">
            <v>STC9906I</v>
          </cell>
          <cell r="Q5227" t="str">
            <v>磁性位置传感器</v>
          </cell>
        </row>
        <row r="5228">
          <cell r="O5228" t="str">
            <v>SC2434SO-N</v>
          </cell>
          <cell r="P5228" t="str">
            <v>STC9906I</v>
          </cell>
          <cell r="Q5228" t="str">
            <v>磁性位置传感器</v>
          </cell>
        </row>
        <row r="5229">
          <cell r="O5229" t="str">
            <v>SC2434SO-N</v>
          </cell>
          <cell r="P5229" t="str">
            <v>STC9906I</v>
          </cell>
          <cell r="Q5229" t="str">
            <v>磁性位置传感器</v>
          </cell>
        </row>
        <row r="5230">
          <cell r="O5230" t="str">
            <v>SC2434SO-N</v>
          </cell>
          <cell r="P5230" t="str">
            <v>STC9906I</v>
          </cell>
          <cell r="Q5230" t="str">
            <v>磁性位置传感器</v>
          </cell>
        </row>
        <row r="5231">
          <cell r="O5231" t="str">
            <v>SC2434SO-N</v>
          </cell>
          <cell r="P5231" t="str">
            <v>STC9906I</v>
          </cell>
          <cell r="Q5231" t="str">
            <v>磁性位置传感器</v>
          </cell>
        </row>
        <row r="5232">
          <cell r="O5232" t="str">
            <v>SC1134UA</v>
          </cell>
          <cell r="P5232" t="str">
            <v>STC1898AI</v>
          </cell>
          <cell r="Q5232" t="str">
            <v>磁性位置传感器</v>
          </cell>
        </row>
        <row r="5233">
          <cell r="O5233" t="str">
            <v>SC1134UA</v>
          </cell>
          <cell r="P5233" t="str">
            <v>STC1898AI</v>
          </cell>
          <cell r="Q5233" t="str">
            <v>磁性位置传感器</v>
          </cell>
        </row>
        <row r="5234">
          <cell r="O5234" t="str">
            <v>SC2436SO</v>
          </cell>
          <cell r="P5234" t="str">
            <v>STC9906I</v>
          </cell>
          <cell r="Q5234" t="str">
            <v>磁性位置传感器</v>
          </cell>
        </row>
        <row r="5235">
          <cell r="O5235" t="str">
            <v>SC2434SO-N</v>
          </cell>
          <cell r="P5235" t="str">
            <v>STC9906I</v>
          </cell>
          <cell r="Q5235" t="str">
            <v>磁性位置传感器</v>
          </cell>
        </row>
        <row r="5236">
          <cell r="O5236" t="str">
            <v>SC2064SO</v>
          </cell>
          <cell r="P5236" t="str">
            <v>STC9G001C</v>
          </cell>
          <cell r="Q5236" t="str">
            <v>磁性位置传感器</v>
          </cell>
        </row>
        <row r="5237">
          <cell r="O5237" t="str">
            <v>SC2063SO</v>
          </cell>
          <cell r="P5237" t="str">
            <v>STC9G001C</v>
          </cell>
          <cell r="Q5237" t="str">
            <v>磁性位置传感器</v>
          </cell>
        </row>
        <row r="5238">
          <cell r="O5238" t="str">
            <v>SC2442SO-N</v>
          </cell>
          <cell r="P5238" t="str">
            <v>STC9906P</v>
          </cell>
          <cell r="Q5238" t="str">
            <v>磁性位置传感器</v>
          </cell>
        </row>
        <row r="5239">
          <cell r="O5239" t="str">
            <v>49E</v>
          </cell>
          <cell r="P5239" t="str">
            <v>STC4011B</v>
          </cell>
          <cell r="Q5239" t="str">
            <v>磁性位置传感器</v>
          </cell>
        </row>
        <row r="5240">
          <cell r="O5240" t="str">
            <v>49E</v>
          </cell>
          <cell r="P5240" t="str">
            <v>STC4011B</v>
          </cell>
          <cell r="Q5240" t="str">
            <v>磁性位置传感器</v>
          </cell>
        </row>
        <row r="5241">
          <cell r="O5241" t="str">
            <v>49E</v>
          </cell>
          <cell r="P5241" t="str">
            <v>STC4011B</v>
          </cell>
          <cell r="Q5241" t="str">
            <v>磁性位置传感器</v>
          </cell>
        </row>
        <row r="5242">
          <cell r="O5242" t="str">
            <v>SC2402SO-N-H</v>
          </cell>
          <cell r="P5242" t="str">
            <v>STC9H001A</v>
          </cell>
          <cell r="Q5242" t="str">
            <v>磁性位置传感器</v>
          </cell>
        </row>
        <row r="5243">
          <cell r="O5243" t="str">
            <v>SC2442SO-N</v>
          </cell>
          <cell r="P5243" t="str">
            <v>STC9906P</v>
          </cell>
          <cell r="Q5243" t="str">
            <v>磁性位置传感器</v>
          </cell>
        </row>
        <row r="5244">
          <cell r="O5244" t="str">
            <v>SC9632VB</v>
          </cell>
          <cell r="P5244" t="str">
            <v>STC9905E</v>
          </cell>
          <cell r="Q5244" t="str">
            <v>速度传感器</v>
          </cell>
        </row>
        <row r="5245">
          <cell r="O5245" t="str">
            <v>G01</v>
          </cell>
          <cell r="P5245" t="str">
            <v>STC4011B</v>
          </cell>
          <cell r="Q5245" t="str">
            <v>磁性位置传感器</v>
          </cell>
        </row>
        <row r="5246">
          <cell r="O5246" t="str">
            <v>49E</v>
          </cell>
          <cell r="P5246" t="str">
            <v>STC4011B</v>
          </cell>
          <cell r="Q5246" t="str">
            <v>磁性位置传感器</v>
          </cell>
        </row>
        <row r="5247">
          <cell r="O5247" t="str">
            <v>G01</v>
          </cell>
          <cell r="P5247" t="str">
            <v>STC4011B</v>
          </cell>
          <cell r="Q5247" t="str">
            <v>磁性位置传感器</v>
          </cell>
        </row>
        <row r="5248">
          <cell r="O5248" t="str">
            <v>G01</v>
          </cell>
          <cell r="P5248" t="str">
            <v>STC4011B</v>
          </cell>
          <cell r="Q5248" t="str">
            <v>磁性位置传感器</v>
          </cell>
        </row>
        <row r="5249">
          <cell r="O5249" t="str">
            <v>G01</v>
          </cell>
          <cell r="P5249" t="str">
            <v>STC4011B</v>
          </cell>
          <cell r="Q5249" t="str">
            <v>磁性位置传感器</v>
          </cell>
        </row>
        <row r="5250">
          <cell r="O5250" t="str">
            <v>49E</v>
          </cell>
          <cell r="P5250" t="str">
            <v>STC4011B</v>
          </cell>
          <cell r="Q5250" t="str">
            <v>磁性位置传感器</v>
          </cell>
        </row>
        <row r="5251">
          <cell r="O5251" t="str">
            <v>G01</v>
          </cell>
          <cell r="P5251" t="str">
            <v>STC4011B</v>
          </cell>
          <cell r="Q5251" t="str">
            <v>磁性位置传感器</v>
          </cell>
        </row>
        <row r="5252">
          <cell r="O5252" t="str">
            <v>G01</v>
          </cell>
          <cell r="P5252" t="str">
            <v>STC4011B</v>
          </cell>
          <cell r="Q5252" t="str">
            <v>磁性位置传感器</v>
          </cell>
        </row>
        <row r="5253">
          <cell r="O5253" t="str">
            <v>SC2442SO-N</v>
          </cell>
          <cell r="P5253" t="str">
            <v>STC9906P</v>
          </cell>
          <cell r="Q5253" t="str">
            <v>磁性位置传感器</v>
          </cell>
        </row>
        <row r="5254">
          <cell r="O5254" t="str">
            <v>SC1134UA</v>
          </cell>
          <cell r="P5254" t="str">
            <v>STC1898AI</v>
          </cell>
          <cell r="Q5254" t="str">
            <v>磁性位置传感器</v>
          </cell>
        </row>
        <row r="5255">
          <cell r="O5255" t="str">
            <v>SC9675IM-P-LRF01</v>
          </cell>
          <cell r="P5255" t="str">
            <v>STC9A002B</v>
          </cell>
          <cell r="Q5255" t="str">
            <v>速度传感器</v>
          </cell>
        </row>
        <row r="5256">
          <cell r="O5256" t="str">
            <v>SC4689SA</v>
          </cell>
          <cell r="P5256" t="str">
            <v>STC9D01F</v>
          </cell>
          <cell r="Q5256" t="str">
            <v>角度传感器</v>
          </cell>
        </row>
        <row r="5257">
          <cell r="O5257" t="str">
            <v>SC4689SA</v>
          </cell>
          <cell r="P5257" t="str">
            <v>STC9D01F</v>
          </cell>
          <cell r="Q5257" t="str">
            <v>角度传感器</v>
          </cell>
        </row>
        <row r="5258">
          <cell r="O5258" t="str">
            <v>SC2402SO-N</v>
          </cell>
          <cell r="P5258" t="str">
            <v>STC9902J</v>
          </cell>
          <cell r="Q5258" t="str">
            <v>磁性位置传感器</v>
          </cell>
        </row>
        <row r="5259">
          <cell r="O5259" t="str">
            <v>SC9625VB-L</v>
          </cell>
          <cell r="P5259" t="str">
            <v>STC9910E</v>
          </cell>
          <cell r="Q5259" t="str">
            <v>速度传感器</v>
          </cell>
        </row>
        <row r="5260">
          <cell r="O5260" t="str">
            <v>SC4688DC</v>
          </cell>
          <cell r="P5260" t="str">
            <v>STC9D01C</v>
          </cell>
          <cell r="Q5260" t="str">
            <v>角度传感器</v>
          </cell>
        </row>
        <row r="5261">
          <cell r="O5261" t="str">
            <v>SC4688DC</v>
          </cell>
          <cell r="P5261" t="str">
            <v>STC9D01C</v>
          </cell>
          <cell r="Q5261" t="str">
            <v>角度传感器</v>
          </cell>
        </row>
        <row r="5262">
          <cell r="O5262" t="str">
            <v>SC9648TS-P</v>
          </cell>
          <cell r="P5262" t="str">
            <v>STC9A001I</v>
          </cell>
          <cell r="Q5262" t="str">
            <v>速度传感器</v>
          </cell>
        </row>
        <row r="5263">
          <cell r="O5263" t="str">
            <v>SC9648TS-P</v>
          </cell>
          <cell r="P5263" t="str">
            <v>STC9A001I</v>
          </cell>
          <cell r="Q5263" t="str">
            <v>速度传感器</v>
          </cell>
        </row>
        <row r="5264">
          <cell r="O5264" t="str">
            <v>SC9648TS-P</v>
          </cell>
          <cell r="P5264" t="str">
            <v>STC9A001I</v>
          </cell>
          <cell r="Q5264" t="str">
            <v>速度传感器</v>
          </cell>
        </row>
        <row r="5265">
          <cell r="O5265" t="str">
            <v>SC2442SO</v>
          </cell>
          <cell r="P5265" t="str">
            <v>STC9906R</v>
          </cell>
          <cell r="Q5265" t="str">
            <v>磁性位置传感器</v>
          </cell>
        </row>
        <row r="5266">
          <cell r="O5266" t="str">
            <v>SC2448UA-N</v>
          </cell>
          <cell r="P5266" t="str">
            <v>STC9906S</v>
          </cell>
          <cell r="Q5266" t="str">
            <v>磁性位置传感器</v>
          </cell>
        </row>
        <row r="5267">
          <cell r="O5267" t="str">
            <v>SC2448UA-N</v>
          </cell>
          <cell r="P5267" t="str">
            <v>STC9906S</v>
          </cell>
          <cell r="Q5267" t="str">
            <v>磁性位置传感器</v>
          </cell>
        </row>
        <row r="5268">
          <cell r="O5268" t="str">
            <v>SC2448UA-N</v>
          </cell>
          <cell r="P5268" t="str">
            <v>STC9906S</v>
          </cell>
          <cell r="Q5268" t="str">
            <v>磁性位置传感器</v>
          </cell>
        </row>
        <row r="5269">
          <cell r="O5269" t="str">
            <v>SC4688SA</v>
          </cell>
          <cell r="P5269" t="str">
            <v>STC9D01C</v>
          </cell>
          <cell r="Q5269" t="str">
            <v>角度传感器</v>
          </cell>
        </row>
        <row r="5270">
          <cell r="O5270" t="str">
            <v>SC4688SA</v>
          </cell>
          <cell r="P5270" t="str">
            <v>STC9D01C</v>
          </cell>
          <cell r="Q5270" t="str">
            <v>角度传感器</v>
          </cell>
        </row>
        <row r="5271">
          <cell r="O5271" t="str">
            <v>SC4688SA</v>
          </cell>
          <cell r="P5271" t="str">
            <v>STC9D01C</v>
          </cell>
          <cell r="Q5271" t="str">
            <v>角度传感器</v>
          </cell>
        </row>
        <row r="5272">
          <cell r="O5272" t="str">
            <v>SC2442SO</v>
          </cell>
          <cell r="P5272" t="str">
            <v>STC9906R</v>
          </cell>
          <cell r="Q5272" t="str">
            <v>磁性位置传感器</v>
          </cell>
        </row>
        <row r="5273">
          <cell r="O5273" t="str">
            <v>SC2442SO-N</v>
          </cell>
          <cell r="P5273" t="str">
            <v>STC9906P</v>
          </cell>
          <cell r="Q5273" t="str">
            <v>磁性位置传感器</v>
          </cell>
        </row>
        <row r="5274">
          <cell r="O5274" t="str">
            <v>SC1002F1</v>
          </cell>
          <cell r="P5274" t="str">
            <v>STC1002AG</v>
          </cell>
          <cell r="Q5274" t="str">
            <v>磁性位置传感器</v>
          </cell>
        </row>
        <row r="5275">
          <cell r="O5275" t="str">
            <v>SC1002F1</v>
          </cell>
          <cell r="P5275" t="str">
            <v>STC1002AG</v>
          </cell>
          <cell r="Q5275" t="str">
            <v>磁性位置传感器</v>
          </cell>
        </row>
        <row r="5276">
          <cell r="O5276" t="str">
            <v>SC1002F1</v>
          </cell>
          <cell r="P5276" t="str">
            <v>STC1002AG</v>
          </cell>
          <cell r="Q5276" t="str">
            <v>磁性位置传感器</v>
          </cell>
        </row>
        <row r="5277">
          <cell r="O5277" t="str">
            <v>SC9648TS-P</v>
          </cell>
          <cell r="P5277" t="str">
            <v>STC9A001I</v>
          </cell>
          <cell r="Q5277" t="str">
            <v>速度传感器</v>
          </cell>
        </row>
        <row r="5278">
          <cell r="O5278" t="str">
            <v>SC9648TS-P</v>
          </cell>
          <cell r="P5278" t="str">
            <v>STC9A001I</v>
          </cell>
          <cell r="Q5278" t="str">
            <v>速度传感器</v>
          </cell>
        </row>
        <row r="5279">
          <cell r="O5279" t="str">
            <v>SC9648TS-P</v>
          </cell>
          <cell r="P5279" t="str">
            <v>STC9A001I</v>
          </cell>
          <cell r="Q5279" t="str">
            <v>速度传感器</v>
          </cell>
        </row>
        <row r="5280">
          <cell r="O5280" t="str">
            <v>SC69401D</v>
          </cell>
          <cell r="P5280" t="str">
            <v>STC9H002D</v>
          </cell>
          <cell r="Q5280" t="str">
            <v>角度传感器</v>
          </cell>
        </row>
        <row r="5281">
          <cell r="O5281" t="str">
            <v>SC9642TS</v>
          </cell>
          <cell r="P5281" t="str">
            <v>STC9A001G</v>
          </cell>
          <cell r="Q5281" t="str">
            <v>速度传感器</v>
          </cell>
        </row>
        <row r="5282">
          <cell r="O5282" t="str">
            <v>SC9642TS</v>
          </cell>
          <cell r="P5282" t="str">
            <v>STC9A001G</v>
          </cell>
          <cell r="Q5282" t="str">
            <v>速度传感器</v>
          </cell>
        </row>
        <row r="5283">
          <cell r="O5283" t="str">
            <v>SC1645A1</v>
          </cell>
          <cell r="P5283" t="str">
            <v>STC2899AE</v>
          </cell>
          <cell r="Q5283" t="str">
            <v>磁性位置传感器</v>
          </cell>
        </row>
        <row r="5284">
          <cell r="O5284" t="str">
            <v>SC1645B1</v>
          </cell>
          <cell r="P5284" t="str">
            <v>STC2899AE</v>
          </cell>
          <cell r="Q5284" t="str">
            <v>磁性位置传感器</v>
          </cell>
        </row>
        <row r="5285">
          <cell r="O5285" t="str">
            <v>SC1645B1</v>
          </cell>
          <cell r="P5285" t="str">
            <v>STC2899AE</v>
          </cell>
          <cell r="Q5285" t="str">
            <v>磁性位置传感器</v>
          </cell>
        </row>
        <row r="5286">
          <cell r="O5286" t="str">
            <v>SC1645B1</v>
          </cell>
          <cell r="P5286" t="str">
            <v>STC2899AE</v>
          </cell>
          <cell r="Q5286" t="str">
            <v>磁性位置传感器</v>
          </cell>
        </row>
        <row r="5287">
          <cell r="O5287" t="str">
            <v>SC1645B1</v>
          </cell>
          <cell r="P5287" t="str">
            <v>STC2899AE</v>
          </cell>
          <cell r="Q5287" t="str">
            <v>磁性位置传感器</v>
          </cell>
        </row>
        <row r="5288">
          <cell r="O5288" t="str">
            <v>SC1645B1</v>
          </cell>
          <cell r="P5288" t="str">
            <v>STC2899AE</v>
          </cell>
          <cell r="Q5288" t="str">
            <v>磁性位置传感器</v>
          </cell>
        </row>
        <row r="5289">
          <cell r="O5289" t="str">
            <v>SC60221-D-100</v>
          </cell>
          <cell r="P5289" t="str">
            <v>STC9D04C</v>
          </cell>
          <cell r="Q5289" t="str">
            <v>电机编码器</v>
          </cell>
        </row>
        <row r="5290">
          <cell r="O5290" t="str">
            <v>SC60221-D-100</v>
          </cell>
          <cell r="P5290" t="str">
            <v>STC9D04C</v>
          </cell>
          <cell r="Q5290" t="str">
            <v>电机编码器</v>
          </cell>
        </row>
        <row r="5291">
          <cell r="O5291" t="str">
            <v>SCN919</v>
          </cell>
          <cell r="P5291" t="str">
            <v>STC9909B</v>
          </cell>
          <cell r="Q5291" t="str">
            <v>磁性位置传感器</v>
          </cell>
        </row>
        <row r="5292">
          <cell r="O5292" t="str">
            <v>SC2432SO-N</v>
          </cell>
          <cell r="P5292" t="str">
            <v>STC9906I</v>
          </cell>
          <cell r="Q5292" t="str">
            <v>磁性位置传感器</v>
          </cell>
        </row>
        <row r="5293">
          <cell r="O5293" t="str">
            <v>SC9314UA</v>
          </cell>
          <cell r="P5293" t="str">
            <v>STC9901AF</v>
          </cell>
          <cell r="Q5293" t="str">
            <v>速度传感器</v>
          </cell>
        </row>
        <row r="5294">
          <cell r="O5294" t="str">
            <v>SD211VB</v>
          </cell>
          <cell r="P5294" t="str">
            <v>FD1016A</v>
          </cell>
          <cell r="Q5294" t="str">
            <v>电机驱动</v>
          </cell>
        </row>
        <row r="5295">
          <cell r="O5295" t="str">
            <v>SD211VB</v>
          </cell>
          <cell r="P5295" t="str">
            <v>FD1016A</v>
          </cell>
          <cell r="Q5295" t="str">
            <v>电机驱动</v>
          </cell>
        </row>
        <row r="5296">
          <cell r="O5296" t="str">
            <v>SD2276</v>
          </cell>
          <cell r="P5296" t="str">
            <v>FD1014A</v>
          </cell>
          <cell r="Q5296" t="str">
            <v>电机驱动</v>
          </cell>
        </row>
        <row r="5297">
          <cell r="O5297" t="str">
            <v>SC2448SO</v>
          </cell>
          <cell r="P5297" t="str">
            <v>STC9906S</v>
          </cell>
          <cell r="Q5297" t="str">
            <v>磁性位置传感器</v>
          </cell>
        </row>
        <row r="5298">
          <cell r="O5298" t="str">
            <v>2100</v>
          </cell>
          <cell r="P5298" t="str">
            <v>STC9D03E</v>
          </cell>
          <cell r="Q5298" t="str">
            <v>电流传感器</v>
          </cell>
        </row>
        <row r="5299">
          <cell r="O5299" t="str">
            <v>2100S</v>
          </cell>
          <cell r="P5299" t="str">
            <v>STC9D03E</v>
          </cell>
          <cell r="Q5299" t="str">
            <v>电流传感器</v>
          </cell>
        </row>
        <row r="5300">
          <cell r="O5300" t="str">
            <v>2100</v>
          </cell>
          <cell r="P5300" t="str">
            <v>STC9D03E</v>
          </cell>
          <cell r="Q5300" t="str">
            <v>电流传感器</v>
          </cell>
        </row>
        <row r="5301">
          <cell r="O5301" t="str">
            <v>2100</v>
          </cell>
          <cell r="P5301" t="str">
            <v>STC9D03E</v>
          </cell>
          <cell r="Q5301" t="str">
            <v>电流传感器</v>
          </cell>
        </row>
        <row r="5302">
          <cell r="O5302" t="str">
            <v>2100</v>
          </cell>
          <cell r="P5302" t="str">
            <v>STC9D03E</v>
          </cell>
          <cell r="Q5302" t="str">
            <v>电流传感器</v>
          </cell>
        </row>
        <row r="5303">
          <cell r="O5303" t="str">
            <v>2100</v>
          </cell>
          <cell r="P5303" t="str">
            <v>STC9D03E</v>
          </cell>
          <cell r="Q5303" t="str">
            <v>电流传感器</v>
          </cell>
        </row>
        <row r="5304">
          <cell r="O5304" t="str">
            <v>2100S</v>
          </cell>
          <cell r="P5304" t="str">
            <v>STC9D03E</v>
          </cell>
          <cell r="Q5304" t="str">
            <v>电流传感器</v>
          </cell>
        </row>
        <row r="5305">
          <cell r="O5305" t="str">
            <v>2100</v>
          </cell>
          <cell r="P5305" t="str">
            <v>STC9D03E</v>
          </cell>
          <cell r="Q5305" t="str">
            <v>电流传感器</v>
          </cell>
        </row>
        <row r="5306">
          <cell r="O5306" t="str">
            <v>2100</v>
          </cell>
          <cell r="P5306" t="str">
            <v>STC9D03E</v>
          </cell>
          <cell r="Q5306" t="str">
            <v>电流传感器</v>
          </cell>
        </row>
        <row r="5307">
          <cell r="O5307" t="str">
            <v>2100</v>
          </cell>
          <cell r="P5307" t="str">
            <v>STC9D03E</v>
          </cell>
          <cell r="Q5307" t="str">
            <v>电流传感器</v>
          </cell>
        </row>
        <row r="5308">
          <cell r="O5308" t="str">
            <v>2100</v>
          </cell>
          <cell r="P5308" t="str">
            <v>STC9D03E</v>
          </cell>
          <cell r="Q5308" t="str">
            <v>电流传感器</v>
          </cell>
        </row>
        <row r="5309">
          <cell r="O5309" t="str">
            <v>SC2063SO</v>
          </cell>
          <cell r="P5309" t="str">
            <v>STC9G001C</v>
          </cell>
          <cell r="Q5309" t="str">
            <v>磁性位置传感器</v>
          </cell>
        </row>
        <row r="5310">
          <cell r="O5310" t="str">
            <v>SC1138SO-N</v>
          </cell>
          <cell r="P5310" t="str">
            <v>STC1898AC</v>
          </cell>
          <cell r="Q5310" t="str">
            <v>磁性位置传感器</v>
          </cell>
        </row>
        <row r="5311">
          <cell r="O5311" t="str">
            <v>SC2434SO-N</v>
          </cell>
          <cell r="P5311" t="str">
            <v>STC9906I</v>
          </cell>
          <cell r="Q5311" t="str">
            <v>磁性位置传感器</v>
          </cell>
        </row>
        <row r="5312">
          <cell r="O5312" t="str">
            <v>SC2434SO-N</v>
          </cell>
          <cell r="P5312" t="str">
            <v>STC9906I</v>
          </cell>
          <cell r="Q5312" t="str">
            <v>磁性位置传感器</v>
          </cell>
        </row>
        <row r="5313">
          <cell r="O5313" t="str">
            <v>SC2434SO-N</v>
          </cell>
          <cell r="P5313" t="str">
            <v>STC9906I</v>
          </cell>
          <cell r="Q5313" t="str">
            <v>磁性位置传感器</v>
          </cell>
        </row>
        <row r="5314">
          <cell r="O5314" t="str">
            <v>SC2442UA</v>
          </cell>
          <cell r="P5314" t="str">
            <v>STC11102A</v>
          </cell>
          <cell r="Q5314" t="str">
            <v>磁性位置传感器</v>
          </cell>
        </row>
        <row r="5315">
          <cell r="O5315" t="str">
            <v>SC2442UA</v>
          </cell>
          <cell r="P5315" t="str">
            <v>STC11102A</v>
          </cell>
          <cell r="Q5315" t="str">
            <v>磁性位置传感器</v>
          </cell>
        </row>
        <row r="5316">
          <cell r="O5316" t="str">
            <v>SC2442UA</v>
          </cell>
          <cell r="P5316" t="str">
            <v>STC11102A</v>
          </cell>
          <cell r="Q5316" t="str">
            <v>磁性位置传感器</v>
          </cell>
        </row>
        <row r="5317">
          <cell r="O5317" t="str">
            <v>SC2242SO</v>
          </cell>
          <cell r="P5317" t="str">
            <v>STC9906H</v>
          </cell>
          <cell r="Q5317" t="str">
            <v>磁性位置传感器</v>
          </cell>
        </row>
        <row r="5318">
          <cell r="O5318" t="str">
            <v>SC1134BU</v>
          </cell>
          <cell r="P5318" t="str">
            <v>STC1898AI</v>
          </cell>
          <cell r="Q5318" t="str">
            <v>磁性位置传感器</v>
          </cell>
        </row>
        <row r="5319">
          <cell r="O5319" t="str">
            <v>SC1134BU</v>
          </cell>
          <cell r="P5319" t="str">
            <v>STC1898AI</v>
          </cell>
          <cell r="Q5319" t="str">
            <v>磁性位置传感器</v>
          </cell>
        </row>
        <row r="5320">
          <cell r="O5320" t="str">
            <v>SC2033SO-N</v>
          </cell>
          <cell r="P5320" t="str">
            <v>STC9G001D</v>
          </cell>
          <cell r="Q5320" t="str">
            <v>磁性位置传感器</v>
          </cell>
        </row>
        <row r="5321">
          <cell r="O5321" t="str">
            <v>SC2033SO-N</v>
          </cell>
          <cell r="P5321" t="str">
            <v>STC9G001D</v>
          </cell>
          <cell r="Q5321" t="str">
            <v>磁性位置传感器</v>
          </cell>
        </row>
        <row r="5322">
          <cell r="O5322" t="str">
            <v>SC9632VB</v>
          </cell>
          <cell r="P5322" t="str">
            <v>STC9905E</v>
          </cell>
          <cell r="Q5322" t="str">
            <v>速度传感器</v>
          </cell>
        </row>
        <row r="5323">
          <cell r="O5323" t="str">
            <v>SC9314UA</v>
          </cell>
          <cell r="P5323" t="str">
            <v>STC9901AF</v>
          </cell>
          <cell r="Q5323" t="str">
            <v>速度传感器</v>
          </cell>
        </row>
        <row r="5324">
          <cell r="O5324" t="str">
            <v>SC4001SE</v>
          </cell>
          <cell r="P5324" t="str">
            <v>STC4001AB</v>
          </cell>
          <cell r="Q5324" t="str">
            <v>磁性位置传感器</v>
          </cell>
        </row>
        <row r="5325">
          <cell r="O5325" t="str">
            <v>SC4002UA</v>
          </cell>
          <cell r="P5325" t="str">
            <v>STC4000AA</v>
          </cell>
          <cell r="Q5325" t="str">
            <v>磁性位置传感器</v>
          </cell>
        </row>
        <row r="5326">
          <cell r="O5326" t="str">
            <v>SC4001UA</v>
          </cell>
          <cell r="P5326" t="str">
            <v>STC4001AB</v>
          </cell>
          <cell r="Q5326" t="str">
            <v>磁性位置传感器</v>
          </cell>
        </row>
        <row r="5327">
          <cell r="O5327" t="str">
            <v>SC4011SO-N</v>
          </cell>
          <cell r="P5327" t="str">
            <v>STC4011B</v>
          </cell>
          <cell r="Q5327" t="str">
            <v>磁性位置传感器</v>
          </cell>
        </row>
        <row r="5328">
          <cell r="O5328" t="str">
            <v>SC2498UA-N</v>
          </cell>
          <cell r="P5328" t="str">
            <v>SC9915C</v>
          </cell>
          <cell r="Q5328" t="str">
            <v>磁性位置传感器</v>
          </cell>
        </row>
        <row r="5329">
          <cell r="O5329" t="str">
            <v>SC2498UA-N</v>
          </cell>
          <cell r="P5329" t="str">
            <v>SC9915C</v>
          </cell>
          <cell r="Q5329" t="str">
            <v>磁性位置传感器</v>
          </cell>
        </row>
        <row r="5330">
          <cell r="O5330" t="str">
            <v>SC2402SO-N</v>
          </cell>
          <cell r="P5330" t="str">
            <v>STC9H001A</v>
          </cell>
          <cell r="Q5330" t="str">
            <v>磁性位置传感器</v>
          </cell>
        </row>
        <row r="5331">
          <cell r="O5331" t="str">
            <v>SC2064SO</v>
          </cell>
          <cell r="P5331" t="str">
            <v>STC9G001C</v>
          </cell>
          <cell r="Q5331" t="str">
            <v>磁性位置传感器</v>
          </cell>
        </row>
        <row r="5332">
          <cell r="O5332" t="str">
            <v>SC2063UA</v>
          </cell>
          <cell r="P5332" t="str">
            <v>STC9G001C</v>
          </cell>
          <cell r="Q5332" t="str">
            <v>磁性位置传感器</v>
          </cell>
        </row>
        <row r="5333">
          <cell r="O5333" t="str">
            <v>SC2063SO</v>
          </cell>
          <cell r="P5333" t="str">
            <v>STC9G001C</v>
          </cell>
          <cell r="Q5333" t="str">
            <v>磁性位置传感器</v>
          </cell>
        </row>
        <row r="5334">
          <cell r="O5334" t="str">
            <v>SC1138SO-N</v>
          </cell>
          <cell r="P5334" t="str">
            <v>STC1898AC</v>
          </cell>
          <cell r="Q5334" t="str">
            <v>磁性位置传感器</v>
          </cell>
        </row>
        <row r="5335">
          <cell r="O5335" t="str">
            <v>SC2202SO-N</v>
          </cell>
          <cell r="P5335" t="str">
            <v>STC9902E</v>
          </cell>
          <cell r="Q5335" t="str">
            <v>磁性位置传感器</v>
          </cell>
        </row>
        <row r="5336">
          <cell r="O5336" t="str">
            <v>SC2202SO-N</v>
          </cell>
          <cell r="P5336" t="str">
            <v>STC9902E</v>
          </cell>
          <cell r="Q5336" t="str">
            <v>磁性位置传感器</v>
          </cell>
        </row>
        <row r="5337">
          <cell r="O5337" t="str">
            <v>SC1134UA</v>
          </cell>
          <cell r="P5337" t="str">
            <v>STC1898AI</v>
          </cell>
          <cell r="Q5337" t="str">
            <v>磁性位置传感器</v>
          </cell>
        </row>
        <row r="5338">
          <cell r="O5338" t="str">
            <v>SC1134SO-N</v>
          </cell>
          <cell r="P5338" t="str">
            <v>STC1898AI</v>
          </cell>
          <cell r="Q5338" t="str">
            <v>磁性位置传感器</v>
          </cell>
        </row>
        <row r="5339">
          <cell r="O5339" t="str">
            <v>SC1134SO-N</v>
          </cell>
          <cell r="P5339" t="str">
            <v>STC1898AI</v>
          </cell>
          <cell r="Q5339" t="str">
            <v>磁性位置传感器</v>
          </cell>
        </row>
        <row r="5340">
          <cell r="O5340" t="str">
            <v>SC1134UA</v>
          </cell>
          <cell r="P5340" t="str">
            <v>STC1898AI</v>
          </cell>
          <cell r="Q5340" t="str">
            <v>磁性位置传感器</v>
          </cell>
        </row>
        <row r="5341">
          <cell r="O5341" t="str">
            <v>SC2442UA</v>
          </cell>
          <cell r="P5341" t="str">
            <v>STC9906P</v>
          </cell>
          <cell r="Q5341" t="str">
            <v>磁性位置传感器</v>
          </cell>
        </row>
        <row r="5342">
          <cell r="O5342" t="str">
            <v>SC2442UA</v>
          </cell>
          <cell r="P5342" t="str">
            <v>STC9906P</v>
          </cell>
          <cell r="Q5342" t="str">
            <v>磁性位置传感器</v>
          </cell>
        </row>
        <row r="5343">
          <cell r="O5343" t="str">
            <v>SC2442SO-N</v>
          </cell>
          <cell r="P5343" t="str">
            <v>STC9906P</v>
          </cell>
          <cell r="Q5343" t="str">
            <v>磁性位置传感器</v>
          </cell>
        </row>
        <row r="5344">
          <cell r="O5344" t="str">
            <v>SC2434SO-N</v>
          </cell>
          <cell r="P5344" t="str">
            <v>STC9906I</v>
          </cell>
          <cell r="Q5344" t="str">
            <v>磁性位置传感器</v>
          </cell>
        </row>
        <row r="5345">
          <cell r="O5345" t="str">
            <v>SC2462SO</v>
          </cell>
          <cell r="P5345" t="str">
            <v>STC9906J</v>
          </cell>
          <cell r="Q5345" t="str">
            <v>磁性位置传感器</v>
          </cell>
        </row>
        <row r="5346">
          <cell r="O5346" t="str">
            <v>SC2462SO</v>
          </cell>
          <cell r="P5346" t="str">
            <v>STC9906J</v>
          </cell>
          <cell r="Q5346" t="str">
            <v>磁性位置传感器</v>
          </cell>
        </row>
        <row r="5347">
          <cell r="O5347" t="str">
            <v>SC2462UA</v>
          </cell>
          <cell r="P5347" t="str">
            <v>STC9906J</v>
          </cell>
          <cell r="Q5347" t="str">
            <v>磁性位置传感器</v>
          </cell>
        </row>
        <row r="5348">
          <cell r="O5348" t="str">
            <v>SC2442SO</v>
          </cell>
          <cell r="P5348" t="str">
            <v>STC9906R</v>
          </cell>
          <cell r="Q5348" t="str">
            <v>磁性位置传感器</v>
          </cell>
        </row>
        <row r="5349">
          <cell r="O5349" t="str">
            <v>SC9642TS-E</v>
          </cell>
          <cell r="P5349" t="str">
            <v>STC9A001H</v>
          </cell>
          <cell r="Q5349" t="str">
            <v>速度传感器</v>
          </cell>
        </row>
        <row r="5350">
          <cell r="O5350" t="str">
            <v>SC9641TS-P</v>
          </cell>
          <cell r="P5350" t="str">
            <v>STC9A001I</v>
          </cell>
          <cell r="Q5350" t="str">
            <v>速度传感器</v>
          </cell>
        </row>
        <row r="5351">
          <cell r="O5351" t="str">
            <v>SC9633VB</v>
          </cell>
          <cell r="P5351" t="str">
            <v>STC9905F</v>
          </cell>
          <cell r="Q5351" t="str">
            <v>速度传感器</v>
          </cell>
        </row>
        <row r="5352">
          <cell r="O5352" t="str">
            <v>SC9314UA</v>
          </cell>
          <cell r="P5352" t="str">
            <v>STC9901AF</v>
          </cell>
          <cell r="Q5352" t="str">
            <v>速度传感器</v>
          </cell>
        </row>
        <row r="5353">
          <cell r="O5353" t="str">
            <v>SC9314UA</v>
          </cell>
          <cell r="P5353" t="str">
            <v>STC9901AF</v>
          </cell>
          <cell r="Q5353" t="str">
            <v>速度传感器</v>
          </cell>
        </row>
        <row r="5354">
          <cell r="O5354" t="str">
            <v>SC4688SA-A</v>
          </cell>
          <cell r="P5354" t="str">
            <v>STC9D01C</v>
          </cell>
          <cell r="Q5354" t="str">
            <v>角度传感器</v>
          </cell>
        </row>
        <row r="5355">
          <cell r="O5355" t="str">
            <v>SC4688SA</v>
          </cell>
          <cell r="P5355" t="str">
            <v>STC9D01C</v>
          </cell>
          <cell r="Q5355" t="str">
            <v>角度传感器</v>
          </cell>
        </row>
        <row r="5356">
          <cell r="O5356" t="str">
            <v>SC60228DC</v>
          </cell>
          <cell r="P5356" t="str">
            <v>STC9D04C</v>
          </cell>
          <cell r="Q5356" t="str">
            <v>电机编码器</v>
          </cell>
        </row>
        <row r="5357">
          <cell r="O5357" t="str">
            <v>SC60228DC</v>
          </cell>
          <cell r="P5357" t="str">
            <v>STC9D04C</v>
          </cell>
          <cell r="Q5357" t="str">
            <v>电机编码器</v>
          </cell>
        </row>
        <row r="5358">
          <cell r="O5358" t="str">
            <v>SC60224-U-P4-1024</v>
          </cell>
          <cell r="P5358" t="str">
            <v>STC9D04C</v>
          </cell>
          <cell r="Q5358" t="str">
            <v>电机编码器</v>
          </cell>
        </row>
        <row r="5359">
          <cell r="O5359" t="str">
            <v>SC4002UA</v>
          </cell>
          <cell r="P5359" t="str">
            <v>STC4000AA</v>
          </cell>
          <cell r="Q5359" t="str">
            <v>磁性位置传感器</v>
          </cell>
        </row>
        <row r="5360">
          <cell r="O5360" t="str">
            <v>G01</v>
          </cell>
          <cell r="P5360" t="str">
            <v>STC4011B</v>
          </cell>
          <cell r="Q5360" t="str">
            <v>磁性位置传感器</v>
          </cell>
        </row>
        <row r="5361">
          <cell r="O5361" t="str">
            <v>G01</v>
          </cell>
          <cell r="P5361" t="str">
            <v>STC4011B</v>
          </cell>
          <cell r="Q5361" t="str">
            <v>磁性位置传感器</v>
          </cell>
        </row>
        <row r="5362">
          <cell r="O5362" t="str">
            <v>G01</v>
          </cell>
          <cell r="P5362" t="str">
            <v>STC4011B</v>
          </cell>
          <cell r="Q5362" t="str">
            <v>磁性位置传感器</v>
          </cell>
        </row>
        <row r="5363">
          <cell r="O5363" t="str">
            <v>G01</v>
          </cell>
          <cell r="P5363" t="str">
            <v>STC4011B</v>
          </cell>
          <cell r="Q5363" t="str">
            <v>磁性位置传感器</v>
          </cell>
        </row>
        <row r="5364">
          <cell r="O5364" t="str">
            <v>G01</v>
          </cell>
          <cell r="P5364" t="str">
            <v>STC4011B</v>
          </cell>
          <cell r="Q5364" t="str">
            <v>磁性位置传感器</v>
          </cell>
        </row>
        <row r="5365">
          <cell r="O5365" t="str">
            <v>G01</v>
          </cell>
          <cell r="P5365" t="str">
            <v>STC4011B</v>
          </cell>
          <cell r="Q5365" t="str">
            <v>磁性位置传感器</v>
          </cell>
        </row>
        <row r="5366">
          <cell r="O5366" t="str">
            <v>SC2442SO-N</v>
          </cell>
          <cell r="P5366" t="str">
            <v>STC9906P</v>
          </cell>
          <cell r="Q5366" t="str">
            <v>磁性位置传感器</v>
          </cell>
        </row>
        <row r="5367">
          <cell r="O5367" t="str">
            <v>SC2242SO</v>
          </cell>
          <cell r="P5367" t="str">
            <v>STC9906H</v>
          </cell>
          <cell r="Q5367" t="str">
            <v>磁性位置传感器</v>
          </cell>
        </row>
        <row r="5368">
          <cell r="O5368" t="str">
            <v>SC2242SO</v>
          </cell>
          <cell r="P5368" t="str">
            <v>STC9906H</v>
          </cell>
          <cell r="Q5368" t="str">
            <v>磁性位置传感器</v>
          </cell>
        </row>
        <row r="5369">
          <cell r="O5369" t="str">
            <v>SC2443SO</v>
          </cell>
          <cell r="P5369" t="str">
            <v>STC9906T</v>
          </cell>
          <cell r="Q5369" t="str">
            <v>磁性位置传感器</v>
          </cell>
        </row>
        <row r="5370">
          <cell r="O5370" t="str">
            <v>SC2402SO-N-G</v>
          </cell>
          <cell r="P5370" t="str">
            <v>STC9G002A</v>
          </cell>
          <cell r="Q5370" t="str">
            <v>磁性位置传感器</v>
          </cell>
        </row>
        <row r="5371">
          <cell r="O5371" t="str">
            <v>SC2402SO-N-G</v>
          </cell>
          <cell r="P5371" t="str">
            <v>STC9G002A</v>
          </cell>
          <cell r="Q5371" t="str">
            <v>磁性位置传感器</v>
          </cell>
        </row>
        <row r="5372">
          <cell r="O5372" t="str">
            <v>SC4689SA</v>
          </cell>
          <cell r="P5372" t="str">
            <v>STC9D01F</v>
          </cell>
          <cell r="Q5372" t="str">
            <v>角度传感器</v>
          </cell>
        </row>
        <row r="5373">
          <cell r="O5373" t="str">
            <v>SC2436SO</v>
          </cell>
          <cell r="P5373" t="str">
            <v>STC9906I</v>
          </cell>
          <cell r="Q5373" t="str">
            <v>磁性位置传感器</v>
          </cell>
        </row>
        <row r="5374">
          <cell r="O5374" t="str">
            <v>SC2436SO</v>
          </cell>
          <cell r="P5374" t="str">
            <v>STC9906I</v>
          </cell>
          <cell r="Q5374" t="str">
            <v>磁性位置传感器</v>
          </cell>
        </row>
        <row r="5375">
          <cell r="O5375" t="str">
            <v>SC9648TS-P</v>
          </cell>
          <cell r="P5375" t="str">
            <v>STC9A001I</v>
          </cell>
          <cell r="Q5375" t="str">
            <v>速度传感器</v>
          </cell>
        </row>
        <row r="5376">
          <cell r="O5376" t="str">
            <v>SC2442SO</v>
          </cell>
          <cell r="P5376" t="str">
            <v>STC9906R</v>
          </cell>
          <cell r="Q5376" t="str">
            <v>磁性位置传感器</v>
          </cell>
        </row>
        <row r="5377">
          <cell r="O5377" t="str">
            <v>SC2442SO</v>
          </cell>
          <cell r="P5377" t="str">
            <v>STC9906R</v>
          </cell>
          <cell r="Q5377" t="str">
            <v>磁性位置传感器</v>
          </cell>
        </row>
        <row r="5378">
          <cell r="O5378" t="str">
            <v>SC2442SO</v>
          </cell>
          <cell r="P5378" t="str">
            <v>STC9906R</v>
          </cell>
          <cell r="Q5378" t="str">
            <v>磁性位置传感器</v>
          </cell>
        </row>
        <row r="5379">
          <cell r="O5379" t="str">
            <v>SC9642TS-EC</v>
          </cell>
          <cell r="P5379" t="str">
            <v>STC9A001H</v>
          </cell>
          <cell r="Q5379" t="str">
            <v>速度传感器</v>
          </cell>
        </row>
        <row r="5380">
          <cell r="O5380" t="str">
            <v>SC2448UA-N</v>
          </cell>
          <cell r="P5380" t="str">
            <v>STC9906S</v>
          </cell>
          <cell r="Q5380" t="str">
            <v>磁性位置传感器</v>
          </cell>
        </row>
        <row r="5381">
          <cell r="O5381" t="str">
            <v>SC9314UA</v>
          </cell>
          <cell r="P5381" t="str">
            <v>STC9901AF</v>
          </cell>
          <cell r="Q5381" t="str">
            <v>速度传感器</v>
          </cell>
        </row>
        <row r="5382">
          <cell r="O5382" t="str">
            <v>SC2442SO</v>
          </cell>
          <cell r="P5382" t="str">
            <v>STC9906R</v>
          </cell>
          <cell r="Q5382" t="str">
            <v>磁性位置传感器</v>
          </cell>
        </row>
        <row r="5383">
          <cell r="O5383" t="str">
            <v>SC2442SO</v>
          </cell>
          <cell r="P5383" t="str">
            <v>STC9906R</v>
          </cell>
          <cell r="Q5383" t="str">
            <v>磁性位置传感器</v>
          </cell>
        </row>
        <row r="5384">
          <cell r="O5384" t="str">
            <v>SC9648TS-P</v>
          </cell>
          <cell r="P5384" t="str">
            <v>STC9A001I</v>
          </cell>
          <cell r="Q5384" t="str">
            <v>速度传感器</v>
          </cell>
        </row>
        <row r="5385">
          <cell r="O5385" t="str">
            <v>SC9641TS-PC</v>
          </cell>
          <cell r="P5385" t="str">
            <v>STC9A001I</v>
          </cell>
          <cell r="Q5385" t="str">
            <v>速度传感器</v>
          </cell>
        </row>
        <row r="5386">
          <cell r="O5386" t="str">
            <v>SC9648TS-P</v>
          </cell>
          <cell r="P5386" t="str">
            <v>STC9A001I</v>
          </cell>
          <cell r="Q5386" t="str">
            <v>速度传感器</v>
          </cell>
        </row>
        <row r="5387">
          <cell r="O5387" t="str">
            <v>SC9648TS-P</v>
          </cell>
          <cell r="P5387" t="str">
            <v>STC9A001I</v>
          </cell>
          <cell r="Q5387" t="str">
            <v>速度传感器</v>
          </cell>
        </row>
        <row r="5388">
          <cell r="O5388" t="str">
            <v>SC9648TS-P</v>
          </cell>
          <cell r="P5388" t="str">
            <v>STC9A001I</v>
          </cell>
          <cell r="Q5388" t="str">
            <v>速度传感器</v>
          </cell>
        </row>
        <row r="5389">
          <cell r="O5389" t="str">
            <v>SC2430UA</v>
          </cell>
          <cell r="P5389" t="str">
            <v>STC9906I</v>
          </cell>
          <cell r="Q5389" t="str">
            <v>磁性位置传感器</v>
          </cell>
        </row>
        <row r="5390">
          <cell r="O5390" t="str">
            <v>SC2430UA</v>
          </cell>
          <cell r="P5390" t="str">
            <v>STC9906I</v>
          </cell>
          <cell r="Q5390" t="str">
            <v>磁性位置传感器</v>
          </cell>
        </row>
        <row r="5391">
          <cell r="O5391" t="str">
            <v>SC1445A1</v>
          </cell>
          <cell r="P5391" t="str">
            <v>STC2899AB</v>
          </cell>
          <cell r="Q5391" t="str">
            <v>磁性位置传感器</v>
          </cell>
        </row>
        <row r="5392">
          <cell r="O5392" t="str">
            <v>SC2443UA</v>
          </cell>
          <cell r="P5392" t="str">
            <v>STC9906G</v>
          </cell>
          <cell r="Q5392" t="str">
            <v>磁性位置传感器</v>
          </cell>
        </row>
        <row r="5393">
          <cell r="O5393" t="str">
            <v>SC4643VB-P</v>
          </cell>
          <cell r="P5393" t="str">
            <v>STC9D03E</v>
          </cell>
          <cell r="Q5393" t="str">
            <v>电流传感器</v>
          </cell>
        </row>
        <row r="5394">
          <cell r="O5394" t="str">
            <v>SC4643SA-A</v>
          </cell>
          <cell r="P5394" t="str">
            <v>STC9D03E</v>
          </cell>
          <cell r="Q5394" t="str">
            <v>电流传感器</v>
          </cell>
        </row>
        <row r="5395">
          <cell r="O5395" t="str">
            <v>SC1134BU</v>
          </cell>
          <cell r="P5395" t="str">
            <v>STC1898AI</v>
          </cell>
          <cell r="Q5395" t="str">
            <v>磁性位置传感器</v>
          </cell>
        </row>
        <row r="5396">
          <cell r="O5396" t="str">
            <v>SC1134BU</v>
          </cell>
          <cell r="P5396" t="str">
            <v>STC1898AI</v>
          </cell>
          <cell r="Q5396" t="str">
            <v>磁性位置传感器</v>
          </cell>
        </row>
        <row r="5397">
          <cell r="O5397" t="str">
            <v>SC1134BU</v>
          </cell>
          <cell r="P5397" t="str">
            <v>STC1898AI</v>
          </cell>
          <cell r="Q5397" t="str">
            <v>磁性位置传感器</v>
          </cell>
        </row>
        <row r="5398">
          <cell r="O5398" t="str">
            <v>SCN919</v>
          </cell>
          <cell r="P5398" t="str">
            <v>STC9909B</v>
          </cell>
          <cell r="Q5398" t="str">
            <v>磁性位置传感器</v>
          </cell>
        </row>
        <row r="5399">
          <cell r="O5399" t="str">
            <v>SC2443SO</v>
          </cell>
          <cell r="P5399" t="str">
            <v>STC9906T</v>
          </cell>
          <cell r="Q5399" t="str">
            <v>磁性位置传感器</v>
          </cell>
        </row>
        <row r="5400">
          <cell r="O5400" t="str">
            <v>SC2443SO</v>
          </cell>
          <cell r="P5400" t="str">
            <v>STC9906T</v>
          </cell>
          <cell r="Q5400" t="str">
            <v>磁性位置传感器</v>
          </cell>
        </row>
        <row r="5401">
          <cell r="O5401" t="str">
            <v>SC2443SO</v>
          </cell>
          <cell r="P5401" t="str">
            <v>STC9906T</v>
          </cell>
          <cell r="Q5401" t="str">
            <v>磁性位置传感器</v>
          </cell>
        </row>
        <row r="5402">
          <cell r="O5402" t="str">
            <v>SC2443SO</v>
          </cell>
          <cell r="P5402" t="str">
            <v>STC9906T</v>
          </cell>
          <cell r="Q5402" t="str">
            <v>磁性位置传感器</v>
          </cell>
        </row>
        <row r="5403">
          <cell r="O5403" t="str">
            <v>SC4001UA</v>
          </cell>
          <cell r="P5403" t="str">
            <v>STC4001AB</v>
          </cell>
          <cell r="Q5403" t="str">
            <v>磁性位置传感器</v>
          </cell>
        </row>
        <row r="5404">
          <cell r="O5404" t="str">
            <v>SC4001UA</v>
          </cell>
          <cell r="P5404" t="str">
            <v>STC4001AB</v>
          </cell>
          <cell r="Q5404" t="str">
            <v>磁性位置传感器</v>
          </cell>
        </row>
        <row r="5405">
          <cell r="O5405" t="str">
            <v>SD2276</v>
          </cell>
          <cell r="P5405" t="str">
            <v>FD1014A</v>
          </cell>
          <cell r="Q5405" t="str">
            <v>电机驱动</v>
          </cell>
        </row>
        <row r="5406">
          <cell r="O5406" t="str">
            <v>SD2276</v>
          </cell>
          <cell r="P5406" t="str">
            <v>FD1014A</v>
          </cell>
          <cell r="Q5406" t="str">
            <v>电机驱动</v>
          </cell>
        </row>
        <row r="5407">
          <cell r="O5407" t="str">
            <v>SD2276</v>
          </cell>
          <cell r="P5407" t="str">
            <v>FD1014A</v>
          </cell>
          <cell r="Q5407" t="str">
            <v>电机驱动</v>
          </cell>
        </row>
        <row r="5408">
          <cell r="O5408" t="str">
            <v>SD2276</v>
          </cell>
          <cell r="P5408" t="str">
            <v>FD1014A</v>
          </cell>
          <cell r="Q5408" t="str">
            <v>电机驱动</v>
          </cell>
        </row>
        <row r="5409">
          <cell r="O5409" t="str">
            <v>SC2448SO</v>
          </cell>
          <cell r="P5409" t="str">
            <v>STC9906S</v>
          </cell>
          <cell r="Q5409" t="str">
            <v>磁性位置传感器</v>
          </cell>
        </row>
        <row r="5410">
          <cell r="O5410" t="str">
            <v>SC2448SO</v>
          </cell>
          <cell r="P5410" t="str">
            <v>STC9906S</v>
          </cell>
          <cell r="Q5410" t="str">
            <v>磁性位置传感器</v>
          </cell>
        </row>
        <row r="5411">
          <cell r="O5411" t="str">
            <v>SC9648TS-P</v>
          </cell>
          <cell r="P5411" t="str">
            <v>STC9A001I</v>
          </cell>
          <cell r="Q5411" t="str">
            <v>速度传感器</v>
          </cell>
        </row>
        <row r="5412">
          <cell r="O5412" t="str">
            <v>SC9648TS-P</v>
          </cell>
          <cell r="P5412" t="str">
            <v>STC9A001I</v>
          </cell>
          <cell r="Q5412" t="str">
            <v>速度传感器</v>
          </cell>
        </row>
        <row r="5413">
          <cell r="O5413" t="str">
            <v>SC9648TS-P</v>
          </cell>
          <cell r="P5413" t="str">
            <v>STC9A001I</v>
          </cell>
          <cell r="Q5413" t="str">
            <v>速度传感器</v>
          </cell>
        </row>
        <row r="5414">
          <cell r="O5414" t="str">
            <v>SC9648TS-P</v>
          </cell>
          <cell r="P5414" t="str">
            <v>STC9A001I</v>
          </cell>
          <cell r="Q5414" t="str">
            <v>速度传感器</v>
          </cell>
        </row>
        <row r="5415">
          <cell r="O5415" t="str">
            <v>SC9648TS-P</v>
          </cell>
          <cell r="P5415" t="str">
            <v>STC9A001I</v>
          </cell>
          <cell r="Q5415" t="str">
            <v>速度传感器</v>
          </cell>
        </row>
        <row r="5416">
          <cell r="O5416" t="str">
            <v>SC9648TS-P</v>
          </cell>
          <cell r="P5416" t="str">
            <v>STC9A001I</v>
          </cell>
          <cell r="Q5416" t="str">
            <v>速度传感器</v>
          </cell>
        </row>
        <row r="5417">
          <cell r="O5417" t="str">
            <v>SC9648TS-P</v>
          </cell>
          <cell r="P5417" t="str">
            <v>STC9A001I</v>
          </cell>
          <cell r="Q5417" t="str">
            <v>速度传感器</v>
          </cell>
        </row>
        <row r="5418">
          <cell r="O5418" t="str">
            <v>SC9648TS-P</v>
          </cell>
          <cell r="P5418" t="str">
            <v>STC9A001I</v>
          </cell>
          <cell r="Q5418" t="str">
            <v>速度传感器</v>
          </cell>
        </row>
        <row r="5419">
          <cell r="O5419" t="str">
            <v>SC2455SO</v>
          </cell>
          <cell r="P5419" t="str">
            <v>STC9906K</v>
          </cell>
          <cell r="Q5419" t="str">
            <v>磁性位置传感器</v>
          </cell>
        </row>
        <row r="5420">
          <cell r="O5420" t="str">
            <v>SC2432SO</v>
          </cell>
          <cell r="P5420" t="str">
            <v>STC9906I</v>
          </cell>
          <cell r="Q5420" t="str">
            <v>磁性位置传感器</v>
          </cell>
        </row>
        <row r="5421">
          <cell r="O5421" t="str">
            <v>SC1245SO-N</v>
          </cell>
          <cell r="P5421" t="str">
            <v>STC1898AD</v>
          </cell>
          <cell r="Q5421" t="str">
            <v>磁性位置传感器</v>
          </cell>
        </row>
        <row r="5422">
          <cell r="O5422" t="str">
            <v>SC2464SO</v>
          </cell>
          <cell r="P5422" t="str">
            <v>STC9906J</v>
          </cell>
          <cell r="Q5422" t="str">
            <v>磁性位置传感器</v>
          </cell>
        </row>
        <row r="5423">
          <cell r="O5423" t="str">
            <v>SC2464SO</v>
          </cell>
          <cell r="P5423" t="str">
            <v>STC9906J</v>
          </cell>
          <cell r="Q5423" t="str">
            <v>磁性位置传感器</v>
          </cell>
        </row>
        <row r="5424">
          <cell r="O5424" t="str">
            <v>SC1133UA</v>
          </cell>
          <cell r="P5424" t="str">
            <v>STC1898AJ</v>
          </cell>
          <cell r="Q5424" t="str">
            <v>磁性位置传感器</v>
          </cell>
        </row>
        <row r="5425">
          <cell r="O5425" t="str">
            <v>SC1133UA</v>
          </cell>
          <cell r="P5425" t="str">
            <v>STC1898AJ</v>
          </cell>
          <cell r="Q5425" t="str">
            <v>磁性位置传感器</v>
          </cell>
        </row>
        <row r="5426">
          <cell r="O5426" t="str">
            <v>SC1133UA</v>
          </cell>
          <cell r="P5426" t="str">
            <v>STC1898AJ</v>
          </cell>
          <cell r="Q5426" t="str">
            <v>磁性位置传感器</v>
          </cell>
        </row>
        <row r="5427">
          <cell r="O5427" t="str">
            <v>ATK-E512</v>
          </cell>
          <cell r="P5427" t="str">
            <v>STC4011B</v>
          </cell>
          <cell r="Q5427" t="str">
            <v>磁性位置传感器</v>
          </cell>
        </row>
        <row r="5428">
          <cell r="O5428" t="str">
            <v>ATK-E512</v>
          </cell>
          <cell r="P5428" t="str">
            <v>STC4011B</v>
          </cell>
          <cell r="Q5428" t="str">
            <v>磁性位置传感器</v>
          </cell>
        </row>
        <row r="5429">
          <cell r="O5429" t="str">
            <v>ATK-E512</v>
          </cell>
          <cell r="P5429" t="str">
            <v>STC4011B</v>
          </cell>
          <cell r="Q5429" t="str">
            <v>磁性位置传感器</v>
          </cell>
        </row>
        <row r="5430">
          <cell r="O5430" t="str">
            <v>ATK-E512</v>
          </cell>
          <cell r="P5430" t="str">
            <v>STC4011B</v>
          </cell>
          <cell r="Q5430" t="str">
            <v>磁性位置传感器</v>
          </cell>
        </row>
        <row r="5431">
          <cell r="O5431" t="str">
            <v>ATK-E512</v>
          </cell>
          <cell r="P5431" t="str">
            <v>STC4011B</v>
          </cell>
          <cell r="Q5431" t="str">
            <v>磁性位置传感器</v>
          </cell>
        </row>
        <row r="5432">
          <cell r="O5432" t="str">
            <v>SC1245SO-N</v>
          </cell>
          <cell r="P5432" t="str">
            <v>STC1898AD</v>
          </cell>
          <cell r="Q5432" t="str">
            <v>磁性位置传感器</v>
          </cell>
        </row>
        <row r="5433">
          <cell r="O5433" t="str">
            <v>SC2464SO</v>
          </cell>
          <cell r="P5433" t="str">
            <v>STC9906J</v>
          </cell>
          <cell r="Q5433" t="str">
            <v>磁性位置传感器</v>
          </cell>
        </row>
        <row r="5434">
          <cell r="O5434" t="str">
            <v>SC1945N1Y12</v>
          </cell>
          <cell r="P5434" t="str">
            <v>STC2899AM</v>
          </cell>
          <cell r="Q5434" t="str">
            <v>磁性位置传感器</v>
          </cell>
        </row>
        <row r="5435">
          <cell r="O5435" t="str">
            <v>G01</v>
          </cell>
          <cell r="P5435" t="str">
            <v>STC4011B</v>
          </cell>
          <cell r="Q5435" t="str">
            <v>磁性位置传感器</v>
          </cell>
        </row>
        <row r="5436">
          <cell r="O5436" t="str">
            <v>G01</v>
          </cell>
          <cell r="P5436" t="str">
            <v>STC4011B</v>
          </cell>
          <cell r="Q5436" t="str">
            <v>磁性位置传感器</v>
          </cell>
        </row>
        <row r="5437">
          <cell r="O5437" t="str">
            <v>G01</v>
          </cell>
          <cell r="P5437" t="str">
            <v>STC4011B</v>
          </cell>
          <cell r="Q5437" t="str">
            <v>磁性位置传感器</v>
          </cell>
        </row>
        <row r="5438">
          <cell r="O5438" t="str">
            <v>G01</v>
          </cell>
          <cell r="P5438" t="str">
            <v>STC4011B</v>
          </cell>
          <cell r="Q5438" t="str">
            <v>磁性位置传感器</v>
          </cell>
        </row>
        <row r="5439">
          <cell r="O5439" t="str">
            <v>G01</v>
          </cell>
          <cell r="P5439" t="str">
            <v>STC4011B</v>
          </cell>
          <cell r="Q5439" t="str">
            <v>磁性位置传感器</v>
          </cell>
        </row>
        <row r="5440">
          <cell r="O5440" t="str">
            <v>STC4011B-DS</v>
          </cell>
          <cell r="P5440" t="str">
            <v>STC4011B</v>
          </cell>
          <cell r="Q5440" t="str">
            <v>磁性位置传感器</v>
          </cell>
        </row>
        <row r="5441">
          <cell r="O5441" t="str">
            <v>SC4689SA</v>
          </cell>
          <cell r="P5441" t="str">
            <v>STC9D01F</v>
          </cell>
          <cell r="Q5441" t="str">
            <v>角度传感器</v>
          </cell>
        </row>
        <row r="5442">
          <cell r="O5442" t="str">
            <v>SC4689SA</v>
          </cell>
          <cell r="P5442" t="str">
            <v>STC9D01F</v>
          </cell>
          <cell r="Q5442" t="str">
            <v>角度传感器</v>
          </cell>
        </row>
        <row r="5443">
          <cell r="O5443" t="str">
            <v>SC4689SA</v>
          </cell>
          <cell r="P5443" t="str">
            <v>STC9D01F</v>
          </cell>
          <cell r="Q5443" t="str">
            <v>角度传感器</v>
          </cell>
        </row>
        <row r="5444">
          <cell r="O5444" t="str">
            <v>SC4688编程板</v>
          </cell>
          <cell r="P5444" t="str">
            <v xml:space="preserve"> </v>
          </cell>
          <cell r="Q5444" t="str">
            <v>角度传感器</v>
          </cell>
        </row>
        <row r="5445">
          <cell r="O5445" t="str">
            <v>SC9648TS-P</v>
          </cell>
          <cell r="P5445" t="str">
            <v>STC9A001I</v>
          </cell>
          <cell r="Q5445" t="str">
            <v>速度传感器</v>
          </cell>
        </row>
        <row r="5446">
          <cell r="O5446" t="str">
            <v>SC9648TS-P</v>
          </cell>
          <cell r="P5446" t="str">
            <v>STC9A001I</v>
          </cell>
          <cell r="Q5446" t="str">
            <v>速度传感器</v>
          </cell>
        </row>
        <row r="5447">
          <cell r="O5447" t="str">
            <v>SC9648TS-P</v>
          </cell>
          <cell r="P5447" t="str">
            <v>STC9A001I</v>
          </cell>
          <cell r="Q5447" t="str">
            <v>速度传感器</v>
          </cell>
        </row>
        <row r="5448">
          <cell r="O5448" t="str">
            <v>SC9648TS-P</v>
          </cell>
          <cell r="P5448" t="str">
            <v>STC9A001I</v>
          </cell>
          <cell r="Q5448" t="str">
            <v>速度传感器</v>
          </cell>
        </row>
        <row r="5449">
          <cell r="O5449" t="str">
            <v>SC9648TS-P</v>
          </cell>
          <cell r="P5449" t="str">
            <v>STC9A001I</v>
          </cell>
          <cell r="Q5449" t="str">
            <v>速度传感器</v>
          </cell>
        </row>
        <row r="5450">
          <cell r="O5450" t="str">
            <v>SC2448UA-N</v>
          </cell>
          <cell r="P5450" t="str">
            <v>STC9906S</v>
          </cell>
          <cell r="Q5450" t="str">
            <v>磁性位置传感器</v>
          </cell>
        </row>
        <row r="5451">
          <cell r="O5451" t="str">
            <v>SC2448UA-N</v>
          </cell>
          <cell r="P5451" t="str">
            <v>STC9906S</v>
          </cell>
          <cell r="Q5451" t="str">
            <v>磁性位置传感器</v>
          </cell>
        </row>
        <row r="5452">
          <cell r="O5452" t="str">
            <v>SC2063SO</v>
          </cell>
          <cell r="P5452" t="str">
            <v>STC9G001C</v>
          </cell>
          <cell r="Q5452" t="str">
            <v>磁性位置传感器</v>
          </cell>
        </row>
        <row r="5453">
          <cell r="O5453" t="str">
            <v>SC9648TS-P</v>
          </cell>
          <cell r="P5453" t="str">
            <v>STC9A001I</v>
          </cell>
          <cell r="Q5453" t="str">
            <v>速度传感器</v>
          </cell>
        </row>
        <row r="5454">
          <cell r="O5454" t="str">
            <v>SC9648TS-P</v>
          </cell>
          <cell r="P5454" t="str">
            <v>STC9A001I</v>
          </cell>
          <cell r="Q5454" t="str">
            <v>速度传感器</v>
          </cell>
        </row>
        <row r="5455">
          <cell r="O5455" t="str">
            <v>SC9648TS-P</v>
          </cell>
          <cell r="P5455" t="str">
            <v>STC9A001I</v>
          </cell>
          <cell r="Q5455" t="str">
            <v>速度传感器</v>
          </cell>
        </row>
        <row r="5456">
          <cell r="O5456" t="str">
            <v>SC9648TS-P</v>
          </cell>
          <cell r="P5456" t="str">
            <v>STC9A001I</v>
          </cell>
          <cell r="Q5456" t="str">
            <v>速度传感器</v>
          </cell>
        </row>
        <row r="5457">
          <cell r="O5457" t="str">
            <v>SC9648TS-P</v>
          </cell>
          <cell r="P5457" t="str">
            <v>STC9A001I</v>
          </cell>
          <cell r="Q5457" t="str">
            <v>速度传感器</v>
          </cell>
        </row>
        <row r="5458">
          <cell r="O5458" t="str">
            <v>SC9642TS-E</v>
          </cell>
          <cell r="P5458" t="str">
            <v>STC9A001H</v>
          </cell>
          <cell r="Q5458" t="str">
            <v>速度传感器</v>
          </cell>
        </row>
        <row r="5459">
          <cell r="O5459" t="str">
            <v>SC9642TS-E</v>
          </cell>
          <cell r="P5459" t="str">
            <v>STC9A001H</v>
          </cell>
          <cell r="Q5459" t="str">
            <v>速度传感器</v>
          </cell>
        </row>
        <row r="5460">
          <cell r="O5460" t="str">
            <v>SC9642TS-E</v>
          </cell>
          <cell r="P5460" t="str">
            <v>STC9A001H</v>
          </cell>
          <cell r="Q5460" t="str">
            <v>速度传感器</v>
          </cell>
        </row>
        <row r="5461">
          <cell r="O5461" t="str">
            <v>SC9642TS-E</v>
          </cell>
          <cell r="P5461" t="str">
            <v>STC9A001H</v>
          </cell>
          <cell r="Q5461" t="str">
            <v>速度传感器</v>
          </cell>
        </row>
        <row r="5462">
          <cell r="O5462" t="str">
            <v>SC9642TS-E</v>
          </cell>
          <cell r="P5462" t="str">
            <v>STC9A001H</v>
          </cell>
          <cell r="Q5462" t="str">
            <v>速度传感器</v>
          </cell>
        </row>
        <row r="5463">
          <cell r="O5463" t="str">
            <v>SC9642TS-E</v>
          </cell>
          <cell r="P5463" t="str">
            <v>STC9A001H</v>
          </cell>
          <cell r="Q5463" t="str">
            <v>速度传感器</v>
          </cell>
        </row>
        <row r="5464">
          <cell r="O5464" t="str">
            <v>SC9642TS-E</v>
          </cell>
          <cell r="P5464" t="str">
            <v>STC9A001H</v>
          </cell>
          <cell r="Q5464" t="str">
            <v>速度传感器</v>
          </cell>
        </row>
        <row r="5465">
          <cell r="O5465" t="str">
            <v>SC9642TS-E</v>
          </cell>
          <cell r="P5465" t="str">
            <v>STC9A001H</v>
          </cell>
          <cell r="Q5465" t="str">
            <v>速度传感器</v>
          </cell>
        </row>
        <row r="5466">
          <cell r="O5466" t="str">
            <v>SC9642TS</v>
          </cell>
          <cell r="P5466" t="str">
            <v>STC9A001G</v>
          </cell>
          <cell r="Q5466" t="str">
            <v>速度传感器</v>
          </cell>
        </row>
        <row r="5467">
          <cell r="O5467" t="str">
            <v>SC9642TS</v>
          </cell>
          <cell r="P5467" t="str">
            <v>STC9A001G</v>
          </cell>
          <cell r="Q5467" t="str">
            <v>速度传感器</v>
          </cell>
        </row>
        <row r="5468">
          <cell r="O5468" t="str">
            <v>SC60221-D-400</v>
          </cell>
          <cell r="P5468" t="str">
            <v>STC9D04C</v>
          </cell>
          <cell r="Q5468" t="str">
            <v>电机编码器</v>
          </cell>
        </row>
        <row r="5469">
          <cell r="O5469" t="str">
            <v>SC1002A1</v>
          </cell>
          <cell r="P5469" t="str">
            <v>STC1002AG</v>
          </cell>
          <cell r="Q5469" t="str">
            <v>磁性位置传感器</v>
          </cell>
        </row>
        <row r="5470">
          <cell r="O5470" t="str">
            <v>SC2432SO</v>
          </cell>
          <cell r="P5470" t="str">
            <v>STC9906I</v>
          </cell>
          <cell r="Q5470" t="str">
            <v>磁性位置传感器</v>
          </cell>
        </row>
        <row r="5471">
          <cell r="O5471" t="str">
            <v>SC2442UA</v>
          </cell>
          <cell r="P5471" t="str">
            <v>STC9906P</v>
          </cell>
          <cell r="Q5471" t="str">
            <v>磁性位置传感器</v>
          </cell>
        </row>
        <row r="5472">
          <cell r="O5472" t="str">
            <v>SC2462SO</v>
          </cell>
          <cell r="P5472" t="str">
            <v>STC9906J</v>
          </cell>
          <cell r="Q5472" t="str">
            <v>磁性位置传感器</v>
          </cell>
        </row>
        <row r="5473">
          <cell r="O5473" t="str">
            <v>SC2402SO-N-H</v>
          </cell>
          <cell r="P5473" t="str">
            <v>STC9H001A</v>
          </cell>
          <cell r="Q5473" t="str">
            <v>磁性位置传感器</v>
          </cell>
        </row>
        <row r="5474">
          <cell r="O5474" t="str">
            <v>SC2448SO</v>
          </cell>
          <cell r="P5474" t="str">
            <v>STC9906S</v>
          </cell>
          <cell r="Q5474" t="str">
            <v>磁性位置传感器</v>
          </cell>
        </row>
        <row r="5475">
          <cell r="O5475" t="str">
            <v>SC2448SO</v>
          </cell>
          <cell r="P5475" t="str">
            <v>STC9906S</v>
          </cell>
          <cell r="Q5475" t="str">
            <v>磁性位置传感器</v>
          </cell>
        </row>
        <row r="5476">
          <cell r="O5476" t="str">
            <v>SC2434SO-N</v>
          </cell>
          <cell r="P5476" t="str">
            <v>STC9906I</v>
          </cell>
          <cell r="Q5476" t="str">
            <v>磁性位置传感器</v>
          </cell>
        </row>
        <row r="5477">
          <cell r="O5477" t="str">
            <v>SC2434SO-N</v>
          </cell>
          <cell r="P5477" t="str">
            <v>STC9906I</v>
          </cell>
          <cell r="Q5477" t="str">
            <v>磁性位置传感器</v>
          </cell>
        </row>
        <row r="5478">
          <cell r="O5478" t="str">
            <v>SC2242SO</v>
          </cell>
          <cell r="P5478" t="str">
            <v>STC9906H</v>
          </cell>
          <cell r="Q5478" t="str">
            <v>磁性位置传感器</v>
          </cell>
        </row>
        <row r="5479">
          <cell r="O5479" t="str">
            <v>SC2242SO</v>
          </cell>
          <cell r="P5479" t="str">
            <v>STC9906H</v>
          </cell>
          <cell r="Q5479" t="str">
            <v>磁性位置传感器</v>
          </cell>
        </row>
        <row r="5480">
          <cell r="O5480" t="str">
            <v>SC2434SO-N</v>
          </cell>
          <cell r="P5480" t="str">
            <v>STC9906I</v>
          </cell>
          <cell r="Q5480" t="str">
            <v>磁性位置传感器</v>
          </cell>
        </row>
        <row r="5481">
          <cell r="O5481" t="str">
            <v>SC2434SO-N</v>
          </cell>
          <cell r="P5481" t="str">
            <v>STC9906I</v>
          </cell>
          <cell r="Q5481" t="str">
            <v>磁性位置传感器</v>
          </cell>
        </row>
        <row r="5482">
          <cell r="O5482" t="str">
            <v>ATK-E512</v>
          </cell>
          <cell r="P5482" t="str">
            <v>STC4011B</v>
          </cell>
          <cell r="Q5482" t="str">
            <v>磁性位置传感器</v>
          </cell>
        </row>
        <row r="5483">
          <cell r="O5483" t="str">
            <v>ATK-E512</v>
          </cell>
          <cell r="P5483" t="str">
            <v>STC4011B</v>
          </cell>
          <cell r="Q5483" t="str">
            <v>磁性位置传感器</v>
          </cell>
        </row>
        <row r="5484">
          <cell r="O5484" t="str">
            <v>ATK-E512</v>
          </cell>
          <cell r="P5484" t="str">
            <v>STC4011B</v>
          </cell>
          <cell r="Q5484" t="str">
            <v>磁性位置传感器</v>
          </cell>
        </row>
        <row r="5485">
          <cell r="O5485" t="str">
            <v>ATK-E512</v>
          </cell>
          <cell r="P5485" t="str">
            <v>STC4011B</v>
          </cell>
          <cell r="Q5485" t="str">
            <v>磁性位置传感器</v>
          </cell>
        </row>
        <row r="5486">
          <cell r="O5486" t="str">
            <v>ATK-E512</v>
          </cell>
          <cell r="P5486" t="str">
            <v>STC4011B</v>
          </cell>
          <cell r="Q5486" t="str">
            <v>磁性位置传感器</v>
          </cell>
        </row>
        <row r="5487">
          <cell r="O5487" t="str">
            <v>ATK-E512</v>
          </cell>
          <cell r="P5487" t="str">
            <v>STC4011B</v>
          </cell>
          <cell r="Q5487" t="str">
            <v>磁性位置传感器</v>
          </cell>
        </row>
        <row r="5488">
          <cell r="O5488" t="str">
            <v>ATK-E512</v>
          </cell>
          <cell r="P5488" t="str">
            <v>STC4011B</v>
          </cell>
          <cell r="Q5488" t="str">
            <v>磁性位置传感器</v>
          </cell>
        </row>
        <row r="5489">
          <cell r="O5489" t="str">
            <v>SC2063SO</v>
          </cell>
          <cell r="P5489" t="str">
            <v>STC9G001C</v>
          </cell>
          <cell r="Q5489" t="str">
            <v>磁性位置传感器</v>
          </cell>
        </row>
        <row r="5490">
          <cell r="O5490" t="str">
            <v>SC1245SO-N</v>
          </cell>
          <cell r="P5490" t="str">
            <v>STC1898AD</v>
          </cell>
          <cell r="Q5490" t="str">
            <v>磁性位置传感器</v>
          </cell>
        </row>
        <row r="5491">
          <cell r="O5491" t="str">
            <v>SC2442SO-N</v>
          </cell>
          <cell r="P5491" t="str">
            <v>STC9906P</v>
          </cell>
          <cell r="Q5491" t="str">
            <v>磁性位置传感器</v>
          </cell>
        </row>
        <row r="5492">
          <cell r="O5492" t="str">
            <v>G01</v>
          </cell>
          <cell r="P5492" t="str">
            <v>STC4011B</v>
          </cell>
          <cell r="Q5492" t="str">
            <v>磁性位置传感器</v>
          </cell>
        </row>
        <row r="5493">
          <cell r="O5493" t="str">
            <v>G01</v>
          </cell>
          <cell r="P5493" t="str">
            <v>STC4011B</v>
          </cell>
          <cell r="Q5493" t="str">
            <v>磁性位置传感器</v>
          </cell>
        </row>
        <row r="5494">
          <cell r="O5494" t="str">
            <v>G01</v>
          </cell>
          <cell r="P5494" t="str">
            <v>STC4011B</v>
          </cell>
          <cell r="Q5494" t="str">
            <v>磁性位置传感器</v>
          </cell>
        </row>
        <row r="5495">
          <cell r="O5495" t="str">
            <v>G01</v>
          </cell>
          <cell r="P5495" t="str">
            <v>STC4011B</v>
          </cell>
          <cell r="Q5495" t="str">
            <v>磁性位置传感器</v>
          </cell>
        </row>
        <row r="5496">
          <cell r="O5496" t="str">
            <v>49E</v>
          </cell>
          <cell r="P5496" t="str">
            <v>STC4011B</v>
          </cell>
          <cell r="Q5496" t="str">
            <v>磁性位置传感器</v>
          </cell>
        </row>
        <row r="5497">
          <cell r="O5497" t="str">
            <v>G01</v>
          </cell>
          <cell r="P5497" t="str">
            <v>STC4011B</v>
          </cell>
          <cell r="Q5497" t="str">
            <v>磁性位置传感器</v>
          </cell>
        </row>
        <row r="5498">
          <cell r="O5498" t="str">
            <v>G01</v>
          </cell>
          <cell r="P5498" t="str">
            <v>STC4011B</v>
          </cell>
          <cell r="Q5498" t="str">
            <v>磁性位置传感器</v>
          </cell>
        </row>
        <row r="5499">
          <cell r="O5499" t="str">
            <v>SC2402UA</v>
          </cell>
          <cell r="P5499" t="str">
            <v>STC9902J</v>
          </cell>
          <cell r="Q5499" t="str">
            <v>磁性位置传感器</v>
          </cell>
        </row>
        <row r="5500">
          <cell r="O5500" t="str">
            <v>SC2432SO</v>
          </cell>
          <cell r="P5500" t="str">
            <v>STC9906I</v>
          </cell>
          <cell r="Q5500" t="str">
            <v>磁性位置传感器</v>
          </cell>
        </row>
        <row r="5501">
          <cell r="O5501" t="str">
            <v>SC9641TS-P</v>
          </cell>
          <cell r="P5501" t="str">
            <v>STC9A001I</v>
          </cell>
          <cell r="Q5501" t="str">
            <v>速度传感器</v>
          </cell>
        </row>
        <row r="5502">
          <cell r="O5502" t="str">
            <v>SC9641TS-P</v>
          </cell>
          <cell r="P5502" t="str">
            <v>STC9A001I</v>
          </cell>
          <cell r="Q5502" t="str">
            <v>速度传感器</v>
          </cell>
        </row>
        <row r="5503">
          <cell r="O5503" t="str">
            <v>SC9641TS-P</v>
          </cell>
          <cell r="P5503" t="str">
            <v>STC9A001I</v>
          </cell>
          <cell r="Q5503" t="str">
            <v>速度传感器</v>
          </cell>
        </row>
        <row r="5504">
          <cell r="O5504" t="str">
            <v>SC2455SO</v>
          </cell>
          <cell r="P5504" t="str">
            <v>STC9906K</v>
          </cell>
          <cell r="Q5504" t="str">
            <v>磁性位置传感器</v>
          </cell>
        </row>
        <row r="5505">
          <cell r="O5505" t="str">
            <v>SC2432SO</v>
          </cell>
          <cell r="P5505" t="str">
            <v>STC9906I</v>
          </cell>
          <cell r="Q5505" t="str">
            <v>磁性位置传感器</v>
          </cell>
        </row>
        <row r="5506">
          <cell r="O5506" t="str">
            <v>SC9648TS-P</v>
          </cell>
          <cell r="P5506" t="str">
            <v>STC9A001I</v>
          </cell>
          <cell r="Q5506" t="str">
            <v>速度传感器</v>
          </cell>
        </row>
        <row r="5507">
          <cell r="O5507" t="str">
            <v>SC9648TS-P</v>
          </cell>
          <cell r="P5507" t="str">
            <v>STC9A001I</v>
          </cell>
          <cell r="Q5507" t="str">
            <v>速度传感器</v>
          </cell>
        </row>
        <row r="5508">
          <cell r="O5508" t="str">
            <v>SC9648TS-P</v>
          </cell>
          <cell r="P5508" t="str">
            <v>STC9A001I</v>
          </cell>
          <cell r="Q5508" t="str">
            <v>速度传感器</v>
          </cell>
        </row>
        <row r="5509">
          <cell r="O5509" t="str">
            <v>SC9648TS-P</v>
          </cell>
          <cell r="P5509" t="str">
            <v>STC9A001I</v>
          </cell>
          <cell r="Q5509" t="str">
            <v>速度传感器</v>
          </cell>
        </row>
        <row r="5510">
          <cell r="O5510" t="str">
            <v>SC9648TS-P</v>
          </cell>
          <cell r="P5510" t="str">
            <v>STC9A001I</v>
          </cell>
          <cell r="Q5510" t="str">
            <v>速度传感器</v>
          </cell>
        </row>
        <row r="5511">
          <cell r="O5511" t="str">
            <v>SC9648TS-P</v>
          </cell>
          <cell r="P5511" t="str">
            <v>STC9A001I</v>
          </cell>
          <cell r="Q5511" t="str">
            <v>速度传感器</v>
          </cell>
        </row>
        <row r="5512">
          <cell r="O5512" t="str">
            <v>SC9648TS-P</v>
          </cell>
          <cell r="P5512" t="str">
            <v>STC9A001I</v>
          </cell>
          <cell r="Q5512" t="str">
            <v>速度传感器</v>
          </cell>
        </row>
        <row r="5513">
          <cell r="O5513" t="str">
            <v>SC9642TS-EC</v>
          </cell>
          <cell r="P5513" t="str">
            <v>STC9A001H</v>
          </cell>
          <cell r="Q5513" t="str">
            <v>速度传感器</v>
          </cell>
        </row>
        <row r="5514">
          <cell r="O5514" t="str">
            <v>SC9642TS-EC</v>
          </cell>
          <cell r="P5514" t="str">
            <v>STC9A001H</v>
          </cell>
          <cell r="Q5514" t="str">
            <v>速度传感器</v>
          </cell>
        </row>
        <row r="5515">
          <cell r="O5515" t="str">
            <v>SC9641TS-PC</v>
          </cell>
          <cell r="P5515" t="str">
            <v>STC9A001I</v>
          </cell>
          <cell r="Q5515" t="str">
            <v>速度传感器</v>
          </cell>
        </row>
        <row r="5516">
          <cell r="O5516" t="str">
            <v>SC2498TSO</v>
          </cell>
          <cell r="P5516" t="str">
            <v>STC11300C</v>
          </cell>
          <cell r="Q5516" t="str">
            <v>磁性位置传感器</v>
          </cell>
        </row>
        <row r="5517">
          <cell r="O5517" t="str">
            <v>SC2434SO-N</v>
          </cell>
          <cell r="P5517" t="str">
            <v>STC9906I</v>
          </cell>
          <cell r="Q5517" t="str">
            <v>磁性位置传感器</v>
          </cell>
        </row>
        <row r="5518">
          <cell r="O5518" t="str">
            <v>SC4688SA</v>
          </cell>
          <cell r="P5518" t="str">
            <v>STC9D01C</v>
          </cell>
          <cell r="Q5518" t="str">
            <v>角度传感器</v>
          </cell>
        </row>
        <row r="5519">
          <cell r="O5519" t="str">
            <v>SC4688SA</v>
          </cell>
          <cell r="P5519" t="str">
            <v>STC9D01C</v>
          </cell>
          <cell r="Q5519" t="str">
            <v>角度传感器</v>
          </cell>
        </row>
        <row r="5520">
          <cell r="O5520" t="str">
            <v>SC4688SA</v>
          </cell>
          <cell r="P5520" t="str">
            <v>STC9D01C</v>
          </cell>
          <cell r="Q5520" t="str">
            <v>角度传感器</v>
          </cell>
        </row>
        <row r="5521">
          <cell r="O5521" t="str">
            <v>SC2063SO</v>
          </cell>
          <cell r="P5521" t="str">
            <v>STC9G001C</v>
          </cell>
          <cell r="Q5521" t="str">
            <v>磁性位置传感器</v>
          </cell>
        </row>
        <row r="5522">
          <cell r="O5522" t="str">
            <v>SC2063SO</v>
          </cell>
          <cell r="P5522" t="str">
            <v>STC9G001C</v>
          </cell>
          <cell r="Q5522" t="str">
            <v>磁性位置传感器</v>
          </cell>
        </row>
        <row r="5523">
          <cell r="O5523" t="str">
            <v>SC9641TS-PC</v>
          </cell>
          <cell r="P5523" t="str">
            <v>STC9A001I</v>
          </cell>
          <cell r="Q5523" t="str">
            <v>速度传感器</v>
          </cell>
        </row>
        <row r="5524">
          <cell r="O5524" t="str">
            <v>SC9648TS-P</v>
          </cell>
          <cell r="P5524" t="str">
            <v>STC9A001I</v>
          </cell>
          <cell r="Q5524" t="str">
            <v>速度传感器</v>
          </cell>
        </row>
        <row r="5525">
          <cell r="O5525" t="str">
            <v>SC4643SA-A</v>
          </cell>
          <cell r="P5525" t="str">
            <v>STC9D03E</v>
          </cell>
          <cell r="Q5525" t="str">
            <v>电流传感器</v>
          </cell>
        </row>
        <row r="5526">
          <cell r="O5526" t="str">
            <v>SC9642TS</v>
          </cell>
          <cell r="P5526" t="str">
            <v>STC9A001G</v>
          </cell>
          <cell r="Q5526" t="str">
            <v>速度传感器</v>
          </cell>
        </row>
        <row r="5527">
          <cell r="O5527" t="str">
            <v>SC1645A1</v>
          </cell>
          <cell r="P5527" t="str">
            <v>STC2899AE</v>
          </cell>
          <cell r="Q5527" t="str">
            <v>磁性位置传感器</v>
          </cell>
        </row>
        <row r="5528">
          <cell r="O5528" t="str">
            <v>SC1645A1</v>
          </cell>
          <cell r="P5528" t="str">
            <v>STC2899AE</v>
          </cell>
          <cell r="Q5528" t="str">
            <v>磁性位置传感器</v>
          </cell>
        </row>
        <row r="5529">
          <cell r="O5529" t="str">
            <v>SC1645A1</v>
          </cell>
          <cell r="P5529" t="str">
            <v>STC2899AE</v>
          </cell>
          <cell r="Q5529" t="str">
            <v>磁性位置传感器</v>
          </cell>
        </row>
        <row r="5530">
          <cell r="O5530" t="str">
            <v>SC1645A1</v>
          </cell>
          <cell r="P5530" t="str">
            <v>STC2899AE</v>
          </cell>
          <cell r="Q5530" t="str">
            <v>磁性位置传感器</v>
          </cell>
        </row>
        <row r="5531">
          <cell r="O5531" t="str">
            <v>SC60221-U-P1-256-244-mai</v>
          </cell>
          <cell r="P5531" t="str">
            <v>STC9D04C</v>
          </cell>
          <cell r="Q5531" t="str">
            <v>电机编码器</v>
          </cell>
        </row>
        <row r="5532">
          <cell r="O5532" t="str">
            <v>SC60221-U-P1-256-244-mai</v>
          </cell>
          <cell r="P5532" t="str">
            <v>STC9D04C</v>
          </cell>
          <cell r="Q5532" t="str">
            <v>电机编码器</v>
          </cell>
        </row>
        <row r="5533">
          <cell r="O5533" t="str">
            <v>SC4643VB-P</v>
          </cell>
          <cell r="P5533" t="str">
            <v>STC9D03E</v>
          </cell>
          <cell r="Q5533" t="str">
            <v>电流传感器</v>
          </cell>
        </row>
        <row r="5534">
          <cell r="O5534" t="str">
            <v>SC60228DC</v>
          </cell>
          <cell r="P5534" t="str">
            <v>STC9D04C</v>
          </cell>
          <cell r="Q5534" t="str">
            <v>电机编码器</v>
          </cell>
        </row>
        <row r="5535">
          <cell r="O5535" t="str">
            <v>SC60228DC</v>
          </cell>
          <cell r="P5535" t="str">
            <v>STC9D04C</v>
          </cell>
          <cell r="Q5535" t="str">
            <v>电机编码器</v>
          </cell>
        </row>
        <row r="5536">
          <cell r="O5536" t="str">
            <v>ATK-E512</v>
          </cell>
          <cell r="P5536" t="str">
            <v>STC4011B</v>
          </cell>
          <cell r="Q5536" t="str">
            <v>磁性位置传感器</v>
          </cell>
        </row>
        <row r="5537">
          <cell r="O5537" t="str">
            <v>G01</v>
          </cell>
          <cell r="P5537" t="str">
            <v>STC4011B</v>
          </cell>
          <cell r="Q5537" t="str">
            <v>磁性位置传感器</v>
          </cell>
        </row>
        <row r="5538">
          <cell r="O5538" t="str">
            <v>G01</v>
          </cell>
          <cell r="P5538" t="str">
            <v>STC4011B</v>
          </cell>
          <cell r="Q5538" t="str">
            <v>磁性位置传感器</v>
          </cell>
        </row>
        <row r="5539">
          <cell r="O5539" t="str">
            <v>CHY01S</v>
          </cell>
          <cell r="P5539" t="str">
            <v>STC4011B</v>
          </cell>
          <cell r="Q5539" t="str">
            <v>磁性位置传感器</v>
          </cell>
        </row>
        <row r="5540">
          <cell r="O5540" t="str">
            <v>CHY01S</v>
          </cell>
          <cell r="P5540" t="str">
            <v>STC4011B</v>
          </cell>
          <cell r="Q5540" t="str">
            <v>磁性位置传感器</v>
          </cell>
        </row>
        <row r="5541">
          <cell r="O5541" t="str">
            <v>ATK-E512</v>
          </cell>
          <cell r="P5541" t="str">
            <v>STC4011B</v>
          </cell>
          <cell r="Q5541" t="str">
            <v>磁性位置传感器</v>
          </cell>
        </row>
        <row r="5542">
          <cell r="O5542" t="str">
            <v>ATK-E512</v>
          </cell>
          <cell r="P5542" t="str">
            <v>STC4011B</v>
          </cell>
          <cell r="Q5542" t="str">
            <v>磁性位置传感器</v>
          </cell>
        </row>
        <row r="5543">
          <cell r="O5543" t="str">
            <v>ATK-E512</v>
          </cell>
          <cell r="P5543" t="str">
            <v>STC4011B</v>
          </cell>
          <cell r="Q5543" t="str">
            <v>磁性位置传感器</v>
          </cell>
        </row>
        <row r="5544">
          <cell r="O5544" t="str">
            <v>ATK-E512</v>
          </cell>
          <cell r="P5544" t="str">
            <v>STC4011B</v>
          </cell>
          <cell r="Q5544" t="str">
            <v>磁性位置传感器</v>
          </cell>
        </row>
        <row r="5545">
          <cell r="O5545" t="str">
            <v>ATK-E512</v>
          </cell>
          <cell r="P5545" t="str">
            <v>STC4011B</v>
          </cell>
          <cell r="Q5545" t="str">
            <v>磁性位置传感器</v>
          </cell>
        </row>
        <row r="5546">
          <cell r="O5546" t="str">
            <v>ATK-E512</v>
          </cell>
          <cell r="P5546" t="str">
            <v>STC4011B</v>
          </cell>
          <cell r="Q5546" t="str">
            <v>磁性位置传感器</v>
          </cell>
        </row>
        <row r="5547">
          <cell r="O5547" t="str">
            <v>G01</v>
          </cell>
          <cell r="P5547" t="str">
            <v>STC4011B</v>
          </cell>
          <cell r="Q5547" t="str">
            <v>磁性位置传感器</v>
          </cell>
        </row>
        <row r="5548">
          <cell r="O5548" t="str">
            <v>G01</v>
          </cell>
          <cell r="P5548" t="str">
            <v>STC4011B</v>
          </cell>
          <cell r="Q5548" t="str">
            <v>磁性位置传感器</v>
          </cell>
        </row>
        <row r="5549">
          <cell r="O5549" t="str">
            <v>G01</v>
          </cell>
          <cell r="P5549" t="str">
            <v>STC4011B</v>
          </cell>
          <cell r="Q5549" t="str">
            <v>磁性位置传感器</v>
          </cell>
        </row>
        <row r="5550">
          <cell r="O5550" t="str">
            <v>G01</v>
          </cell>
          <cell r="P5550" t="str">
            <v>STC4011B</v>
          </cell>
          <cell r="Q5550" t="str">
            <v>磁性位置传感器</v>
          </cell>
        </row>
        <row r="5551">
          <cell r="O5551" t="str">
            <v>SC2442SO</v>
          </cell>
          <cell r="P5551" t="str">
            <v>STC9906R</v>
          </cell>
          <cell r="Q5551" t="str">
            <v>磁性位置传感器</v>
          </cell>
        </row>
        <row r="5552">
          <cell r="O5552" t="str">
            <v>SC2442SO</v>
          </cell>
          <cell r="P5552" t="str">
            <v>STC9906R</v>
          </cell>
          <cell r="Q5552" t="str">
            <v>磁性位置传感器</v>
          </cell>
        </row>
        <row r="5553">
          <cell r="O5553" t="str">
            <v>SD2276</v>
          </cell>
          <cell r="P5553" t="str">
            <v>FD1014A</v>
          </cell>
          <cell r="Q5553" t="str">
            <v>电机驱动</v>
          </cell>
        </row>
        <row r="5554">
          <cell r="O5554" t="str">
            <v>SC2462SO</v>
          </cell>
          <cell r="P5554" t="str">
            <v>STC9906J</v>
          </cell>
          <cell r="Q5554" t="str">
            <v>磁性位置传感器</v>
          </cell>
        </row>
        <row r="5555">
          <cell r="O5555" t="str">
            <v>SC2442SO-N</v>
          </cell>
          <cell r="P5555" t="str">
            <v>STC9906P</v>
          </cell>
          <cell r="Q5555" t="str">
            <v>磁性位置传感器</v>
          </cell>
        </row>
        <row r="5556">
          <cell r="O5556" t="str">
            <v>SC2402SO-N-H</v>
          </cell>
          <cell r="P5556" t="str">
            <v>STC9H001A</v>
          </cell>
          <cell r="Q5556" t="str">
            <v>磁性位置传感器</v>
          </cell>
        </row>
        <row r="5557">
          <cell r="O5557" t="str">
            <v>2100HBL</v>
          </cell>
          <cell r="P5557" t="str">
            <v>STC9D03E</v>
          </cell>
          <cell r="Q5557" t="str">
            <v>电流传感器</v>
          </cell>
        </row>
        <row r="5558">
          <cell r="O5558" t="str">
            <v>SC2434SO-N</v>
          </cell>
          <cell r="P5558" t="str">
            <v>STC9906I</v>
          </cell>
          <cell r="Q5558" t="str">
            <v>磁性位置传感器</v>
          </cell>
        </row>
        <row r="5559">
          <cell r="O5559" t="str">
            <v>SC2432SO-N</v>
          </cell>
          <cell r="P5559" t="str">
            <v>STC9906I</v>
          </cell>
          <cell r="Q5559" t="str">
            <v>磁性位置传感器</v>
          </cell>
        </row>
        <row r="5560">
          <cell r="O5560" t="str">
            <v>SC2432SO-N</v>
          </cell>
          <cell r="P5560" t="str">
            <v>STC9906I</v>
          </cell>
          <cell r="Q5560" t="str">
            <v>磁性位置传感器</v>
          </cell>
        </row>
        <row r="5561">
          <cell r="O5561" t="str">
            <v>SC2432SO-N</v>
          </cell>
          <cell r="P5561" t="str">
            <v>STC9906I</v>
          </cell>
          <cell r="Q5561" t="str">
            <v>磁性位置传感器</v>
          </cell>
        </row>
        <row r="5562">
          <cell r="O5562" t="str">
            <v>ATK-E512</v>
          </cell>
          <cell r="P5562" t="str">
            <v>STC4011B</v>
          </cell>
          <cell r="Q5562" t="str">
            <v>磁性位置传感器</v>
          </cell>
        </row>
        <row r="5563">
          <cell r="O5563" t="str">
            <v>ATK-E512</v>
          </cell>
          <cell r="P5563" t="str">
            <v>STC4011B</v>
          </cell>
          <cell r="Q5563" t="str">
            <v>磁性位置传感器</v>
          </cell>
        </row>
        <row r="5564">
          <cell r="O5564" t="str">
            <v>ATK-E512</v>
          </cell>
          <cell r="P5564" t="str">
            <v>STC4011B</v>
          </cell>
          <cell r="Q5564" t="str">
            <v>磁性位置传感器</v>
          </cell>
        </row>
        <row r="5565">
          <cell r="O5565" t="str">
            <v>ATK-E512</v>
          </cell>
          <cell r="P5565" t="str">
            <v>STC4011B</v>
          </cell>
          <cell r="Q5565" t="str">
            <v>磁性位置传感器</v>
          </cell>
        </row>
        <row r="5566">
          <cell r="O5566" t="str">
            <v>ATK-E512</v>
          </cell>
          <cell r="P5566" t="str">
            <v>STC4011B</v>
          </cell>
          <cell r="Q5566" t="str">
            <v>磁性位置传感器</v>
          </cell>
        </row>
        <row r="5567">
          <cell r="O5567" t="str">
            <v>ATK-E512</v>
          </cell>
          <cell r="P5567" t="str">
            <v>STC4011B</v>
          </cell>
          <cell r="Q5567" t="str">
            <v>磁性位置传感器</v>
          </cell>
        </row>
        <row r="5568">
          <cell r="O5568" t="str">
            <v>ATK-E512</v>
          </cell>
          <cell r="P5568" t="str">
            <v>STC4011B</v>
          </cell>
          <cell r="Q5568" t="str">
            <v>磁性位置传感器</v>
          </cell>
        </row>
        <row r="5569">
          <cell r="O5569" t="str">
            <v>ATK-E512</v>
          </cell>
          <cell r="P5569" t="str">
            <v>STC4011B</v>
          </cell>
          <cell r="Q5569" t="str">
            <v>磁性位置传感器</v>
          </cell>
        </row>
        <row r="5570">
          <cell r="O5570" t="str">
            <v>ATK-E512</v>
          </cell>
          <cell r="P5570" t="str">
            <v>STC4011B</v>
          </cell>
          <cell r="Q5570" t="str">
            <v>磁性位置传感器</v>
          </cell>
        </row>
        <row r="5571">
          <cell r="O5571" t="str">
            <v>ATK-E512</v>
          </cell>
          <cell r="P5571" t="str">
            <v>STC4011B</v>
          </cell>
          <cell r="Q5571" t="str">
            <v>磁性位置传感器</v>
          </cell>
        </row>
        <row r="5572">
          <cell r="O5572" t="str">
            <v>ATK-E512</v>
          </cell>
          <cell r="P5572" t="str">
            <v>STC4011B</v>
          </cell>
          <cell r="Q5572" t="str">
            <v>磁性位置传感器</v>
          </cell>
        </row>
        <row r="5573">
          <cell r="O5573" t="str">
            <v>ATK-E512</v>
          </cell>
          <cell r="P5573" t="str">
            <v>STC4011B</v>
          </cell>
          <cell r="Q5573" t="str">
            <v>磁性位置传感器</v>
          </cell>
        </row>
        <row r="5574">
          <cell r="O5574" t="str">
            <v>ATK-E512</v>
          </cell>
          <cell r="P5574" t="str">
            <v>STC4011B</v>
          </cell>
          <cell r="Q5574" t="str">
            <v>磁性位置传感器</v>
          </cell>
        </row>
        <row r="5575">
          <cell r="O5575" t="str">
            <v>ATK-E512</v>
          </cell>
          <cell r="P5575" t="str">
            <v>STC4011B</v>
          </cell>
          <cell r="Q5575" t="str">
            <v>磁性位置传感器</v>
          </cell>
        </row>
        <row r="5576">
          <cell r="O5576" t="str">
            <v>ATK-E512</v>
          </cell>
          <cell r="P5576" t="str">
            <v>STC4011B</v>
          </cell>
          <cell r="Q5576" t="str">
            <v>磁性位置传感器</v>
          </cell>
        </row>
        <row r="5577">
          <cell r="O5577" t="str">
            <v>ATK-E512</v>
          </cell>
          <cell r="P5577" t="str">
            <v>STC4011B</v>
          </cell>
          <cell r="Q5577" t="str">
            <v>磁性位置传感器</v>
          </cell>
        </row>
        <row r="5578">
          <cell r="O5578" t="str">
            <v>ATK-E512</v>
          </cell>
          <cell r="P5578" t="str">
            <v>STC4011B</v>
          </cell>
          <cell r="Q5578" t="str">
            <v>磁性位置传感器</v>
          </cell>
        </row>
        <row r="5579">
          <cell r="O5579" t="str">
            <v>ATK-E512</v>
          </cell>
          <cell r="P5579" t="str">
            <v>STC4011B</v>
          </cell>
          <cell r="Q5579" t="str">
            <v>磁性位置传感器</v>
          </cell>
        </row>
        <row r="5580">
          <cell r="O5580" t="str">
            <v>ATK-E512</v>
          </cell>
          <cell r="P5580" t="str">
            <v>STC4011B</v>
          </cell>
          <cell r="Q5580" t="str">
            <v>磁性位置传感器</v>
          </cell>
        </row>
        <row r="5581">
          <cell r="O5581" t="str">
            <v>ATK-E512</v>
          </cell>
          <cell r="P5581" t="str">
            <v>STC4011B</v>
          </cell>
          <cell r="Q5581" t="str">
            <v>磁性位置传感器</v>
          </cell>
        </row>
        <row r="5582">
          <cell r="O5582" t="str">
            <v>ATK-E512</v>
          </cell>
          <cell r="P5582" t="str">
            <v>STC4011B</v>
          </cell>
          <cell r="Q5582" t="str">
            <v>磁性位置传感器</v>
          </cell>
        </row>
        <row r="5583">
          <cell r="O5583" t="str">
            <v>ATK-E512</v>
          </cell>
          <cell r="P5583" t="str">
            <v>STC4011B</v>
          </cell>
          <cell r="Q5583" t="str">
            <v>磁性位置传感器</v>
          </cell>
        </row>
        <row r="5584">
          <cell r="O5584" t="str">
            <v>ATK-E512</v>
          </cell>
          <cell r="P5584" t="str">
            <v>STC4011B</v>
          </cell>
          <cell r="Q5584" t="str">
            <v>磁性位置传感器</v>
          </cell>
        </row>
        <row r="5585">
          <cell r="O5585" t="str">
            <v>ATK-E512</v>
          </cell>
          <cell r="P5585" t="str">
            <v>STC4011B</v>
          </cell>
          <cell r="Q5585" t="str">
            <v>磁性位置传感器</v>
          </cell>
        </row>
        <row r="5586">
          <cell r="O5586" t="str">
            <v>ATK-E512</v>
          </cell>
          <cell r="P5586" t="str">
            <v>STC4011B</v>
          </cell>
          <cell r="Q5586" t="str">
            <v>磁性位置传感器</v>
          </cell>
        </row>
        <row r="5587">
          <cell r="O5587" t="str">
            <v>ATK-E512</v>
          </cell>
          <cell r="P5587" t="str">
            <v>STC4011B</v>
          </cell>
          <cell r="Q5587" t="str">
            <v>磁性位置传感器</v>
          </cell>
        </row>
        <row r="5588">
          <cell r="O5588" t="str">
            <v>ATK-E512</v>
          </cell>
          <cell r="P5588" t="str">
            <v>STC4011B</v>
          </cell>
          <cell r="Q5588" t="str">
            <v>磁性位置传感器</v>
          </cell>
        </row>
        <row r="5589">
          <cell r="O5589" t="str">
            <v>SC2442SO-N</v>
          </cell>
          <cell r="P5589" t="str">
            <v>STC9906P</v>
          </cell>
          <cell r="Q5589" t="str">
            <v>磁性位置传感器</v>
          </cell>
        </row>
        <row r="5590">
          <cell r="O5590" t="str">
            <v>SC2442SO-N</v>
          </cell>
          <cell r="P5590" t="str">
            <v>STC9906P</v>
          </cell>
          <cell r="Q5590" t="str">
            <v>磁性位置传感器</v>
          </cell>
        </row>
        <row r="5591">
          <cell r="O5591" t="str">
            <v>SC2402SO-N-H</v>
          </cell>
          <cell r="P5591" t="str">
            <v>STC9H001A</v>
          </cell>
          <cell r="Q5591" t="str">
            <v>磁性位置传感器</v>
          </cell>
        </row>
        <row r="5592">
          <cell r="O5592" t="str">
            <v>SC2402SO-N-H</v>
          </cell>
          <cell r="P5592" t="str">
            <v>STC9H001A</v>
          </cell>
          <cell r="Q5592" t="str">
            <v>磁性位置传感器</v>
          </cell>
        </row>
        <row r="5593">
          <cell r="O5593" t="str">
            <v>SC2402SO-N-H</v>
          </cell>
          <cell r="P5593" t="str">
            <v>STC9H001A</v>
          </cell>
          <cell r="Q5593" t="str">
            <v>磁性位置传感器</v>
          </cell>
        </row>
        <row r="5594">
          <cell r="O5594" t="str">
            <v>SC2402SO-N-H</v>
          </cell>
          <cell r="P5594" t="str">
            <v>STC9H001A</v>
          </cell>
          <cell r="Q5594" t="str">
            <v>磁性位置传感器</v>
          </cell>
        </row>
        <row r="5595">
          <cell r="O5595" t="str">
            <v>SC1138SO-N</v>
          </cell>
          <cell r="P5595" t="str">
            <v>STC1898AC</v>
          </cell>
          <cell r="Q5595" t="str">
            <v>磁性位置传感器</v>
          </cell>
        </row>
        <row r="5596">
          <cell r="O5596" t="str">
            <v>SC1138SO-N</v>
          </cell>
          <cell r="P5596" t="str">
            <v>STC1898AC</v>
          </cell>
          <cell r="Q5596" t="str">
            <v>磁性位置传感器</v>
          </cell>
        </row>
        <row r="5597">
          <cell r="O5597" t="str">
            <v>G01</v>
          </cell>
          <cell r="P5597" t="str">
            <v>STC4011B</v>
          </cell>
          <cell r="Q5597" t="str">
            <v>磁性位置传感器</v>
          </cell>
        </row>
        <row r="5598">
          <cell r="O5598" t="str">
            <v>G01</v>
          </cell>
          <cell r="P5598" t="str">
            <v>STC4011B</v>
          </cell>
          <cell r="Q5598" t="str">
            <v>磁性位置传感器</v>
          </cell>
        </row>
        <row r="5599">
          <cell r="O5599" t="str">
            <v>G01</v>
          </cell>
          <cell r="P5599" t="str">
            <v>STC4011B</v>
          </cell>
          <cell r="Q5599" t="str">
            <v>磁性位置传感器</v>
          </cell>
        </row>
        <row r="5600">
          <cell r="O5600" t="str">
            <v>G01</v>
          </cell>
          <cell r="P5600" t="str">
            <v>STC4011B</v>
          </cell>
          <cell r="Q5600" t="str">
            <v>磁性位置传感器</v>
          </cell>
        </row>
        <row r="5601">
          <cell r="O5601" t="str">
            <v>G01</v>
          </cell>
          <cell r="P5601" t="str">
            <v>STC4011B</v>
          </cell>
          <cell r="Q5601" t="str">
            <v>磁性位置传感器</v>
          </cell>
        </row>
        <row r="5602">
          <cell r="O5602" t="str">
            <v>G01</v>
          </cell>
          <cell r="P5602" t="str">
            <v>STC4011B</v>
          </cell>
          <cell r="Q5602" t="str">
            <v>磁性位置传感器</v>
          </cell>
        </row>
        <row r="5603">
          <cell r="O5603" t="str">
            <v>SC2242SO</v>
          </cell>
          <cell r="P5603" t="str">
            <v>STC9906H</v>
          </cell>
          <cell r="Q5603" t="str">
            <v>磁性位置传感器</v>
          </cell>
        </row>
        <row r="5604">
          <cell r="O5604" t="str">
            <v>SC2242SO</v>
          </cell>
          <cell r="P5604" t="str">
            <v>STC9906H</v>
          </cell>
          <cell r="Q5604" t="str">
            <v>磁性位置传感器</v>
          </cell>
        </row>
        <row r="5605">
          <cell r="O5605" t="str">
            <v>SC2242SO</v>
          </cell>
          <cell r="P5605" t="str">
            <v>STC9906H</v>
          </cell>
          <cell r="Q5605" t="str">
            <v>磁性位置传感器</v>
          </cell>
        </row>
        <row r="5606">
          <cell r="O5606" t="str">
            <v>SC2462SO</v>
          </cell>
          <cell r="P5606" t="str">
            <v>STC9906J</v>
          </cell>
          <cell r="Q5606" t="str">
            <v>磁性位置传感器</v>
          </cell>
        </row>
        <row r="5607">
          <cell r="O5607" t="str">
            <v>SC2462SO</v>
          </cell>
          <cell r="P5607" t="str">
            <v>STC9906J</v>
          </cell>
          <cell r="Q5607" t="str">
            <v>磁性位置传感器</v>
          </cell>
        </row>
        <row r="5608">
          <cell r="O5608" t="str">
            <v>SC2462SO</v>
          </cell>
          <cell r="P5608" t="str">
            <v>STC9906J</v>
          </cell>
          <cell r="Q5608" t="str">
            <v>磁性位置传感器</v>
          </cell>
        </row>
        <row r="5609">
          <cell r="O5609" t="str">
            <v>SC9648TS-P</v>
          </cell>
          <cell r="P5609" t="str">
            <v>STC9A001I</v>
          </cell>
          <cell r="Q5609" t="str">
            <v>速度传感器</v>
          </cell>
        </row>
        <row r="5610">
          <cell r="O5610" t="str">
            <v>SC9648TS-P</v>
          </cell>
          <cell r="P5610" t="str">
            <v>STC9A001I</v>
          </cell>
          <cell r="Q5610" t="str">
            <v>速度传感器</v>
          </cell>
        </row>
        <row r="5611">
          <cell r="O5611" t="str">
            <v>SC9648TS-P</v>
          </cell>
          <cell r="P5611" t="str">
            <v>STC9A001I</v>
          </cell>
          <cell r="Q5611" t="str">
            <v>速度传感器</v>
          </cell>
        </row>
        <row r="5612">
          <cell r="O5612" t="str">
            <v>SC9648TS-P</v>
          </cell>
          <cell r="P5612" t="str">
            <v>STC9A001I</v>
          </cell>
          <cell r="Q5612" t="str">
            <v>速度传感器</v>
          </cell>
        </row>
        <row r="5613">
          <cell r="O5613" t="str">
            <v>SC9648TS-P</v>
          </cell>
          <cell r="P5613" t="str">
            <v>STC9A001I</v>
          </cell>
          <cell r="Q5613" t="str">
            <v>速度传感器</v>
          </cell>
        </row>
        <row r="5614">
          <cell r="O5614" t="str">
            <v>SC9314UA</v>
          </cell>
          <cell r="P5614" t="str">
            <v>STC9901AF</v>
          </cell>
          <cell r="Q5614" t="str">
            <v>速度传感器</v>
          </cell>
        </row>
        <row r="5615">
          <cell r="O5615" t="str">
            <v>SC9648TS-P</v>
          </cell>
          <cell r="P5615" t="str">
            <v>STC9A001I</v>
          </cell>
          <cell r="Q5615" t="str">
            <v>速度传感器</v>
          </cell>
        </row>
        <row r="5616">
          <cell r="O5616" t="str">
            <v>SC9641TS-PC</v>
          </cell>
          <cell r="P5616" t="str">
            <v>STC9A001I</v>
          </cell>
          <cell r="Q5616" t="str">
            <v>速度传感器</v>
          </cell>
        </row>
        <row r="5617">
          <cell r="O5617" t="str">
            <v>SC9641TS-PC</v>
          </cell>
          <cell r="P5617" t="str">
            <v>STC9A001I</v>
          </cell>
          <cell r="Q5617" t="str">
            <v>速度传感器</v>
          </cell>
        </row>
        <row r="5618">
          <cell r="O5618" t="str">
            <v>SC2402SO-N-G</v>
          </cell>
          <cell r="P5618" t="str">
            <v>STC9G002A</v>
          </cell>
          <cell r="Q5618" t="str">
            <v>磁性位置传感器</v>
          </cell>
        </row>
        <row r="5619">
          <cell r="O5619" t="str">
            <v>SC2402SO-N-G</v>
          </cell>
          <cell r="P5619" t="str">
            <v>STC9G002A</v>
          </cell>
          <cell r="Q5619" t="str">
            <v>磁性位置传感器</v>
          </cell>
        </row>
        <row r="5620">
          <cell r="O5620" t="str">
            <v>SC2443SO</v>
          </cell>
          <cell r="P5620" t="str">
            <v>STC9906T</v>
          </cell>
          <cell r="Q5620" t="str">
            <v>磁性位置传感器</v>
          </cell>
        </row>
        <row r="5621">
          <cell r="O5621" t="str">
            <v>SC2443UA</v>
          </cell>
          <cell r="P5621" t="str">
            <v>STC9906W</v>
          </cell>
          <cell r="Q5621" t="str">
            <v>磁性位置传感器</v>
          </cell>
        </row>
        <row r="5622">
          <cell r="O5622" t="str">
            <v>SC2443UA</v>
          </cell>
          <cell r="P5622" t="str">
            <v>STC9906W</v>
          </cell>
          <cell r="Q5622" t="str">
            <v>磁性位置传感器</v>
          </cell>
        </row>
        <row r="5623">
          <cell r="O5623" t="str">
            <v>SC2443UA</v>
          </cell>
          <cell r="P5623" t="str">
            <v>STC9906W</v>
          </cell>
          <cell r="Q5623" t="str">
            <v>磁性位置传感器</v>
          </cell>
        </row>
        <row r="5624">
          <cell r="O5624" t="str">
            <v>SC2443UA</v>
          </cell>
          <cell r="P5624" t="str">
            <v>STC9906W</v>
          </cell>
          <cell r="Q5624" t="str">
            <v>磁性位置传感器</v>
          </cell>
        </row>
        <row r="5625">
          <cell r="O5625" t="str">
            <v>SC2443UA</v>
          </cell>
          <cell r="P5625" t="str">
            <v>STC9906W</v>
          </cell>
          <cell r="Q5625" t="str">
            <v>磁性位置传感器</v>
          </cell>
        </row>
        <row r="5626">
          <cell r="O5626" t="str">
            <v>SC2434SO-N</v>
          </cell>
          <cell r="P5626" t="str">
            <v>STC9906I</v>
          </cell>
          <cell r="Q5626" t="str">
            <v>磁性位置传感器</v>
          </cell>
        </row>
        <row r="5627">
          <cell r="O5627" t="str">
            <v>SC2448UA-N</v>
          </cell>
          <cell r="P5627" t="str">
            <v>STC9906S</v>
          </cell>
          <cell r="Q5627" t="str">
            <v>磁性位置传感器</v>
          </cell>
        </row>
        <row r="5628">
          <cell r="O5628" t="str">
            <v>SC2448UA-N</v>
          </cell>
          <cell r="P5628" t="str">
            <v>STC9906S</v>
          </cell>
          <cell r="Q5628" t="str">
            <v>磁性位置传感器</v>
          </cell>
        </row>
        <row r="5629">
          <cell r="O5629" t="str">
            <v>SC2448UA-N</v>
          </cell>
          <cell r="P5629" t="str">
            <v>STC9906S</v>
          </cell>
          <cell r="Q5629" t="str">
            <v>磁性位置传感器</v>
          </cell>
        </row>
        <row r="5630">
          <cell r="O5630" t="str">
            <v>SC9641TS-PC</v>
          </cell>
          <cell r="P5630" t="str">
            <v>STC9A001I</v>
          </cell>
          <cell r="Q5630" t="str">
            <v>速度传感器</v>
          </cell>
        </row>
        <row r="5631">
          <cell r="O5631" t="str">
            <v>SC9648TS-P</v>
          </cell>
          <cell r="P5631" t="str">
            <v>STC9A001I</v>
          </cell>
          <cell r="Q5631" t="str">
            <v>速度传感器</v>
          </cell>
        </row>
        <row r="5632">
          <cell r="O5632" t="str">
            <v>SC4643VB-P-2.5S</v>
          </cell>
          <cell r="P5632" t="str">
            <v>STC9D03E</v>
          </cell>
          <cell r="Q5632" t="str">
            <v>电流传感器</v>
          </cell>
        </row>
        <row r="5633">
          <cell r="O5633" t="str">
            <v>SC4643VB-P-2.5S</v>
          </cell>
          <cell r="P5633" t="str">
            <v>STC9D03E</v>
          </cell>
          <cell r="Q5633" t="str">
            <v>电流传感器</v>
          </cell>
        </row>
        <row r="5634">
          <cell r="O5634" t="str">
            <v>SC4688DC</v>
          </cell>
          <cell r="P5634" t="str">
            <v>STC9D01C</v>
          </cell>
          <cell r="Q5634" t="str">
            <v>角度传感器</v>
          </cell>
        </row>
        <row r="5635">
          <cell r="O5635" t="str">
            <v>SC4688DC</v>
          </cell>
          <cell r="P5635" t="str">
            <v>STC9D01C</v>
          </cell>
          <cell r="Q5635" t="str">
            <v>角度传感器</v>
          </cell>
        </row>
        <row r="5636">
          <cell r="O5636" t="str">
            <v>SC2462SO</v>
          </cell>
          <cell r="P5636" t="str">
            <v>STC9906J</v>
          </cell>
          <cell r="Q5636" t="str">
            <v>磁性位置传感器</v>
          </cell>
        </row>
        <row r="5637">
          <cell r="O5637" t="str">
            <v>SC2413SO-N</v>
          </cell>
          <cell r="P5637" t="str">
            <v>STC9902D</v>
          </cell>
          <cell r="Q5637" t="str">
            <v>磁性位置传感器</v>
          </cell>
        </row>
        <row r="5638">
          <cell r="O5638" t="str">
            <v>SC2413SO-N</v>
          </cell>
          <cell r="P5638" t="str">
            <v>STC9902D</v>
          </cell>
          <cell r="Q5638" t="str">
            <v>磁性位置传感器</v>
          </cell>
        </row>
        <row r="5639">
          <cell r="O5639" t="str">
            <v>SC2413SO-N</v>
          </cell>
          <cell r="P5639" t="str">
            <v>STC9902D</v>
          </cell>
          <cell r="Q5639" t="str">
            <v>磁性位置传感器</v>
          </cell>
        </row>
        <row r="5640">
          <cell r="O5640" t="str">
            <v>SC1134UA</v>
          </cell>
          <cell r="P5640" t="str">
            <v>STC1898AI</v>
          </cell>
          <cell r="Q5640" t="str">
            <v>磁性位置传感器</v>
          </cell>
        </row>
        <row r="5641">
          <cell r="O5641" t="str">
            <v>SC1134UA</v>
          </cell>
          <cell r="P5641" t="str">
            <v>STC1898AI</v>
          </cell>
          <cell r="Q5641" t="str">
            <v>磁性位置传感器</v>
          </cell>
        </row>
        <row r="5642">
          <cell r="O5642" t="str">
            <v>SC1134UA</v>
          </cell>
          <cell r="P5642" t="str">
            <v>STC1898AI</v>
          </cell>
          <cell r="Q5642" t="str">
            <v>磁性位置传感器</v>
          </cell>
        </row>
        <row r="5643">
          <cell r="O5643" t="str">
            <v>SC2448SO</v>
          </cell>
          <cell r="P5643" t="str">
            <v>STC11102B</v>
          </cell>
          <cell r="Q5643" t="str">
            <v>磁性位置传感器</v>
          </cell>
        </row>
        <row r="5644">
          <cell r="O5644" t="str">
            <v>SC1445A1</v>
          </cell>
          <cell r="P5644" t="str">
            <v>STC2899AB</v>
          </cell>
          <cell r="Q5644" t="str">
            <v>磁性位置传感器</v>
          </cell>
        </row>
        <row r="5645">
          <cell r="O5645" t="str">
            <v>SC1445A1</v>
          </cell>
          <cell r="P5645" t="str">
            <v>STC2899AB</v>
          </cell>
          <cell r="Q5645" t="str">
            <v>磁性位置传感器</v>
          </cell>
        </row>
        <row r="5646">
          <cell r="O5646" t="str">
            <v>SC1645A1</v>
          </cell>
          <cell r="P5646" t="str">
            <v>STC2899AE</v>
          </cell>
          <cell r="Q5646" t="str">
            <v>磁性位置传感器</v>
          </cell>
        </row>
        <row r="5647">
          <cell r="O5647" t="str">
            <v>SD2276</v>
          </cell>
          <cell r="P5647" t="str">
            <v>FD1014A</v>
          </cell>
          <cell r="Q5647" t="str">
            <v>电机驱动</v>
          </cell>
        </row>
        <row r="5648">
          <cell r="O5648" t="str">
            <v>SD2276</v>
          </cell>
          <cell r="P5648" t="str">
            <v>FD1014A</v>
          </cell>
          <cell r="Q5648" t="str">
            <v>电机驱动</v>
          </cell>
        </row>
        <row r="5649">
          <cell r="O5649" t="str">
            <v>SC2432SO</v>
          </cell>
          <cell r="P5649" t="str">
            <v>STC9906I</v>
          </cell>
          <cell r="Q5649" t="str">
            <v>磁性位置传感器</v>
          </cell>
        </row>
        <row r="5650">
          <cell r="O5650" t="str">
            <v>SC2432SO</v>
          </cell>
          <cell r="P5650" t="str">
            <v>STC9906I</v>
          </cell>
          <cell r="Q5650" t="str">
            <v>磁性位置传感器</v>
          </cell>
        </row>
        <row r="5651">
          <cell r="O5651" t="str">
            <v>SC2064SO</v>
          </cell>
          <cell r="P5651" t="str">
            <v>STC9G001C</v>
          </cell>
          <cell r="Q5651" t="str">
            <v>磁性位置传感器</v>
          </cell>
        </row>
        <row r="5652">
          <cell r="O5652" t="str">
            <v>ATK-E512</v>
          </cell>
          <cell r="P5652" t="str">
            <v>STC4011B</v>
          </cell>
          <cell r="Q5652" t="str">
            <v>磁性位置传感器</v>
          </cell>
        </row>
        <row r="5653">
          <cell r="O5653" t="str">
            <v>ATK-E512</v>
          </cell>
          <cell r="P5653" t="str">
            <v>STC4011B</v>
          </cell>
          <cell r="Q5653" t="str">
            <v>磁性位置传感器</v>
          </cell>
        </row>
        <row r="5654">
          <cell r="O5654" t="str">
            <v>ATK-E512</v>
          </cell>
          <cell r="P5654" t="str">
            <v>STC4011B</v>
          </cell>
          <cell r="Q5654" t="str">
            <v>磁性位置传感器</v>
          </cell>
        </row>
        <row r="5655">
          <cell r="O5655" t="str">
            <v>SC1245UA</v>
          </cell>
          <cell r="P5655" t="str">
            <v>STC1898AD</v>
          </cell>
          <cell r="Q5655" t="str">
            <v>磁性位置传感器</v>
          </cell>
        </row>
        <row r="5656">
          <cell r="O5656" t="str">
            <v>SC2442UA</v>
          </cell>
          <cell r="P5656" t="str">
            <v>STC9906P</v>
          </cell>
          <cell r="Q5656" t="str">
            <v>磁性位置传感器</v>
          </cell>
        </row>
        <row r="5657">
          <cell r="O5657" t="str">
            <v>SC2442UA</v>
          </cell>
          <cell r="P5657" t="str">
            <v>STC9906P</v>
          </cell>
          <cell r="Q5657" t="str">
            <v>磁性位置传感器</v>
          </cell>
        </row>
        <row r="5658">
          <cell r="O5658" t="str">
            <v>G01</v>
          </cell>
          <cell r="P5658" t="str">
            <v>STC4011B</v>
          </cell>
          <cell r="Q5658" t="str">
            <v>磁性位置传感器</v>
          </cell>
        </row>
        <row r="5659">
          <cell r="O5659" t="str">
            <v>G01</v>
          </cell>
          <cell r="P5659" t="str">
            <v>STC4011B</v>
          </cell>
          <cell r="Q5659" t="str">
            <v>磁性位置传感器</v>
          </cell>
        </row>
        <row r="5660">
          <cell r="O5660" t="str">
            <v>G01</v>
          </cell>
          <cell r="P5660" t="str">
            <v>STC4011B</v>
          </cell>
          <cell r="Q5660" t="str">
            <v>磁性位置传感器</v>
          </cell>
        </row>
        <row r="5661">
          <cell r="O5661" t="str">
            <v>G01</v>
          </cell>
          <cell r="P5661" t="str">
            <v>STC4011B</v>
          </cell>
          <cell r="Q5661" t="str">
            <v>磁性位置传感器</v>
          </cell>
        </row>
        <row r="5662">
          <cell r="O5662" t="str">
            <v>G01</v>
          </cell>
          <cell r="P5662" t="str">
            <v>STC4011B</v>
          </cell>
          <cell r="Q5662" t="str">
            <v>磁性位置传感器</v>
          </cell>
        </row>
        <row r="5663">
          <cell r="O5663" t="str">
            <v>SC2402UA</v>
          </cell>
          <cell r="P5663" t="str">
            <v>STC9902J</v>
          </cell>
          <cell r="Q5663" t="str">
            <v>磁性位置传感器</v>
          </cell>
        </row>
        <row r="5664">
          <cell r="O5664" t="str">
            <v>SC2442SE</v>
          </cell>
          <cell r="P5664" t="str">
            <v>STC9906P</v>
          </cell>
          <cell r="Q5664" t="str">
            <v>磁性位置传感器</v>
          </cell>
        </row>
        <row r="5665">
          <cell r="O5665" t="str">
            <v>SC9621VB-A</v>
          </cell>
          <cell r="P5665" t="str">
            <v>STC9910F</v>
          </cell>
          <cell r="Q5665" t="str">
            <v>速度传感器</v>
          </cell>
        </row>
        <row r="5666">
          <cell r="O5666" t="str">
            <v>SC4001SE</v>
          </cell>
          <cell r="P5666" t="str">
            <v>STC4001AB</v>
          </cell>
          <cell r="Q5666" t="str">
            <v>磁性位置传感器</v>
          </cell>
        </row>
        <row r="5667">
          <cell r="O5667" t="str">
            <v>SC4001SE</v>
          </cell>
          <cell r="P5667" t="str">
            <v>STC4001AB</v>
          </cell>
          <cell r="Q5667" t="str">
            <v>磁性位置传感器</v>
          </cell>
        </row>
        <row r="5668">
          <cell r="O5668" t="str">
            <v>SC9648TS-P</v>
          </cell>
          <cell r="P5668" t="str">
            <v>STC9A001I</v>
          </cell>
          <cell r="Q5668" t="str">
            <v>速度传感器</v>
          </cell>
        </row>
        <row r="5669">
          <cell r="O5669" t="str">
            <v>SC9641TS-P</v>
          </cell>
          <cell r="P5669" t="str">
            <v>STC9A001I</v>
          </cell>
          <cell r="Q5669" t="str">
            <v>速度传感器</v>
          </cell>
        </row>
        <row r="5670">
          <cell r="O5670" t="str">
            <v>SC9641TS-P</v>
          </cell>
          <cell r="P5670" t="str">
            <v>STC9A001I</v>
          </cell>
          <cell r="Q5670" t="str">
            <v>速度传感器</v>
          </cell>
        </row>
        <row r="5671">
          <cell r="O5671" t="str">
            <v>SC9648TS-P</v>
          </cell>
          <cell r="P5671" t="str">
            <v>STC9A001I</v>
          </cell>
          <cell r="Q5671" t="str">
            <v>速度传感器</v>
          </cell>
        </row>
        <row r="5672">
          <cell r="O5672" t="str">
            <v>SC2442SO</v>
          </cell>
          <cell r="P5672" t="str">
            <v>STC9906R</v>
          </cell>
          <cell r="Q5672" t="str">
            <v>磁性位置传感器</v>
          </cell>
        </row>
        <row r="5673">
          <cell r="O5673" t="str">
            <v>SC9641TS-PC</v>
          </cell>
          <cell r="P5673" t="str">
            <v>STC9A001I</v>
          </cell>
          <cell r="Q5673" t="str">
            <v>速度传感器</v>
          </cell>
        </row>
        <row r="5674">
          <cell r="O5674" t="str">
            <v>SC9641TS-PC</v>
          </cell>
          <cell r="P5674" t="str">
            <v>STC9A001I</v>
          </cell>
          <cell r="Q5674" t="str">
            <v>速度传感器</v>
          </cell>
        </row>
        <row r="5675">
          <cell r="O5675" t="str">
            <v>SC9641TS-PC</v>
          </cell>
          <cell r="P5675" t="str">
            <v>STC9A001I</v>
          </cell>
          <cell r="Q5675" t="str">
            <v>速度传感器</v>
          </cell>
        </row>
        <row r="5676">
          <cell r="O5676" t="str">
            <v>SC9641TS-PC</v>
          </cell>
          <cell r="P5676" t="str">
            <v>STC9A001I</v>
          </cell>
          <cell r="Q5676" t="str">
            <v>速度传感器</v>
          </cell>
        </row>
        <row r="5677">
          <cell r="O5677" t="str">
            <v>SC9641TS-PC</v>
          </cell>
          <cell r="P5677" t="str">
            <v>STC9A001I</v>
          </cell>
          <cell r="Q5677" t="str">
            <v>速度传感器</v>
          </cell>
        </row>
        <row r="5678">
          <cell r="O5678" t="str">
            <v>SC9641TS-PC</v>
          </cell>
          <cell r="P5678" t="str">
            <v>STC9A001I</v>
          </cell>
          <cell r="Q5678" t="str">
            <v>速度传感器</v>
          </cell>
        </row>
        <row r="5679">
          <cell r="O5679" t="str">
            <v>SC9641TS-PC</v>
          </cell>
          <cell r="P5679" t="str">
            <v>STC9A001I</v>
          </cell>
          <cell r="Q5679" t="str">
            <v>速度传感器</v>
          </cell>
        </row>
        <row r="5680">
          <cell r="O5680" t="str">
            <v>SC9641TS-PC</v>
          </cell>
          <cell r="P5680" t="str">
            <v>STC9A001I</v>
          </cell>
          <cell r="Q5680" t="str">
            <v>速度传感器</v>
          </cell>
        </row>
        <row r="5681">
          <cell r="O5681" t="str">
            <v>SC9641TS-PC</v>
          </cell>
          <cell r="P5681" t="str">
            <v>STC9A001I</v>
          </cell>
          <cell r="Q5681" t="str">
            <v>速度传感器</v>
          </cell>
        </row>
        <row r="5682">
          <cell r="O5682" t="str">
            <v>SC2662SO-N</v>
          </cell>
          <cell r="P5682" t="str">
            <v>STC9906P</v>
          </cell>
          <cell r="Q5682" t="str">
            <v>磁性位置传感器</v>
          </cell>
        </row>
        <row r="5683">
          <cell r="O5683" t="str">
            <v>SC2662SO-N</v>
          </cell>
          <cell r="P5683" t="str">
            <v>STC9906P</v>
          </cell>
          <cell r="Q5683" t="str">
            <v>磁性位置传感器</v>
          </cell>
        </row>
        <row r="5684">
          <cell r="O5684" t="str">
            <v>SC2662SO-N</v>
          </cell>
          <cell r="P5684" t="str">
            <v>STC9906P</v>
          </cell>
          <cell r="Q5684" t="str">
            <v>磁性位置传感器</v>
          </cell>
        </row>
        <row r="5685">
          <cell r="O5685" t="str">
            <v>SC9641TS-P</v>
          </cell>
          <cell r="P5685" t="str">
            <v>STC9A001I</v>
          </cell>
          <cell r="Q5685" t="str">
            <v>速度传感器</v>
          </cell>
        </row>
        <row r="5686">
          <cell r="O5686" t="str">
            <v>SC60221</v>
          </cell>
          <cell r="P5686" t="str">
            <v>STC9D04C</v>
          </cell>
          <cell r="Q5686" t="str">
            <v>电机编码器</v>
          </cell>
        </row>
        <row r="5687">
          <cell r="O5687" t="str">
            <v>SC9641TS-PC</v>
          </cell>
          <cell r="P5687" t="str">
            <v>STC9A001I</v>
          </cell>
          <cell r="Q5687" t="str">
            <v>速度传感器</v>
          </cell>
        </row>
        <row r="5688">
          <cell r="O5688" t="str">
            <v>SC9648TS-P</v>
          </cell>
          <cell r="P5688" t="str">
            <v>STC9A001I</v>
          </cell>
          <cell r="Q5688" t="str">
            <v>速度传感器</v>
          </cell>
        </row>
        <row r="5689">
          <cell r="O5689" t="str">
            <v>SC9314UA</v>
          </cell>
          <cell r="P5689" t="str">
            <v>STC9901AF</v>
          </cell>
          <cell r="Q5689" t="str">
            <v>速度传感器</v>
          </cell>
        </row>
        <row r="5690">
          <cell r="O5690" t="str">
            <v>SC9314UA</v>
          </cell>
          <cell r="P5690" t="str">
            <v>STC9901AF</v>
          </cell>
          <cell r="Q5690" t="str">
            <v>速度传感器</v>
          </cell>
        </row>
        <row r="5691">
          <cell r="O5691" t="str">
            <v>SC9314UA</v>
          </cell>
          <cell r="P5691" t="str">
            <v>STC9901AF</v>
          </cell>
          <cell r="Q5691" t="str">
            <v>速度传感器</v>
          </cell>
        </row>
        <row r="5692">
          <cell r="O5692" t="str">
            <v>SC9314UA</v>
          </cell>
          <cell r="P5692" t="str">
            <v>STC9901AF</v>
          </cell>
          <cell r="Q5692" t="str">
            <v>速度传感器</v>
          </cell>
        </row>
        <row r="5693">
          <cell r="O5693" t="str">
            <v>SC9642TS</v>
          </cell>
          <cell r="P5693" t="str">
            <v>STC9A001G</v>
          </cell>
          <cell r="Q5693" t="str">
            <v>速度传感器</v>
          </cell>
        </row>
        <row r="5694">
          <cell r="O5694" t="str">
            <v>SC9642TS</v>
          </cell>
          <cell r="P5694" t="str">
            <v>STC9A001G</v>
          </cell>
          <cell r="Q5694" t="str">
            <v>速度传感器</v>
          </cell>
        </row>
        <row r="5695">
          <cell r="O5695" t="str">
            <v>SC9642TS</v>
          </cell>
          <cell r="P5695" t="str">
            <v>STC9A001G</v>
          </cell>
          <cell r="Q5695" t="str">
            <v>速度传感器</v>
          </cell>
        </row>
        <row r="5696">
          <cell r="O5696" t="str">
            <v>SC9642TS</v>
          </cell>
          <cell r="P5696" t="str">
            <v>STC9A001G</v>
          </cell>
          <cell r="Q5696" t="str">
            <v>速度传感器</v>
          </cell>
        </row>
        <row r="5697">
          <cell r="O5697" t="str">
            <v>SC1645B1</v>
          </cell>
          <cell r="P5697" t="str">
            <v>STC2899AE</v>
          </cell>
          <cell r="Q5697" t="str">
            <v>磁性位置传感器</v>
          </cell>
        </row>
        <row r="5698">
          <cell r="O5698" t="str">
            <v>SC1645B1</v>
          </cell>
          <cell r="P5698" t="str">
            <v>STC2899AE</v>
          </cell>
          <cell r="Q5698" t="str">
            <v>磁性位置传感器</v>
          </cell>
        </row>
        <row r="5699">
          <cell r="O5699" t="str">
            <v>49E</v>
          </cell>
          <cell r="P5699" t="str">
            <v>STC4011B</v>
          </cell>
          <cell r="Q5699" t="str">
            <v>磁性位置传感器</v>
          </cell>
        </row>
        <row r="5700">
          <cell r="O5700" t="str">
            <v>PSTC9902D</v>
          </cell>
          <cell r="P5700" t="str">
            <v>STC9902D</v>
          </cell>
          <cell r="Q5700" t="str">
            <v>磁性位置传感器</v>
          </cell>
        </row>
        <row r="5701">
          <cell r="O5701" t="str">
            <v>SC2448SO</v>
          </cell>
          <cell r="P5701" t="str">
            <v>STC9906S</v>
          </cell>
          <cell r="Q5701" t="str">
            <v>磁性位置传感器</v>
          </cell>
        </row>
        <row r="5702">
          <cell r="O5702" t="str">
            <v>SD211VB</v>
          </cell>
          <cell r="P5702" t="str">
            <v>FD1016A</v>
          </cell>
          <cell r="Q5702" t="str">
            <v>电机驱动</v>
          </cell>
        </row>
        <row r="5703">
          <cell r="O5703" t="str">
            <v>SD211VB</v>
          </cell>
          <cell r="P5703" t="str">
            <v>FD1016A</v>
          </cell>
          <cell r="Q5703" t="str">
            <v>电机驱动</v>
          </cell>
        </row>
        <row r="5704">
          <cell r="O5704" t="str">
            <v>SD211VB</v>
          </cell>
          <cell r="P5704" t="str">
            <v>FD1016A</v>
          </cell>
          <cell r="Q5704" t="str">
            <v>电机驱动</v>
          </cell>
        </row>
        <row r="5705">
          <cell r="O5705" t="str">
            <v>SD211VB</v>
          </cell>
          <cell r="P5705" t="str">
            <v>FD1016A</v>
          </cell>
          <cell r="Q5705" t="str">
            <v>电机驱动</v>
          </cell>
        </row>
        <row r="5706">
          <cell r="O5706" t="str">
            <v>SD211VB</v>
          </cell>
          <cell r="P5706" t="str">
            <v>FD1016A</v>
          </cell>
          <cell r="Q5706" t="str">
            <v>电机驱动</v>
          </cell>
        </row>
        <row r="5707">
          <cell r="O5707" t="str">
            <v>SD2276</v>
          </cell>
          <cell r="P5707" t="str">
            <v>FD1014A</v>
          </cell>
          <cell r="Q5707" t="str">
            <v>电机驱动</v>
          </cell>
        </row>
        <row r="5708">
          <cell r="O5708" t="str">
            <v>SC1134SO-N</v>
          </cell>
          <cell r="P5708" t="str">
            <v>STC1898AI</v>
          </cell>
          <cell r="Q5708" t="str">
            <v>磁性位置传感器</v>
          </cell>
        </row>
        <row r="5709">
          <cell r="O5709" t="str">
            <v>SC1134SO-N</v>
          </cell>
          <cell r="P5709" t="str">
            <v>STC1898AI</v>
          </cell>
          <cell r="Q5709" t="str">
            <v>磁性位置传感器</v>
          </cell>
        </row>
        <row r="5710">
          <cell r="O5710" t="str">
            <v>SC1134UA</v>
          </cell>
          <cell r="P5710" t="str">
            <v>STC1898AI</v>
          </cell>
          <cell r="Q5710" t="str">
            <v>磁性位置传感器</v>
          </cell>
        </row>
        <row r="5711">
          <cell r="O5711" t="str">
            <v>SC1134UA</v>
          </cell>
          <cell r="P5711" t="str">
            <v>STC1898AI</v>
          </cell>
          <cell r="Q5711" t="str">
            <v>磁性位置传感器</v>
          </cell>
        </row>
        <row r="5712">
          <cell r="O5712" t="str">
            <v>SC1134UA</v>
          </cell>
          <cell r="P5712" t="str">
            <v>STC1898AI</v>
          </cell>
          <cell r="Q5712" t="str">
            <v>磁性位置传感器</v>
          </cell>
        </row>
        <row r="5713">
          <cell r="O5713" t="str">
            <v>SC1134UA</v>
          </cell>
          <cell r="P5713" t="str">
            <v>STC1898AI</v>
          </cell>
          <cell r="Q5713" t="str">
            <v>磁性位置传感器</v>
          </cell>
        </row>
        <row r="5714">
          <cell r="O5714" t="str">
            <v>SC2442UA</v>
          </cell>
          <cell r="P5714" t="str">
            <v>STC9906P</v>
          </cell>
          <cell r="Q5714" t="str">
            <v>磁性位置传感器</v>
          </cell>
        </row>
        <row r="5715">
          <cell r="O5715" t="str">
            <v>ATK-E512</v>
          </cell>
          <cell r="P5715" t="str">
            <v>STC4011B</v>
          </cell>
          <cell r="Q5715" t="str">
            <v>磁性位置传感器</v>
          </cell>
        </row>
        <row r="5716">
          <cell r="O5716" t="str">
            <v>ATK-E512</v>
          </cell>
          <cell r="P5716" t="str">
            <v>STC4011B</v>
          </cell>
          <cell r="Q5716" t="str">
            <v>磁性位置传感器</v>
          </cell>
        </row>
        <row r="5717">
          <cell r="O5717" t="str">
            <v>ATK-E512</v>
          </cell>
          <cell r="P5717" t="str">
            <v>STC4011B</v>
          </cell>
          <cell r="Q5717" t="str">
            <v>磁性位置传感器</v>
          </cell>
        </row>
        <row r="5718">
          <cell r="O5718" t="str">
            <v>ATK-E512</v>
          </cell>
          <cell r="P5718" t="str">
            <v>STC4011B</v>
          </cell>
          <cell r="Q5718" t="str">
            <v>磁性位置传感器</v>
          </cell>
        </row>
        <row r="5719">
          <cell r="O5719" t="str">
            <v>ATK-E512</v>
          </cell>
          <cell r="P5719" t="str">
            <v>STC4011B</v>
          </cell>
          <cell r="Q5719" t="str">
            <v>磁性位置传感器</v>
          </cell>
        </row>
        <row r="5720">
          <cell r="O5720" t="str">
            <v>ATK-E512</v>
          </cell>
          <cell r="P5720" t="str">
            <v>STC4011B</v>
          </cell>
          <cell r="Q5720" t="str">
            <v>磁性位置传感器</v>
          </cell>
        </row>
        <row r="5721">
          <cell r="O5721" t="str">
            <v>SC2064SO</v>
          </cell>
          <cell r="P5721" t="str">
            <v>STC9G001C</v>
          </cell>
          <cell r="Q5721" t="str">
            <v>磁性位置传感器</v>
          </cell>
        </row>
        <row r="5722">
          <cell r="O5722" t="str">
            <v>SC2442SO-N</v>
          </cell>
          <cell r="P5722" t="str">
            <v>STC9906P</v>
          </cell>
          <cell r="Q5722" t="str">
            <v>磁性位置传感器</v>
          </cell>
        </row>
        <row r="5723">
          <cell r="O5723" t="str">
            <v>SC2442SO-N</v>
          </cell>
          <cell r="P5723" t="str">
            <v>STC9906P</v>
          </cell>
          <cell r="Q5723" t="str">
            <v>磁性位置传感器</v>
          </cell>
        </row>
        <row r="5724">
          <cell r="O5724" t="str">
            <v>49E</v>
          </cell>
          <cell r="P5724" t="str">
            <v>STC4011B</v>
          </cell>
          <cell r="Q5724" t="str">
            <v>磁性位置传感器</v>
          </cell>
        </row>
        <row r="5725">
          <cell r="O5725" t="str">
            <v>G01</v>
          </cell>
          <cell r="P5725" t="str">
            <v>STC4011B</v>
          </cell>
          <cell r="Q5725" t="str">
            <v>磁性位置传感器</v>
          </cell>
        </row>
        <row r="5726">
          <cell r="O5726" t="str">
            <v>G01</v>
          </cell>
          <cell r="P5726" t="str">
            <v>STC4011B</v>
          </cell>
          <cell r="Q5726" t="str">
            <v>磁性位置传感器</v>
          </cell>
        </row>
        <row r="5727">
          <cell r="O5727" t="str">
            <v>G01</v>
          </cell>
          <cell r="P5727" t="str">
            <v>STC4011B</v>
          </cell>
          <cell r="Q5727" t="str">
            <v>磁性位置传感器</v>
          </cell>
        </row>
        <row r="5728">
          <cell r="O5728" t="str">
            <v>281</v>
          </cell>
          <cell r="P5728" t="str">
            <v>STC4011B</v>
          </cell>
          <cell r="Q5728" t="str">
            <v>磁性位置传感器</v>
          </cell>
        </row>
        <row r="5729">
          <cell r="O5729" t="str">
            <v>281</v>
          </cell>
          <cell r="P5729" t="str">
            <v>STC4011B</v>
          </cell>
          <cell r="Q5729" t="str">
            <v>磁性位置传感器</v>
          </cell>
        </row>
        <row r="5730">
          <cell r="O5730" t="str">
            <v>281</v>
          </cell>
          <cell r="P5730" t="str">
            <v>STC4011B</v>
          </cell>
          <cell r="Q5730" t="str">
            <v>磁性位置传感器</v>
          </cell>
        </row>
        <row r="5731">
          <cell r="O5731" t="str">
            <v>SC2242SO</v>
          </cell>
          <cell r="P5731" t="str">
            <v>STC9906H</v>
          </cell>
          <cell r="Q5731" t="str">
            <v>磁性位置传感器</v>
          </cell>
        </row>
        <row r="5732">
          <cell r="O5732" t="str">
            <v>SC2242SO</v>
          </cell>
          <cell r="P5732" t="str">
            <v>STC9906H</v>
          </cell>
          <cell r="Q5732" t="str">
            <v>磁性位置传感器</v>
          </cell>
        </row>
        <row r="5733">
          <cell r="O5733" t="str">
            <v>SC2442SO-N</v>
          </cell>
          <cell r="P5733" t="str">
            <v>STC9906P</v>
          </cell>
          <cell r="Q5733" t="str">
            <v>磁性位置传感器</v>
          </cell>
        </row>
        <row r="5734">
          <cell r="O5734" t="str">
            <v>SC2442SO-N</v>
          </cell>
          <cell r="P5734" t="str">
            <v>STC9906P</v>
          </cell>
          <cell r="Q5734" t="str">
            <v>磁性位置传感器</v>
          </cell>
        </row>
        <row r="5735">
          <cell r="O5735" t="str">
            <v>SC2442SO-N</v>
          </cell>
          <cell r="P5735" t="str">
            <v>STC9906P</v>
          </cell>
          <cell r="Q5735" t="str">
            <v>磁性位置传感器</v>
          </cell>
        </row>
        <row r="5736">
          <cell r="O5736" t="str">
            <v>SC2442SO-N</v>
          </cell>
          <cell r="P5736" t="str">
            <v>STC9906P</v>
          </cell>
          <cell r="Q5736" t="str">
            <v>磁性位置传感器</v>
          </cell>
        </row>
        <row r="5737">
          <cell r="O5737" t="str">
            <v>SC2442SO-N</v>
          </cell>
          <cell r="P5737" t="str">
            <v>STC9906P</v>
          </cell>
          <cell r="Q5737" t="str">
            <v>磁性位置传感器</v>
          </cell>
        </row>
        <row r="5738">
          <cell r="O5738" t="str">
            <v>SC2402SO-N</v>
          </cell>
          <cell r="P5738" t="str">
            <v>STC9902J</v>
          </cell>
          <cell r="Q5738" t="str">
            <v>磁性位置传感器</v>
          </cell>
        </row>
        <row r="5739">
          <cell r="O5739" t="str">
            <v>SC9648TS-P</v>
          </cell>
          <cell r="P5739" t="str">
            <v>STC9A001I</v>
          </cell>
          <cell r="Q5739" t="str">
            <v>速度传感器</v>
          </cell>
        </row>
        <row r="5740">
          <cell r="O5740" t="str">
            <v>SC9648TS-P</v>
          </cell>
          <cell r="P5740" t="str">
            <v>STC9A001I</v>
          </cell>
          <cell r="Q5740" t="str">
            <v>速度传感器</v>
          </cell>
        </row>
        <row r="5741">
          <cell r="O5741" t="str">
            <v>SC9648TS-P</v>
          </cell>
          <cell r="P5741" t="str">
            <v>STC9A001I</v>
          </cell>
          <cell r="Q5741" t="str">
            <v>速度传感器</v>
          </cell>
        </row>
        <row r="5742">
          <cell r="O5742" t="str">
            <v>SC9641TS-P</v>
          </cell>
          <cell r="P5742" t="str">
            <v>STC9A001I</v>
          </cell>
          <cell r="Q5742" t="str">
            <v>速度传感器</v>
          </cell>
        </row>
        <row r="5743">
          <cell r="O5743" t="str">
            <v>SC9641TS-P</v>
          </cell>
          <cell r="P5743" t="str">
            <v>STC9A001I</v>
          </cell>
          <cell r="Q5743" t="str">
            <v>速度传感器</v>
          </cell>
        </row>
        <row r="5744">
          <cell r="O5744" t="str">
            <v>SC1138SO-N</v>
          </cell>
          <cell r="P5744" t="str">
            <v>STC1898AC</v>
          </cell>
          <cell r="Q5744" t="str">
            <v>磁性位置传感器</v>
          </cell>
        </row>
        <row r="5745">
          <cell r="O5745" t="str">
            <v>SC1138SO-N</v>
          </cell>
          <cell r="P5745" t="str">
            <v>STC1898AC</v>
          </cell>
          <cell r="Q5745" t="str">
            <v>磁性位置传感器</v>
          </cell>
        </row>
        <row r="5746">
          <cell r="O5746" t="str">
            <v>SC2402B1</v>
          </cell>
          <cell r="P5746" t="str">
            <v>STC9G002B</v>
          </cell>
          <cell r="Q5746" t="str">
            <v>磁性位置传感器</v>
          </cell>
        </row>
        <row r="5747">
          <cell r="O5747" t="str">
            <v>SC2402B1</v>
          </cell>
          <cell r="P5747" t="str">
            <v>STC9G002B</v>
          </cell>
          <cell r="Q5747" t="str">
            <v>磁性位置传感器</v>
          </cell>
        </row>
        <row r="5748">
          <cell r="O5748" t="str">
            <v>SC9648TS-P</v>
          </cell>
          <cell r="P5748" t="str">
            <v>STC9A001I</v>
          </cell>
          <cell r="Q5748" t="str">
            <v>速度传感器</v>
          </cell>
        </row>
        <row r="5749">
          <cell r="O5749" t="str">
            <v>SC9641TS</v>
          </cell>
          <cell r="P5749" t="str">
            <v>STC9910BN</v>
          </cell>
          <cell r="Q5749" t="str">
            <v>速度传感器</v>
          </cell>
        </row>
        <row r="5750">
          <cell r="O5750" t="str">
            <v>SC9641TS</v>
          </cell>
          <cell r="P5750" t="str">
            <v>STC9910BN</v>
          </cell>
          <cell r="Q5750" t="str">
            <v>速度传感器</v>
          </cell>
        </row>
        <row r="5751">
          <cell r="O5751" t="str">
            <v>SC9641TS</v>
          </cell>
          <cell r="P5751" t="str">
            <v>STC9910BN</v>
          </cell>
          <cell r="Q5751" t="str">
            <v>速度传感器</v>
          </cell>
        </row>
        <row r="5752">
          <cell r="O5752" t="str">
            <v>SC9314UA</v>
          </cell>
          <cell r="P5752" t="str">
            <v>STC9901AF</v>
          </cell>
          <cell r="Q5752" t="str">
            <v>速度传感器</v>
          </cell>
        </row>
        <row r="5753">
          <cell r="O5753" t="str">
            <v>SC4688DC</v>
          </cell>
          <cell r="P5753" t="str">
            <v>STC9D01C</v>
          </cell>
          <cell r="Q5753" t="str">
            <v>角度传感器</v>
          </cell>
        </row>
        <row r="5754">
          <cell r="O5754" t="str">
            <v>SC4688DC</v>
          </cell>
          <cell r="P5754" t="str">
            <v>STC9D01C</v>
          </cell>
          <cell r="Q5754" t="str">
            <v>角度传感器</v>
          </cell>
        </row>
        <row r="5755">
          <cell r="O5755" t="str">
            <v>SC4688DC</v>
          </cell>
          <cell r="P5755" t="str">
            <v>STC9D01C</v>
          </cell>
          <cell r="Q5755" t="str">
            <v>角度传感器</v>
          </cell>
        </row>
        <row r="5756">
          <cell r="O5756" t="str">
            <v>SC9642TS</v>
          </cell>
          <cell r="P5756" t="str">
            <v>STC9A001G</v>
          </cell>
          <cell r="Q5756" t="str">
            <v>速度传感器</v>
          </cell>
        </row>
        <row r="5757">
          <cell r="O5757" t="str">
            <v>SC9642TS</v>
          </cell>
          <cell r="P5757" t="str">
            <v>STC9A001G</v>
          </cell>
          <cell r="Q5757" t="str">
            <v>速度传感器</v>
          </cell>
        </row>
        <row r="5758">
          <cell r="O5758" t="str">
            <v>SC1002A1</v>
          </cell>
          <cell r="P5758" t="str">
            <v>STC1002AG</v>
          </cell>
          <cell r="Q5758" t="str">
            <v>磁性位置传感器</v>
          </cell>
        </row>
        <row r="5759">
          <cell r="O5759" t="str">
            <v>SC1002A1</v>
          </cell>
          <cell r="P5759" t="str">
            <v>STC1002AG</v>
          </cell>
          <cell r="Q5759" t="str">
            <v>磁性位置传感器</v>
          </cell>
        </row>
        <row r="5760">
          <cell r="O5760" t="str">
            <v>SC2448SO</v>
          </cell>
          <cell r="P5760" t="str">
            <v>STC9906S</v>
          </cell>
          <cell r="Q5760" t="str">
            <v>磁性位置传感器</v>
          </cell>
        </row>
        <row r="5761">
          <cell r="O5761" t="str">
            <v>SC9633VB</v>
          </cell>
          <cell r="P5761" t="str">
            <v>STC9905F</v>
          </cell>
          <cell r="Q5761" t="str">
            <v>速度传感器</v>
          </cell>
        </row>
        <row r="5762">
          <cell r="O5762" t="str">
            <v>SC9633VB</v>
          </cell>
          <cell r="P5762" t="str">
            <v>STC9905F</v>
          </cell>
          <cell r="Q5762" t="str">
            <v>速度传感器</v>
          </cell>
        </row>
        <row r="5763">
          <cell r="O5763" t="str">
            <v>SD2276</v>
          </cell>
          <cell r="P5763" t="str">
            <v>FD1014A</v>
          </cell>
          <cell r="Q5763" t="str">
            <v>电机驱动</v>
          </cell>
        </row>
        <row r="5764">
          <cell r="O5764" t="str">
            <v>SD2276</v>
          </cell>
          <cell r="P5764" t="str">
            <v>FD1014A</v>
          </cell>
          <cell r="Q5764" t="str">
            <v>电机驱动</v>
          </cell>
        </row>
        <row r="5765">
          <cell r="O5765" t="str">
            <v>SC1134UA</v>
          </cell>
          <cell r="P5765" t="str">
            <v>STC1898AI</v>
          </cell>
          <cell r="Q5765" t="str">
            <v>磁性位置传感器</v>
          </cell>
        </row>
        <row r="5766">
          <cell r="O5766" t="str">
            <v>SC1645A1</v>
          </cell>
          <cell r="P5766" t="str">
            <v>STC2899AE</v>
          </cell>
          <cell r="Q5766" t="str">
            <v>磁性位置传感器</v>
          </cell>
        </row>
        <row r="5767">
          <cell r="O5767" t="str">
            <v>SC4104SO</v>
          </cell>
          <cell r="P5767" t="str">
            <v>STC11201B1</v>
          </cell>
          <cell r="Q5767" t="str">
            <v>磁性位置传感器</v>
          </cell>
        </row>
        <row r="5768">
          <cell r="O5768" t="str">
            <v>SC1134SO-N</v>
          </cell>
          <cell r="P5768" t="str">
            <v>STC1898AI</v>
          </cell>
          <cell r="Q5768" t="str">
            <v>磁性位置传感器</v>
          </cell>
        </row>
        <row r="5769">
          <cell r="O5769" t="str">
            <v>SC1134SO-N</v>
          </cell>
          <cell r="P5769" t="str">
            <v>STC1898AI</v>
          </cell>
          <cell r="Q5769" t="str">
            <v>磁性位置传感器</v>
          </cell>
        </row>
        <row r="5770">
          <cell r="O5770" t="str">
            <v>SC2242SO</v>
          </cell>
          <cell r="P5770" t="str">
            <v>STC9906H</v>
          </cell>
          <cell r="Q5770" t="str">
            <v>磁性位置传感器</v>
          </cell>
        </row>
        <row r="5771">
          <cell r="O5771" t="str">
            <v>SC2242SO</v>
          </cell>
          <cell r="P5771" t="str">
            <v>STC9906H</v>
          </cell>
          <cell r="Q5771" t="str">
            <v>磁性位置传感器</v>
          </cell>
        </row>
        <row r="5772">
          <cell r="O5772" t="str">
            <v>SC2242SO</v>
          </cell>
          <cell r="P5772" t="str">
            <v>STC9906H</v>
          </cell>
          <cell r="Q5772" t="str">
            <v>磁性位置传感器</v>
          </cell>
        </row>
        <row r="5773">
          <cell r="O5773" t="str">
            <v>SC2242SO</v>
          </cell>
          <cell r="P5773" t="str">
            <v>STC9906H</v>
          </cell>
          <cell r="Q5773" t="str">
            <v>磁性位置传感器</v>
          </cell>
        </row>
        <row r="5774">
          <cell r="O5774" t="str">
            <v>SC1134SO-N</v>
          </cell>
          <cell r="P5774" t="str">
            <v>STC1898AI</v>
          </cell>
          <cell r="Q5774" t="str">
            <v>磁性位置传感器</v>
          </cell>
        </row>
        <row r="5775">
          <cell r="O5775" t="str">
            <v>ATK-E512</v>
          </cell>
          <cell r="P5775" t="str">
            <v>STC4011B</v>
          </cell>
          <cell r="Q5775" t="str">
            <v>磁性位置传感器</v>
          </cell>
        </row>
        <row r="5776">
          <cell r="O5776" t="str">
            <v>ATK-E512</v>
          </cell>
          <cell r="P5776" t="str">
            <v>STC4011B</v>
          </cell>
          <cell r="Q5776" t="str">
            <v>磁性位置传感器</v>
          </cell>
        </row>
        <row r="5777">
          <cell r="O5777" t="str">
            <v>ATK-E512</v>
          </cell>
          <cell r="P5777" t="str">
            <v>STC4011B</v>
          </cell>
          <cell r="Q5777" t="str">
            <v>磁性位置传感器</v>
          </cell>
        </row>
        <row r="5778">
          <cell r="O5778" t="str">
            <v>ATK-E512</v>
          </cell>
          <cell r="P5778" t="str">
            <v>STC4011B</v>
          </cell>
          <cell r="Q5778" t="str">
            <v>磁性位置传感器</v>
          </cell>
        </row>
        <row r="5779">
          <cell r="O5779" t="str">
            <v>SC2442SO-N</v>
          </cell>
          <cell r="P5779" t="str">
            <v>STC9906P</v>
          </cell>
          <cell r="Q5779" t="str">
            <v>磁性位置传感器</v>
          </cell>
        </row>
        <row r="5780">
          <cell r="O5780" t="str">
            <v>SC2442SO-N</v>
          </cell>
          <cell r="P5780" t="str">
            <v>STC9906P</v>
          </cell>
          <cell r="Q5780" t="str">
            <v>磁性位置传感器</v>
          </cell>
        </row>
        <row r="5781">
          <cell r="O5781" t="str">
            <v>SC2442SO-N</v>
          </cell>
          <cell r="P5781" t="str">
            <v>STC9906P</v>
          </cell>
          <cell r="Q5781" t="str">
            <v>磁性位置传感器</v>
          </cell>
        </row>
        <row r="5782">
          <cell r="O5782" t="str">
            <v>SC2442SO-N</v>
          </cell>
          <cell r="P5782" t="str">
            <v>STC9906P</v>
          </cell>
          <cell r="Q5782" t="str">
            <v>磁性位置传感器</v>
          </cell>
        </row>
        <row r="5783">
          <cell r="O5783" t="str">
            <v>SC2402SO-N</v>
          </cell>
          <cell r="P5783" t="str">
            <v>STC9902J</v>
          </cell>
          <cell r="Q5783" t="str">
            <v>磁性位置传感器</v>
          </cell>
        </row>
        <row r="5784">
          <cell r="O5784" t="str">
            <v>SC2402SO-N</v>
          </cell>
          <cell r="P5784" t="str">
            <v>STC9902J</v>
          </cell>
          <cell r="Q5784" t="str">
            <v>磁性位置传感器</v>
          </cell>
        </row>
        <row r="5785">
          <cell r="O5785" t="str">
            <v>SC2402SO-N</v>
          </cell>
          <cell r="P5785" t="str">
            <v>STC9902J</v>
          </cell>
          <cell r="Q5785" t="str">
            <v>磁性位置传感器</v>
          </cell>
        </row>
        <row r="5786">
          <cell r="O5786" t="str">
            <v>SC2402SO-N</v>
          </cell>
          <cell r="P5786" t="str">
            <v>STC9902J</v>
          </cell>
          <cell r="Q5786" t="str">
            <v>磁性位置传感器</v>
          </cell>
        </row>
        <row r="5787">
          <cell r="O5787" t="str">
            <v>SC2432UA</v>
          </cell>
          <cell r="P5787" t="str">
            <v>STC9906I</v>
          </cell>
          <cell r="Q5787" t="str">
            <v>磁性位置传感器</v>
          </cell>
        </row>
        <row r="5788">
          <cell r="O5788" t="str">
            <v>281</v>
          </cell>
          <cell r="P5788" t="str">
            <v>STC4011B</v>
          </cell>
          <cell r="Q5788" t="str">
            <v>磁性位置传感器</v>
          </cell>
        </row>
        <row r="5789">
          <cell r="O5789" t="str">
            <v>G01</v>
          </cell>
          <cell r="P5789" t="str">
            <v>STC4011B</v>
          </cell>
          <cell r="Q5789" t="str">
            <v>磁性位置传感器</v>
          </cell>
        </row>
        <row r="5790">
          <cell r="O5790" t="str">
            <v>G01</v>
          </cell>
          <cell r="P5790" t="str">
            <v>STC4011B</v>
          </cell>
          <cell r="Q5790" t="str">
            <v>磁性位置传感器</v>
          </cell>
        </row>
        <row r="5791">
          <cell r="O5791" t="str">
            <v>G01</v>
          </cell>
          <cell r="P5791" t="str">
            <v>STC4011B</v>
          </cell>
          <cell r="Q5791" t="str">
            <v>磁性位置传感器</v>
          </cell>
        </row>
        <row r="5792">
          <cell r="O5792" t="str">
            <v>G01</v>
          </cell>
          <cell r="P5792" t="str">
            <v>STC4011B</v>
          </cell>
          <cell r="Q5792" t="str">
            <v>磁性位置传感器</v>
          </cell>
        </row>
        <row r="5793">
          <cell r="O5793" t="str">
            <v>G01</v>
          </cell>
          <cell r="P5793" t="str">
            <v>STC4011B</v>
          </cell>
          <cell r="Q5793" t="str">
            <v>磁性位置传感器</v>
          </cell>
        </row>
        <row r="5794">
          <cell r="O5794" t="str">
            <v>G01</v>
          </cell>
          <cell r="P5794" t="str">
            <v>STC4011B</v>
          </cell>
          <cell r="Q5794" t="str">
            <v>磁性位置传感器</v>
          </cell>
        </row>
        <row r="5795">
          <cell r="O5795" t="str">
            <v>G01</v>
          </cell>
          <cell r="P5795" t="str">
            <v>STC4011B</v>
          </cell>
          <cell r="Q5795" t="str">
            <v>磁性位置传感器</v>
          </cell>
        </row>
        <row r="5796">
          <cell r="O5796" t="str">
            <v>SC2442SO-N</v>
          </cell>
          <cell r="P5796" t="str">
            <v>STC9906P</v>
          </cell>
          <cell r="Q5796" t="str">
            <v>磁性位置传感器</v>
          </cell>
        </row>
        <row r="5797">
          <cell r="O5797" t="str">
            <v>SC2442SO-N</v>
          </cell>
          <cell r="P5797" t="str">
            <v>STC9906P</v>
          </cell>
          <cell r="Q5797" t="str">
            <v>磁性位置传感器</v>
          </cell>
        </row>
        <row r="5798">
          <cell r="O5798" t="str">
            <v>SC2436SO</v>
          </cell>
          <cell r="P5798" t="str">
            <v>STC9906I</v>
          </cell>
          <cell r="Q5798" t="str">
            <v>磁性位置传感器</v>
          </cell>
        </row>
        <row r="5799">
          <cell r="O5799" t="str">
            <v>SC2436SO</v>
          </cell>
          <cell r="P5799" t="str">
            <v>STC9906I</v>
          </cell>
          <cell r="Q5799" t="str">
            <v>磁性位置传感器</v>
          </cell>
        </row>
        <row r="5800">
          <cell r="O5800" t="str">
            <v>SC2436SO</v>
          </cell>
          <cell r="P5800" t="str">
            <v>STC9906I</v>
          </cell>
          <cell r="Q5800" t="str">
            <v>磁性位置传感器</v>
          </cell>
        </row>
        <row r="5801">
          <cell r="O5801" t="str">
            <v>SC9648TS-P</v>
          </cell>
          <cell r="P5801" t="str">
            <v>STC9A001I</v>
          </cell>
          <cell r="Q5801" t="str">
            <v>速度传感器</v>
          </cell>
        </row>
        <row r="5802">
          <cell r="O5802" t="str">
            <v>SC9641TS-P</v>
          </cell>
          <cell r="P5802" t="str">
            <v>STC9A001I</v>
          </cell>
          <cell r="Q5802" t="str">
            <v>速度传感器</v>
          </cell>
        </row>
        <row r="5803">
          <cell r="O5803" t="str">
            <v>SC9648TS-P</v>
          </cell>
          <cell r="P5803" t="str">
            <v>STC9A001I</v>
          </cell>
          <cell r="Q5803" t="str">
            <v>速度传感器</v>
          </cell>
        </row>
        <row r="5804">
          <cell r="O5804" t="str">
            <v>SC9648TS-P</v>
          </cell>
          <cell r="P5804" t="str">
            <v>STC9A001I</v>
          </cell>
          <cell r="Q5804" t="str">
            <v>速度传感器</v>
          </cell>
        </row>
        <row r="5805">
          <cell r="O5805" t="str">
            <v>SC9642TS-EC</v>
          </cell>
          <cell r="P5805" t="str">
            <v>STC9A001H</v>
          </cell>
          <cell r="Q5805" t="str">
            <v>速度传感器</v>
          </cell>
        </row>
        <row r="5806">
          <cell r="O5806" t="str">
            <v>SC9642TS-EC</v>
          </cell>
          <cell r="P5806" t="str">
            <v>STC9A001H</v>
          </cell>
          <cell r="Q5806" t="str">
            <v>速度传感器</v>
          </cell>
        </row>
        <row r="5807">
          <cell r="O5807" t="str">
            <v>SC9642TS-EC</v>
          </cell>
          <cell r="P5807" t="str">
            <v>STC9A001H</v>
          </cell>
          <cell r="Q5807" t="str">
            <v>速度传感器</v>
          </cell>
        </row>
        <row r="5808">
          <cell r="O5808" t="str">
            <v>SC9642TS-EC</v>
          </cell>
          <cell r="P5808" t="str">
            <v>STC9A001H</v>
          </cell>
          <cell r="Q5808" t="str">
            <v>速度传感器</v>
          </cell>
        </row>
        <row r="5809">
          <cell r="O5809" t="str">
            <v>ZH6823B</v>
          </cell>
          <cell r="P5809" t="str">
            <v>ZH6823B</v>
          </cell>
          <cell r="Q5809" t="str">
            <v>电机驱动</v>
          </cell>
        </row>
        <row r="5810">
          <cell r="O5810" t="str">
            <v>SC2402SO-N</v>
          </cell>
          <cell r="P5810" t="str">
            <v>STC9902J</v>
          </cell>
          <cell r="Q5810" t="str">
            <v>磁性位置传感器</v>
          </cell>
        </row>
        <row r="5811">
          <cell r="O5811" t="str">
            <v>SC2402SO-N</v>
          </cell>
          <cell r="P5811" t="str">
            <v>STC9902J</v>
          </cell>
          <cell r="Q5811" t="str">
            <v>磁性位置传感器</v>
          </cell>
        </row>
        <row r="5812">
          <cell r="O5812" t="str">
            <v>SC1134SO-N</v>
          </cell>
          <cell r="P5812" t="str">
            <v>STC1898AI</v>
          </cell>
          <cell r="Q5812" t="str">
            <v>磁性位置传感器</v>
          </cell>
        </row>
        <row r="5813">
          <cell r="O5813" t="str">
            <v>SC1134SO-N</v>
          </cell>
          <cell r="P5813" t="str">
            <v>STC1898AI</v>
          </cell>
          <cell r="Q5813" t="str">
            <v>磁性位置传感器</v>
          </cell>
        </row>
        <row r="5814">
          <cell r="O5814" t="str">
            <v>SC4643编程板</v>
          </cell>
          <cell r="P5814" t="str">
            <v xml:space="preserve"> </v>
          </cell>
          <cell r="Q5814" t="str">
            <v>电流传感器</v>
          </cell>
        </row>
        <row r="5815">
          <cell r="O5815" t="str">
            <v>SC4643VB-A</v>
          </cell>
          <cell r="P5815" t="str">
            <v>STC9D03E</v>
          </cell>
          <cell r="Q5815" t="str">
            <v>电流传感器</v>
          </cell>
        </row>
        <row r="5816">
          <cell r="O5816" t="str">
            <v>SC4643VB-A</v>
          </cell>
          <cell r="P5816" t="str">
            <v>STC9D03E</v>
          </cell>
          <cell r="Q5816" t="str">
            <v>电流传感器</v>
          </cell>
        </row>
        <row r="5817">
          <cell r="O5817" t="str">
            <v>SC4643VB-A</v>
          </cell>
          <cell r="P5817" t="str">
            <v>STC9D03E</v>
          </cell>
          <cell r="Q5817" t="str">
            <v>电流传感器</v>
          </cell>
        </row>
        <row r="5818">
          <cell r="O5818" t="str">
            <v>SC4643VB-A</v>
          </cell>
          <cell r="P5818" t="str">
            <v>STC9D03E</v>
          </cell>
          <cell r="Q5818" t="str">
            <v>电流传感器</v>
          </cell>
        </row>
        <row r="5819">
          <cell r="O5819" t="str">
            <v>SC9632VB</v>
          </cell>
          <cell r="P5819" t="str">
            <v>STC9905E</v>
          </cell>
          <cell r="Q5819" t="str">
            <v>速度传感器</v>
          </cell>
        </row>
        <row r="5820">
          <cell r="O5820" t="str">
            <v>SC9641TS-P</v>
          </cell>
          <cell r="P5820" t="str">
            <v>STC9A001I</v>
          </cell>
          <cell r="Q5820" t="str">
            <v>速度传感器</v>
          </cell>
        </row>
        <row r="5821">
          <cell r="O5821" t="str">
            <v>SC2498UA-N</v>
          </cell>
          <cell r="P5821" t="str">
            <v>SC9915C</v>
          </cell>
          <cell r="Q5821" t="str">
            <v>磁性位置传感器</v>
          </cell>
        </row>
        <row r="5822">
          <cell r="O5822" t="str">
            <v>SC2498UA-N</v>
          </cell>
          <cell r="P5822" t="str">
            <v>SC9915C</v>
          </cell>
          <cell r="Q5822" t="str">
            <v>磁性位置传感器</v>
          </cell>
        </row>
        <row r="5823">
          <cell r="O5823" t="str">
            <v>SC2498UA-N</v>
          </cell>
          <cell r="P5823" t="str">
            <v>SC9915C</v>
          </cell>
          <cell r="Q5823" t="str">
            <v>磁性位置传感器</v>
          </cell>
        </row>
        <row r="5824">
          <cell r="O5824" t="str">
            <v>SC2498UA-N</v>
          </cell>
          <cell r="P5824" t="str">
            <v>SC9915C</v>
          </cell>
          <cell r="Q5824" t="str">
            <v>磁性位置传感器</v>
          </cell>
        </row>
        <row r="5825">
          <cell r="O5825" t="str">
            <v>SC2498UA-N</v>
          </cell>
          <cell r="P5825" t="str">
            <v>SC9915C</v>
          </cell>
          <cell r="Q5825" t="str">
            <v>磁性位置传感器</v>
          </cell>
        </row>
        <row r="5826">
          <cell r="O5826" t="str">
            <v>SC2442SO-N</v>
          </cell>
          <cell r="P5826" t="str">
            <v>STC9906P</v>
          </cell>
          <cell r="Q5826" t="str">
            <v>磁性位置传感器</v>
          </cell>
        </row>
        <row r="5827">
          <cell r="O5827" t="str">
            <v>SC1002F1</v>
          </cell>
          <cell r="P5827" t="str">
            <v>STC1002AG</v>
          </cell>
          <cell r="Q5827" t="str">
            <v>磁性位置传感器</v>
          </cell>
        </row>
        <row r="5828">
          <cell r="O5828" t="str">
            <v>SC1002F1</v>
          </cell>
          <cell r="P5828" t="str">
            <v>STC1002AG</v>
          </cell>
          <cell r="Q5828" t="str">
            <v>磁性位置传感器</v>
          </cell>
        </row>
        <row r="5829">
          <cell r="O5829" t="str">
            <v>SC1002F1</v>
          </cell>
          <cell r="P5829" t="str">
            <v>STC1002AG</v>
          </cell>
          <cell r="Q5829" t="str">
            <v>磁性位置传感器</v>
          </cell>
        </row>
        <row r="5830">
          <cell r="O5830" t="str">
            <v>SC1002F1</v>
          </cell>
          <cell r="P5830" t="str">
            <v>STC1002AG</v>
          </cell>
          <cell r="Q5830" t="str">
            <v>磁性位置传感器</v>
          </cell>
        </row>
        <row r="5831">
          <cell r="O5831" t="str">
            <v>S41H</v>
          </cell>
          <cell r="P5831" t="str">
            <v>STC2899AI</v>
          </cell>
          <cell r="Q5831" t="str">
            <v>磁性位置传感器</v>
          </cell>
        </row>
        <row r="5832">
          <cell r="O5832" t="str">
            <v>S41H</v>
          </cell>
          <cell r="P5832" t="str">
            <v>STC2899AI</v>
          </cell>
          <cell r="Q5832" t="str">
            <v>磁性位置传感器</v>
          </cell>
        </row>
        <row r="5833">
          <cell r="O5833" t="str">
            <v>S41H</v>
          </cell>
          <cell r="P5833" t="str">
            <v>STC2899AI</v>
          </cell>
          <cell r="Q5833" t="str">
            <v>磁性位置传感器</v>
          </cell>
        </row>
        <row r="5834">
          <cell r="O5834" t="str">
            <v>SC2443UA</v>
          </cell>
          <cell r="P5834" t="str">
            <v>STC9906G</v>
          </cell>
          <cell r="Q5834" t="str">
            <v>磁性位置传感器</v>
          </cell>
        </row>
        <row r="5835">
          <cell r="O5835" t="str">
            <v>SC2443UA</v>
          </cell>
          <cell r="P5835" t="str">
            <v>STC9906G</v>
          </cell>
          <cell r="Q5835" t="str">
            <v>磁性位置传感器</v>
          </cell>
        </row>
        <row r="5836">
          <cell r="O5836" t="str">
            <v>SC1134SO-N</v>
          </cell>
          <cell r="P5836" t="str">
            <v>STC1898AI</v>
          </cell>
          <cell r="Q5836" t="str">
            <v>磁性位置传感器</v>
          </cell>
        </row>
        <row r="5837">
          <cell r="O5837" t="str">
            <v>SC2442UA</v>
          </cell>
          <cell r="P5837" t="str">
            <v>STC9906P</v>
          </cell>
          <cell r="Q5837" t="str">
            <v>磁性位置传感器</v>
          </cell>
        </row>
        <row r="5838">
          <cell r="O5838" t="str">
            <v>SC1002A1</v>
          </cell>
          <cell r="P5838" t="str">
            <v>STC1002AG</v>
          </cell>
          <cell r="Q5838" t="str">
            <v>磁性位置传感器</v>
          </cell>
        </row>
        <row r="5839">
          <cell r="O5839" t="str">
            <v>SC1002A1</v>
          </cell>
          <cell r="P5839" t="str">
            <v>STC1002AG</v>
          </cell>
          <cell r="Q5839" t="str">
            <v>磁性位置传感器</v>
          </cell>
        </row>
        <row r="5840">
          <cell r="O5840" t="str">
            <v>SC2402SO-N-H</v>
          </cell>
          <cell r="P5840" t="str">
            <v>STC9H001A</v>
          </cell>
          <cell r="Q5840" t="str">
            <v>磁性位置传感器</v>
          </cell>
        </row>
        <row r="5841">
          <cell r="O5841" t="str">
            <v>SC1134UA</v>
          </cell>
          <cell r="P5841" t="str">
            <v>STC1898AI</v>
          </cell>
          <cell r="Q5841" t="str">
            <v>磁性位置传感器</v>
          </cell>
        </row>
        <row r="5842">
          <cell r="O5842" t="str">
            <v>SC1134SO-N</v>
          </cell>
          <cell r="P5842" t="str">
            <v>STC1898AI</v>
          </cell>
          <cell r="Q5842" t="str">
            <v>磁性位置传感器</v>
          </cell>
        </row>
        <row r="5843">
          <cell r="O5843" t="str">
            <v>SD2276</v>
          </cell>
          <cell r="P5843" t="str">
            <v>FD1014A</v>
          </cell>
          <cell r="Q5843" t="str">
            <v>电机驱动</v>
          </cell>
        </row>
        <row r="5844">
          <cell r="O5844" t="str">
            <v>SD2276</v>
          </cell>
          <cell r="P5844" t="str">
            <v>FD1014A</v>
          </cell>
          <cell r="Q5844" t="str">
            <v>电机驱动</v>
          </cell>
        </row>
        <row r="5845">
          <cell r="O5845" t="str">
            <v>SC9648TS-P</v>
          </cell>
          <cell r="P5845" t="str">
            <v>STC9A001I</v>
          </cell>
          <cell r="Q5845" t="str">
            <v>速度传感器</v>
          </cell>
        </row>
        <row r="5846">
          <cell r="O5846" t="str">
            <v>SC9648TS-P</v>
          </cell>
          <cell r="P5846" t="str">
            <v>STC9A001I</v>
          </cell>
          <cell r="Q5846" t="str">
            <v>速度传感器</v>
          </cell>
        </row>
        <row r="5847">
          <cell r="O5847" t="str">
            <v>SC9648TS-P</v>
          </cell>
          <cell r="P5847" t="str">
            <v>STC9A001I</v>
          </cell>
          <cell r="Q5847" t="str">
            <v>速度传感器</v>
          </cell>
        </row>
        <row r="5848">
          <cell r="O5848" t="str">
            <v>SC1134SO-N</v>
          </cell>
          <cell r="P5848" t="str">
            <v>STC1898AI</v>
          </cell>
          <cell r="Q5848" t="str">
            <v>磁性位置传感器</v>
          </cell>
        </row>
        <row r="5849">
          <cell r="O5849" t="str">
            <v>ATK-E512</v>
          </cell>
          <cell r="P5849" t="str">
            <v>STC4011B</v>
          </cell>
          <cell r="Q5849" t="str">
            <v>磁性位置传感器</v>
          </cell>
        </row>
        <row r="5850">
          <cell r="O5850" t="str">
            <v>ATK-E512</v>
          </cell>
          <cell r="P5850" t="str">
            <v>STC4011B</v>
          </cell>
          <cell r="Q5850" t="str">
            <v>磁性位置传感器</v>
          </cell>
        </row>
        <row r="5851">
          <cell r="O5851" t="str">
            <v>ATK-E512</v>
          </cell>
          <cell r="P5851" t="str">
            <v>STC4011B</v>
          </cell>
          <cell r="Q5851" t="str">
            <v>磁性位置传感器</v>
          </cell>
        </row>
        <row r="5852">
          <cell r="O5852" t="str">
            <v>ATK-E512</v>
          </cell>
          <cell r="P5852" t="str">
            <v>STC4011B</v>
          </cell>
          <cell r="Q5852" t="str">
            <v>磁性位置传感器</v>
          </cell>
        </row>
        <row r="5853">
          <cell r="O5853" t="str">
            <v>SC2064SO</v>
          </cell>
          <cell r="P5853" t="str">
            <v>STC9G001C</v>
          </cell>
          <cell r="Q5853" t="str">
            <v>磁性位置传感器</v>
          </cell>
        </row>
        <row r="5854">
          <cell r="O5854" t="str">
            <v>SC60221-U-P1-256</v>
          </cell>
          <cell r="P5854" t="str">
            <v>STC9D04C</v>
          </cell>
          <cell r="Q5854" t="str">
            <v>电机编码器</v>
          </cell>
        </row>
        <row r="5855">
          <cell r="O5855" t="str">
            <v>SC9634VB</v>
          </cell>
          <cell r="P5855" t="str">
            <v>STC9905G</v>
          </cell>
          <cell r="Q5855" t="str">
            <v>速度传感器</v>
          </cell>
        </row>
        <row r="5856">
          <cell r="O5856" t="str">
            <v>SC9634VB</v>
          </cell>
          <cell r="P5856" t="str">
            <v>STC9905G</v>
          </cell>
          <cell r="Q5856" t="str">
            <v>速度传感器</v>
          </cell>
        </row>
        <row r="5857">
          <cell r="O5857" t="str">
            <v>SC2402SO-N-H</v>
          </cell>
          <cell r="P5857" t="str">
            <v>STC9H001A</v>
          </cell>
          <cell r="Q5857" t="str">
            <v>磁性位置传感器</v>
          </cell>
        </row>
        <row r="5858">
          <cell r="O5858" t="str">
            <v>SC2402SO-N-H</v>
          </cell>
          <cell r="P5858" t="str">
            <v>STC9H001A</v>
          </cell>
          <cell r="Q5858" t="str">
            <v>磁性位置传感器</v>
          </cell>
        </row>
        <row r="5859">
          <cell r="O5859" t="str">
            <v>SC2402SO-N-H</v>
          </cell>
          <cell r="P5859" t="str">
            <v>STC9H001A</v>
          </cell>
          <cell r="Q5859" t="str">
            <v>磁性位置传感器</v>
          </cell>
        </row>
        <row r="5860">
          <cell r="O5860" t="str">
            <v>SC2402SO-N-H</v>
          </cell>
          <cell r="P5860" t="str">
            <v>STC9H001A</v>
          </cell>
          <cell r="Q5860" t="str">
            <v>磁性位置传感器</v>
          </cell>
        </row>
        <row r="5861">
          <cell r="O5861" t="str">
            <v>SC2434SO</v>
          </cell>
          <cell r="P5861" t="str">
            <v>STC9906I</v>
          </cell>
          <cell r="Q5861" t="str">
            <v>磁性位置传感器</v>
          </cell>
        </row>
        <row r="5862">
          <cell r="O5862" t="str">
            <v>SC2434SO</v>
          </cell>
          <cell r="P5862" t="str">
            <v>STC9906I</v>
          </cell>
          <cell r="Q5862" t="str">
            <v>磁性位置传感器</v>
          </cell>
        </row>
        <row r="5863">
          <cell r="O5863" t="str">
            <v>SC2434SO</v>
          </cell>
          <cell r="P5863" t="str">
            <v>STC9906I</v>
          </cell>
          <cell r="Q5863" t="str">
            <v>磁性位置传感器</v>
          </cell>
        </row>
        <row r="5864">
          <cell r="O5864" t="str">
            <v>SC2434SO</v>
          </cell>
          <cell r="P5864" t="str">
            <v>STC9906I</v>
          </cell>
          <cell r="Q5864" t="str">
            <v>磁性位置传感器</v>
          </cell>
        </row>
        <row r="5865">
          <cell r="O5865" t="str">
            <v>49E</v>
          </cell>
          <cell r="P5865" t="str">
            <v>STC4011B</v>
          </cell>
          <cell r="Q5865" t="str">
            <v>磁性位置传感器</v>
          </cell>
        </row>
        <row r="5866">
          <cell r="O5866" t="str">
            <v>G01</v>
          </cell>
          <cell r="P5866" t="str">
            <v>STC4011B</v>
          </cell>
          <cell r="Q5866" t="str">
            <v>磁性位置传感器</v>
          </cell>
        </row>
        <row r="5867">
          <cell r="O5867" t="str">
            <v>281</v>
          </cell>
          <cell r="P5867" t="str">
            <v>STC4011B</v>
          </cell>
          <cell r="Q5867" t="str">
            <v>磁性位置传感器</v>
          </cell>
        </row>
        <row r="5868">
          <cell r="O5868" t="str">
            <v>SC1245UA</v>
          </cell>
          <cell r="P5868" t="str">
            <v>STC1898AD</v>
          </cell>
          <cell r="Q5868" t="str">
            <v>磁性位置传感器</v>
          </cell>
        </row>
        <row r="5869">
          <cell r="O5869" t="str">
            <v>SC1245UA</v>
          </cell>
          <cell r="P5869" t="str">
            <v>STC1898AD</v>
          </cell>
          <cell r="Q5869" t="str">
            <v>磁性位置传感器</v>
          </cell>
        </row>
        <row r="5870">
          <cell r="O5870" t="str">
            <v>SC2402UA</v>
          </cell>
          <cell r="P5870" t="str">
            <v>STC9902J</v>
          </cell>
          <cell r="Q5870" t="str">
            <v>磁性位置传感器</v>
          </cell>
        </row>
        <row r="5871">
          <cell r="O5871" t="str">
            <v>SC2402UA</v>
          </cell>
          <cell r="P5871" t="str">
            <v>STC9902J</v>
          </cell>
          <cell r="Q5871" t="str">
            <v>磁性位置传感器</v>
          </cell>
        </row>
        <row r="5872">
          <cell r="O5872" t="str">
            <v>SC2442UA</v>
          </cell>
          <cell r="P5872" t="str">
            <v>STC9906P</v>
          </cell>
          <cell r="Q5872" t="str">
            <v>磁性位置传感器</v>
          </cell>
        </row>
        <row r="5873">
          <cell r="O5873" t="str">
            <v>SC9648TS-P</v>
          </cell>
          <cell r="P5873" t="str">
            <v>STC9A001I</v>
          </cell>
          <cell r="Q5873" t="str">
            <v>速度传感器</v>
          </cell>
        </row>
        <row r="5874">
          <cell r="O5874" t="str">
            <v>SC9641TS-P</v>
          </cell>
          <cell r="P5874" t="str">
            <v>STC9A001I</v>
          </cell>
          <cell r="Q5874" t="str">
            <v>速度传感器</v>
          </cell>
        </row>
        <row r="5875">
          <cell r="O5875" t="str">
            <v>SC9648TS-P</v>
          </cell>
          <cell r="P5875" t="str">
            <v>STC9A001I</v>
          </cell>
          <cell r="Q5875" t="str">
            <v>速度传感器</v>
          </cell>
        </row>
        <row r="5876">
          <cell r="O5876" t="str">
            <v>SC2436SO</v>
          </cell>
          <cell r="P5876" t="str">
            <v>STC9906I</v>
          </cell>
          <cell r="Q5876" t="str">
            <v>磁性位置传感器</v>
          </cell>
        </row>
        <row r="5877">
          <cell r="O5877" t="str">
            <v>SC2436SO</v>
          </cell>
          <cell r="P5877" t="str">
            <v>STC9906I</v>
          </cell>
          <cell r="Q5877" t="str">
            <v>磁性位置传感器</v>
          </cell>
        </row>
        <row r="5878">
          <cell r="O5878" t="str">
            <v>SC2432SO-N</v>
          </cell>
          <cell r="P5878" t="str">
            <v>STC9906I</v>
          </cell>
          <cell r="Q5878" t="str">
            <v>磁性位置传感器</v>
          </cell>
        </row>
        <row r="5879">
          <cell r="O5879" t="str">
            <v>SC9648TS-P</v>
          </cell>
          <cell r="P5879" t="str">
            <v>STC9A001I</v>
          </cell>
          <cell r="Q5879" t="str">
            <v>速度传感器</v>
          </cell>
        </row>
        <row r="5880">
          <cell r="O5880" t="str">
            <v>SC9648TS-P</v>
          </cell>
          <cell r="P5880" t="str">
            <v>STC9A001I</v>
          </cell>
          <cell r="Q5880" t="str">
            <v>速度传感器</v>
          </cell>
        </row>
        <row r="5881">
          <cell r="O5881" t="str">
            <v>SC9648TS-P</v>
          </cell>
          <cell r="P5881" t="str">
            <v>STC9A001I</v>
          </cell>
          <cell r="Q5881" t="str">
            <v>速度传感器</v>
          </cell>
        </row>
        <row r="5882">
          <cell r="O5882" t="str">
            <v>SC9648TS-P</v>
          </cell>
          <cell r="P5882" t="str">
            <v>STC9A001I</v>
          </cell>
          <cell r="Q5882" t="str">
            <v>速度传感器</v>
          </cell>
        </row>
        <row r="5883">
          <cell r="O5883" t="str">
            <v>SC9641TS-P</v>
          </cell>
          <cell r="P5883" t="str">
            <v>STC9A001I</v>
          </cell>
          <cell r="Q5883" t="str">
            <v>速度传感器</v>
          </cell>
        </row>
        <row r="5884">
          <cell r="O5884" t="str">
            <v>SC9648TS-P</v>
          </cell>
          <cell r="P5884" t="str">
            <v>STC9A001I</v>
          </cell>
          <cell r="Q5884" t="str">
            <v>速度传感器</v>
          </cell>
        </row>
        <row r="5885">
          <cell r="O5885" t="str">
            <v>SC9648TS-P</v>
          </cell>
          <cell r="P5885" t="str">
            <v>STC9A001I</v>
          </cell>
          <cell r="Q5885" t="str">
            <v>速度传感器</v>
          </cell>
        </row>
        <row r="5886">
          <cell r="O5886" t="str">
            <v>SC9642TS-E</v>
          </cell>
          <cell r="P5886" t="str">
            <v>STC9A001H</v>
          </cell>
          <cell r="Q5886" t="str">
            <v>速度传感器</v>
          </cell>
        </row>
        <row r="5887">
          <cell r="O5887" t="str">
            <v>SC4688DC</v>
          </cell>
          <cell r="P5887" t="str">
            <v>STC9D01C</v>
          </cell>
          <cell r="Q5887" t="str">
            <v>角度传感器</v>
          </cell>
        </row>
        <row r="5888">
          <cell r="O5888" t="str">
            <v>SC1134SO-N</v>
          </cell>
          <cell r="P5888" t="str">
            <v>STC1898AI</v>
          </cell>
          <cell r="Q5888" t="str">
            <v>磁性位置传感器</v>
          </cell>
        </row>
        <row r="5889">
          <cell r="O5889" t="str">
            <v>SC2448UA-N</v>
          </cell>
          <cell r="P5889" t="str">
            <v>STC9906S</v>
          </cell>
          <cell r="Q5889" t="str">
            <v>磁性位置传感器</v>
          </cell>
        </row>
        <row r="5890">
          <cell r="O5890" t="str">
            <v>SC1245UA</v>
          </cell>
          <cell r="P5890" t="str">
            <v>STC1898AD</v>
          </cell>
          <cell r="Q5890" t="str">
            <v>磁性位置传感器</v>
          </cell>
        </row>
        <row r="5891">
          <cell r="O5891" t="str">
            <v>SC1245UA</v>
          </cell>
          <cell r="P5891" t="str">
            <v>STC1898AD</v>
          </cell>
          <cell r="Q5891" t="str">
            <v>磁性位置传感器</v>
          </cell>
        </row>
        <row r="5892">
          <cell r="O5892" t="str">
            <v>SC1134B1</v>
          </cell>
          <cell r="P5892" t="str">
            <v>STC1898AI</v>
          </cell>
          <cell r="Q5892" t="str">
            <v>磁性位置传感器</v>
          </cell>
        </row>
        <row r="5893">
          <cell r="O5893" t="str">
            <v>SC1134B1</v>
          </cell>
          <cell r="P5893" t="str">
            <v>STC1898AI</v>
          </cell>
          <cell r="Q5893" t="str">
            <v>磁性位置传感器</v>
          </cell>
        </row>
        <row r="5894">
          <cell r="O5894" t="str">
            <v>SC1134B1</v>
          </cell>
          <cell r="P5894" t="str">
            <v>STC1898AI</v>
          </cell>
          <cell r="Q5894" t="str">
            <v>磁性位置传感器</v>
          </cell>
        </row>
        <row r="5895">
          <cell r="O5895" t="str">
            <v>SC1134B1</v>
          </cell>
          <cell r="P5895" t="str">
            <v>STC1898AI</v>
          </cell>
          <cell r="Q5895" t="str">
            <v>磁性位置传感器</v>
          </cell>
        </row>
        <row r="5896">
          <cell r="O5896" t="str">
            <v>SC1134B1</v>
          </cell>
          <cell r="P5896" t="str">
            <v>STC1898AI</v>
          </cell>
          <cell r="Q5896" t="str">
            <v>磁性位置传感器</v>
          </cell>
        </row>
        <row r="5897">
          <cell r="O5897" t="str">
            <v>SC1134B1</v>
          </cell>
          <cell r="P5897" t="str">
            <v>STC1898AI</v>
          </cell>
          <cell r="Q5897" t="str">
            <v>磁性位置传感器</v>
          </cell>
        </row>
        <row r="5898">
          <cell r="O5898" t="str">
            <v>SC1134B1</v>
          </cell>
          <cell r="P5898" t="str">
            <v>STC1898AI</v>
          </cell>
          <cell r="Q5898" t="str">
            <v>磁性位置传感器</v>
          </cell>
        </row>
        <row r="5899">
          <cell r="O5899" t="str">
            <v>SC1134B1</v>
          </cell>
          <cell r="P5899" t="str">
            <v>STC1898AI</v>
          </cell>
          <cell r="Q5899" t="str">
            <v>磁性位置传感器</v>
          </cell>
        </row>
        <row r="5900">
          <cell r="O5900" t="str">
            <v>SC1445B2</v>
          </cell>
          <cell r="P5900" t="str">
            <v>STC2899AB</v>
          </cell>
          <cell r="Q5900" t="str">
            <v>磁性位置传感器</v>
          </cell>
        </row>
        <row r="5901">
          <cell r="O5901" t="str">
            <v>SC1445A1</v>
          </cell>
          <cell r="P5901" t="str">
            <v>STC2899AB</v>
          </cell>
          <cell r="Q5901" t="str">
            <v>磁性位置传感器</v>
          </cell>
        </row>
        <row r="5902">
          <cell r="O5902" t="str">
            <v>SC1445B2</v>
          </cell>
          <cell r="P5902" t="str">
            <v>STC2899AB</v>
          </cell>
          <cell r="Q5902" t="str">
            <v>磁性位置传感器</v>
          </cell>
        </row>
        <row r="5903">
          <cell r="O5903" t="str">
            <v>SC1445B2</v>
          </cell>
          <cell r="P5903" t="str">
            <v>STC2899AB</v>
          </cell>
          <cell r="Q5903" t="str">
            <v>磁性位置传感器</v>
          </cell>
        </row>
        <row r="5904">
          <cell r="O5904" t="str">
            <v>SC1445B2</v>
          </cell>
          <cell r="P5904" t="str">
            <v>STC2899AB</v>
          </cell>
          <cell r="Q5904" t="str">
            <v>磁性位置传感器</v>
          </cell>
        </row>
        <row r="5905">
          <cell r="O5905" t="str">
            <v>SC1445B2</v>
          </cell>
          <cell r="P5905" t="str">
            <v>STC2899AB</v>
          </cell>
          <cell r="Q5905" t="str">
            <v>磁性位置传感器</v>
          </cell>
        </row>
        <row r="5906">
          <cell r="O5906" t="str">
            <v>SC1445B2</v>
          </cell>
          <cell r="P5906" t="str">
            <v>STC2899AB</v>
          </cell>
          <cell r="Q5906" t="str">
            <v>磁性位置传感器</v>
          </cell>
        </row>
        <row r="5907">
          <cell r="O5907" t="str">
            <v>SC1445B2</v>
          </cell>
          <cell r="P5907" t="str">
            <v>STC2899AB</v>
          </cell>
          <cell r="Q5907" t="str">
            <v>磁性位置传感器</v>
          </cell>
        </row>
        <row r="5908">
          <cell r="O5908" t="str">
            <v>SC1445B2</v>
          </cell>
          <cell r="P5908" t="str">
            <v>STC2899AB</v>
          </cell>
          <cell r="Q5908" t="str">
            <v>磁性位置传感器</v>
          </cell>
        </row>
        <row r="5909">
          <cell r="O5909" t="str">
            <v>SC1445B2</v>
          </cell>
          <cell r="P5909" t="str">
            <v>STC2899AB</v>
          </cell>
          <cell r="Q5909" t="str">
            <v>磁性位置传感器</v>
          </cell>
        </row>
        <row r="5910">
          <cell r="O5910" t="str">
            <v>SC4695DC</v>
          </cell>
          <cell r="P5910" t="str">
            <v>STC9D01C</v>
          </cell>
          <cell r="Q5910" t="str">
            <v>角度传感器</v>
          </cell>
        </row>
        <row r="5911">
          <cell r="O5911" t="str">
            <v>SC4695DC</v>
          </cell>
          <cell r="P5911" t="str">
            <v>STC9D01C</v>
          </cell>
          <cell r="Q5911" t="str">
            <v>角度传感器</v>
          </cell>
        </row>
        <row r="5912">
          <cell r="O5912" t="str">
            <v>SC4695DC</v>
          </cell>
          <cell r="P5912" t="str">
            <v>STC9D01C</v>
          </cell>
          <cell r="Q5912" t="str">
            <v>角度传感器</v>
          </cell>
        </row>
        <row r="5913">
          <cell r="O5913" t="str">
            <v>SC4695DC</v>
          </cell>
          <cell r="P5913" t="str">
            <v>STC9D01C</v>
          </cell>
          <cell r="Q5913" t="str">
            <v>角度传感器</v>
          </cell>
        </row>
        <row r="5914">
          <cell r="O5914" t="str">
            <v>SC4695DC</v>
          </cell>
          <cell r="P5914" t="str">
            <v>STC9D01C</v>
          </cell>
          <cell r="Q5914" t="str">
            <v>角度传感器</v>
          </cell>
        </row>
        <row r="5915">
          <cell r="O5915" t="str">
            <v>SC4695DC</v>
          </cell>
          <cell r="P5915" t="str">
            <v>STC9D01C</v>
          </cell>
          <cell r="Q5915" t="str">
            <v>角度传感器</v>
          </cell>
        </row>
        <row r="5916">
          <cell r="O5916" t="str">
            <v>49E</v>
          </cell>
          <cell r="P5916" t="str">
            <v>STC4011B</v>
          </cell>
          <cell r="Q5916" t="str">
            <v>磁性位置传感器</v>
          </cell>
        </row>
        <row r="5917">
          <cell r="O5917" t="str">
            <v>SC9648TS-P</v>
          </cell>
          <cell r="P5917" t="str">
            <v>STC9A001I</v>
          </cell>
          <cell r="Q5917" t="str">
            <v>速度传感器</v>
          </cell>
        </row>
        <row r="5918">
          <cell r="O5918" t="str">
            <v>SC1133UA</v>
          </cell>
          <cell r="P5918" t="str">
            <v>STC1898AJ</v>
          </cell>
          <cell r="Q5918" t="str">
            <v>磁性位置传感器</v>
          </cell>
        </row>
        <row r="5919">
          <cell r="O5919" t="str">
            <v>SC9642TS</v>
          </cell>
          <cell r="P5919" t="str">
            <v>STC9A001G</v>
          </cell>
          <cell r="Q5919" t="str">
            <v>速度传感器</v>
          </cell>
        </row>
        <row r="5920">
          <cell r="O5920" t="str">
            <v>SC9642TS</v>
          </cell>
          <cell r="P5920" t="str">
            <v>STC9A001G</v>
          </cell>
          <cell r="Q5920" t="str">
            <v>速度传感器</v>
          </cell>
        </row>
        <row r="5921">
          <cell r="O5921" t="str">
            <v>SC9642TS</v>
          </cell>
          <cell r="P5921" t="str">
            <v>STC9A001G</v>
          </cell>
          <cell r="Q5921" t="str">
            <v>速度传感器</v>
          </cell>
        </row>
        <row r="5922">
          <cell r="O5922" t="str">
            <v>SC9642TS</v>
          </cell>
          <cell r="P5922" t="str">
            <v>STC9A001G</v>
          </cell>
          <cell r="Q5922" t="str">
            <v>速度传感器</v>
          </cell>
        </row>
        <row r="5923">
          <cell r="O5923" t="str">
            <v>SC1134SO-N</v>
          </cell>
          <cell r="P5923" t="str">
            <v>STC1898AI</v>
          </cell>
          <cell r="Q5923" t="str">
            <v>磁性位置传感器</v>
          </cell>
        </row>
        <row r="5924">
          <cell r="O5924" t="str">
            <v>SC60221-D-400</v>
          </cell>
          <cell r="P5924" t="str">
            <v>STC9D04C</v>
          </cell>
          <cell r="Q5924" t="str">
            <v>电机编码器</v>
          </cell>
        </row>
        <row r="5925">
          <cell r="O5925" t="str">
            <v>SC60224-D-200</v>
          </cell>
          <cell r="P5925" t="str">
            <v>STC9D04C</v>
          </cell>
          <cell r="Q5925" t="str">
            <v>电机编码器</v>
          </cell>
        </row>
        <row r="5926">
          <cell r="O5926" t="str">
            <v>G01</v>
          </cell>
          <cell r="P5926" t="str">
            <v>STC4011B</v>
          </cell>
          <cell r="Q5926" t="str">
            <v>磁性位置传感器</v>
          </cell>
        </row>
        <row r="5927">
          <cell r="O5927" t="str">
            <v>G01</v>
          </cell>
          <cell r="P5927" t="str">
            <v>STC4011B</v>
          </cell>
          <cell r="Q5927" t="str">
            <v>磁性位置传感器</v>
          </cell>
        </row>
        <row r="5928">
          <cell r="O5928" t="str">
            <v>SD2276</v>
          </cell>
          <cell r="P5928" t="str">
            <v>FD1014A</v>
          </cell>
          <cell r="Q5928" t="str">
            <v>电机驱动</v>
          </cell>
        </row>
        <row r="5929">
          <cell r="O5929" t="str">
            <v>G01</v>
          </cell>
          <cell r="P5929" t="str">
            <v>STC4011B</v>
          </cell>
          <cell r="Q5929" t="str">
            <v>磁性位置传感器</v>
          </cell>
        </row>
        <row r="5930">
          <cell r="O5930" t="str">
            <v>G01</v>
          </cell>
          <cell r="P5930" t="str">
            <v>STC4011B</v>
          </cell>
          <cell r="Q5930" t="str">
            <v>磁性位置传感器</v>
          </cell>
        </row>
        <row r="5931">
          <cell r="O5931" t="str">
            <v>G01</v>
          </cell>
          <cell r="P5931" t="str">
            <v>STC4011B</v>
          </cell>
          <cell r="Q5931" t="str">
            <v>磁性位置传感器</v>
          </cell>
        </row>
        <row r="5932">
          <cell r="O5932" t="str">
            <v>ATK-E512</v>
          </cell>
          <cell r="P5932" t="str">
            <v>STC4011B</v>
          </cell>
          <cell r="Q5932" t="str">
            <v>磁性位置传感器</v>
          </cell>
        </row>
        <row r="5933">
          <cell r="O5933" t="str">
            <v>ATK-E512</v>
          </cell>
          <cell r="P5933" t="str">
            <v>STC4011B</v>
          </cell>
          <cell r="Q5933" t="str">
            <v>磁性位置传感器</v>
          </cell>
        </row>
        <row r="5934">
          <cell r="O5934" t="str">
            <v>ATK-E512</v>
          </cell>
          <cell r="P5934" t="str">
            <v>STC4011B</v>
          </cell>
          <cell r="Q5934" t="str">
            <v>磁性位置传感器</v>
          </cell>
        </row>
        <row r="5935">
          <cell r="O5935" t="str">
            <v>ATK-E512</v>
          </cell>
          <cell r="P5935" t="str">
            <v>STC4011B</v>
          </cell>
          <cell r="Q5935" t="str">
            <v>磁性位置传感器</v>
          </cell>
        </row>
        <row r="5936">
          <cell r="O5936" t="str">
            <v>ATK-E512</v>
          </cell>
          <cell r="P5936" t="str">
            <v>STC4011B</v>
          </cell>
          <cell r="Q5936" t="str">
            <v>磁性位置传感器</v>
          </cell>
        </row>
        <row r="5937">
          <cell r="O5937" t="str">
            <v>G01</v>
          </cell>
          <cell r="P5937" t="str">
            <v>STC4011B</v>
          </cell>
          <cell r="Q5937" t="str">
            <v>磁性位置传感器</v>
          </cell>
        </row>
        <row r="5938">
          <cell r="O5938" t="str">
            <v>SC4688SA</v>
          </cell>
          <cell r="P5938" t="str">
            <v>STC9D01C</v>
          </cell>
          <cell r="Q5938" t="str">
            <v>角度传感器</v>
          </cell>
        </row>
        <row r="5939">
          <cell r="O5939" t="str">
            <v>SC4688SA</v>
          </cell>
          <cell r="P5939" t="str">
            <v>STC9D01C</v>
          </cell>
          <cell r="Q5939" t="str">
            <v>角度传感器</v>
          </cell>
        </row>
        <row r="5940">
          <cell r="O5940" t="str">
            <v>SC2438UA</v>
          </cell>
          <cell r="P5940" t="str">
            <v>STC9906I</v>
          </cell>
          <cell r="Q5940" t="str">
            <v>磁性位置传感器</v>
          </cell>
        </row>
        <row r="5941">
          <cell r="O5941" t="str">
            <v>SC2448SO</v>
          </cell>
          <cell r="P5941" t="str">
            <v>STC9906S</v>
          </cell>
          <cell r="Q5941" t="str">
            <v>磁性位置传感器</v>
          </cell>
        </row>
        <row r="5942">
          <cell r="O5942" t="str">
            <v>SC2434SO-N</v>
          </cell>
          <cell r="P5942" t="str">
            <v>STC9906I</v>
          </cell>
          <cell r="Q5942" t="str">
            <v>磁性位置传感器</v>
          </cell>
        </row>
        <row r="5943">
          <cell r="O5943" t="str">
            <v>SC2434SO-N</v>
          </cell>
          <cell r="P5943" t="str">
            <v>STC9906I</v>
          </cell>
          <cell r="Q5943" t="str">
            <v>磁性位置传感器</v>
          </cell>
        </row>
        <row r="5944">
          <cell r="O5944" t="str">
            <v>SC2434SO-N</v>
          </cell>
          <cell r="P5944" t="str">
            <v>STC9906I</v>
          </cell>
          <cell r="Q5944" t="str">
            <v>磁性位置传感器</v>
          </cell>
        </row>
        <row r="5945">
          <cell r="O5945" t="str">
            <v>SC2434SO-N</v>
          </cell>
          <cell r="P5945" t="str">
            <v>STC9906I</v>
          </cell>
          <cell r="Q5945" t="str">
            <v>磁性位置传感器</v>
          </cell>
        </row>
        <row r="5946">
          <cell r="O5946" t="str">
            <v>SC2434SO-N</v>
          </cell>
          <cell r="P5946" t="str">
            <v>STC9906I</v>
          </cell>
          <cell r="Q5946" t="str">
            <v>磁性位置传感器</v>
          </cell>
        </row>
        <row r="5947">
          <cell r="O5947" t="str">
            <v>SC2434SO-N</v>
          </cell>
          <cell r="P5947" t="str">
            <v>STC9906I</v>
          </cell>
          <cell r="Q5947" t="str">
            <v>磁性位置传感器</v>
          </cell>
        </row>
        <row r="5948">
          <cell r="O5948" t="str">
            <v>SC2242SO</v>
          </cell>
          <cell r="P5948" t="str">
            <v>STC9906H</v>
          </cell>
          <cell r="Q5948" t="str">
            <v>磁性位置传感器</v>
          </cell>
        </row>
        <row r="5949">
          <cell r="O5949" t="str">
            <v>SC2242SO</v>
          </cell>
          <cell r="P5949" t="str">
            <v>STC9906H</v>
          </cell>
          <cell r="Q5949" t="str">
            <v>磁性位置传感器</v>
          </cell>
        </row>
        <row r="5950">
          <cell r="O5950" t="str">
            <v>SC2402UA</v>
          </cell>
          <cell r="P5950" t="str">
            <v>STC9G002B</v>
          </cell>
          <cell r="Q5950" t="str">
            <v>磁性位置传感器</v>
          </cell>
        </row>
        <row r="5951">
          <cell r="O5951" t="str">
            <v>SC2402UA</v>
          </cell>
          <cell r="P5951" t="str">
            <v>STC9G002B</v>
          </cell>
          <cell r="Q5951" t="str">
            <v>磁性位置传感器</v>
          </cell>
        </row>
        <row r="5952">
          <cell r="O5952" t="str">
            <v>SC2402UA</v>
          </cell>
          <cell r="P5952" t="str">
            <v>STC9G002B</v>
          </cell>
          <cell r="Q5952" t="str">
            <v>磁性位置传感器</v>
          </cell>
        </row>
        <row r="5953">
          <cell r="O5953" t="str">
            <v>SC2402UA</v>
          </cell>
          <cell r="P5953" t="str">
            <v>STC9G002B</v>
          </cell>
          <cell r="Q5953" t="str">
            <v>磁性位置传感器</v>
          </cell>
        </row>
        <row r="5954">
          <cell r="O5954" t="str">
            <v>SC2464SO</v>
          </cell>
          <cell r="P5954" t="str">
            <v>STC9906J</v>
          </cell>
          <cell r="Q5954" t="str">
            <v>磁性位置传感器</v>
          </cell>
        </row>
        <row r="5955">
          <cell r="O5955" t="str">
            <v>ATK-E512</v>
          </cell>
          <cell r="P5955" t="str">
            <v>STC4011B</v>
          </cell>
          <cell r="Q5955" t="str">
            <v>磁性位置传感器</v>
          </cell>
        </row>
        <row r="5956">
          <cell r="O5956" t="str">
            <v>ATK-E512</v>
          </cell>
          <cell r="P5956" t="str">
            <v>STC4011B</v>
          </cell>
          <cell r="Q5956" t="str">
            <v>磁性位置传感器</v>
          </cell>
        </row>
        <row r="5957">
          <cell r="O5957" t="str">
            <v>ATK-E512</v>
          </cell>
          <cell r="P5957" t="str">
            <v>STC4011B</v>
          </cell>
          <cell r="Q5957" t="str">
            <v>磁性位置传感器</v>
          </cell>
        </row>
        <row r="5958">
          <cell r="O5958" t="str">
            <v>ATK-E512</v>
          </cell>
          <cell r="P5958" t="str">
            <v>STC4011B</v>
          </cell>
          <cell r="Q5958" t="str">
            <v>磁性位置传感器</v>
          </cell>
        </row>
        <row r="5959">
          <cell r="O5959" t="str">
            <v>ATK-E512</v>
          </cell>
          <cell r="P5959" t="str">
            <v>STC4011B</v>
          </cell>
          <cell r="Q5959" t="str">
            <v>磁性位置传感器</v>
          </cell>
        </row>
        <row r="5960">
          <cell r="O5960" t="str">
            <v>ATK-E512</v>
          </cell>
          <cell r="P5960" t="str">
            <v>STC4011B</v>
          </cell>
          <cell r="Q5960" t="str">
            <v>磁性位置传感器</v>
          </cell>
        </row>
        <row r="5961">
          <cell r="O5961" t="str">
            <v>ATK-E512</v>
          </cell>
          <cell r="P5961" t="str">
            <v>STC4011B</v>
          </cell>
          <cell r="Q5961" t="str">
            <v>磁性位置传感器</v>
          </cell>
        </row>
        <row r="5962">
          <cell r="O5962" t="str">
            <v>G01</v>
          </cell>
          <cell r="P5962" t="str">
            <v>STC4011B</v>
          </cell>
          <cell r="Q5962" t="str">
            <v>磁性位置传感器</v>
          </cell>
        </row>
        <row r="5963">
          <cell r="O5963" t="str">
            <v>G01</v>
          </cell>
          <cell r="P5963" t="str">
            <v>STC4011B</v>
          </cell>
          <cell r="Q5963" t="str">
            <v>磁性位置传感器</v>
          </cell>
        </row>
        <row r="5964">
          <cell r="O5964" t="str">
            <v>G01</v>
          </cell>
          <cell r="P5964" t="str">
            <v>STC4011B</v>
          </cell>
          <cell r="Q5964" t="str">
            <v>磁性位置传感器</v>
          </cell>
        </row>
        <row r="5965">
          <cell r="O5965" t="str">
            <v>G01</v>
          </cell>
          <cell r="P5965" t="str">
            <v>STC4011B</v>
          </cell>
          <cell r="Q5965" t="str">
            <v>磁性位置传感器</v>
          </cell>
        </row>
        <row r="5966">
          <cell r="O5966" t="str">
            <v>ATK-E512</v>
          </cell>
          <cell r="P5966" t="str">
            <v>STC4011B</v>
          </cell>
          <cell r="Q5966" t="str">
            <v>磁性位置传感器</v>
          </cell>
        </row>
        <row r="5967">
          <cell r="O5967" t="str">
            <v>G01</v>
          </cell>
          <cell r="P5967" t="str">
            <v>STC4011B</v>
          </cell>
          <cell r="Q5967" t="str">
            <v>磁性位置传感器</v>
          </cell>
        </row>
        <row r="5968">
          <cell r="O5968" t="str">
            <v>SC1245SO-N</v>
          </cell>
          <cell r="P5968" t="str">
            <v>STC1898AD</v>
          </cell>
          <cell r="Q5968" t="str">
            <v>磁性位置传感器</v>
          </cell>
        </row>
        <row r="5969">
          <cell r="O5969" t="str">
            <v>SC1245UA</v>
          </cell>
          <cell r="P5969" t="str">
            <v>STC1898AD</v>
          </cell>
          <cell r="Q5969" t="str">
            <v>磁性位置传感器</v>
          </cell>
        </row>
        <row r="5970">
          <cell r="O5970" t="str">
            <v>SC2402SO-N-H</v>
          </cell>
          <cell r="P5970" t="str">
            <v>STC9H001A</v>
          </cell>
          <cell r="Q5970" t="str">
            <v>磁性位置传感器</v>
          </cell>
        </row>
        <row r="5971">
          <cell r="O5971" t="str">
            <v>SC2402SO-N-H</v>
          </cell>
          <cell r="P5971" t="str">
            <v>STC9H001A</v>
          </cell>
          <cell r="Q5971" t="str">
            <v>磁性位置传感器</v>
          </cell>
        </row>
        <row r="5972">
          <cell r="O5972" t="str">
            <v>SC2402SO-N-H</v>
          </cell>
          <cell r="P5972" t="str">
            <v>STC9H001A</v>
          </cell>
          <cell r="Q5972" t="str">
            <v>磁性位置传感器</v>
          </cell>
        </row>
        <row r="5973">
          <cell r="O5973" t="str">
            <v>281</v>
          </cell>
          <cell r="P5973" t="str">
            <v>STC4011B</v>
          </cell>
          <cell r="Q5973" t="str">
            <v>磁性位置传感器</v>
          </cell>
        </row>
        <row r="5974">
          <cell r="O5974" t="str">
            <v>SC2462UA</v>
          </cell>
          <cell r="P5974" t="str">
            <v>STC9906J</v>
          </cell>
          <cell r="Q5974" t="str">
            <v>磁性位置传感器</v>
          </cell>
        </row>
        <row r="5975">
          <cell r="O5975" t="str">
            <v>SC4689SA</v>
          </cell>
          <cell r="P5975" t="str">
            <v>STC9D01F</v>
          </cell>
          <cell r="Q5975" t="str">
            <v>角度传感器</v>
          </cell>
        </row>
        <row r="5976">
          <cell r="O5976" t="str">
            <v>SC4689SA</v>
          </cell>
          <cell r="P5976" t="str">
            <v>STC9D01F</v>
          </cell>
          <cell r="Q5976" t="str">
            <v>角度传感器</v>
          </cell>
        </row>
        <row r="5977">
          <cell r="O5977" t="str">
            <v>SC9648TS-P</v>
          </cell>
          <cell r="P5977" t="str">
            <v>STC9A001I</v>
          </cell>
          <cell r="Q5977" t="str">
            <v>速度传感器</v>
          </cell>
        </row>
        <row r="5978">
          <cell r="O5978" t="str">
            <v>SC9641TS-P</v>
          </cell>
          <cell r="P5978" t="str">
            <v>STC9A001I</v>
          </cell>
          <cell r="Q5978" t="str">
            <v>速度传感器</v>
          </cell>
        </row>
        <row r="5979">
          <cell r="O5979" t="str">
            <v>SC9648TS-P</v>
          </cell>
          <cell r="P5979" t="str">
            <v>STC9A001I</v>
          </cell>
          <cell r="Q5979" t="str">
            <v>速度传感器</v>
          </cell>
        </row>
        <row r="5980">
          <cell r="O5980" t="str">
            <v>SC2443UA</v>
          </cell>
          <cell r="P5980" t="str">
            <v>STC9906W</v>
          </cell>
          <cell r="Q5980" t="str">
            <v>磁性位置传感器</v>
          </cell>
        </row>
        <row r="5981">
          <cell r="O5981" t="str">
            <v>SC2443UA</v>
          </cell>
          <cell r="P5981" t="str">
            <v>STC9906W</v>
          </cell>
          <cell r="Q5981" t="str">
            <v>磁性位置传感器</v>
          </cell>
        </row>
        <row r="5982">
          <cell r="O5982" t="str">
            <v>SC2443UA</v>
          </cell>
          <cell r="P5982" t="str">
            <v>STC9906W</v>
          </cell>
          <cell r="Q5982" t="str">
            <v>磁性位置传感器</v>
          </cell>
        </row>
        <row r="5983">
          <cell r="O5983" t="str">
            <v>SC2443UA</v>
          </cell>
          <cell r="P5983" t="str">
            <v>STC9906W</v>
          </cell>
          <cell r="Q5983" t="str">
            <v>磁性位置传感器</v>
          </cell>
        </row>
        <row r="5984">
          <cell r="O5984" t="str">
            <v>SC2443SO</v>
          </cell>
          <cell r="P5984" t="str">
            <v>STC9906T</v>
          </cell>
          <cell r="Q5984" t="str">
            <v>磁性位置传感器</v>
          </cell>
        </row>
        <row r="5985">
          <cell r="O5985" t="str">
            <v>SC2448UA-N</v>
          </cell>
          <cell r="P5985" t="str">
            <v>STC9906S</v>
          </cell>
          <cell r="Q5985" t="str">
            <v>磁性位置传感器</v>
          </cell>
        </row>
        <row r="5986">
          <cell r="O5986" t="str">
            <v>SC2448UA-N</v>
          </cell>
          <cell r="P5986" t="str">
            <v>STC9906S</v>
          </cell>
          <cell r="Q5986" t="str">
            <v>磁性位置传感器</v>
          </cell>
        </row>
        <row r="5987">
          <cell r="O5987" t="str">
            <v>SC2448UA-N</v>
          </cell>
          <cell r="P5987" t="str">
            <v>STC9906S</v>
          </cell>
          <cell r="Q5987" t="str">
            <v>磁性位置传感器</v>
          </cell>
        </row>
        <row r="5988">
          <cell r="O5988" t="str">
            <v>SC1138SO-N</v>
          </cell>
          <cell r="P5988" t="str">
            <v>STC1898AC</v>
          </cell>
          <cell r="Q5988" t="str">
            <v>磁性位置传感器</v>
          </cell>
        </row>
        <row r="5989">
          <cell r="O5989" t="str">
            <v>SC1138SO-N</v>
          </cell>
          <cell r="P5989" t="str">
            <v>STC1898AC</v>
          </cell>
          <cell r="Q5989" t="str">
            <v>磁性位置传感器</v>
          </cell>
        </row>
        <row r="5990">
          <cell r="O5990" t="str">
            <v>SC1138SO-N</v>
          </cell>
          <cell r="P5990" t="str">
            <v>STC1898AC</v>
          </cell>
          <cell r="Q5990" t="str">
            <v>磁性位置传感器</v>
          </cell>
        </row>
        <row r="5991">
          <cell r="O5991" t="str">
            <v>SC1138SO-N</v>
          </cell>
          <cell r="P5991" t="str">
            <v>STC1898AC</v>
          </cell>
          <cell r="Q5991" t="str">
            <v>磁性位置传感器</v>
          </cell>
        </row>
        <row r="5992">
          <cell r="O5992" t="str">
            <v>SC1138SO-N</v>
          </cell>
          <cell r="P5992" t="str">
            <v>STC1898AC</v>
          </cell>
          <cell r="Q5992" t="str">
            <v>磁性位置传感器</v>
          </cell>
        </row>
        <row r="5993">
          <cell r="O5993" t="str">
            <v>SC1138SO-N</v>
          </cell>
          <cell r="P5993" t="str">
            <v>STC1898AC</v>
          </cell>
          <cell r="Q5993" t="str">
            <v>磁性位置传感器</v>
          </cell>
        </row>
        <row r="5994">
          <cell r="O5994" t="str">
            <v>SC1138SO-N</v>
          </cell>
          <cell r="P5994" t="str">
            <v>STC1898AC</v>
          </cell>
          <cell r="Q5994" t="str">
            <v>磁性位置传感器</v>
          </cell>
        </row>
        <row r="5995">
          <cell r="O5995" t="str">
            <v>SC1138SO-N</v>
          </cell>
          <cell r="P5995" t="str">
            <v>STC1898AC</v>
          </cell>
          <cell r="Q5995" t="str">
            <v>磁性位置传感器</v>
          </cell>
        </row>
        <row r="5996">
          <cell r="O5996" t="str">
            <v>SC1138SO-N</v>
          </cell>
          <cell r="P5996" t="str">
            <v>STC1898AC</v>
          </cell>
          <cell r="Q5996" t="str">
            <v>磁性位置传感器</v>
          </cell>
        </row>
        <row r="5997">
          <cell r="O5997" t="str">
            <v>SC1138SO-N</v>
          </cell>
          <cell r="P5997" t="str">
            <v>STC1898AC</v>
          </cell>
          <cell r="Q5997" t="str">
            <v>磁性位置传感器</v>
          </cell>
        </row>
        <row r="5998">
          <cell r="O5998" t="str">
            <v>SC1138SO-N</v>
          </cell>
          <cell r="P5998" t="str">
            <v>STC1898AC</v>
          </cell>
          <cell r="Q5998" t="str">
            <v>磁性位置传感器</v>
          </cell>
        </row>
        <row r="5999">
          <cell r="O5999" t="str">
            <v>SC4688SA</v>
          </cell>
          <cell r="P5999" t="str">
            <v>STC9D01C</v>
          </cell>
          <cell r="Q5999" t="str">
            <v>角度传感器</v>
          </cell>
        </row>
        <row r="6000">
          <cell r="O6000" t="str">
            <v>SC4688SA</v>
          </cell>
          <cell r="P6000" t="str">
            <v>STC9D01C</v>
          </cell>
          <cell r="Q6000" t="str">
            <v>角度传感器</v>
          </cell>
        </row>
        <row r="6001">
          <cell r="O6001" t="str">
            <v>SC2442SO</v>
          </cell>
          <cell r="P6001" t="str">
            <v>STC9906R</v>
          </cell>
          <cell r="Q6001" t="str">
            <v>磁性位置传感器</v>
          </cell>
        </row>
        <row r="6002">
          <cell r="O6002" t="str">
            <v>SC60370</v>
          </cell>
          <cell r="P6002" t="str">
            <v>STC9D05B</v>
          </cell>
          <cell r="Q6002" t="str">
            <v>电机编码器</v>
          </cell>
        </row>
        <row r="6003">
          <cell r="O6003" t="str">
            <v>SC243XSO-100095</v>
          </cell>
          <cell r="P6003" t="str">
            <v>STC9906M</v>
          </cell>
          <cell r="Q6003" t="str">
            <v>磁性位置传感器</v>
          </cell>
        </row>
        <row r="6004">
          <cell r="O6004" t="str">
            <v>SC1245UA</v>
          </cell>
          <cell r="P6004" t="str">
            <v>STC1898AD</v>
          </cell>
          <cell r="Q6004" t="str">
            <v>磁性位置传感器</v>
          </cell>
        </row>
        <row r="6005">
          <cell r="O6005" t="str">
            <v>SC1245UA</v>
          </cell>
          <cell r="P6005" t="str">
            <v>STC1898AD</v>
          </cell>
          <cell r="Q6005" t="str">
            <v>磁性位置传感器</v>
          </cell>
        </row>
        <row r="6006">
          <cell r="O6006" t="str">
            <v>SC1245UA</v>
          </cell>
          <cell r="P6006" t="str">
            <v>STC1898AD</v>
          </cell>
          <cell r="Q6006" t="str">
            <v>磁性位置传感器</v>
          </cell>
        </row>
        <row r="6007">
          <cell r="O6007" t="str">
            <v>SC2448SO</v>
          </cell>
          <cell r="P6007" t="str">
            <v>STC9906S</v>
          </cell>
          <cell r="Q6007" t="str">
            <v>磁性位置传感器</v>
          </cell>
        </row>
        <row r="6008">
          <cell r="O6008" t="str">
            <v>SC9641TS-PC</v>
          </cell>
          <cell r="P6008" t="str">
            <v>STC9A001I</v>
          </cell>
          <cell r="Q6008" t="str">
            <v>速度传感器</v>
          </cell>
        </row>
        <row r="6009">
          <cell r="O6009" t="str">
            <v>SC9641TS</v>
          </cell>
          <cell r="P6009" t="str">
            <v>STC9910BN</v>
          </cell>
          <cell r="Q6009" t="str">
            <v>速度传感器</v>
          </cell>
        </row>
        <row r="6010">
          <cell r="O6010" t="str">
            <v>SC9641TS</v>
          </cell>
          <cell r="P6010" t="str">
            <v>STC9910BN</v>
          </cell>
          <cell r="Q6010" t="str">
            <v>速度传感器</v>
          </cell>
        </row>
        <row r="6011">
          <cell r="O6011" t="str">
            <v>SC9641TS</v>
          </cell>
          <cell r="P6011" t="str">
            <v>STC9910BN</v>
          </cell>
          <cell r="Q6011" t="str">
            <v>速度传感器</v>
          </cell>
        </row>
        <row r="6012">
          <cell r="O6012" t="str">
            <v>SC9641TS</v>
          </cell>
          <cell r="P6012" t="str">
            <v>STC9910BN</v>
          </cell>
          <cell r="Q6012" t="str">
            <v>速度传感器</v>
          </cell>
        </row>
        <row r="6013">
          <cell r="O6013" t="str">
            <v>SC9675IM-P-HRF00</v>
          </cell>
          <cell r="P6013" t="str">
            <v>STC9A002B</v>
          </cell>
          <cell r="Q6013" t="str">
            <v>速度传感器</v>
          </cell>
        </row>
        <row r="6014">
          <cell r="O6014" t="str">
            <v>SC9675IM-P-HRF00</v>
          </cell>
          <cell r="P6014" t="str">
            <v>STC9A002B</v>
          </cell>
          <cell r="Q6014" t="str">
            <v>速度传感器</v>
          </cell>
        </row>
        <row r="6015">
          <cell r="O6015" t="str">
            <v>SC9675IM-P-HRF00</v>
          </cell>
          <cell r="P6015" t="str">
            <v>STC9A002B</v>
          </cell>
          <cell r="Q6015" t="str">
            <v>速度传感器</v>
          </cell>
        </row>
        <row r="6016">
          <cell r="O6016" t="str">
            <v>SC9675IM-P-LRF01</v>
          </cell>
          <cell r="P6016" t="str">
            <v>STC9A002B</v>
          </cell>
          <cell r="Q6016" t="str">
            <v>速度传感器</v>
          </cell>
        </row>
        <row r="6017">
          <cell r="O6017" t="str">
            <v>SC9675IM-P-LRF01</v>
          </cell>
          <cell r="P6017" t="str">
            <v>STC9A002B</v>
          </cell>
          <cell r="Q6017" t="str">
            <v>速度传感器</v>
          </cell>
        </row>
        <row r="6018">
          <cell r="O6018" t="str">
            <v>SC9675IM-P-LRF01</v>
          </cell>
          <cell r="P6018" t="str">
            <v>STC9A002B</v>
          </cell>
          <cell r="Q6018" t="str">
            <v>速度传感器</v>
          </cell>
        </row>
        <row r="6019">
          <cell r="O6019" t="str">
            <v>SC9642TS</v>
          </cell>
          <cell r="P6019" t="str">
            <v>STC9A001G</v>
          </cell>
          <cell r="Q6019" t="str">
            <v>速度传感器</v>
          </cell>
        </row>
        <row r="6020">
          <cell r="O6020" t="str">
            <v>SC1134SO-N</v>
          </cell>
          <cell r="P6020" t="str">
            <v>STC1898AI</v>
          </cell>
          <cell r="Q6020" t="str">
            <v>磁性位置传感器</v>
          </cell>
        </row>
        <row r="6021">
          <cell r="O6021" t="str">
            <v>SC1134SO-N</v>
          </cell>
          <cell r="P6021" t="str">
            <v>STC1898AI</v>
          </cell>
          <cell r="Q6021" t="str">
            <v>磁性位置传感器</v>
          </cell>
        </row>
        <row r="6022">
          <cell r="O6022" t="str">
            <v>SC1134SO-N</v>
          </cell>
          <cell r="P6022" t="str">
            <v>STC1898AI</v>
          </cell>
          <cell r="Q6022" t="str">
            <v>磁性位置传感器</v>
          </cell>
        </row>
        <row r="6023">
          <cell r="O6023" t="str">
            <v>SC9634VB</v>
          </cell>
          <cell r="P6023" t="str">
            <v>STC9905G</v>
          </cell>
          <cell r="Q6023" t="str">
            <v>速度传感器</v>
          </cell>
        </row>
        <row r="6024">
          <cell r="O6024" t="str">
            <v>SC9634VB</v>
          </cell>
          <cell r="P6024" t="str">
            <v>STC9905G</v>
          </cell>
          <cell r="Q6024" t="str">
            <v>速度传感器</v>
          </cell>
        </row>
        <row r="6025">
          <cell r="O6025" t="str">
            <v>SC60224-D-1024</v>
          </cell>
          <cell r="P6025" t="str">
            <v>STC9D04C</v>
          </cell>
          <cell r="Q6025" t="str">
            <v>电机编码器</v>
          </cell>
        </row>
        <row r="6026">
          <cell r="O6026" t="str">
            <v>SC60224-D-1024</v>
          </cell>
          <cell r="P6026" t="str">
            <v>STC9D04C</v>
          </cell>
          <cell r="Q6026" t="str">
            <v>电机编码器</v>
          </cell>
        </row>
        <row r="6027">
          <cell r="O6027" t="str">
            <v>SC60224-D-1024</v>
          </cell>
          <cell r="P6027" t="str">
            <v>STC9D04C</v>
          </cell>
          <cell r="Q6027" t="str">
            <v>电机编码器</v>
          </cell>
        </row>
        <row r="6028">
          <cell r="O6028" t="str">
            <v>SC60224-D-1024</v>
          </cell>
          <cell r="P6028" t="str">
            <v>STC9D04C</v>
          </cell>
          <cell r="Q6028" t="str">
            <v>电机编码器</v>
          </cell>
        </row>
        <row r="6029">
          <cell r="O6029" t="str">
            <v>SC4624SP50B5</v>
          </cell>
          <cell r="P6029" t="str">
            <v>STC9D06F</v>
          </cell>
          <cell r="Q6029" t="str">
            <v>电流传感器</v>
          </cell>
        </row>
        <row r="6030">
          <cell r="O6030" t="str">
            <v>SC2436UA</v>
          </cell>
          <cell r="P6030" t="str">
            <v>STC9906I</v>
          </cell>
          <cell r="Q6030" t="str">
            <v>磁性位置传感器</v>
          </cell>
        </row>
        <row r="6031">
          <cell r="O6031" t="str">
            <v>SC1002A1</v>
          </cell>
          <cell r="P6031" t="str">
            <v>STC1002AG</v>
          </cell>
          <cell r="Q6031" t="str">
            <v>磁性位置传感器</v>
          </cell>
        </row>
        <row r="6032">
          <cell r="O6032" t="str">
            <v>SC1645A1</v>
          </cell>
          <cell r="P6032" t="str">
            <v>STC2899AE</v>
          </cell>
          <cell r="Q6032" t="str">
            <v>磁性位置传感器</v>
          </cell>
        </row>
        <row r="6033">
          <cell r="O6033" t="str">
            <v>SC1645A1</v>
          </cell>
          <cell r="P6033" t="str">
            <v>STC2899AE</v>
          </cell>
          <cell r="Q6033" t="str">
            <v>磁性位置传感器</v>
          </cell>
        </row>
        <row r="6034">
          <cell r="O6034" t="str">
            <v>SC2442SO-N</v>
          </cell>
          <cell r="P6034" t="str">
            <v>STC9906P</v>
          </cell>
          <cell r="Q6034" t="str">
            <v>磁性位置传感器</v>
          </cell>
        </row>
        <row r="6035">
          <cell r="O6035" t="str">
            <v>SC2442SO-N</v>
          </cell>
          <cell r="P6035" t="str">
            <v>STC9906P</v>
          </cell>
          <cell r="Q6035" t="str">
            <v>磁性位置传感器</v>
          </cell>
        </row>
        <row r="6036">
          <cell r="O6036" t="str">
            <v>SC2242SO</v>
          </cell>
          <cell r="P6036" t="str">
            <v>STC9906H</v>
          </cell>
          <cell r="Q6036" t="str">
            <v>磁性位置传感器</v>
          </cell>
        </row>
        <row r="6037">
          <cell r="O6037" t="str">
            <v>ATK-E512</v>
          </cell>
          <cell r="P6037" t="str">
            <v>STC4011B</v>
          </cell>
          <cell r="Q6037" t="str">
            <v>磁性位置传感器</v>
          </cell>
        </row>
        <row r="6038">
          <cell r="O6038" t="str">
            <v>ATK-E512</v>
          </cell>
          <cell r="P6038" t="str">
            <v>STC4011B</v>
          </cell>
          <cell r="Q6038" t="str">
            <v>磁性位置传感器</v>
          </cell>
        </row>
        <row r="6039">
          <cell r="O6039" t="str">
            <v>ATK-E512</v>
          </cell>
          <cell r="P6039" t="str">
            <v>STC4011B</v>
          </cell>
          <cell r="Q6039" t="str">
            <v>磁性位置传感器</v>
          </cell>
        </row>
        <row r="6040">
          <cell r="O6040" t="str">
            <v>ATK-E512</v>
          </cell>
          <cell r="P6040" t="str">
            <v>STC4011B</v>
          </cell>
          <cell r="Q6040" t="str">
            <v>磁性位置传感器</v>
          </cell>
        </row>
        <row r="6041">
          <cell r="O6041" t="str">
            <v>ATK-E512</v>
          </cell>
          <cell r="P6041" t="str">
            <v>STC4011B</v>
          </cell>
          <cell r="Q6041" t="str">
            <v>磁性位置传感器</v>
          </cell>
        </row>
        <row r="6042">
          <cell r="O6042" t="str">
            <v>SC2442SO-N</v>
          </cell>
          <cell r="P6042" t="str">
            <v>STC9906P</v>
          </cell>
          <cell r="Q6042" t="str">
            <v>磁性位置传感器</v>
          </cell>
        </row>
        <row r="6043">
          <cell r="O6043" t="str">
            <v>SC2442SO-N</v>
          </cell>
          <cell r="P6043" t="str">
            <v>STC9906P</v>
          </cell>
          <cell r="Q6043" t="str">
            <v>磁性位置传感器</v>
          </cell>
        </row>
        <row r="6044">
          <cell r="O6044" t="str">
            <v>SC2402SO-N</v>
          </cell>
          <cell r="P6044" t="str">
            <v>STC9902J</v>
          </cell>
          <cell r="Q6044" t="str">
            <v>磁性位置传感器</v>
          </cell>
        </row>
        <row r="6045">
          <cell r="O6045" t="str">
            <v>SC2402SO-N</v>
          </cell>
          <cell r="P6045" t="str">
            <v>STC9902J</v>
          </cell>
          <cell r="Q6045" t="str">
            <v>磁性位置传感器</v>
          </cell>
        </row>
        <row r="6046">
          <cell r="O6046" t="str">
            <v>SC2402SO-N</v>
          </cell>
          <cell r="P6046" t="str">
            <v>STC9902J</v>
          </cell>
          <cell r="Q6046" t="str">
            <v>磁性位置传感器</v>
          </cell>
        </row>
        <row r="6047">
          <cell r="O6047" t="str">
            <v>SC2402SO-N</v>
          </cell>
          <cell r="P6047" t="str">
            <v>STC9902J</v>
          </cell>
          <cell r="Q6047" t="str">
            <v>磁性位置传感器</v>
          </cell>
        </row>
        <row r="6048">
          <cell r="O6048" t="str">
            <v>G01</v>
          </cell>
          <cell r="P6048" t="str">
            <v>STC4011B</v>
          </cell>
          <cell r="Q6048" t="str">
            <v>磁性位置传感器</v>
          </cell>
        </row>
        <row r="6049">
          <cell r="O6049" t="str">
            <v>G01</v>
          </cell>
          <cell r="P6049" t="str">
            <v>STC4011B</v>
          </cell>
          <cell r="Q6049" t="str">
            <v>磁性位置传感器</v>
          </cell>
        </row>
        <row r="6050">
          <cell r="O6050" t="str">
            <v>G01</v>
          </cell>
          <cell r="P6050" t="str">
            <v>STC4011B</v>
          </cell>
          <cell r="Q6050" t="str">
            <v>磁性位置传感器</v>
          </cell>
        </row>
        <row r="6051">
          <cell r="O6051" t="str">
            <v>G01</v>
          </cell>
          <cell r="P6051" t="str">
            <v>STC4011B</v>
          </cell>
          <cell r="Q6051" t="str">
            <v>磁性位置传感器</v>
          </cell>
        </row>
        <row r="6052">
          <cell r="O6052" t="str">
            <v>SC2442SO-N</v>
          </cell>
          <cell r="P6052" t="str">
            <v>STC9906P</v>
          </cell>
          <cell r="Q6052" t="str">
            <v>磁性位置传感器</v>
          </cell>
        </row>
        <row r="6053">
          <cell r="O6053" t="str">
            <v>SC2442SO-N</v>
          </cell>
          <cell r="P6053" t="str">
            <v>STC9906P</v>
          </cell>
          <cell r="Q6053" t="str">
            <v>磁性位置传感器</v>
          </cell>
        </row>
        <row r="6054">
          <cell r="O6054" t="str">
            <v>SC2546VB</v>
          </cell>
          <cell r="P6054" t="str">
            <v>STC9906H</v>
          </cell>
          <cell r="Q6054" t="str">
            <v>磁性位置传感器</v>
          </cell>
        </row>
        <row r="6055">
          <cell r="O6055" t="str">
            <v>SC2546VB</v>
          </cell>
          <cell r="P6055" t="str">
            <v>STC9906H</v>
          </cell>
          <cell r="Q6055" t="str">
            <v>磁性位置传感器</v>
          </cell>
        </row>
        <row r="6056">
          <cell r="O6056" t="str">
            <v>SC9641TS-P</v>
          </cell>
          <cell r="P6056" t="str">
            <v>STC9A001I</v>
          </cell>
          <cell r="Q6056" t="str">
            <v>速度传感器</v>
          </cell>
        </row>
        <row r="6057">
          <cell r="O6057" t="str">
            <v>SC9641TS-P</v>
          </cell>
          <cell r="P6057" t="str">
            <v>STC9A001I</v>
          </cell>
          <cell r="Q6057" t="str">
            <v>速度传感器</v>
          </cell>
        </row>
        <row r="6058">
          <cell r="O6058" t="str">
            <v>SC9641TS-P</v>
          </cell>
          <cell r="P6058" t="str">
            <v>STC9A001I</v>
          </cell>
          <cell r="Q6058" t="str">
            <v>速度传感器</v>
          </cell>
        </row>
        <row r="6059">
          <cell r="O6059" t="str">
            <v>SC2402SO-N-H</v>
          </cell>
          <cell r="P6059" t="str">
            <v>STC9H001A</v>
          </cell>
          <cell r="Q6059" t="str">
            <v>磁性位置传感器</v>
          </cell>
        </row>
        <row r="6060">
          <cell r="O6060" t="str">
            <v>SC9648TS-P</v>
          </cell>
          <cell r="P6060" t="str">
            <v>STC9A001I</v>
          </cell>
          <cell r="Q6060" t="str">
            <v>速度传感器</v>
          </cell>
        </row>
        <row r="6061">
          <cell r="O6061" t="str">
            <v>SC4011SO-N</v>
          </cell>
          <cell r="P6061" t="str">
            <v>STC4011B</v>
          </cell>
          <cell r="Q6061" t="str">
            <v>磁性位置传感器</v>
          </cell>
        </row>
        <row r="6062">
          <cell r="O6062" t="str">
            <v>SC9648TS-P</v>
          </cell>
          <cell r="P6062" t="str">
            <v>STC9A001I</v>
          </cell>
          <cell r="Q6062" t="str">
            <v>速度传感器</v>
          </cell>
        </row>
        <row r="6063">
          <cell r="O6063" t="str">
            <v>SC9648TS-P</v>
          </cell>
          <cell r="P6063" t="str">
            <v>STC9A001I</v>
          </cell>
          <cell r="Q6063" t="str">
            <v>速度传感器</v>
          </cell>
        </row>
        <row r="6064">
          <cell r="O6064" t="str">
            <v>SC9641TS-P</v>
          </cell>
          <cell r="P6064" t="str">
            <v>STC9A001I</v>
          </cell>
          <cell r="Q6064" t="str">
            <v>速度传感器</v>
          </cell>
        </row>
        <row r="6065">
          <cell r="O6065" t="str">
            <v>SC9641TS-P</v>
          </cell>
          <cell r="P6065" t="str">
            <v>STC9A001I</v>
          </cell>
          <cell r="Q6065" t="str">
            <v>速度传感器</v>
          </cell>
        </row>
        <row r="6066">
          <cell r="O6066" t="str">
            <v>SC2064UA</v>
          </cell>
          <cell r="P6066" t="str">
            <v>STC9G001C</v>
          </cell>
          <cell r="Q6066" t="str">
            <v>磁性位置传感器</v>
          </cell>
        </row>
        <row r="6067">
          <cell r="O6067" t="str">
            <v>SC9641TS-P</v>
          </cell>
          <cell r="P6067" t="str">
            <v>STC9A001I</v>
          </cell>
          <cell r="Q6067" t="str">
            <v>速度传感器</v>
          </cell>
        </row>
        <row r="6068">
          <cell r="O6068" t="str">
            <v>SC2402B1</v>
          </cell>
          <cell r="P6068" t="str">
            <v>STC9G002B</v>
          </cell>
          <cell r="Q6068" t="str">
            <v>磁性位置传感器</v>
          </cell>
        </row>
        <row r="6069">
          <cell r="O6069" t="str">
            <v>SC9648TS-P</v>
          </cell>
          <cell r="P6069" t="str">
            <v>STC9A001I</v>
          </cell>
          <cell r="Q6069" t="str">
            <v>速度传感器</v>
          </cell>
        </row>
        <row r="6070">
          <cell r="O6070" t="str">
            <v>SC9642TS</v>
          </cell>
          <cell r="P6070" t="str">
            <v>STC9A001G</v>
          </cell>
          <cell r="Q6070" t="str">
            <v>速度传感器</v>
          </cell>
        </row>
        <row r="6071">
          <cell r="O6071" t="str">
            <v>SC9642TS</v>
          </cell>
          <cell r="P6071" t="str">
            <v>STC9A001G</v>
          </cell>
          <cell r="Q6071" t="str">
            <v>速度传感器</v>
          </cell>
        </row>
        <row r="6072">
          <cell r="O6072" t="str">
            <v>SC2443SO</v>
          </cell>
          <cell r="P6072" t="str">
            <v>STC9906T</v>
          </cell>
          <cell r="Q6072" t="str">
            <v>磁性位置传感器</v>
          </cell>
        </row>
        <row r="6073">
          <cell r="O6073" t="str">
            <v>SC1134UA</v>
          </cell>
          <cell r="P6073" t="str">
            <v>STC1898AI</v>
          </cell>
          <cell r="Q6073" t="str">
            <v>磁性位置传感器</v>
          </cell>
        </row>
        <row r="6074">
          <cell r="O6074" t="str">
            <v>SC1134UA</v>
          </cell>
          <cell r="P6074" t="str">
            <v>STC1898AI</v>
          </cell>
          <cell r="Q6074" t="str">
            <v>磁性位置传感器</v>
          </cell>
        </row>
        <row r="6075">
          <cell r="O6075" t="str">
            <v>SC1445A1</v>
          </cell>
          <cell r="P6075" t="str">
            <v>STC2899AB</v>
          </cell>
          <cell r="Q6075" t="str">
            <v>磁性位置传感器</v>
          </cell>
        </row>
        <row r="6076">
          <cell r="O6076" t="str">
            <v>SC2442SO</v>
          </cell>
          <cell r="P6076" t="str">
            <v>STC9906R</v>
          </cell>
          <cell r="Q6076" t="str">
            <v>磁性位置传感器</v>
          </cell>
        </row>
        <row r="6077">
          <cell r="O6077" t="str">
            <v>SC1445A1</v>
          </cell>
          <cell r="P6077" t="str">
            <v>STC2899AB</v>
          </cell>
          <cell r="Q6077" t="str">
            <v>磁性位置传感器</v>
          </cell>
        </row>
        <row r="6078">
          <cell r="O6078" t="str">
            <v>SC1445A1</v>
          </cell>
          <cell r="P6078" t="str">
            <v>STC2899AB</v>
          </cell>
          <cell r="Q6078" t="str">
            <v>磁性位置传感器</v>
          </cell>
        </row>
        <row r="6079">
          <cell r="O6079" t="str">
            <v>SD211VB</v>
          </cell>
          <cell r="P6079" t="str">
            <v>FD1016A</v>
          </cell>
          <cell r="Q6079" t="str">
            <v>电机驱动</v>
          </cell>
        </row>
        <row r="6080">
          <cell r="O6080" t="str">
            <v>SD211VB</v>
          </cell>
          <cell r="P6080" t="str">
            <v>FD1016A</v>
          </cell>
          <cell r="Q6080" t="str">
            <v>电机驱动</v>
          </cell>
        </row>
        <row r="6081">
          <cell r="O6081" t="str">
            <v>SC9648TS-P</v>
          </cell>
          <cell r="P6081" t="str">
            <v>STC9A001I</v>
          </cell>
          <cell r="Q6081" t="str">
            <v>速度传感器</v>
          </cell>
        </row>
        <row r="6082">
          <cell r="O6082" t="str">
            <v>SC2434SO</v>
          </cell>
          <cell r="P6082" t="str">
            <v>STC9906I</v>
          </cell>
          <cell r="Q6082" t="str">
            <v>磁性位置传感器</v>
          </cell>
        </row>
        <row r="6083">
          <cell r="O6083" t="str">
            <v>SC2434SO</v>
          </cell>
          <cell r="P6083" t="str">
            <v>STC9906I</v>
          </cell>
          <cell r="Q6083" t="str">
            <v>磁性位置传感器</v>
          </cell>
        </row>
        <row r="6084">
          <cell r="O6084" t="str">
            <v>SC2546VB</v>
          </cell>
          <cell r="P6084" t="str">
            <v>STC9906H</v>
          </cell>
          <cell r="Q6084" t="str">
            <v>磁性位置传感器</v>
          </cell>
        </row>
        <row r="6085">
          <cell r="O6085" t="str">
            <v>SC1134SO-N</v>
          </cell>
          <cell r="P6085" t="str">
            <v>STC1002AF</v>
          </cell>
          <cell r="Q6085" t="str">
            <v>磁性位置传感器</v>
          </cell>
        </row>
        <row r="6086">
          <cell r="O6086" t="str">
            <v>SC1134SO-N</v>
          </cell>
          <cell r="P6086" t="str">
            <v>STC1002AF</v>
          </cell>
          <cell r="Q6086" t="str">
            <v>磁性位置传感器</v>
          </cell>
        </row>
        <row r="6087">
          <cell r="O6087" t="str">
            <v>SC1134SO-N</v>
          </cell>
          <cell r="P6087" t="str">
            <v>STC1002AF</v>
          </cell>
          <cell r="Q6087" t="str">
            <v>磁性位置传感器</v>
          </cell>
        </row>
        <row r="6088">
          <cell r="O6088" t="str">
            <v>ATK-E512</v>
          </cell>
          <cell r="P6088" t="str">
            <v>STC4011B</v>
          </cell>
          <cell r="Q6088" t="str">
            <v>磁性位置传感器</v>
          </cell>
        </row>
        <row r="6089">
          <cell r="O6089" t="str">
            <v>ATK-E512</v>
          </cell>
          <cell r="P6089" t="str">
            <v>STC4011B</v>
          </cell>
          <cell r="Q6089" t="str">
            <v>磁性位置传感器</v>
          </cell>
        </row>
        <row r="6090">
          <cell r="O6090" t="str">
            <v>ATK-E512</v>
          </cell>
          <cell r="P6090" t="str">
            <v>STC4011B</v>
          </cell>
          <cell r="Q6090" t="str">
            <v>磁性位置传感器</v>
          </cell>
        </row>
        <row r="6091">
          <cell r="O6091" t="str">
            <v>ATK-E512</v>
          </cell>
          <cell r="P6091" t="str">
            <v>STC4011B</v>
          </cell>
          <cell r="Q6091" t="str">
            <v>磁性位置传感器</v>
          </cell>
        </row>
        <row r="6092">
          <cell r="O6092" t="str">
            <v>ATK-E512</v>
          </cell>
          <cell r="P6092" t="str">
            <v>STC4011B</v>
          </cell>
          <cell r="Q6092" t="str">
            <v>磁性位置传感器</v>
          </cell>
        </row>
        <row r="6093">
          <cell r="O6093" t="str">
            <v>ATK-E512</v>
          </cell>
          <cell r="P6093" t="str">
            <v>STC4011B</v>
          </cell>
          <cell r="Q6093" t="str">
            <v>磁性位置传感器</v>
          </cell>
        </row>
        <row r="6094">
          <cell r="O6094" t="str">
            <v>ATK-E512</v>
          </cell>
          <cell r="P6094" t="str">
            <v>STC4011B</v>
          </cell>
          <cell r="Q6094" t="str">
            <v>磁性位置传感器</v>
          </cell>
        </row>
        <row r="6095">
          <cell r="O6095" t="str">
            <v>SC2442UA</v>
          </cell>
          <cell r="P6095" t="str">
            <v>STC9906P</v>
          </cell>
          <cell r="Q6095" t="str">
            <v>磁性位置传感器</v>
          </cell>
        </row>
        <row r="6096">
          <cell r="O6096" t="str">
            <v>G01</v>
          </cell>
          <cell r="P6096" t="str">
            <v>STC4011B</v>
          </cell>
          <cell r="Q6096" t="str">
            <v>磁性位置传感器</v>
          </cell>
        </row>
        <row r="6097">
          <cell r="O6097" t="str">
            <v>G01</v>
          </cell>
          <cell r="P6097" t="str">
            <v>STC4011B</v>
          </cell>
          <cell r="Q6097" t="str">
            <v>磁性位置传感器</v>
          </cell>
        </row>
        <row r="6098">
          <cell r="O6098" t="str">
            <v>STC4011B-DS</v>
          </cell>
          <cell r="P6098" t="str">
            <v>STC4011B</v>
          </cell>
          <cell r="Q6098" t="str">
            <v>磁性位置传感器</v>
          </cell>
        </row>
        <row r="6099">
          <cell r="O6099" t="str">
            <v>STC4011B-DS</v>
          </cell>
          <cell r="P6099" t="str">
            <v>STC4011B</v>
          </cell>
          <cell r="Q6099" t="str">
            <v>磁性位置传感器</v>
          </cell>
        </row>
        <row r="6100">
          <cell r="O6100" t="str">
            <v>SC9621VB-A</v>
          </cell>
          <cell r="P6100" t="str">
            <v>STC9910F</v>
          </cell>
          <cell r="Q6100" t="str">
            <v>速度传感器</v>
          </cell>
        </row>
        <row r="6101">
          <cell r="O6101" t="str">
            <v>SC9641TS-P</v>
          </cell>
          <cell r="P6101" t="str">
            <v>STC9A001I</v>
          </cell>
          <cell r="Q6101" t="str">
            <v>速度传感器</v>
          </cell>
        </row>
        <row r="6102">
          <cell r="O6102" t="str">
            <v>SC9641TS-P</v>
          </cell>
          <cell r="P6102" t="str">
            <v>STC9A001I</v>
          </cell>
          <cell r="Q6102" t="str">
            <v>速度传感器</v>
          </cell>
        </row>
        <row r="6103">
          <cell r="O6103" t="str">
            <v>SC9648TS-P</v>
          </cell>
          <cell r="P6103" t="str">
            <v>STC9A001I</v>
          </cell>
          <cell r="Q6103" t="str">
            <v>速度传感器</v>
          </cell>
        </row>
        <row r="6104">
          <cell r="O6104" t="str">
            <v>SC2442SO</v>
          </cell>
          <cell r="P6104" t="str">
            <v>STC9906R</v>
          </cell>
          <cell r="Q6104" t="str">
            <v>磁性位置传感器</v>
          </cell>
        </row>
        <row r="6105">
          <cell r="O6105" t="str">
            <v>ZH6252C-Mask</v>
          </cell>
          <cell r="P6105" t="str">
            <v xml:space="preserve"> </v>
          </cell>
          <cell r="Q6105" t="str">
            <v>电机驱动</v>
          </cell>
        </row>
        <row r="6106">
          <cell r="O6106" t="str">
            <v>ZH6252C</v>
          </cell>
          <cell r="P6106" t="str">
            <v>ZH6252C</v>
          </cell>
          <cell r="Q6106" t="str">
            <v>电机驱动</v>
          </cell>
        </row>
        <row r="6107">
          <cell r="O6107" t="str">
            <v>SC2448UA-N</v>
          </cell>
          <cell r="P6107" t="str">
            <v>STC9906S</v>
          </cell>
          <cell r="Q6107" t="str">
            <v>磁性位置传感器</v>
          </cell>
        </row>
        <row r="6108">
          <cell r="O6108" t="str">
            <v>SC2448UA-N</v>
          </cell>
          <cell r="P6108" t="str">
            <v>STC9906S</v>
          </cell>
          <cell r="Q6108" t="str">
            <v>磁性位置传感器</v>
          </cell>
        </row>
        <row r="6109">
          <cell r="O6109" t="str">
            <v>SC2448UA-N</v>
          </cell>
          <cell r="P6109" t="str">
            <v>STC9906S</v>
          </cell>
          <cell r="Q6109" t="str">
            <v>磁性位置传感器</v>
          </cell>
        </row>
        <row r="6110">
          <cell r="O6110" t="str">
            <v>SC4643VB-A</v>
          </cell>
          <cell r="P6110" t="str">
            <v>STC9D03E</v>
          </cell>
          <cell r="Q6110" t="str">
            <v>电流传感器</v>
          </cell>
        </row>
        <row r="6111">
          <cell r="O6111" t="str">
            <v>SC4643VB-A</v>
          </cell>
          <cell r="P6111" t="str">
            <v>STC9D03E</v>
          </cell>
          <cell r="Q6111" t="str">
            <v>电流传感器</v>
          </cell>
        </row>
        <row r="6112">
          <cell r="O6112" t="str">
            <v>SC4643VB-A</v>
          </cell>
          <cell r="P6112" t="str">
            <v>STC9D03E</v>
          </cell>
          <cell r="Q6112" t="str">
            <v>电流传感器</v>
          </cell>
        </row>
        <row r="6113">
          <cell r="O6113" t="str">
            <v>SC4643VB-A</v>
          </cell>
          <cell r="P6113" t="str">
            <v>STC9D03E</v>
          </cell>
          <cell r="Q6113" t="str">
            <v>电流传感器</v>
          </cell>
        </row>
        <row r="6114">
          <cell r="O6114" t="str">
            <v>SC4643VB-A</v>
          </cell>
          <cell r="P6114" t="str">
            <v>STC9D03E</v>
          </cell>
          <cell r="Q6114" t="str">
            <v>电流传感器</v>
          </cell>
        </row>
        <row r="6115">
          <cell r="O6115" t="str">
            <v>SC4643VB-A</v>
          </cell>
          <cell r="P6115" t="str">
            <v>STC9D03E</v>
          </cell>
          <cell r="Q6115" t="str">
            <v>电流传感器</v>
          </cell>
        </row>
        <row r="6116">
          <cell r="O6116" t="str">
            <v>SC4643VB-A</v>
          </cell>
          <cell r="P6116" t="str">
            <v>STC9D03E</v>
          </cell>
          <cell r="Q6116" t="str">
            <v>电流传感器</v>
          </cell>
        </row>
        <row r="6117">
          <cell r="O6117" t="str">
            <v>SC4643VB-A</v>
          </cell>
          <cell r="P6117" t="str">
            <v>STC9D03E</v>
          </cell>
          <cell r="Q6117" t="str">
            <v>电流传感器</v>
          </cell>
        </row>
        <row r="6118">
          <cell r="O6118" t="str">
            <v>SC4643VB-A</v>
          </cell>
          <cell r="P6118" t="str">
            <v>STC9D03E</v>
          </cell>
          <cell r="Q6118" t="str">
            <v>电流传感器</v>
          </cell>
        </row>
        <row r="6119">
          <cell r="O6119" t="str">
            <v>SC2442SO</v>
          </cell>
          <cell r="P6119" t="str">
            <v>STC9906R</v>
          </cell>
          <cell r="Q6119" t="str">
            <v>磁性位置传感器</v>
          </cell>
        </row>
        <row r="6120">
          <cell r="O6120" t="str">
            <v>SC2442SO</v>
          </cell>
          <cell r="P6120" t="str">
            <v>STC9906R</v>
          </cell>
          <cell r="Q6120" t="str">
            <v>磁性位置传感器</v>
          </cell>
        </row>
        <row r="6121">
          <cell r="O6121" t="str">
            <v>SC2442SO</v>
          </cell>
          <cell r="P6121" t="str">
            <v>STC9906R</v>
          </cell>
          <cell r="Q6121" t="str">
            <v>磁性位置传感器</v>
          </cell>
        </row>
        <row r="6122">
          <cell r="O6122" t="str">
            <v>SC2442SO</v>
          </cell>
          <cell r="P6122" t="str">
            <v>STC9906R</v>
          </cell>
          <cell r="Q6122" t="str">
            <v>磁性位置传感器</v>
          </cell>
        </row>
        <row r="6123">
          <cell r="O6123" t="str">
            <v>SC9641TS-PC</v>
          </cell>
          <cell r="P6123" t="str">
            <v>STC9A001I</v>
          </cell>
          <cell r="Q6123" t="str">
            <v>速度传感器</v>
          </cell>
        </row>
        <row r="6124">
          <cell r="O6124" t="str">
            <v>SC9648TS-P</v>
          </cell>
          <cell r="P6124" t="str">
            <v>STC9A001I</v>
          </cell>
          <cell r="Q6124" t="str">
            <v>速度传感器</v>
          </cell>
        </row>
        <row r="6125">
          <cell r="O6125" t="str">
            <v>SC9648TS-P</v>
          </cell>
          <cell r="P6125" t="str">
            <v>STC9A001I</v>
          </cell>
          <cell r="Q6125" t="str">
            <v>速度传感器</v>
          </cell>
        </row>
        <row r="6126">
          <cell r="O6126" t="str">
            <v>SC9642TS-EC</v>
          </cell>
          <cell r="P6126" t="str">
            <v>STC9A001H</v>
          </cell>
          <cell r="Q6126" t="str">
            <v>速度传感器</v>
          </cell>
        </row>
        <row r="6127">
          <cell r="O6127" t="str">
            <v>SC9314UA</v>
          </cell>
          <cell r="P6127" t="str">
            <v>STC9901AF</v>
          </cell>
          <cell r="Q6127" t="str">
            <v>速度传感器</v>
          </cell>
        </row>
        <row r="6128">
          <cell r="O6128" t="str">
            <v>SC9314UA</v>
          </cell>
          <cell r="P6128" t="str">
            <v>STC9901AF</v>
          </cell>
          <cell r="Q6128" t="str">
            <v>速度传感器</v>
          </cell>
        </row>
        <row r="6129">
          <cell r="O6129" t="str">
            <v>SC9675IM-P-LRF01</v>
          </cell>
          <cell r="P6129" t="str">
            <v>STC9A002B</v>
          </cell>
          <cell r="Q6129" t="str">
            <v>速度传感器</v>
          </cell>
        </row>
        <row r="6130">
          <cell r="O6130" t="str">
            <v>SC9675IM-P-LRF01</v>
          </cell>
          <cell r="P6130" t="str">
            <v>STC9A002B</v>
          </cell>
          <cell r="Q6130" t="str">
            <v>速度传感器</v>
          </cell>
        </row>
        <row r="6131">
          <cell r="O6131" t="str">
            <v>SC9642TS</v>
          </cell>
          <cell r="P6131" t="str">
            <v>STC9A001G</v>
          </cell>
          <cell r="Q6131" t="str">
            <v>速度传感器</v>
          </cell>
        </row>
        <row r="6132">
          <cell r="O6132" t="str">
            <v>SC9642TS</v>
          </cell>
          <cell r="P6132" t="str">
            <v>STC9A001G</v>
          </cell>
          <cell r="Q6132" t="str">
            <v>速度传感器</v>
          </cell>
        </row>
        <row r="6133">
          <cell r="O6133" t="str">
            <v>SC4688SA-A</v>
          </cell>
          <cell r="P6133" t="str">
            <v>STC9D01C</v>
          </cell>
          <cell r="Q6133" t="str">
            <v>角度传感器</v>
          </cell>
        </row>
        <row r="6134">
          <cell r="O6134" t="str">
            <v>SC4688SA-A</v>
          </cell>
          <cell r="P6134" t="str">
            <v>STC9D01C</v>
          </cell>
          <cell r="Q6134" t="str">
            <v>角度传感器</v>
          </cell>
        </row>
        <row r="6135">
          <cell r="O6135" t="str">
            <v>SC4688SA-A</v>
          </cell>
          <cell r="P6135" t="str">
            <v>STC9D01C</v>
          </cell>
          <cell r="Q6135" t="str">
            <v>角度传感器</v>
          </cell>
        </row>
        <row r="6136">
          <cell r="O6136" t="str">
            <v>SC4688SA-A</v>
          </cell>
          <cell r="P6136" t="str">
            <v>STC9D01C</v>
          </cell>
          <cell r="Q6136" t="str">
            <v>角度传感器</v>
          </cell>
        </row>
        <row r="6137">
          <cell r="O6137" t="str">
            <v>SC4688SA-A</v>
          </cell>
          <cell r="P6137" t="str">
            <v>STC9D01C</v>
          </cell>
          <cell r="Q6137" t="str">
            <v>角度传感器</v>
          </cell>
        </row>
        <row r="6138">
          <cell r="O6138" t="str">
            <v>SC4688SA-A</v>
          </cell>
          <cell r="P6138" t="str">
            <v>STC9D01C</v>
          </cell>
          <cell r="Q6138" t="str">
            <v>角度传感器</v>
          </cell>
        </row>
        <row r="6139">
          <cell r="O6139" t="str">
            <v>SL54123APA1R</v>
          </cell>
          <cell r="P6139" t="str">
            <v>STC16100B</v>
          </cell>
          <cell r="Q6139" t="str">
            <v>电流传感器</v>
          </cell>
        </row>
        <row r="6140">
          <cell r="O6140" t="str">
            <v>SC4643VB</v>
          </cell>
          <cell r="P6140" t="str">
            <v>STC9D03E</v>
          </cell>
          <cell r="Q6140" t="str">
            <v>电流传感器</v>
          </cell>
        </row>
        <row r="6141">
          <cell r="O6141" t="str">
            <v>SC4643VB</v>
          </cell>
          <cell r="P6141" t="str">
            <v>STC9D03E</v>
          </cell>
          <cell r="Q6141" t="str">
            <v>电流传感器</v>
          </cell>
        </row>
        <row r="6142">
          <cell r="O6142" t="str">
            <v>SC4643VB</v>
          </cell>
          <cell r="P6142" t="str">
            <v>STC9D03E</v>
          </cell>
          <cell r="Q6142" t="str">
            <v>电流传感器</v>
          </cell>
        </row>
        <row r="6143">
          <cell r="O6143" t="str">
            <v>SC4643VB</v>
          </cell>
          <cell r="P6143" t="str">
            <v>STC9D03E</v>
          </cell>
          <cell r="Q6143" t="str">
            <v>电流传感器</v>
          </cell>
        </row>
        <row r="6144">
          <cell r="O6144" t="str">
            <v>SC2464SO</v>
          </cell>
          <cell r="P6144" t="str">
            <v>STC9906J</v>
          </cell>
          <cell r="Q6144" t="str">
            <v>磁性位置传感器</v>
          </cell>
        </row>
        <row r="6145">
          <cell r="O6145" t="str">
            <v>SC2464SO</v>
          </cell>
          <cell r="P6145" t="str">
            <v>STC9906J</v>
          </cell>
          <cell r="Q6145" t="str">
            <v>磁性位置传感器</v>
          </cell>
        </row>
        <row r="6146">
          <cell r="O6146" t="str">
            <v>SC2402SO-N-H</v>
          </cell>
          <cell r="P6146" t="str">
            <v>STC9H001A</v>
          </cell>
          <cell r="Q6146" t="str">
            <v>磁性位置传感器</v>
          </cell>
        </row>
        <row r="6147">
          <cell r="O6147" t="str">
            <v>SC1133UA</v>
          </cell>
          <cell r="P6147" t="str">
            <v>STC1898AJ</v>
          </cell>
          <cell r="Q6147" t="str">
            <v>磁性位置传感器</v>
          </cell>
        </row>
        <row r="6148">
          <cell r="O6148" t="str">
            <v>SC2402UA</v>
          </cell>
          <cell r="P6148" t="str">
            <v>STC9G002B</v>
          </cell>
          <cell r="Q6148" t="str">
            <v>磁性位置传感器</v>
          </cell>
        </row>
        <row r="6149">
          <cell r="O6149" t="str">
            <v>SC2402UA</v>
          </cell>
          <cell r="P6149" t="str">
            <v>STC9G002B</v>
          </cell>
          <cell r="Q6149" t="str">
            <v>磁性位置传感器</v>
          </cell>
        </row>
        <row r="6150">
          <cell r="O6150" t="str">
            <v>SC2402UA</v>
          </cell>
          <cell r="P6150" t="str">
            <v>STC9G002B</v>
          </cell>
          <cell r="Q6150" t="str">
            <v>磁性位置传感器</v>
          </cell>
        </row>
        <row r="6151">
          <cell r="O6151" t="str">
            <v>SC2438SO</v>
          </cell>
          <cell r="P6151" t="str">
            <v>STC9906I</v>
          </cell>
          <cell r="Q6151" t="str">
            <v>磁性位置传感器</v>
          </cell>
        </row>
        <row r="6152">
          <cell r="O6152" t="str">
            <v>ATK-E512</v>
          </cell>
          <cell r="P6152" t="str">
            <v>STC4011B</v>
          </cell>
          <cell r="Q6152" t="str">
            <v>磁性位置传感器</v>
          </cell>
        </row>
        <row r="6153">
          <cell r="O6153" t="str">
            <v>ATK-E512</v>
          </cell>
          <cell r="P6153" t="str">
            <v>STC4011B</v>
          </cell>
          <cell r="Q6153" t="str">
            <v>磁性位置传感器</v>
          </cell>
        </row>
        <row r="6154">
          <cell r="O6154" t="str">
            <v>ATK-E512</v>
          </cell>
          <cell r="P6154" t="str">
            <v>STC4011B</v>
          </cell>
          <cell r="Q6154" t="str">
            <v>磁性位置传感器</v>
          </cell>
        </row>
        <row r="6155">
          <cell r="O6155" t="str">
            <v>ATK-E512</v>
          </cell>
          <cell r="P6155" t="str">
            <v>STC4011B</v>
          </cell>
          <cell r="Q6155" t="str">
            <v>磁性位置传感器</v>
          </cell>
        </row>
        <row r="6156">
          <cell r="O6156" t="str">
            <v>ATK-E512</v>
          </cell>
          <cell r="P6156" t="str">
            <v>STC4011B</v>
          </cell>
          <cell r="Q6156" t="str">
            <v>磁性位置传感器</v>
          </cell>
        </row>
        <row r="6157">
          <cell r="O6157" t="str">
            <v>ATK-E512</v>
          </cell>
          <cell r="P6157" t="str">
            <v>STC4011B</v>
          </cell>
          <cell r="Q6157" t="str">
            <v>磁性位置传感器</v>
          </cell>
        </row>
        <row r="6158">
          <cell r="O6158" t="str">
            <v>STC4011B-DS</v>
          </cell>
          <cell r="P6158" t="str">
            <v>STC4011B</v>
          </cell>
          <cell r="Q6158" t="str">
            <v>磁性位置传感器</v>
          </cell>
        </row>
        <row r="6159">
          <cell r="O6159" t="str">
            <v>G01</v>
          </cell>
          <cell r="P6159" t="str">
            <v>STC4011B</v>
          </cell>
          <cell r="Q6159" t="str">
            <v>磁性位置传感器</v>
          </cell>
        </row>
        <row r="6160">
          <cell r="O6160" t="str">
            <v>G01</v>
          </cell>
          <cell r="P6160" t="str">
            <v>STC4011B</v>
          </cell>
          <cell r="Q6160" t="str">
            <v>磁性位置传感器</v>
          </cell>
        </row>
        <row r="6161">
          <cell r="O6161" t="str">
            <v>G01</v>
          </cell>
          <cell r="P6161" t="str">
            <v>STC4011B</v>
          </cell>
          <cell r="Q6161" t="str">
            <v>磁性位置传感器</v>
          </cell>
        </row>
        <row r="6162">
          <cell r="O6162" t="str">
            <v>G01</v>
          </cell>
          <cell r="P6162" t="str">
            <v>STC4011B</v>
          </cell>
          <cell r="Q6162" t="str">
            <v>磁性位置传感器</v>
          </cell>
        </row>
        <row r="6163">
          <cell r="O6163" t="str">
            <v>G01</v>
          </cell>
          <cell r="P6163" t="str">
            <v>STC4011B</v>
          </cell>
          <cell r="Q6163" t="str">
            <v>磁性位置传感器</v>
          </cell>
        </row>
        <row r="6164">
          <cell r="O6164" t="str">
            <v>G01</v>
          </cell>
          <cell r="P6164" t="str">
            <v>STC4011B</v>
          </cell>
          <cell r="Q6164" t="str">
            <v>磁性位置传感器</v>
          </cell>
        </row>
        <row r="6165">
          <cell r="O6165" t="str">
            <v>G01</v>
          </cell>
          <cell r="P6165" t="str">
            <v>STC4011B</v>
          </cell>
          <cell r="Q6165" t="str">
            <v>磁性位置传感器</v>
          </cell>
        </row>
        <row r="6166">
          <cell r="O6166" t="str">
            <v>G01</v>
          </cell>
          <cell r="P6166" t="str">
            <v>STC4011B</v>
          </cell>
          <cell r="Q6166" t="str">
            <v>磁性位置传感器</v>
          </cell>
        </row>
        <row r="6167">
          <cell r="O6167" t="str">
            <v>SC9648TS-P</v>
          </cell>
          <cell r="P6167" t="str">
            <v>STC9A001I</v>
          </cell>
          <cell r="Q6167" t="str">
            <v>速度传感器</v>
          </cell>
        </row>
        <row r="6168">
          <cell r="O6168" t="str">
            <v>SC9648TS-P</v>
          </cell>
          <cell r="P6168" t="str">
            <v>STC9A001I</v>
          </cell>
          <cell r="Q6168" t="str">
            <v>速度传感器</v>
          </cell>
        </row>
        <row r="6169">
          <cell r="O6169" t="str">
            <v>SC2436SO</v>
          </cell>
          <cell r="P6169" t="str">
            <v>STC9906I</v>
          </cell>
          <cell r="Q6169" t="str">
            <v>磁性位置传感器</v>
          </cell>
        </row>
        <row r="6170">
          <cell r="O6170" t="str">
            <v>SC4624SP20B5</v>
          </cell>
          <cell r="P6170" t="str">
            <v>STC9D06F</v>
          </cell>
          <cell r="Q6170" t="str">
            <v>电流传感器</v>
          </cell>
        </row>
        <row r="6171">
          <cell r="O6171" t="str">
            <v>SC9648TS-P</v>
          </cell>
          <cell r="P6171" t="str">
            <v>STC9A001I</v>
          </cell>
          <cell r="Q6171" t="str">
            <v>速度传感器</v>
          </cell>
        </row>
        <row r="6172">
          <cell r="O6172" t="str">
            <v>SC69401-A</v>
          </cell>
          <cell r="P6172" t="str">
            <v>STC9H002DQ</v>
          </cell>
          <cell r="Q6172" t="str">
            <v>角度传感器</v>
          </cell>
        </row>
        <row r="6173">
          <cell r="O6173" t="str">
            <v>SC60221-D-50</v>
          </cell>
          <cell r="P6173" t="str">
            <v>STC9D04C</v>
          </cell>
          <cell r="Q6173" t="str">
            <v>电机编码器</v>
          </cell>
        </row>
        <row r="6174">
          <cell r="O6174" t="str">
            <v>SC2402UA-G</v>
          </cell>
          <cell r="P6174" t="str">
            <v>STC9G002B</v>
          </cell>
          <cell r="Q6174" t="str">
            <v>磁性位置传感器</v>
          </cell>
        </row>
        <row r="6175">
          <cell r="O6175" t="str">
            <v>SC1134UA</v>
          </cell>
          <cell r="P6175" t="str">
            <v>STC1898AI</v>
          </cell>
          <cell r="Q6175" t="str">
            <v>磁性位置传感器</v>
          </cell>
        </row>
        <row r="6176">
          <cell r="O6176" t="str">
            <v>PSTC9D03E</v>
          </cell>
          <cell r="P6176" t="str">
            <v>STC9D03E</v>
          </cell>
          <cell r="Q6176" t="str">
            <v>电流传感器</v>
          </cell>
        </row>
        <row r="6177">
          <cell r="O6177" t="str">
            <v>SC2442SO</v>
          </cell>
          <cell r="P6177" t="str">
            <v>STC9906R</v>
          </cell>
          <cell r="Q6177" t="str">
            <v>磁性位置传感器</v>
          </cell>
        </row>
        <row r="6178">
          <cell r="O6178" t="str">
            <v>SC2498CUA-N</v>
          </cell>
          <cell r="P6178" t="str">
            <v>SC9915C</v>
          </cell>
          <cell r="Q6178" t="str">
            <v>磁性位置传感器</v>
          </cell>
        </row>
        <row r="6179">
          <cell r="O6179" t="str">
            <v>SC2498CUA-N</v>
          </cell>
          <cell r="P6179" t="str">
            <v>SC9915C</v>
          </cell>
          <cell r="Q6179" t="str">
            <v>磁性位置传感器</v>
          </cell>
        </row>
        <row r="6180">
          <cell r="O6180" t="str">
            <v>SC2498CUA-N</v>
          </cell>
          <cell r="P6180" t="str">
            <v>SC9915C</v>
          </cell>
          <cell r="Q6180" t="str">
            <v>磁性位置传感器</v>
          </cell>
        </row>
        <row r="6181">
          <cell r="O6181" t="str">
            <v>SC2498CUA-N</v>
          </cell>
          <cell r="P6181" t="str">
            <v>SC9915C</v>
          </cell>
          <cell r="Q6181" t="str">
            <v>磁性位置传感器</v>
          </cell>
        </row>
        <row r="6182">
          <cell r="O6182" t="str">
            <v>SC2498CUA-N</v>
          </cell>
          <cell r="P6182" t="str">
            <v>SC9915C</v>
          </cell>
          <cell r="Q6182" t="str">
            <v>磁性位置传感器</v>
          </cell>
        </row>
        <row r="6183">
          <cell r="O6183" t="str">
            <v>SC2498CUA-N</v>
          </cell>
          <cell r="P6183" t="str">
            <v>SC9915C</v>
          </cell>
          <cell r="Q6183" t="str">
            <v>磁性位置传感器</v>
          </cell>
        </row>
        <row r="6184">
          <cell r="O6184" t="str">
            <v>SC2498CUA-N</v>
          </cell>
          <cell r="P6184" t="str">
            <v>SC9915C</v>
          </cell>
          <cell r="Q6184" t="str">
            <v>磁性位置传感器</v>
          </cell>
        </row>
        <row r="6185">
          <cell r="O6185" t="str">
            <v>SC2498TSO</v>
          </cell>
          <cell r="P6185" t="str">
            <v>STC11300C</v>
          </cell>
          <cell r="Q6185" t="str">
            <v>磁性位置传感器</v>
          </cell>
        </row>
        <row r="6186">
          <cell r="O6186" t="str">
            <v>SC9648TS-P</v>
          </cell>
          <cell r="P6186" t="str">
            <v>STC9A001I</v>
          </cell>
          <cell r="Q6186" t="str">
            <v>速度传感器</v>
          </cell>
        </row>
        <row r="6187">
          <cell r="O6187" t="str">
            <v>SC9641TS-PC</v>
          </cell>
          <cell r="P6187" t="str">
            <v>STC9A001I</v>
          </cell>
          <cell r="Q6187" t="str">
            <v>速度传感器</v>
          </cell>
        </row>
        <row r="6188">
          <cell r="O6188" t="str">
            <v>SC60221-D-360</v>
          </cell>
          <cell r="P6188" t="str">
            <v>STC9D04C</v>
          </cell>
          <cell r="Q6188" t="str">
            <v>电机编码器</v>
          </cell>
        </row>
        <row r="6189">
          <cell r="O6189" t="str">
            <v>SC60221-D-360</v>
          </cell>
          <cell r="P6189" t="str">
            <v>STC9D04C</v>
          </cell>
          <cell r="Q6189" t="str">
            <v>电机编码器</v>
          </cell>
        </row>
        <row r="6190">
          <cell r="O6190" t="str">
            <v>SC60340</v>
          </cell>
          <cell r="P6190" t="str">
            <v>STC9D05B</v>
          </cell>
          <cell r="Q6190" t="str">
            <v>电机编码器</v>
          </cell>
        </row>
        <row r="6191">
          <cell r="O6191" t="str">
            <v>SC60104</v>
          </cell>
          <cell r="P6191" t="str">
            <v>STC9D02C</v>
          </cell>
          <cell r="Q6191" t="str">
            <v>电机编码器</v>
          </cell>
        </row>
        <row r="6192">
          <cell r="O6192" t="str">
            <v>SC1138SO-N</v>
          </cell>
          <cell r="P6192" t="str">
            <v>STC1898AC</v>
          </cell>
          <cell r="Q6192" t="str">
            <v>磁性位置传感器</v>
          </cell>
        </row>
        <row r="6193">
          <cell r="O6193" t="str">
            <v>SC2442SO</v>
          </cell>
          <cell r="P6193" t="str">
            <v>STC9906R</v>
          </cell>
          <cell r="Q6193" t="str">
            <v>磁性位置传感器</v>
          </cell>
        </row>
        <row r="6194">
          <cell r="O6194" t="str">
            <v>SC4688SA-A</v>
          </cell>
          <cell r="P6194" t="str">
            <v>STC9D01C</v>
          </cell>
          <cell r="Q6194" t="str">
            <v>角度传感器</v>
          </cell>
        </row>
        <row r="6195">
          <cell r="O6195" t="str">
            <v>SC2432UA</v>
          </cell>
          <cell r="P6195" t="str">
            <v>STC9906I</v>
          </cell>
          <cell r="Q6195" t="str">
            <v>磁性位置传感器</v>
          </cell>
        </row>
        <row r="6196">
          <cell r="O6196" t="str">
            <v>SC2432UA</v>
          </cell>
          <cell r="P6196" t="str">
            <v>STC9906I</v>
          </cell>
          <cell r="Q6196" t="str">
            <v>磁性位置传感器</v>
          </cell>
        </row>
        <row r="6197">
          <cell r="O6197" t="str">
            <v>SD211VB</v>
          </cell>
          <cell r="P6197" t="str">
            <v>FD1016A</v>
          </cell>
          <cell r="Q6197" t="str">
            <v>电机驱动</v>
          </cell>
        </row>
        <row r="6198">
          <cell r="O6198" t="str">
            <v>SD211VB</v>
          </cell>
          <cell r="P6198" t="str">
            <v>FD1016A</v>
          </cell>
          <cell r="Q6198" t="str">
            <v>电机驱动</v>
          </cell>
        </row>
        <row r="6199">
          <cell r="O6199" t="str">
            <v>SD2276</v>
          </cell>
          <cell r="P6199" t="str">
            <v>FD1014A</v>
          </cell>
          <cell r="Q6199" t="str">
            <v>电机驱动</v>
          </cell>
        </row>
        <row r="6200">
          <cell r="O6200" t="str">
            <v>SC2448SO</v>
          </cell>
          <cell r="P6200" t="str">
            <v>STC9906S</v>
          </cell>
          <cell r="Q6200" t="str">
            <v>磁性位置传感器</v>
          </cell>
        </row>
        <row r="6201">
          <cell r="O6201" t="str">
            <v>SC2448SO</v>
          </cell>
          <cell r="P6201" t="str">
            <v>STC9906S</v>
          </cell>
          <cell r="Q6201" t="str">
            <v>磁性位置传感器</v>
          </cell>
        </row>
        <row r="6202">
          <cell r="O6202" t="str">
            <v>SC1645A1</v>
          </cell>
          <cell r="P6202" t="str">
            <v>STC2899AE</v>
          </cell>
          <cell r="Q6202" t="str">
            <v>磁性位置传感器</v>
          </cell>
        </row>
        <row r="6203">
          <cell r="O6203" t="str">
            <v>SC1645A1</v>
          </cell>
          <cell r="P6203" t="str">
            <v>STC2899AE</v>
          </cell>
          <cell r="Q6203" t="str">
            <v>磁性位置传感器</v>
          </cell>
        </row>
        <row r="6204">
          <cell r="O6204" t="str">
            <v>CHY01S</v>
          </cell>
          <cell r="P6204" t="str">
            <v>STC4011B</v>
          </cell>
          <cell r="Q6204" t="str">
            <v>磁性位置传感器</v>
          </cell>
        </row>
        <row r="6205">
          <cell r="O6205" t="str">
            <v>CHY01S</v>
          </cell>
          <cell r="P6205" t="str">
            <v>STC4011B</v>
          </cell>
          <cell r="Q6205" t="str">
            <v>磁性位置传感器</v>
          </cell>
        </row>
        <row r="6206">
          <cell r="O6206" t="str">
            <v>SC1134SO-N</v>
          </cell>
          <cell r="P6206" t="str">
            <v>STC1002AF</v>
          </cell>
          <cell r="Q6206" t="str">
            <v>磁性位置传感器</v>
          </cell>
        </row>
        <row r="6207">
          <cell r="O6207" t="str">
            <v>SC1134SO-N</v>
          </cell>
          <cell r="P6207" t="str">
            <v>STC1002AF</v>
          </cell>
          <cell r="Q6207" t="str">
            <v>磁性位置传感器</v>
          </cell>
        </row>
        <row r="6208">
          <cell r="O6208" t="str">
            <v>SC2526VB</v>
          </cell>
          <cell r="P6208" t="str">
            <v>STC9904C</v>
          </cell>
          <cell r="Q6208" t="str">
            <v>磁性位置传感器</v>
          </cell>
        </row>
        <row r="6209">
          <cell r="O6209" t="str">
            <v>ATK-E512</v>
          </cell>
          <cell r="P6209" t="str">
            <v>STC4011B</v>
          </cell>
          <cell r="Q6209" t="str">
            <v>磁性位置传感器</v>
          </cell>
        </row>
        <row r="6210">
          <cell r="O6210" t="str">
            <v>ATK-E512</v>
          </cell>
          <cell r="P6210" t="str">
            <v>STC4011B</v>
          </cell>
          <cell r="Q6210" t="str">
            <v>磁性位置传感器</v>
          </cell>
        </row>
        <row r="6211">
          <cell r="O6211" t="str">
            <v>ATK-E512</v>
          </cell>
          <cell r="P6211" t="str">
            <v>STC4011B</v>
          </cell>
          <cell r="Q6211" t="str">
            <v>磁性位置传感器</v>
          </cell>
        </row>
        <row r="6212">
          <cell r="O6212" t="str">
            <v>ATK-E512</v>
          </cell>
          <cell r="P6212" t="str">
            <v>STC4011B</v>
          </cell>
          <cell r="Q6212" t="str">
            <v>磁性位置传感器</v>
          </cell>
        </row>
        <row r="6213">
          <cell r="O6213" t="str">
            <v>ATK-E512</v>
          </cell>
          <cell r="P6213" t="str">
            <v>STC4011B</v>
          </cell>
          <cell r="Q6213" t="str">
            <v>磁性位置传感器</v>
          </cell>
        </row>
        <row r="6214">
          <cell r="O6214" t="str">
            <v>ATK-E512</v>
          </cell>
          <cell r="P6214" t="str">
            <v>STC4011B</v>
          </cell>
          <cell r="Q6214" t="str">
            <v>磁性位置传感器</v>
          </cell>
        </row>
        <row r="6215">
          <cell r="O6215" t="str">
            <v>ATK-E512</v>
          </cell>
          <cell r="P6215" t="str">
            <v>STC4011B</v>
          </cell>
          <cell r="Q6215" t="str">
            <v>磁性位置传感器</v>
          </cell>
        </row>
        <row r="6216">
          <cell r="O6216" t="str">
            <v>ATK-E512</v>
          </cell>
          <cell r="P6216" t="str">
            <v>STC4011B</v>
          </cell>
          <cell r="Q6216" t="str">
            <v>磁性位置传感器</v>
          </cell>
        </row>
        <row r="6217">
          <cell r="O6217" t="str">
            <v>ATK-E512</v>
          </cell>
          <cell r="P6217" t="str">
            <v>STC4011B</v>
          </cell>
          <cell r="Q6217" t="str">
            <v>磁性位置传感器</v>
          </cell>
        </row>
        <row r="6218">
          <cell r="O6218" t="str">
            <v>ATK-E512</v>
          </cell>
          <cell r="P6218" t="str">
            <v>STC4011B</v>
          </cell>
          <cell r="Q6218" t="str">
            <v>磁性位置传感器</v>
          </cell>
        </row>
        <row r="6219">
          <cell r="O6219" t="str">
            <v>SC2462SO</v>
          </cell>
          <cell r="P6219" t="str">
            <v>STC9906J</v>
          </cell>
          <cell r="Q6219" t="str">
            <v>磁性位置传感器</v>
          </cell>
        </row>
        <row r="6220">
          <cell r="O6220" t="str">
            <v>SC2462SO</v>
          </cell>
          <cell r="P6220" t="str">
            <v>STC9906J</v>
          </cell>
          <cell r="Q6220" t="str">
            <v>磁性位置传感器</v>
          </cell>
        </row>
        <row r="6221">
          <cell r="O6221" t="str">
            <v>SC1138UA</v>
          </cell>
          <cell r="P6221" t="str">
            <v>STC1898AC</v>
          </cell>
          <cell r="Q6221" t="str">
            <v>磁性位置传感器</v>
          </cell>
        </row>
        <row r="6222">
          <cell r="O6222" t="str">
            <v>G01</v>
          </cell>
          <cell r="P6222" t="str">
            <v>STC4011B</v>
          </cell>
          <cell r="Q6222" t="str">
            <v>磁性位置传感器</v>
          </cell>
        </row>
        <row r="6223">
          <cell r="O6223" t="str">
            <v>G01</v>
          </cell>
          <cell r="P6223" t="str">
            <v>STC4011B</v>
          </cell>
          <cell r="Q6223" t="str">
            <v>磁性位置传感器</v>
          </cell>
        </row>
        <row r="6224">
          <cell r="O6224" t="str">
            <v>G01</v>
          </cell>
          <cell r="P6224" t="str">
            <v>STC4011B</v>
          </cell>
          <cell r="Q6224" t="str">
            <v>磁性位置传感器</v>
          </cell>
        </row>
        <row r="6225">
          <cell r="O6225" t="str">
            <v>G01</v>
          </cell>
          <cell r="P6225" t="str">
            <v>STC4011B</v>
          </cell>
          <cell r="Q6225" t="str">
            <v>磁性位置传感器</v>
          </cell>
        </row>
        <row r="6226">
          <cell r="O6226" t="str">
            <v>G01</v>
          </cell>
          <cell r="P6226" t="str">
            <v>STC4011B</v>
          </cell>
          <cell r="Q6226" t="str">
            <v>磁性位置传感器</v>
          </cell>
        </row>
        <row r="6227">
          <cell r="O6227" t="str">
            <v>G01</v>
          </cell>
          <cell r="P6227" t="str">
            <v>STC4011B</v>
          </cell>
          <cell r="Q6227" t="str">
            <v>磁性位置传感器</v>
          </cell>
        </row>
        <row r="6228">
          <cell r="O6228" t="str">
            <v>G01</v>
          </cell>
          <cell r="P6228" t="str">
            <v>STC4011B</v>
          </cell>
          <cell r="Q6228" t="str">
            <v>磁性位置传感器</v>
          </cell>
        </row>
        <row r="6229">
          <cell r="O6229" t="str">
            <v>SC2455SO</v>
          </cell>
          <cell r="P6229" t="str">
            <v>STC9906K</v>
          </cell>
          <cell r="Q6229" t="str">
            <v>磁性位置传感器</v>
          </cell>
        </row>
        <row r="6230">
          <cell r="O6230" t="str">
            <v>SC9642TS-E</v>
          </cell>
          <cell r="P6230" t="str">
            <v>STC9A001H</v>
          </cell>
          <cell r="Q6230" t="str">
            <v>速度传感器</v>
          </cell>
        </row>
        <row r="6231">
          <cell r="O6231" t="str">
            <v>SC9648TS-P</v>
          </cell>
          <cell r="P6231" t="str">
            <v>STC9A001I</v>
          </cell>
          <cell r="Q6231" t="str">
            <v>速度传感器</v>
          </cell>
        </row>
        <row r="6232">
          <cell r="O6232" t="str">
            <v>SC9648TS-P</v>
          </cell>
          <cell r="P6232" t="str">
            <v>STC9A001I</v>
          </cell>
          <cell r="Q6232" t="str">
            <v>速度传感器</v>
          </cell>
        </row>
        <row r="6233">
          <cell r="O6233" t="str">
            <v>SC9648TS-P</v>
          </cell>
          <cell r="P6233" t="str">
            <v>STC9A001I</v>
          </cell>
          <cell r="Q6233" t="str">
            <v>速度传感器</v>
          </cell>
        </row>
        <row r="6234">
          <cell r="O6234" t="str">
            <v>SC2464SO</v>
          </cell>
          <cell r="P6234" t="str">
            <v>STC9906J</v>
          </cell>
          <cell r="Q6234" t="str">
            <v>磁性位置传感器</v>
          </cell>
        </row>
        <row r="6235">
          <cell r="O6235" t="str">
            <v>SC2498CUA-N</v>
          </cell>
          <cell r="P6235" t="str">
            <v>SC9915C</v>
          </cell>
          <cell r="Q6235" t="str">
            <v>磁性位置传感器</v>
          </cell>
        </row>
        <row r="6236">
          <cell r="O6236" t="str">
            <v>SC9641TS-PC</v>
          </cell>
          <cell r="P6236" t="str">
            <v>STC9A001I</v>
          </cell>
          <cell r="Q6236" t="str">
            <v>速度传感器</v>
          </cell>
        </row>
        <row r="6237">
          <cell r="O6237" t="str">
            <v>SC9641TS-PC</v>
          </cell>
          <cell r="P6237" t="str">
            <v>STC9A001I</v>
          </cell>
          <cell r="Q6237" t="str">
            <v>速度传感器</v>
          </cell>
        </row>
        <row r="6238">
          <cell r="O6238" t="str">
            <v>SC2443UA</v>
          </cell>
          <cell r="P6238" t="str">
            <v>STC9906G</v>
          </cell>
          <cell r="Q6238" t="str">
            <v>磁性位置传感器</v>
          </cell>
        </row>
        <row r="6239">
          <cell r="O6239" t="str">
            <v>SC2443UA</v>
          </cell>
          <cell r="P6239" t="str">
            <v>STC9906G</v>
          </cell>
          <cell r="Q6239" t="str">
            <v>磁性位置传感器</v>
          </cell>
        </row>
        <row r="6240">
          <cell r="O6240" t="str">
            <v>SC69401D</v>
          </cell>
          <cell r="P6240" t="str">
            <v>STC9H002D</v>
          </cell>
          <cell r="Q6240" t="str">
            <v>角度传感器</v>
          </cell>
        </row>
        <row r="6241">
          <cell r="O6241" t="str">
            <v>SC69401D</v>
          </cell>
          <cell r="P6241" t="str">
            <v>STC9H002D</v>
          </cell>
          <cell r="Q6241" t="str">
            <v>角度传感器</v>
          </cell>
        </row>
        <row r="6242">
          <cell r="O6242" t="str">
            <v>CHY01S</v>
          </cell>
          <cell r="P6242" t="str">
            <v>STC4011B</v>
          </cell>
          <cell r="Q6242" t="str">
            <v>磁性位置传感器</v>
          </cell>
        </row>
        <row r="6243">
          <cell r="O6243" t="str">
            <v>ATK-E512</v>
          </cell>
          <cell r="P6243" t="str">
            <v>STC4011B</v>
          </cell>
          <cell r="Q6243" t="str">
            <v>磁性位置传感器</v>
          </cell>
        </row>
        <row r="6244">
          <cell r="O6244" t="str">
            <v>ATK-E512</v>
          </cell>
          <cell r="P6244" t="str">
            <v>STC4011B</v>
          </cell>
          <cell r="Q6244" t="str">
            <v>磁性位置传感器</v>
          </cell>
        </row>
        <row r="6245">
          <cell r="O6245" t="str">
            <v>ATK-E512</v>
          </cell>
          <cell r="P6245" t="str">
            <v>STC4011B</v>
          </cell>
          <cell r="Q6245" t="str">
            <v>磁性位置传感器</v>
          </cell>
        </row>
        <row r="6246">
          <cell r="O6246" t="str">
            <v>ATK-E512</v>
          </cell>
          <cell r="P6246" t="str">
            <v>STC4011B</v>
          </cell>
          <cell r="Q6246" t="str">
            <v>磁性位置传感器</v>
          </cell>
        </row>
        <row r="6247">
          <cell r="O6247" t="str">
            <v>ATK-E512</v>
          </cell>
          <cell r="P6247" t="str">
            <v>STC4011B</v>
          </cell>
          <cell r="Q6247" t="str">
            <v>磁性位置传感器</v>
          </cell>
        </row>
        <row r="6248">
          <cell r="O6248" t="str">
            <v>ATK-E512</v>
          </cell>
          <cell r="P6248" t="str">
            <v>STC4011B</v>
          </cell>
          <cell r="Q6248" t="str">
            <v>磁性位置传感器</v>
          </cell>
        </row>
        <row r="6249">
          <cell r="O6249" t="str">
            <v>G01</v>
          </cell>
          <cell r="P6249" t="str">
            <v>STC4011B</v>
          </cell>
          <cell r="Q6249" t="str">
            <v>磁性位置传感器</v>
          </cell>
        </row>
        <row r="6250">
          <cell r="O6250" t="str">
            <v>G01</v>
          </cell>
          <cell r="P6250" t="str">
            <v>STC4011B</v>
          </cell>
          <cell r="Q6250" t="str">
            <v>磁性位置传感器</v>
          </cell>
        </row>
        <row r="6251">
          <cell r="O6251" t="str">
            <v>G01</v>
          </cell>
          <cell r="P6251" t="str">
            <v>STC4011B</v>
          </cell>
          <cell r="Q6251" t="str">
            <v>磁性位置传感器</v>
          </cell>
        </row>
        <row r="6252">
          <cell r="O6252" t="str">
            <v>G01</v>
          </cell>
          <cell r="P6252" t="str">
            <v>STC4011B</v>
          </cell>
          <cell r="Q6252" t="str">
            <v>磁性位置传感器</v>
          </cell>
        </row>
        <row r="6253">
          <cell r="O6253" t="str">
            <v>G01</v>
          </cell>
          <cell r="P6253" t="str">
            <v>STC4011B</v>
          </cell>
          <cell r="Q6253" t="str">
            <v>磁性位置传感器</v>
          </cell>
        </row>
        <row r="6254">
          <cell r="O6254" t="str">
            <v>G01</v>
          </cell>
          <cell r="P6254" t="str">
            <v>STC4011B</v>
          </cell>
          <cell r="Q6254" t="str">
            <v>磁性位置传感器</v>
          </cell>
        </row>
        <row r="6255">
          <cell r="O6255" t="str">
            <v>SC9642TS</v>
          </cell>
          <cell r="P6255" t="str">
            <v>STC9A001G</v>
          </cell>
          <cell r="Q6255" t="str">
            <v>速度传感器</v>
          </cell>
        </row>
        <row r="6256">
          <cell r="O6256" t="str">
            <v>SC2436SO</v>
          </cell>
          <cell r="P6256" t="str">
            <v>STC9906I</v>
          </cell>
          <cell r="Q6256" t="str">
            <v>磁性位置传感器</v>
          </cell>
        </row>
        <row r="6257">
          <cell r="O6257" t="str">
            <v>SC2442SO</v>
          </cell>
          <cell r="P6257" t="str">
            <v>STC9906R</v>
          </cell>
          <cell r="Q6257" t="str">
            <v>磁性位置传感器</v>
          </cell>
        </row>
        <row r="6258">
          <cell r="O6258" t="str">
            <v>SD2276</v>
          </cell>
          <cell r="P6258" t="str">
            <v>FD1014A</v>
          </cell>
          <cell r="Q6258" t="str">
            <v>电机驱动</v>
          </cell>
        </row>
        <row r="6259">
          <cell r="O6259" t="str">
            <v>2100HBL</v>
          </cell>
          <cell r="P6259" t="str">
            <v>STC9D03E</v>
          </cell>
          <cell r="Q6259" t="str">
            <v>电流传感器</v>
          </cell>
        </row>
        <row r="6260">
          <cell r="O6260" t="str">
            <v>2100HBL</v>
          </cell>
          <cell r="P6260" t="str">
            <v>STC9D03E</v>
          </cell>
          <cell r="Q6260" t="str">
            <v>电流传感器</v>
          </cell>
        </row>
        <row r="6261">
          <cell r="O6261" t="str">
            <v>SC2462SO</v>
          </cell>
          <cell r="P6261" t="str">
            <v>STC9906J</v>
          </cell>
          <cell r="Q6261" t="str">
            <v>磁性位置传感器</v>
          </cell>
        </row>
        <row r="6262">
          <cell r="O6262" t="str">
            <v>SC2462SO</v>
          </cell>
          <cell r="P6262" t="str">
            <v>STC9906J</v>
          </cell>
          <cell r="Q6262" t="str">
            <v>磁性位置传感器</v>
          </cell>
        </row>
        <row r="6263">
          <cell r="O6263" t="str">
            <v>SC2434SO</v>
          </cell>
          <cell r="P6263" t="str">
            <v>STC9906I</v>
          </cell>
          <cell r="Q6263" t="str">
            <v>磁性位置传感器</v>
          </cell>
        </row>
        <row r="6264">
          <cell r="O6264" t="str">
            <v>SC2402UA</v>
          </cell>
          <cell r="P6264" t="str">
            <v>STC9G002B</v>
          </cell>
          <cell r="Q6264" t="str">
            <v>磁性位置传感器</v>
          </cell>
        </row>
        <row r="6265">
          <cell r="O6265" t="str">
            <v>SC2402UA</v>
          </cell>
          <cell r="P6265" t="str">
            <v>STC9G002B</v>
          </cell>
          <cell r="Q6265" t="str">
            <v>磁性位置传感器</v>
          </cell>
        </row>
        <row r="6266">
          <cell r="O6266" t="str">
            <v>SC2402UA</v>
          </cell>
          <cell r="P6266" t="str">
            <v>STC9G002B</v>
          </cell>
          <cell r="Q6266" t="str">
            <v>磁性位置传感器</v>
          </cell>
        </row>
        <row r="6267">
          <cell r="O6267" t="str">
            <v>ATK-E512</v>
          </cell>
          <cell r="P6267" t="str">
            <v>STC4011B</v>
          </cell>
          <cell r="Q6267" t="str">
            <v>磁性位置传感器</v>
          </cell>
        </row>
        <row r="6268">
          <cell r="O6268" t="str">
            <v>ATK-E512</v>
          </cell>
          <cell r="P6268" t="str">
            <v>STC4011B</v>
          </cell>
          <cell r="Q6268" t="str">
            <v>磁性位置传感器</v>
          </cell>
        </row>
        <row r="6269">
          <cell r="O6269" t="str">
            <v>ATK-E512</v>
          </cell>
          <cell r="P6269" t="str">
            <v>STC4011B</v>
          </cell>
          <cell r="Q6269" t="str">
            <v>磁性位置传感器</v>
          </cell>
        </row>
        <row r="6270">
          <cell r="O6270" t="str">
            <v>SC2466SO</v>
          </cell>
          <cell r="P6270" t="str">
            <v>STC9906O</v>
          </cell>
          <cell r="Q6270" t="str">
            <v>磁性位置传感器</v>
          </cell>
        </row>
        <row r="6271">
          <cell r="O6271" t="str">
            <v>SC2402SO-N-H</v>
          </cell>
          <cell r="P6271" t="str">
            <v>STC9H001A</v>
          </cell>
          <cell r="Q6271" t="str">
            <v>磁性位置传感器</v>
          </cell>
        </row>
        <row r="6272">
          <cell r="O6272" t="str">
            <v>SC2402SO-N-H</v>
          </cell>
          <cell r="P6272" t="str">
            <v>STC9H001A</v>
          </cell>
          <cell r="Q6272" t="str">
            <v>磁性位置传感器</v>
          </cell>
        </row>
        <row r="6273">
          <cell r="O6273" t="str">
            <v>SC2402SO-N-H</v>
          </cell>
          <cell r="P6273" t="str">
            <v>STC9H001A</v>
          </cell>
          <cell r="Q6273" t="str">
            <v>磁性位置传感器</v>
          </cell>
        </row>
        <row r="6274">
          <cell r="O6274" t="str">
            <v>G01</v>
          </cell>
          <cell r="P6274" t="str">
            <v>STC4011B</v>
          </cell>
          <cell r="Q6274" t="str">
            <v>磁性位置传感器</v>
          </cell>
        </row>
        <row r="6275">
          <cell r="O6275" t="str">
            <v>G01</v>
          </cell>
          <cell r="P6275" t="str">
            <v>STC4011B</v>
          </cell>
          <cell r="Q6275" t="str">
            <v>磁性位置传感器</v>
          </cell>
        </row>
        <row r="6276">
          <cell r="O6276" t="str">
            <v>G01</v>
          </cell>
          <cell r="P6276" t="str">
            <v>STC4011B</v>
          </cell>
          <cell r="Q6276" t="str">
            <v>磁性位置传感器</v>
          </cell>
        </row>
        <row r="6277">
          <cell r="O6277" t="str">
            <v>G01</v>
          </cell>
          <cell r="P6277" t="str">
            <v>STC4011B</v>
          </cell>
          <cell r="Q6277" t="str">
            <v>磁性位置传感器</v>
          </cell>
        </row>
        <row r="6278">
          <cell r="O6278" t="str">
            <v>G01</v>
          </cell>
          <cell r="P6278" t="str">
            <v>STC4011B</v>
          </cell>
          <cell r="Q6278" t="str">
            <v>磁性位置传感器</v>
          </cell>
        </row>
        <row r="6279">
          <cell r="O6279" t="str">
            <v>SC9625VB-L</v>
          </cell>
          <cell r="P6279" t="str">
            <v>STC9910E</v>
          </cell>
          <cell r="Q6279" t="str">
            <v>速度传感器</v>
          </cell>
        </row>
        <row r="6280">
          <cell r="O6280" t="str">
            <v>SC2462SO</v>
          </cell>
          <cell r="P6280" t="str">
            <v>STC9906J</v>
          </cell>
          <cell r="Q6280" t="str">
            <v>磁性位置传感器</v>
          </cell>
        </row>
        <row r="6281">
          <cell r="O6281" t="str">
            <v>SC2462SO</v>
          </cell>
          <cell r="P6281" t="str">
            <v>STC9906J</v>
          </cell>
          <cell r="Q6281" t="str">
            <v>磁性位置传感器</v>
          </cell>
        </row>
        <row r="6282">
          <cell r="O6282" t="str">
            <v>SC2436SO</v>
          </cell>
          <cell r="P6282" t="str">
            <v>STC9906I</v>
          </cell>
          <cell r="Q6282" t="str">
            <v>磁性位置传感器</v>
          </cell>
        </row>
        <row r="6283">
          <cell r="O6283" t="str">
            <v>SC2443SO</v>
          </cell>
          <cell r="P6283" t="str">
            <v>STC9906T</v>
          </cell>
          <cell r="Q6283" t="str">
            <v>磁性位置传感器</v>
          </cell>
        </row>
        <row r="6284">
          <cell r="O6284" t="str">
            <v>SC2443UA</v>
          </cell>
          <cell r="P6284" t="str">
            <v>STC9906W</v>
          </cell>
          <cell r="Q6284" t="str">
            <v>磁性位置传感器</v>
          </cell>
        </row>
        <row r="6285">
          <cell r="O6285" t="str">
            <v>SC2443UA</v>
          </cell>
          <cell r="P6285" t="str">
            <v>STC9906W</v>
          </cell>
          <cell r="Q6285" t="str">
            <v>磁性位置传感器</v>
          </cell>
        </row>
        <row r="6286">
          <cell r="O6286" t="str">
            <v>SC2443UA</v>
          </cell>
          <cell r="P6286" t="str">
            <v>STC9906W</v>
          </cell>
          <cell r="Q6286" t="str">
            <v>磁性位置传感器</v>
          </cell>
        </row>
        <row r="6287">
          <cell r="O6287" t="str">
            <v>SC2443UA</v>
          </cell>
          <cell r="P6287" t="str">
            <v>STC9906W</v>
          </cell>
          <cell r="Q6287" t="str">
            <v>磁性位置传感器</v>
          </cell>
        </row>
        <row r="6288">
          <cell r="O6288" t="str">
            <v>SC2442SO</v>
          </cell>
          <cell r="P6288" t="str">
            <v>STC9906R</v>
          </cell>
          <cell r="Q6288" t="str">
            <v>磁性位置传感器</v>
          </cell>
        </row>
        <row r="6289">
          <cell r="O6289" t="str">
            <v>SC2442SO</v>
          </cell>
          <cell r="P6289" t="str">
            <v>STC9906R</v>
          </cell>
          <cell r="Q6289" t="str">
            <v>磁性位置传感器</v>
          </cell>
        </row>
        <row r="6290">
          <cell r="O6290" t="str">
            <v>SC2442SO</v>
          </cell>
          <cell r="P6290" t="str">
            <v>STC9906R</v>
          </cell>
          <cell r="Q6290" t="str">
            <v>磁性位置传感器</v>
          </cell>
        </row>
        <row r="6291">
          <cell r="O6291" t="str">
            <v>SC1245UA</v>
          </cell>
          <cell r="P6291" t="str">
            <v>STC1898AD</v>
          </cell>
          <cell r="Q6291" t="str">
            <v>磁性位置传感器</v>
          </cell>
        </row>
        <row r="6292">
          <cell r="O6292" t="str">
            <v>SC1245UA</v>
          </cell>
          <cell r="P6292" t="str">
            <v>STC1898AD</v>
          </cell>
          <cell r="Q6292" t="str">
            <v>磁性位置传感器</v>
          </cell>
        </row>
        <row r="6293">
          <cell r="O6293" t="str">
            <v>SC1245UA</v>
          </cell>
          <cell r="P6293" t="str">
            <v>STC1898AD</v>
          </cell>
          <cell r="Q6293" t="str">
            <v>磁性位置传感器</v>
          </cell>
        </row>
        <row r="6294">
          <cell r="O6294" t="str">
            <v>SC2442SO</v>
          </cell>
          <cell r="P6294" t="str">
            <v>STC9906R</v>
          </cell>
          <cell r="Q6294" t="str">
            <v>磁性位置传感器</v>
          </cell>
        </row>
        <row r="6295">
          <cell r="O6295" t="str">
            <v>SC2442SO</v>
          </cell>
          <cell r="P6295" t="str">
            <v>STC9906R</v>
          </cell>
          <cell r="Q6295" t="str">
            <v>磁性位置传感器</v>
          </cell>
        </row>
        <row r="6296">
          <cell r="O6296" t="str">
            <v>SC9641TS-PC</v>
          </cell>
          <cell r="P6296" t="str">
            <v>STC9A001I</v>
          </cell>
          <cell r="Q6296" t="str">
            <v>速度传感器</v>
          </cell>
        </row>
        <row r="6297">
          <cell r="O6297" t="str">
            <v>SC9642TS</v>
          </cell>
          <cell r="P6297" t="str">
            <v>STC9A001G</v>
          </cell>
          <cell r="Q6297" t="str">
            <v>速度传感器</v>
          </cell>
        </row>
        <row r="6298">
          <cell r="O6298" t="str">
            <v>SC9632VB</v>
          </cell>
          <cell r="P6298" t="str">
            <v>STC9905E</v>
          </cell>
          <cell r="Q6298" t="str">
            <v>速度传感器</v>
          </cell>
        </row>
        <row r="6299">
          <cell r="O6299" t="str">
            <v>SC2442SO</v>
          </cell>
          <cell r="P6299" t="str">
            <v>STC9906R</v>
          </cell>
          <cell r="Q6299" t="str">
            <v>磁性位置传感器</v>
          </cell>
        </row>
        <row r="6300">
          <cell r="O6300" t="str">
            <v>SC1002A1</v>
          </cell>
          <cell r="P6300" t="str">
            <v>STC1002AG</v>
          </cell>
          <cell r="Q6300" t="str">
            <v>磁性位置传感器</v>
          </cell>
        </row>
        <row r="6301">
          <cell r="O6301" t="str">
            <v>SC1002A1</v>
          </cell>
          <cell r="P6301" t="str">
            <v>STC1002AG</v>
          </cell>
          <cell r="Q6301" t="str">
            <v>磁性位置传感器</v>
          </cell>
        </row>
        <row r="6302">
          <cell r="O6302" t="str">
            <v>SC1002A1</v>
          </cell>
          <cell r="P6302" t="str">
            <v>STC1002AG</v>
          </cell>
          <cell r="Q6302" t="str">
            <v>磁性位置传感器</v>
          </cell>
        </row>
        <row r="6303">
          <cell r="O6303" t="str">
            <v>SC1002A1</v>
          </cell>
          <cell r="P6303" t="str">
            <v>STC1002AG</v>
          </cell>
          <cell r="Q6303" t="str">
            <v>磁性位置传感器</v>
          </cell>
        </row>
        <row r="6304">
          <cell r="O6304" t="str">
            <v>SC1002A1</v>
          </cell>
          <cell r="P6304" t="str">
            <v>STC1002AG</v>
          </cell>
          <cell r="Q6304" t="str">
            <v>磁性位置传感器</v>
          </cell>
        </row>
        <row r="6305">
          <cell r="O6305" t="str">
            <v>SC1002A1</v>
          </cell>
          <cell r="P6305" t="str">
            <v>STC1002AG</v>
          </cell>
          <cell r="Q6305" t="str">
            <v>磁性位置传感器</v>
          </cell>
        </row>
        <row r="6306">
          <cell r="O6306" t="str">
            <v>SC1002A1</v>
          </cell>
          <cell r="P6306" t="str">
            <v>STC1002AG</v>
          </cell>
          <cell r="Q6306" t="str">
            <v>磁性位置传感器</v>
          </cell>
        </row>
        <row r="6307">
          <cell r="O6307" t="str">
            <v>SC1002A1</v>
          </cell>
          <cell r="P6307" t="str">
            <v>STC1002AG</v>
          </cell>
          <cell r="Q6307" t="str">
            <v>磁性位置传感器</v>
          </cell>
        </row>
        <row r="6308">
          <cell r="O6308" t="str">
            <v>SC2462SO</v>
          </cell>
          <cell r="P6308" t="str">
            <v>STC9906J</v>
          </cell>
          <cell r="Q6308" t="str">
            <v>磁性位置传感器</v>
          </cell>
        </row>
        <row r="6309">
          <cell r="O6309" t="str">
            <v>SC1138SO-N</v>
          </cell>
          <cell r="P6309" t="str">
            <v>STC1898AC</v>
          </cell>
          <cell r="Q6309" t="str">
            <v>磁性位置传感器</v>
          </cell>
        </row>
        <row r="6310">
          <cell r="O6310" t="str">
            <v>SD2276</v>
          </cell>
          <cell r="P6310" t="str">
            <v>FD1014A</v>
          </cell>
          <cell r="Q6310" t="str">
            <v>电机驱动</v>
          </cell>
        </row>
        <row r="6311">
          <cell r="O6311" t="str">
            <v>SC2402SO-N</v>
          </cell>
          <cell r="P6311" t="str">
            <v>STC9902J</v>
          </cell>
          <cell r="Q6311" t="str">
            <v>磁性位置传感器</v>
          </cell>
        </row>
        <row r="6312">
          <cell r="O6312" t="str">
            <v>SC2402SO-N</v>
          </cell>
          <cell r="P6312" t="str">
            <v>STC9902J</v>
          </cell>
          <cell r="Q6312" t="str">
            <v>磁性位置传感器</v>
          </cell>
        </row>
        <row r="6313">
          <cell r="O6313" t="str">
            <v>ATK-E512</v>
          </cell>
          <cell r="P6313" t="str">
            <v>STC4011B</v>
          </cell>
          <cell r="Q6313" t="str">
            <v>磁性位置传感器</v>
          </cell>
        </row>
        <row r="6314">
          <cell r="O6314" t="str">
            <v>SC2402SO-N-H</v>
          </cell>
          <cell r="P6314" t="str">
            <v>STC9H001A</v>
          </cell>
          <cell r="Q6314" t="str">
            <v>磁性位置传感器</v>
          </cell>
        </row>
        <row r="6315">
          <cell r="O6315" t="str">
            <v>SC2402SO-N-H</v>
          </cell>
          <cell r="P6315" t="str">
            <v>STC9H001A</v>
          </cell>
          <cell r="Q6315" t="str">
            <v>磁性位置传感器</v>
          </cell>
        </row>
        <row r="6316">
          <cell r="O6316" t="str">
            <v>SC2402SO-N-H</v>
          </cell>
          <cell r="P6316" t="str">
            <v>STC9H001A</v>
          </cell>
          <cell r="Q6316" t="str">
            <v>磁性位置传感器</v>
          </cell>
        </row>
        <row r="6317">
          <cell r="O6317" t="str">
            <v>SC2402SO-N-H</v>
          </cell>
          <cell r="P6317" t="str">
            <v>STC9H001A</v>
          </cell>
          <cell r="Q6317" t="str">
            <v>磁性位置传感器</v>
          </cell>
        </row>
        <row r="6318">
          <cell r="O6318" t="str">
            <v>SC2402SO-N-H</v>
          </cell>
          <cell r="P6318" t="str">
            <v>STC9H001A</v>
          </cell>
          <cell r="Q6318" t="str">
            <v>磁性位置传感器</v>
          </cell>
        </row>
        <row r="6319">
          <cell r="O6319" t="str">
            <v>SC2402SO-N-H</v>
          </cell>
          <cell r="P6319" t="str">
            <v>STC9H001A</v>
          </cell>
          <cell r="Q6319" t="str">
            <v>磁性位置传感器</v>
          </cell>
        </row>
        <row r="6320">
          <cell r="O6320" t="str">
            <v>G01</v>
          </cell>
          <cell r="P6320" t="str">
            <v>STC4011B</v>
          </cell>
          <cell r="Q6320" t="str">
            <v>磁性位置传感器</v>
          </cell>
        </row>
        <row r="6321">
          <cell r="O6321" t="str">
            <v>G01</v>
          </cell>
          <cell r="P6321" t="str">
            <v>STC4011B</v>
          </cell>
          <cell r="Q6321" t="str">
            <v>磁性位置传感器</v>
          </cell>
        </row>
        <row r="6322">
          <cell r="O6322" t="str">
            <v>G01</v>
          </cell>
          <cell r="P6322" t="str">
            <v>STC4011B</v>
          </cell>
          <cell r="Q6322" t="str">
            <v>磁性位置传感器</v>
          </cell>
        </row>
        <row r="6323">
          <cell r="O6323" t="str">
            <v>G01</v>
          </cell>
          <cell r="P6323" t="str">
            <v>STC4011B</v>
          </cell>
          <cell r="Q6323" t="str">
            <v>磁性位置传感器</v>
          </cell>
        </row>
        <row r="6324">
          <cell r="O6324" t="str">
            <v>G01</v>
          </cell>
          <cell r="P6324" t="str">
            <v>STC4011B</v>
          </cell>
          <cell r="Q6324" t="str">
            <v>磁性位置传感器</v>
          </cell>
        </row>
        <row r="6325">
          <cell r="O6325" t="str">
            <v>SC1245UA</v>
          </cell>
          <cell r="P6325" t="str">
            <v>STC1898AD</v>
          </cell>
          <cell r="Q6325" t="str">
            <v>磁性位置传感器</v>
          </cell>
        </row>
        <row r="6326">
          <cell r="O6326" t="str">
            <v>SC1245UA</v>
          </cell>
          <cell r="P6326" t="str">
            <v>STC1898AD</v>
          </cell>
          <cell r="Q6326" t="str">
            <v>磁性位置传感器</v>
          </cell>
        </row>
        <row r="6327">
          <cell r="O6327" t="str">
            <v>SC1245UA</v>
          </cell>
          <cell r="P6327" t="str">
            <v>STC1898AD</v>
          </cell>
          <cell r="Q6327" t="str">
            <v>磁性位置传感器</v>
          </cell>
        </row>
        <row r="6328">
          <cell r="O6328" t="str">
            <v>SC2442SO</v>
          </cell>
          <cell r="P6328" t="str">
            <v>STC9906R</v>
          </cell>
          <cell r="Q6328" t="str">
            <v>磁性位置传感器</v>
          </cell>
        </row>
        <row r="6329">
          <cell r="O6329" t="str">
            <v>SC2455SO</v>
          </cell>
          <cell r="P6329" t="str">
            <v>STC9906K</v>
          </cell>
          <cell r="Q6329" t="str">
            <v>磁性位置传感器</v>
          </cell>
        </row>
        <row r="6330">
          <cell r="O6330" t="str">
            <v>SC2472UA</v>
          </cell>
          <cell r="P6330" t="str">
            <v>STC9906L(旧  失效）</v>
          </cell>
          <cell r="Q6330" t="str">
            <v>磁性位置传感器</v>
          </cell>
        </row>
        <row r="6331">
          <cell r="O6331" t="str">
            <v>SC4688DC</v>
          </cell>
          <cell r="P6331" t="str">
            <v>STC9D01C</v>
          </cell>
          <cell r="Q6331" t="str">
            <v>角度传感器</v>
          </cell>
        </row>
        <row r="6332">
          <cell r="O6332" t="str">
            <v>SC2546VB</v>
          </cell>
          <cell r="P6332" t="str">
            <v>STC9906H</v>
          </cell>
          <cell r="Q6332" t="str">
            <v>磁性位置传感器</v>
          </cell>
        </row>
        <row r="6333">
          <cell r="O6333" t="str">
            <v>SC2442UA</v>
          </cell>
          <cell r="P6333" t="str">
            <v>STC9906P</v>
          </cell>
          <cell r="Q6333" t="str">
            <v>磁性位置传感器</v>
          </cell>
        </row>
        <row r="6334">
          <cell r="O6334" t="str">
            <v>SC9642TS-E</v>
          </cell>
          <cell r="P6334" t="str">
            <v>STC9A001H</v>
          </cell>
          <cell r="Q6334" t="str">
            <v>速度传感器</v>
          </cell>
        </row>
        <row r="6335">
          <cell r="O6335" t="str">
            <v>SC9642TS-E</v>
          </cell>
          <cell r="P6335" t="str">
            <v>STC9A001H</v>
          </cell>
          <cell r="Q6335" t="str">
            <v>速度传感器</v>
          </cell>
        </row>
        <row r="6336">
          <cell r="O6336" t="str">
            <v>SC9642TS-E</v>
          </cell>
          <cell r="P6336" t="str">
            <v>STC9A001H</v>
          </cell>
          <cell r="Q6336" t="str">
            <v>速度传感器</v>
          </cell>
        </row>
        <row r="6337">
          <cell r="O6337" t="str">
            <v>SC9642TS-E</v>
          </cell>
          <cell r="P6337" t="str">
            <v>STC9A001H</v>
          </cell>
          <cell r="Q6337" t="str">
            <v>速度传感器</v>
          </cell>
        </row>
        <row r="6338">
          <cell r="O6338" t="str">
            <v>SC9642TS-E</v>
          </cell>
          <cell r="P6338" t="str">
            <v>STC9A001H</v>
          </cell>
          <cell r="Q6338" t="str">
            <v>速度传感器</v>
          </cell>
        </row>
        <row r="6339">
          <cell r="O6339" t="str">
            <v>SC9642TS-E</v>
          </cell>
          <cell r="P6339" t="str">
            <v>STC9A001H</v>
          </cell>
          <cell r="Q6339" t="str">
            <v>速度传感器</v>
          </cell>
        </row>
        <row r="6340">
          <cell r="O6340" t="str">
            <v>SC9642TS</v>
          </cell>
          <cell r="P6340" t="str">
            <v>STC9A001G</v>
          </cell>
          <cell r="Q6340" t="str">
            <v>速度传感器</v>
          </cell>
        </row>
        <row r="6341">
          <cell r="O6341" t="str">
            <v>SC69401工程编程器套装</v>
          </cell>
          <cell r="P6341" t="str">
            <v xml:space="preserve"> </v>
          </cell>
          <cell r="Q6341" t="str">
            <v>角度传感器</v>
          </cell>
        </row>
        <row r="6342">
          <cell r="O6342" t="str">
            <v>SD2276</v>
          </cell>
          <cell r="P6342" t="str">
            <v>FD1014A</v>
          </cell>
          <cell r="Q6342" t="str">
            <v>电机驱动</v>
          </cell>
        </row>
        <row r="6343">
          <cell r="O6343" t="str">
            <v>SC9648TS-P</v>
          </cell>
          <cell r="P6343" t="str">
            <v>STC9A001I</v>
          </cell>
          <cell r="Q6343" t="str">
            <v>速度传感器</v>
          </cell>
        </row>
        <row r="6344">
          <cell r="O6344" t="str">
            <v>ATK-E512</v>
          </cell>
          <cell r="P6344" t="str">
            <v>STC4011B</v>
          </cell>
          <cell r="Q6344" t="str">
            <v>磁性位置传感器</v>
          </cell>
        </row>
        <row r="6345">
          <cell r="O6345" t="str">
            <v>ATK-E512</v>
          </cell>
          <cell r="P6345" t="str">
            <v>STC4011B</v>
          </cell>
          <cell r="Q6345" t="str">
            <v>磁性位置传感器</v>
          </cell>
        </row>
        <row r="6346">
          <cell r="O6346" t="str">
            <v>SC2464SO</v>
          </cell>
          <cell r="P6346" t="str">
            <v>STC9906J</v>
          </cell>
          <cell r="Q6346" t="str">
            <v>磁性位置传感器</v>
          </cell>
        </row>
        <row r="6347">
          <cell r="O6347" t="str">
            <v>SC9642TS-E</v>
          </cell>
          <cell r="P6347" t="str">
            <v>STC9A001H</v>
          </cell>
          <cell r="Q6347" t="str">
            <v>速度传感器</v>
          </cell>
        </row>
        <row r="6348">
          <cell r="O6348" t="str">
            <v>SC9642TS-E</v>
          </cell>
          <cell r="P6348" t="str">
            <v>STC9A001H</v>
          </cell>
          <cell r="Q6348" t="str">
            <v>速度传感器</v>
          </cell>
        </row>
        <row r="6349">
          <cell r="O6349" t="str">
            <v>SC9642TS-E</v>
          </cell>
          <cell r="P6349" t="str">
            <v>STC9A001H</v>
          </cell>
          <cell r="Q6349" t="str">
            <v>速度传感器</v>
          </cell>
        </row>
        <row r="6350">
          <cell r="O6350" t="str">
            <v>G01</v>
          </cell>
          <cell r="P6350" t="str">
            <v>STC4011B</v>
          </cell>
          <cell r="Q6350" t="str">
            <v>磁性位置传感器</v>
          </cell>
        </row>
        <row r="6351">
          <cell r="O6351" t="str">
            <v>BZ12</v>
          </cell>
          <cell r="P6351" t="str">
            <v>STC4011B</v>
          </cell>
          <cell r="Q6351" t="str">
            <v>磁性位置传感器</v>
          </cell>
        </row>
        <row r="6352">
          <cell r="O6352" t="str">
            <v>G01</v>
          </cell>
          <cell r="P6352" t="str">
            <v>STC4011B</v>
          </cell>
          <cell r="Q6352" t="str">
            <v>磁性位置传感器</v>
          </cell>
        </row>
        <row r="6353">
          <cell r="O6353" t="str">
            <v>G01</v>
          </cell>
          <cell r="P6353" t="str">
            <v>STC4011B</v>
          </cell>
          <cell r="Q6353" t="str">
            <v>磁性位置传感器</v>
          </cell>
        </row>
        <row r="6354">
          <cell r="O6354" t="str">
            <v>G01</v>
          </cell>
          <cell r="P6354" t="str">
            <v>STC4011B</v>
          </cell>
          <cell r="Q6354" t="str">
            <v>磁性位置传感器</v>
          </cell>
        </row>
        <row r="6355">
          <cell r="O6355" t="str">
            <v>SC60221-D-256</v>
          </cell>
          <cell r="P6355" t="str">
            <v>STC9D04C</v>
          </cell>
          <cell r="Q6355" t="str">
            <v>电机编码器</v>
          </cell>
        </row>
        <row r="6356">
          <cell r="O6356" t="str">
            <v>SC2443SO</v>
          </cell>
          <cell r="P6356" t="str">
            <v>STC9906T</v>
          </cell>
          <cell r="Q6356" t="str">
            <v>磁性位置传感器</v>
          </cell>
        </row>
        <row r="6357">
          <cell r="O6357" t="str">
            <v>SC9648TS-P</v>
          </cell>
          <cell r="P6357" t="str">
            <v>STC9A001I</v>
          </cell>
          <cell r="Q6357" t="str">
            <v>速度传感器</v>
          </cell>
        </row>
        <row r="6358">
          <cell r="O6358" t="str">
            <v>SC2443UA</v>
          </cell>
          <cell r="P6358" t="str">
            <v>STC9906G</v>
          </cell>
          <cell r="Q6358" t="str">
            <v>磁性位置传感器</v>
          </cell>
        </row>
        <row r="6359">
          <cell r="O6359" t="str">
            <v>SC2442SO</v>
          </cell>
          <cell r="P6359" t="str">
            <v>STC9906R</v>
          </cell>
          <cell r="Q6359" t="str">
            <v>磁性位置传感器</v>
          </cell>
        </row>
        <row r="6360">
          <cell r="O6360" t="str">
            <v>SC2442SO</v>
          </cell>
          <cell r="P6360" t="str">
            <v>STC9906R</v>
          </cell>
          <cell r="Q6360" t="str">
            <v>磁性位置传感器</v>
          </cell>
        </row>
        <row r="6361">
          <cell r="O6361" t="str">
            <v>SC1245UA</v>
          </cell>
          <cell r="P6361" t="str">
            <v>STC1898AD</v>
          </cell>
          <cell r="Q6361" t="str">
            <v>磁性位置传感器</v>
          </cell>
        </row>
        <row r="6362">
          <cell r="O6362" t="str">
            <v>SC1245UA</v>
          </cell>
          <cell r="P6362" t="str">
            <v>STC1898AD</v>
          </cell>
          <cell r="Q6362" t="str">
            <v>磁性位置传感器</v>
          </cell>
        </row>
        <row r="6363">
          <cell r="O6363" t="str">
            <v>SC9641TS-PC</v>
          </cell>
          <cell r="P6363" t="str">
            <v>STC9A001I</v>
          </cell>
          <cell r="Q6363" t="str">
            <v>速度传感器</v>
          </cell>
        </row>
        <row r="6364">
          <cell r="O6364" t="str">
            <v>SC9648TS-P</v>
          </cell>
          <cell r="P6364" t="str">
            <v>STC9A001I</v>
          </cell>
          <cell r="Q6364" t="str">
            <v>速度传感器</v>
          </cell>
        </row>
        <row r="6365">
          <cell r="O6365" t="str">
            <v>SC9648TS-P</v>
          </cell>
          <cell r="P6365" t="str">
            <v>STC9A001I</v>
          </cell>
          <cell r="Q6365" t="str">
            <v>速度传感器</v>
          </cell>
        </row>
        <row r="6366">
          <cell r="O6366" t="str">
            <v>SC9642TS-EC</v>
          </cell>
          <cell r="P6366" t="str">
            <v>STC9A001H</v>
          </cell>
          <cell r="Q6366" t="str">
            <v>速度传感器</v>
          </cell>
        </row>
        <row r="6367">
          <cell r="O6367" t="str">
            <v>SC9642TS</v>
          </cell>
          <cell r="P6367" t="str">
            <v>STC9A001G</v>
          </cell>
          <cell r="Q6367" t="str">
            <v>速度传感器</v>
          </cell>
        </row>
        <row r="6368">
          <cell r="O6368" t="str">
            <v>SC2442SO</v>
          </cell>
          <cell r="P6368" t="str">
            <v>STC9906R</v>
          </cell>
          <cell r="Q6368" t="str">
            <v>磁性位置传感器</v>
          </cell>
        </row>
        <row r="6369">
          <cell r="O6369" t="str">
            <v>SC2442SO-E</v>
          </cell>
          <cell r="P6369" t="str">
            <v>STC9906G</v>
          </cell>
          <cell r="Q6369" t="str">
            <v>磁性位置传感器</v>
          </cell>
        </row>
        <row r="6370">
          <cell r="O6370" t="str">
            <v>SC2033SO-N</v>
          </cell>
          <cell r="P6370" t="str">
            <v>STC9G001D</v>
          </cell>
          <cell r="Q6370" t="str">
            <v>磁性位置传感器</v>
          </cell>
        </row>
        <row r="6371">
          <cell r="O6371" t="str">
            <v>SC2402UA</v>
          </cell>
          <cell r="P6371" t="str">
            <v>STC9G002B</v>
          </cell>
          <cell r="Q6371" t="str">
            <v>磁性位置传感器</v>
          </cell>
        </row>
        <row r="6372">
          <cell r="O6372" t="str">
            <v>SC2033SO-N</v>
          </cell>
          <cell r="P6372" t="str">
            <v>STC9G001D</v>
          </cell>
          <cell r="Q6372" t="str">
            <v>磁性位置传感器</v>
          </cell>
        </row>
        <row r="6373">
          <cell r="O6373" t="str">
            <v>ATK-E512</v>
          </cell>
          <cell r="P6373" t="str">
            <v>STC4011B</v>
          </cell>
          <cell r="Q6373" t="str">
            <v>磁性位置传感器</v>
          </cell>
        </row>
        <row r="6374">
          <cell r="O6374" t="str">
            <v>ATK-E512</v>
          </cell>
          <cell r="P6374" t="str">
            <v>STC4011B</v>
          </cell>
          <cell r="Q6374" t="str">
            <v>磁性位置传感器</v>
          </cell>
        </row>
        <row r="6375">
          <cell r="O6375" t="str">
            <v>ATK-E512</v>
          </cell>
          <cell r="P6375" t="str">
            <v>STC4011B</v>
          </cell>
          <cell r="Q6375" t="str">
            <v>磁性位置传感器</v>
          </cell>
        </row>
        <row r="6376">
          <cell r="O6376" t="str">
            <v>ATK-E512</v>
          </cell>
          <cell r="P6376" t="str">
            <v>STC4011B</v>
          </cell>
          <cell r="Q6376" t="str">
            <v>磁性位置传感器</v>
          </cell>
        </row>
        <row r="6377">
          <cell r="O6377" t="str">
            <v>ATK-E512</v>
          </cell>
          <cell r="P6377" t="str">
            <v>STC4011B</v>
          </cell>
          <cell r="Q6377" t="str">
            <v>磁性位置传感器</v>
          </cell>
        </row>
        <row r="6378">
          <cell r="O6378" t="str">
            <v>ATK-E512</v>
          </cell>
          <cell r="P6378" t="str">
            <v>STC4011B</v>
          </cell>
          <cell r="Q6378" t="str">
            <v>磁性位置传感器</v>
          </cell>
        </row>
        <row r="6379">
          <cell r="O6379" t="str">
            <v>ATK-E512</v>
          </cell>
          <cell r="P6379" t="str">
            <v>STC4011B</v>
          </cell>
          <cell r="Q6379" t="str">
            <v>磁性位置传感器</v>
          </cell>
        </row>
        <row r="6380">
          <cell r="O6380" t="str">
            <v>ATK-E512</v>
          </cell>
          <cell r="P6380" t="str">
            <v>STC4011B</v>
          </cell>
          <cell r="Q6380" t="str">
            <v>磁性位置传感器</v>
          </cell>
        </row>
        <row r="6381">
          <cell r="O6381" t="str">
            <v>ATK-E512</v>
          </cell>
          <cell r="P6381" t="str">
            <v>STC4011B</v>
          </cell>
          <cell r="Q6381" t="str">
            <v>磁性位置传感器</v>
          </cell>
        </row>
        <row r="6382">
          <cell r="O6382" t="str">
            <v>SC2402SO-N</v>
          </cell>
          <cell r="P6382" t="str">
            <v>STC9902J</v>
          </cell>
          <cell r="Q6382" t="str">
            <v>磁性位置传感器</v>
          </cell>
        </row>
        <row r="6383">
          <cell r="O6383" t="str">
            <v>SC2462UA</v>
          </cell>
          <cell r="P6383" t="str">
            <v>STC9906J</v>
          </cell>
          <cell r="Q6383" t="str">
            <v>磁性位置传感器</v>
          </cell>
        </row>
        <row r="6384">
          <cell r="O6384" t="str">
            <v>SC2462UA</v>
          </cell>
          <cell r="P6384" t="str">
            <v>STC9906J</v>
          </cell>
          <cell r="Q6384" t="str">
            <v>磁性位置传感器</v>
          </cell>
        </row>
        <row r="6385">
          <cell r="O6385" t="str">
            <v>G01</v>
          </cell>
          <cell r="P6385" t="str">
            <v>STC4011B</v>
          </cell>
          <cell r="Q6385" t="str">
            <v>磁性位置传感器</v>
          </cell>
        </row>
        <row r="6386">
          <cell r="O6386" t="str">
            <v>G01</v>
          </cell>
          <cell r="P6386" t="str">
            <v>STC4011B</v>
          </cell>
          <cell r="Q6386" t="str">
            <v>磁性位置传感器</v>
          </cell>
        </row>
        <row r="6387">
          <cell r="O6387" t="str">
            <v>BZ12</v>
          </cell>
          <cell r="P6387" t="str">
            <v>STC4011B</v>
          </cell>
          <cell r="Q6387" t="str">
            <v>磁性位置传感器</v>
          </cell>
        </row>
        <row r="6388">
          <cell r="O6388" t="str">
            <v>G01</v>
          </cell>
          <cell r="P6388" t="str">
            <v>STC4011B</v>
          </cell>
          <cell r="Q6388" t="str">
            <v>磁性位置传感器</v>
          </cell>
        </row>
        <row r="6389">
          <cell r="O6389" t="str">
            <v>G01</v>
          </cell>
          <cell r="P6389" t="str">
            <v>STC4011B</v>
          </cell>
          <cell r="Q6389" t="str">
            <v>磁性位置传感器</v>
          </cell>
        </row>
        <row r="6390">
          <cell r="O6390" t="str">
            <v>G01</v>
          </cell>
          <cell r="P6390" t="str">
            <v>STC4011B</v>
          </cell>
          <cell r="Q6390" t="str">
            <v>磁性位置传感器</v>
          </cell>
        </row>
        <row r="6391">
          <cell r="O6391" t="str">
            <v>SC2448SO</v>
          </cell>
          <cell r="P6391" t="str">
            <v>STC9906S</v>
          </cell>
          <cell r="Q6391" t="str">
            <v>磁性位置传感器</v>
          </cell>
        </row>
        <row r="6392">
          <cell r="O6392" t="str">
            <v>SC2448SO</v>
          </cell>
          <cell r="P6392" t="str">
            <v>STC9906S</v>
          </cell>
          <cell r="Q6392" t="str">
            <v>磁性位置传感器</v>
          </cell>
        </row>
        <row r="6393">
          <cell r="O6393" t="str">
            <v>SC9648TS-P</v>
          </cell>
          <cell r="P6393" t="str">
            <v>STC9A001I</v>
          </cell>
          <cell r="Q6393" t="str">
            <v>速度传感器</v>
          </cell>
        </row>
        <row r="6394">
          <cell r="O6394" t="str">
            <v>SC9648TS-P</v>
          </cell>
          <cell r="P6394" t="str">
            <v>STC9A001I</v>
          </cell>
          <cell r="Q6394" t="str">
            <v>速度传感器</v>
          </cell>
        </row>
        <row r="6395">
          <cell r="O6395" t="str">
            <v>SC9648TS-P</v>
          </cell>
          <cell r="P6395" t="str">
            <v>STC9A001I</v>
          </cell>
          <cell r="Q6395" t="str">
            <v>速度传感器</v>
          </cell>
        </row>
        <row r="6396">
          <cell r="O6396" t="str">
            <v>SC9648TS-P</v>
          </cell>
          <cell r="P6396" t="str">
            <v>STC9A001I</v>
          </cell>
          <cell r="Q6396" t="str">
            <v>速度传感器</v>
          </cell>
        </row>
        <row r="6397">
          <cell r="O6397" t="str">
            <v>SC9648TS-P</v>
          </cell>
          <cell r="P6397" t="str">
            <v>STC9A001I</v>
          </cell>
          <cell r="Q6397" t="str">
            <v>速度传感器</v>
          </cell>
        </row>
        <row r="6398">
          <cell r="O6398" t="str">
            <v>SC9642TS</v>
          </cell>
          <cell r="P6398" t="str">
            <v>STC9A001D</v>
          </cell>
          <cell r="Q6398" t="str">
            <v>速度传感器</v>
          </cell>
        </row>
        <row r="6399">
          <cell r="O6399" t="str">
            <v>SC9675IM-P-LRF00</v>
          </cell>
          <cell r="P6399" t="str">
            <v>STC9A002B</v>
          </cell>
          <cell r="Q6399" t="str">
            <v>速度传感器</v>
          </cell>
        </row>
        <row r="6400">
          <cell r="O6400" t="str">
            <v>SC4643VB</v>
          </cell>
          <cell r="P6400" t="str">
            <v>STC9D03E</v>
          </cell>
          <cell r="Q6400" t="str">
            <v>电流传感器</v>
          </cell>
        </row>
        <row r="6401">
          <cell r="O6401" t="str">
            <v>SC2443UA</v>
          </cell>
          <cell r="P6401" t="str">
            <v>STC9906W</v>
          </cell>
          <cell r="Q6401" t="str">
            <v>磁性位置传感器</v>
          </cell>
        </row>
        <row r="6402">
          <cell r="O6402" t="str">
            <v>SC2443UA</v>
          </cell>
          <cell r="P6402" t="str">
            <v>STC9906W</v>
          </cell>
          <cell r="Q6402" t="str">
            <v>磁性位置传感器</v>
          </cell>
        </row>
        <row r="6403">
          <cell r="O6403" t="str">
            <v>SC2443UA</v>
          </cell>
          <cell r="P6403" t="str">
            <v>STC9906W</v>
          </cell>
          <cell r="Q6403" t="str">
            <v>磁性位置传感器</v>
          </cell>
        </row>
        <row r="6404">
          <cell r="O6404" t="str">
            <v>SC2443UA</v>
          </cell>
          <cell r="P6404" t="str">
            <v>STC9906W</v>
          </cell>
          <cell r="Q6404" t="str">
            <v>磁性位置传感器</v>
          </cell>
        </row>
        <row r="6405">
          <cell r="O6405" t="str">
            <v>SC2443UA</v>
          </cell>
          <cell r="P6405" t="str">
            <v>STC9906W</v>
          </cell>
          <cell r="Q6405" t="str">
            <v>磁性位置传感器</v>
          </cell>
        </row>
        <row r="6406">
          <cell r="O6406" t="str">
            <v>SC2443UA</v>
          </cell>
          <cell r="P6406" t="str">
            <v>STC9906W</v>
          </cell>
          <cell r="Q6406" t="str">
            <v>磁性位置传感器</v>
          </cell>
        </row>
        <row r="6407">
          <cell r="O6407" t="str">
            <v>SC2443UA</v>
          </cell>
          <cell r="P6407" t="str">
            <v>STC9906W</v>
          </cell>
          <cell r="Q6407" t="str">
            <v>磁性位置传感器</v>
          </cell>
        </row>
        <row r="6408">
          <cell r="O6408" t="str">
            <v>SC9314UA</v>
          </cell>
          <cell r="P6408" t="str">
            <v>STC9901AF</v>
          </cell>
          <cell r="Q6408" t="str">
            <v>速度传感器</v>
          </cell>
        </row>
        <row r="6409">
          <cell r="O6409" t="str">
            <v>SC2464SO</v>
          </cell>
          <cell r="P6409" t="str">
            <v>STC9906J</v>
          </cell>
          <cell r="Q6409" t="str">
            <v>磁性位置传感器</v>
          </cell>
        </row>
        <row r="6410">
          <cell r="O6410" t="str">
            <v>SC2464SO</v>
          </cell>
          <cell r="P6410" t="str">
            <v>STC9906J</v>
          </cell>
          <cell r="Q6410" t="str">
            <v>磁性位置传感器</v>
          </cell>
        </row>
        <row r="6411">
          <cell r="O6411" t="str">
            <v>SC2464SO</v>
          </cell>
          <cell r="P6411" t="str">
            <v>STC9906J</v>
          </cell>
          <cell r="Q6411" t="str">
            <v>磁性位置传感器</v>
          </cell>
        </row>
        <row r="6412">
          <cell r="O6412" t="str">
            <v>SC2442SO</v>
          </cell>
          <cell r="P6412" t="str">
            <v>STC9906R</v>
          </cell>
          <cell r="Q6412" t="str">
            <v>磁性位置传感器</v>
          </cell>
        </row>
        <row r="6413">
          <cell r="O6413" t="str">
            <v>SC2442SO</v>
          </cell>
          <cell r="P6413" t="str">
            <v>STC9906R</v>
          </cell>
          <cell r="Q6413" t="str">
            <v>磁性位置传感器</v>
          </cell>
        </row>
        <row r="6414">
          <cell r="O6414" t="str">
            <v>SC9648TS-P</v>
          </cell>
          <cell r="P6414" t="str">
            <v>STC9A001I</v>
          </cell>
          <cell r="Q6414" t="str">
            <v>速度传感器</v>
          </cell>
        </row>
        <row r="6415">
          <cell r="O6415" t="str">
            <v>SC2462UA</v>
          </cell>
          <cell r="P6415" t="str">
            <v>STC9906J</v>
          </cell>
          <cell r="Q6415" t="str">
            <v>磁性位置传感器</v>
          </cell>
        </row>
        <row r="6416">
          <cell r="O6416" t="str">
            <v>SC9642TS</v>
          </cell>
          <cell r="P6416" t="str">
            <v>STC9A001G</v>
          </cell>
          <cell r="Q6416" t="str">
            <v>速度传感器</v>
          </cell>
        </row>
        <row r="6417">
          <cell r="O6417" t="str">
            <v>SC9642TS</v>
          </cell>
          <cell r="P6417" t="str">
            <v>STC9A001G</v>
          </cell>
          <cell r="Q6417" t="str">
            <v>速度传感器</v>
          </cell>
        </row>
        <row r="6418">
          <cell r="O6418" t="str">
            <v>SC9634VB</v>
          </cell>
          <cell r="P6418" t="str">
            <v>STC9905G</v>
          </cell>
          <cell r="Q6418" t="str">
            <v>速度传感器</v>
          </cell>
        </row>
        <row r="6419">
          <cell r="O6419" t="str">
            <v>SC9634VB</v>
          </cell>
          <cell r="P6419" t="str">
            <v>STC9905G</v>
          </cell>
          <cell r="Q6419" t="str">
            <v>速度传感器</v>
          </cell>
        </row>
        <row r="6420">
          <cell r="O6420" t="str">
            <v>SC9634VB</v>
          </cell>
          <cell r="P6420" t="str">
            <v>STC9905G</v>
          </cell>
          <cell r="Q6420" t="str">
            <v>速度传感器</v>
          </cell>
        </row>
        <row r="6421">
          <cell r="O6421" t="str">
            <v>SC9634VB</v>
          </cell>
          <cell r="P6421" t="str">
            <v>STC9905G</v>
          </cell>
          <cell r="Q6421" t="str">
            <v>速度传感器</v>
          </cell>
        </row>
        <row r="6422">
          <cell r="O6422" t="str">
            <v>SC9634VB</v>
          </cell>
          <cell r="P6422" t="str">
            <v>STC9905G</v>
          </cell>
          <cell r="Q6422" t="str">
            <v>速度传感器</v>
          </cell>
        </row>
        <row r="6423">
          <cell r="O6423" t="str">
            <v>SC60104</v>
          </cell>
          <cell r="P6423" t="str">
            <v>STC9D02C</v>
          </cell>
          <cell r="Q6423" t="str">
            <v>电机编码器</v>
          </cell>
        </row>
        <row r="6424">
          <cell r="O6424" t="str">
            <v>SC2432UA</v>
          </cell>
          <cell r="P6424" t="str">
            <v>STC9906I</v>
          </cell>
          <cell r="Q6424" t="str">
            <v>磁性位置传感器</v>
          </cell>
        </row>
        <row r="6425">
          <cell r="O6425" t="str">
            <v>SC2432UA</v>
          </cell>
          <cell r="P6425" t="str">
            <v>STC9906I</v>
          </cell>
          <cell r="Q6425" t="str">
            <v>磁性位置传感器</v>
          </cell>
        </row>
        <row r="6426">
          <cell r="O6426" t="str">
            <v>SD2276</v>
          </cell>
          <cell r="P6426" t="str">
            <v>FD1014A</v>
          </cell>
          <cell r="Q6426" t="str">
            <v>电机驱动</v>
          </cell>
        </row>
        <row r="6427">
          <cell r="O6427" t="str">
            <v>SD2276</v>
          </cell>
          <cell r="P6427" t="str">
            <v>FD1014A</v>
          </cell>
          <cell r="Q6427" t="str">
            <v>电机驱动</v>
          </cell>
        </row>
        <row r="6428">
          <cell r="O6428" t="str">
            <v>SD2276</v>
          </cell>
          <cell r="P6428" t="str">
            <v>FD1014A</v>
          </cell>
          <cell r="Q6428" t="str">
            <v>电机驱动</v>
          </cell>
        </row>
        <row r="6429">
          <cell r="O6429" t="str">
            <v>SD2276</v>
          </cell>
          <cell r="P6429" t="str">
            <v>FD1014A</v>
          </cell>
          <cell r="Q6429" t="str">
            <v>电机驱动</v>
          </cell>
        </row>
        <row r="6430">
          <cell r="O6430" t="str">
            <v>SC2402UA</v>
          </cell>
          <cell r="P6430" t="str">
            <v>STC9G002B</v>
          </cell>
          <cell r="Q6430" t="str">
            <v>磁性位置传感器</v>
          </cell>
        </row>
        <row r="6431">
          <cell r="O6431" t="str">
            <v>ATK-E512</v>
          </cell>
          <cell r="P6431" t="str">
            <v>STC4011B</v>
          </cell>
          <cell r="Q6431" t="str">
            <v>磁性位置传感器</v>
          </cell>
        </row>
        <row r="6432">
          <cell r="O6432" t="str">
            <v>ATK-E512</v>
          </cell>
          <cell r="P6432" t="str">
            <v>STC4011B</v>
          </cell>
          <cell r="Q6432" t="str">
            <v>磁性位置传感器</v>
          </cell>
        </row>
        <row r="6433">
          <cell r="O6433" t="str">
            <v>ATK-E512</v>
          </cell>
          <cell r="P6433" t="str">
            <v>STC4011B</v>
          </cell>
          <cell r="Q6433" t="str">
            <v>磁性位置传感器</v>
          </cell>
        </row>
        <row r="6434">
          <cell r="O6434" t="str">
            <v>ATK-E512</v>
          </cell>
          <cell r="P6434" t="str">
            <v>STC4011B</v>
          </cell>
          <cell r="Q6434" t="str">
            <v>磁性位置传感器</v>
          </cell>
        </row>
        <row r="6435">
          <cell r="O6435" t="str">
            <v>ATK-E512</v>
          </cell>
          <cell r="P6435" t="str">
            <v>STC4011B</v>
          </cell>
          <cell r="Q6435" t="str">
            <v>磁性位置传感器</v>
          </cell>
        </row>
        <row r="6436">
          <cell r="O6436" t="str">
            <v>ATK-E512</v>
          </cell>
          <cell r="P6436" t="str">
            <v>STC4011B</v>
          </cell>
          <cell r="Q6436" t="str">
            <v>磁性位置传感器</v>
          </cell>
        </row>
        <row r="6437">
          <cell r="O6437" t="str">
            <v>G01</v>
          </cell>
          <cell r="P6437" t="str">
            <v>STC4011B</v>
          </cell>
          <cell r="Q6437" t="str">
            <v>磁性位置传感器</v>
          </cell>
        </row>
        <row r="6438">
          <cell r="O6438" t="str">
            <v>G01</v>
          </cell>
          <cell r="P6438" t="str">
            <v>STC4011B</v>
          </cell>
          <cell r="Q6438" t="str">
            <v>磁性位置传感器</v>
          </cell>
        </row>
        <row r="6439">
          <cell r="O6439" t="str">
            <v>G01</v>
          </cell>
          <cell r="P6439" t="str">
            <v>STC4011B</v>
          </cell>
          <cell r="Q6439" t="str">
            <v>磁性位置传感器</v>
          </cell>
        </row>
        <row r="6440">
          <cell r="O6440" t="str">
            <v>G01</v>
          </cell>
          <cell r="P6440" t="str">
            <v>STC4011B</v>
          </cell>
          <cell r="Q6440" t="str">
            <v>磁性位置传感器</v>
          </cell>
        </row>
        <row r="6441">
          <cell r="O6441" t="str">
            <v>G01</v>
          </cell>
          <cell r="P6441" t="str">
            <v>STC4011B</v>
          </cell>
          <cell r="Q6441" t="str">
            <v>磁性位置传感器</v>
          </cell>
        </row>
        <row r="6442">
          <cell r="O6442" t="str">
            <v>G01</v>
          </cell>
          <cell r="P6442" t="str">
            <v>STC4011B</v>
          </cell>
          <cell r="Q6442" t="str">
            <v>磁性位置传感器</v>
          </cell>
        </row>
        <row r="6443">
          <cell r="O6443" t="str">
            <v>G01</v>
          </cell>
          <cell r="P6443" t="str">
            <v>STC4011B</v>
          </cell>
          <cell r="Q6443" t="str">
            <v>磁性位置传感器</v>
          </cell>
        </row>
        <row r="6444">
          <cell r="O6444" t="str">
            <v>G01</v>
          </cell>
          <cell r="P6444" t="str">
            <v>STC4011B</v>
          </cell>
          <cell r="Q6444" t="str">
            <v>磁性位置传感器</v>
          </cell>
        </row>
        <row r="6445">
          <cell r="O6445" t="str">
            <v>G01</v>
          </cell>
          <cell r="P6445" t="str">
            <v>STC4011B</v>
          </cell>
          <cell r="Q6445" t="str">
            <v>磁性位置传感器</v>
          </cell>
        </row>
        <row r="6446">
          <cell r="O6446" t="str">
            <v>SC4101DN</v>
          </cell>
          <cell r="P6446" t="str">
            <v>STC11201B</v>
          </cell>
          <cell r="Q6446" t="str">
            <v>磁性位置传感器</v>
          </cell>
        </row>
        <row r="6447">
          <cell r="O6447" t="str">
            <v>SC1138SO-N</v>
          </cell>
          <cell r="P6447" t="str">
            <v>STC1898AC</v>
          </cell>
          <cell r="Q6447" t="str">
            <v>磁性位置传感器</v>
          </cell>
        </row>
        <row r="6448">
          <cell r="O6448" t="str">
            <v>SC9642TS-E</v>
          </cell>
          <cell r="P6448" t="str">
            <v>STC9A001H</v>
          </cell>
          <cell r="Q6448" t="str">
            <v>速度传感器</v>
          </cell>
        </row>
        <row r="6449">
          <cell r="O6449" t="str">
            <v>SC9641TS-P</v>
          </cell>
          <cell r="P6449" t="str">
            <v>STC9A001I</v>
          </cell>
          <cell r="Q6449" t="str">
            <v>速度传感器</v>
          </cell>
        </row>
        <row r="6450">
          <cell r="O6450" t="str">
            <v>SC9648TS-P</v>
          </cell>
          <cell r="P6450" t="str">
            <v>STC9A001I</v>
          </cell>
          <cell r="Q6450" t="str">
            <v>速度传感器</v>
          </cell>
        </row>
        <row r="6451">
          <cell r="O6451" t="str">
            <v>SC9641TS-P</v>
          </cell>
          <cell r="P6451" t="str">
            <v>STC9A001I</v>
          </cell>
          <cell r="Q6451" t="str">
            <v>速度传感器</v>
          </cell>
        </row>
        <row r="6452">
          <cell r="O6452" t="str">
            <v>SC9648TS-P</v>
          </cell>
          <cell r="P6452" t="str">
            <v>STC9A001I</v>
          </cell>
          <cell r="Q6452" t="str">
            <v>速度传感器</v>
          </cell>
        </row>
        <row r="6453">
          <cell r="O6453" t="str">
            <v>SC9648TS-P</v>
          </cell>
          <cell r="P6453" t="str">
            <v>STC9A001I</v>
          </cell>
          <cell r="Q6453" t="str">
            <v>速度传感器</v>
          </cell>
        </row>
        <row r="6454">
          <cell r="O6454" t="str">
            <v>SC9642TS</v>
          </cell>
          <cell r="P6454" t="str">
            <v>STC9A001D</v>
          </cell>
          <cell r="Q6454" t="str">
            <v>速度传感器</v>
          </cell>
        </row>
        <row r="6455">
          <cell r="O6455" t="str">
            <v>SC2442UA</v>
          </cell>
          <cell r="P6455" t="str">
            <v>STC9906P</v>
          </cell>
          <cell r="Q6455" t="str">
            <v>磁性位置传感器</v>
          </cell>
        </row>
        <row r="6456">
          <cell r="O6456" t="str">
            <v>SC2442SO</v>
          </cell>
          <cell r="P6456" t="str">
            <v>STC9906R</v>
          </cell>
          <cell r="Q6456" t="str">
            <v>磁性位置传感器</v>
          </cell>
        </row>
        <row r="6457">
          <cell r="O6457" t="str">
            <v>SC9642TS-E</v>
          </cell>
          <cell r="P6457" t="str">
            <v>STC9A001H</v>
          </cell>
          <cell r="Q6457" t="str">
            <v>速度传感器</v>
          </cell>
        </row>
        <row r="6458">
          <cell r="O6458" t="str">
            <v>SC9648TS-P</v>
          </cell>
          <cell r="P6458" t="str">
            <v>STC9A001I</v>
          </cell>
          <cell r="Q6458" t="str">
            <v>速度传感器</v>
          </cell>
        </row>
        <row r="6459">
          <cell r="O6459" t="str">
            <v>SC9648TS-P</v>
          </cell>
          <cell r="P6459" t="str">
            <v>STC9A001I</v>
          </cell>
          <cell r="Q6459" t="str">
            <v>速度传感器</v>
          </cell>
        </row>
        <row r="6460">
          <cell r="O6460" t="str">
            <v>SC2443UA</v>
          </cell>
          <cell r="P6460" t="str">
            <v>STC9906G</v>
          </cell>
          <cell r="Q6460" t="str">
            <v>磁性位置传感器</v>
          </cell>
        </row>
        <row r="6461">
          <cell r="O6461" t="str">
            <v>SC9642TS</v>
          </cell>
          <cell r="P6461" t="str">
            <v>STC9A001G</v>
          </cell>
          <cell r="Q6461" t="str">
            <v>速度传感器</v>
          </cell>
        </row>
        <row r="6462">
          <cell r="O6462" t="str">
            <v>ATK-E512</v>
          </cell>
          <cell r="P6462" t="str">
            <v>STC4011B</v>
          </cell>
          <cell r="Q6462" t="str">
            <v>磁性位置传感器</v>
          </cell>
        </row>
        <row r="6463">
          <cell r="O6463" t="str">
            <v>ATK-E512</v>
          </cell>
          <cell r="P6463" t="str">
            <v>STC4011B</v>
          </cell>
          <cell r="Q6463" t="str">
            <v>磁性位置传感器</v>
          </cell>
        </row>
        <row r="6464">
          <cell r="O6464" t="str">
            <v>ATK-E512</v>
          </cell>
          <cell r="P6464" t="str">
            <v>STC4011B</v>
          </cell>
          <cell r="Q6464" t="str">
            <v>磁性位置传感器</v>
          </cell>
        </row>
        <row r="6465">
          <cell r="O6465" t="str">
            <v>ATK-E512</v>
          </cell>
          <cell r="P6465" t="str">
            <v>STC4011B</v>
          </cell>
          <cell r="Q6465" t="str">
            <v>磁性位置传感器</v>
          </cell>
        </row>
        <row r="6466">
          <cell r="O6466" t="str">
            <v>G01</v>
          </cell>
          <cell r="P6466" t="str">
            <v>STC4011B</v>
          </cell>
          <cell r="Q6466" t="str">
            <v>磁性位置传感器</v>
          </cell>
        </row>
        <row r="6467">
          <cell r="O6467" t="str">
            <v>G01</v>
          </cell>
          <cell r="P6467" t="str">
            <v>STC4011B</v>
          </cell>
          <cell r="Q6467" t="str">
            <v>磁性位置传感器</v>
          </cell>
        </row>
        <row r="6468">
          <cell r="O6468" t="str">
            <v>SC9641TS-PC</v>
          </cell>
          <cell r="P6468" t="str">
            <v>STC9A001I</v>
          </cell>
          <cell r="Q6468" t="str">
            <v>速度传感器</v>
          </cell>
        </row>
        <row r="6469">
          <cell r="O6469" t="str">
            <v>SC9641TS-PC</v>
          </cell>
          <cell r="P6469" t="str">
            <v>STC9A001I</v>
          </cell>
          <cell r="Q6469" t="str">
            <v>速度传感器</v>
          </cell>
        </row>
        <row r="6470">
          <cell r="O6470" t="str">
            <v>SC9641TS-PC</v>
          </cell>
          <cell r="P6470" t="str">
            <v>STC9A001I</v>
          </cell>
          <cell r="Q6470" t="str">
            <v>速度传感器</v>
          </cell>
        </row>
        <row r="6471">
          <cell r="O6471" t="str">
            <v>G01</v>
          </cell>
          <cell r="P6471" t="str">
            <v>STC4011B</v>
          </cell>
          <cell r="Q6471" t="str">
            <v>磁性位置传感器</v>
          </cell>
        </row>
        <row r="6472">
          <cell r="O6472" t="str">
            <v>G01</v>
          </cell>
          <cell r="P6472" t="str">
            <v>STC4011B</v>
          </cell>
          <cell r="Q6472" t="str">
            <v>磁性位置传感器</v>
          </cell>
        </row>
        <row r="6473">
          <cell r="O6473" t="str">
            <v>G01</v>
          </cell>
          <cell r="P6473" t="str">
            <v>STC4011B</v>
          </cell>
          <cell r="Q6473" t="str">
            <v>磁性位置传感器</v>
          </cell>
        </row>
        <row r="6474">
          <cell r="O6474" t="str">
            <v>SC2442SO</v>
          </cell>
          <cell r="P6474" t="str">
            <v>STC9906R</v>
          </cell>
          <cell r="Q6474" t="str">
            <v>磁性位置传感器</v>
          </cell>
        </row>
        <row r="6475">
          <cell r="O6475" t="str">
            <v>SC9642TS</v>
          </cell>
          <cell r="P6475" t="str">
            <v>STC9A001G</v>
          </cell>
          <cell r="Q6475" t="str">
            <v>速度传感器</v>
          </cell>
        </row>
        <row r="6476">
          <cell r="O6476" t="str">
            <v>SD211VB</v>
          </cell>
          <cell r="P6476" t="str">
            <v>FD1016A</v>
          </cell>
          <cell r="Q6476" t="str">
            <v>电机驱动</v>
          </cell>
        </row>
        <row r="6477">
          <cell r="O6477" t="str">
            <v>SD2276</v>
          </cell>
          <cell r="P6477" t="str">
            <v>FD1014A</v>
          </cell>
          <cell r="Q6477" t="str">
            <v>电机驱动</v>
          </cell>
        </row>
        <row r="6478">
          <cell r="O6478" t="str">
            <v>SC1134SO-N</v>
          </cell>
          <cell r="P6478" t="str">
            <v>STC1898AI</v>
          </cell>
          <cell r="Q6478" t="str">
            <v>磁性位置传感器</v>
          </cell>
        </row>
        <row r="6479">
          <cell r="O6479" t="str">
            <v>SC9648TS-P</v>
          </cell>
          <cell r="P6479" t="str">
            <v>STC9A001I</v>
          </cell>
          <cell r="Q6479" t="str">
            <v>速度传感器</v>
          </cell>
        </row>
        <row r="6480">
          <cell r="O6480" t="str">
            <v>SC9648TS-P</v>
          </cell>
          <cell r="P6480" t="str">
            <v>STC9A001I</v>
          </cell>
          <cell r="Q6480" t="str">
            <v>速度传感器</v>
          </cell>
        </row>
        <row r="6481">
          <cell r="O6481" t="str">
            <v>SC9648TS-P</v>
          </cell>
          <cell r="P6481" t="str">
            <v>STC9A001I</v>
          </cell>
          <cell r="Q6481" t="str">
            <v>速度传感器</v>
          </cell>
        </row>
        <row r="6482">
          <cell r="O6482" t="str">
            <v>SC9648TS-P</v>
          </cell>
          <cell r="P6482" t="str">
            <v>STC9A001I</v>
          </cell>
          <cell r="Q6482" t="str">
            <v>速度传感器</v>
          </cell>
        </row>
        <row r="6483">
          <cell r="O6483" t="str">
            <v>SC1134SO-N</v>
          </cell>
          <cell r="P6483" t="str">
            <v>STC1898AI</v>
          </cell>
          <cell r="Q6483" t="str">
            <v>磁性位置传感器</v>
          </cell>
        </row>
        <row r="6484">
          <cell r="O6484" t="str">
            <v>SC1134SO-N</v>
          </cell>
          <cell r="P6484" t="str">
            <v>STC1898AI</v>
          </cell>
          <cell r="Q6484" t="str">
            <v>磁性位置传感器</v>
          </cell>
        </row>
        <row r="6485">
          <cell r="O6485" t="str">
            <v>SC1134SO-N</v>
          </cell>
          <cell r="P6485" t="str">
            <v>STC1898AI</v>
          </cell>
          <cell r="Q6485" t="str">
            <v>磁性位置传感器</v>
          </cell>
        </row>
        <row r="6486">
          <cell r="O6486" t="str">
            <v>SC2402UA</v>
          </cell>
          <cell r="P6486" t="str">
            <v>STC9G002B</v>
          </cell>
          <cell r="Q6486" t="str">
            <v>磁性位置传感器</v>
          </cell>
        </row>
        <row r="6487">
          <cell r="O6487" t="str">
            <v>SC1134SO-N</v>
          </cell>
          <cell r="P6487" t="str">
            <v>STC1898AI</v>
          </cell>
          <cell r="Q6487" t="str">
            <v>磁性位置传感器</v>
          </cell>
        </row>
        <row r="6488">
          <cell r="O6488" t="str">
            <v>SC1134SO-N</v>
          </cell>
          <cell r="P6488" t="str">
            <v>STC1898AI</v>
          </cell>
          <cell r="Q6488" t="str">
            <v>磁性位置传感器</v>
          </cell>
        </row>
        <row r="6489">
          <cell r="O6489" t="str">
            <v>SC1134SO-N</v>
          </cell>
          <cell r="P6489" t="str">
            <v>STC1898AI</v>
          </cell>
          <cell r="Q6489" t="str">
            <v>磁性位置传感器</v>
          </cell>
        </row>
        <row r="6490">
          <cell r="O6490" t="str">
            <v>SC1134SO-N</v>
          </cell>
          <cell r="P6490" t="str">
            <v>STC1898AI</v>
          </cell>
          <cell r="Q6490" t="str">
            <v>磁性位置传感器</v>
          </cell>
        </row>
        <row r="6491">
          <cell r="O6491" t="str">
            <v>SC9634VB</v>
          </cell>
          <cell r="P6491" t="str">
            <v>STC9905G</v>
          </cell>
          <cell r="Q6491" t="str">
            <v>速度传感器</v>
          </cell>
        </row>
        <row r="6492">
          <cell r="O6492" t="str">
            <v>SC9642TS-E</v>
          </cell>
          <cell r="P6492" t="str">
            <v>STC9A001H</v>
          </cell>
          <cell r="Q6492" t="str">
            <v>速度传感器</v>
          </cell>
        </row>
        <row r="6493">
          <cell r="O6493" t="str">
            <v>SC9642TS-E</v>
          </cell>
          <cell r="P6493" t="str">
            <v>STC9A001H</v>
          </cell>
          <cell r="Q6493" t="str">
            <v>速度传感器</v>
          </cell>
        </row>
        <row r="6494">
          <cell r="O6494" t="str">
            <v>G01</v>
          </cell>
          <cell r="P6494" t="str">
            <v>STC4011B</v>
          </cell>
          <cell r="Q6494" t="str">
            <v>磁性位置传感器</v>
          </cell>
        </row>
        <row r="6495">
          <cell r="O6495" t="str">
            <v>G01</v>
          </cell>
          <cell r="P6495" t="str">
            <v>STC4011B</v>
          </cell>
          <cell r="Q6495" t="str">
            <v>磁性位置传感器</v>
          </cell>
        </row>
        <row r="6496">
          <cell r="O6496" t="str">
            <v>G01</v>
          </cell>
          <cell r="P6496" t="str">
            <v>STC4011B</v>
          </cell>
          <cell r="Q6496" t="str">
            <v>磁性位置传感器</v>
          </cell>
        </row>
        <row r="6497">
          <cell r="O6497" t="str">
            <v>G01</v>
          </cell>
          <cell r="P6497" t="str">
            <v>STC4011B</v>
          </cell>
          <cell r="Q6497" t="str">
            <v>磁性位置传感器</v>
          </cell>
        </row>
        <row r="6498">
          <cell r="O6498" t="str">
            <v>G01</v>
          </cell>
          <cell r="P6498" t="str">
            <v>STC4011B</v>
          </cell>
          <cell r="Q6498" t="str">
            <v>磁性位置传感器</v>
          </cell>
        </row>
        <row r="6499">
          <cell r="O6499" t="str">
            <v>G01</v>
          </cell>
          <cell r="P6499" t="str">
            <v>STC4011B</v>
          </cell>
          <cell r="Q6499" t="str">
            <v>磁性位置传感器</v>
          </cell>
        </row>
        <row r="6500">
          <cell r="O6500" t="str">
            <v>G01</v>
          </cell>
          <cell r="P6500" t="str">
            <v>STC4011B</v>
          </cell>
          <cell r="Q6500" t="str">
            <v>磁性位置传感器</v>
          </cell>
        </row>
        <row r="6501">
          <cell r="O6501" t="str">
            <v>G01</v>
          </cell>
          <cell r="P6501" t="str">
            <v>STC4011B</v>
          </cell>
          <cell r="Q6501" t="str">
            <v>磁性位置传感器</v>
          </cell>
        </row>
        <row r="6502">
          <cell r="O6502" t="str">
            <v>G01</v>
          </cell>
          <cell r="P6502" t="str">
            <v>STC4011B</v>
          </cell>
          <cell r="Q6502" t="str">
            <v>磁性位置传感器</v>
          </cell>
        </row>
        <row r="6503">
          <cell r="O6503" t="str">
            <v>G01</v>
          </cell>
          <cell r="P6503" t="str">
            <v>STC4011B</v>
          </cell>
          <cell r="Q6503" t="str">
            <v>磁性位置传感器</v>
          </cell>
        </row>
        <row r="6504">
          <cell r="O6504" t="str">
            <v>VE8602AKR</v>
          </cell>
          <cell r="P6504" t="str">
            <v>V2302C</v>
          </cell>
          <cell r="Q6504" t="str">
            <v>电源管理</v>
          </cell>
        </row>
        <row r="6505">
          <cell r="O6505" t="str">
            <v>VE8600AKR</v>
          </cell>
          <cell r="P6505" t="str">
            <v xml:space="preserve"> </v>
          </cell>
          <cell r="Q6505" t="str">
            <v>电源管理</v>
          </cell>
        </row>
        <row r="6506">
          <cell r="O6506" t="str">
            <v>SC2442SO</v>
          </cell>
          <cell r="P6506" t="str">
            <v>STC9906R</v>
          </cell>
          <cell r="Q6506" t="str">
            <v>磁性位置传感器</v>
          </cell>
        </row>
        <row r="6507">
          <cell r="O6507" t="str">
            <v>SC2442SO</v>
          </cell>
          <cell r="P6507" t="str">
            <v>STC9906R</v>
          </cell>
          <cell r="Q6507" t="str">
            <v>磁性位置传感器</v>
          </cell>
        </row>
        <row r="6508">
          <cell r="O6508" t="str">
            <v>SC2442SO</v>
          </cell>
          <cell r="P6508" t="str">
            <v>STC9906R</v>
          </cell>
          <cell r="Q6508" t="str">
            <v>磁性位置传感器</v>
          </cell>
        </row>
        <row r="6509">
          <cell r="O6509" t="str">
            <v>SC1134SO-N</v>
          </cell>
          <cell r="P6509" t="str">
            <v>STC1898AI</v>
          </cell>
          <cell r="Q6509" t="str">
            <v>磁性位置传感器</v>
          </cell>
        </row>
        <row r="6510">
          <cell r="O6510" t="str">
            <v>SC1134SO-N</v>
          </cell>
          <cell r="P6510" t="str">
            <v>STC1898AI</v>
          </cell>
          <cell r="Q6510" t="str">
            <v>磁性位置传感器</v>
          </cell>
        </row>
        <row r="6511">
          <cell r="O6511" t="str">
            <v>SC1134SO-N</v>
          </cell>
          <cell r="P6511" t="str">
            <v>STC1898AI</v>
          </cell>
          <cell r="Q6511" t="str">
            <v>磁性位置传感器</v>
          </cell>
        </row>
        <row r="6512">
          <cell r="O6512" t="str">
            <v>SC2443SO</v>
          </cell>
          <cell r="P6512" t="str">
            <v>STC9906T</v>
          </cell>
          <cell r="Q6512" t="str">
            <v>磁性位置传感器</v>
          </cell>
        </row>
        <row r="6513">
          <cell r="O6513" t="str">
            <v>SC2443SO</v>
          </cell>
          <cell r="P6513" t="str">
            <v>STC9906T</v>
          </cell>
          <cell r="Q6513" t="str">
            <v>磁性位置传感器</v>
          </cell>
        </row>
        <row r="6514">
          <cell r="O6514" t="str">
            <v>SC2442SO</v>
          </cell>
          <cell r="P6514" t="str">
            <v>STC9906R</v>
          </cell>
          <cell r="Q6514" t="str">
            <v>磁性位置传感器</v>
          </cell>
        </row>
        <row r="6515">
          <cell r="O6515" t="str">
            <v>SC2402UA</v>
          </cell>
          <cell r="P6515" t="str">
            <v>STC9902J</v>
          </cell>
          <cell r="Q6515" t="str">
            <v>磁性位置传感器</v>
          </cell>
        </row>
        <row r="6516">
          <cell r="O6516" t="str">
            <v>SC9625VB-L</v>
          </cell>
          <cell r="P6516" t="str">
            <v>STC9910E</v>
          </cell>
          <cell r="Q6516" t="str">
            <v>速度传感器</v>
          </cell>
        </row>
        <row r="6517">
          <cell r="O6517" t="str">
            <v>SC9625VB-L</v>
          </cell>
          <cell r="P6517" t="str">
            <v>STC9910E</v>
          </cell>
          <cell r="Q6517" t="str">
            <v>速度传感器</v>
          </cell>
        </row>
        <row r="6518">
          <cell r="O6518" t="str">
            <v>SC9642TS</v>
          </cell>
          <cell r="P6518" t="str">
            <v>STC9A001G</v>
          </cell>
          <cell r="Q6518" t="str">
            <v>速度传感器</v>
          </cell>
        </row>
        <row r="6519">
          <cell r="O6519" t="str">
            <v>SC9642TS</v>
          </cell>
          <cell r="P6519" t="str">
            <v>STC9A001G</v>
          </cell>
          <cell r="Q6519" t="str">
            <v>速度传感器</v>
          </cell>
        </row>
        <row r="6520">
          <cell r="O6520" t="str">
            <v>SC9642TS</v>
          </cell>
          <cell r="P6520" t="str">
            <v>STC9A001G</v>
          </cell>
          <cell r="Q6520" t="str">
            <v>速度传感器</v>
          </cell>
        </row>
        <row r="6521">
          <cell r="O6521" t="str">
            <v>SC9642TS</v>
          </cell>
          <cell r="P6521" t="str">
            <v>STC9A001G</v>
          </cell>
          <cell r="Q6521" t="str">
            <v>速度传感器</v>
          </cell>
        </row>
        <row r="6522">
          <cell r="O6522" t="str">
            <v>SC1134SO-N</v>
          </cell>
          <cell r="P6522" t="str">
            <v>STC1898AI</v>
          </cell>
          <cell r="Q6522" t="str">
            <v>磁性位置传感器</v>
          </cell>
        </row>
        <row r="6523">
          <cell r="O6523" t="str">
            <v>SC60221-D-50</v>
          </cell>
          <cell r="P6523" t="str">
            <v>STC9D04C</v>
          </cell>
          <cell r="Q6523" t="str">
            <v>电机编码器</v>
          </cell>
        </row>
        <row r="6524">
          <cell r="O6524" t="str">
            <v>SC60221-D-50</v>
          </cell>
          <cell r="P6524" t="str">
            <v>STC9D04C</v>
          </cell>
          <cell r="Q6524" t="str">
            <v>电机编码器</v>
          </cell>
        </row>
        <row r="6525">
          <cell r="O6525" t="str">
            <v>SC1245SO-N</v>
          </cell>
          <cell r="P6525" t="str">
            <v>STC1898AD</v>
          </cell>
          <cell r="Q6525" t="str">
            <v>磁性位置传感器</v>
          </cell>
        </row>
        <row r="6526">
          <cell r="O6526" t="str">
            <v>SC2438UA</v>
          </cell>
          <cell r="P6526" t="str">
            <v>STC9906I</v>
          </cell>
          <cell r="Q6526" t="str">
            <v>磁性位置传感器</v>
          </cell>
        </row>
        <row r="6527">
          <cell r="O6527" t="str">
            <v>SC2438UA</v>
          </cell>
          <cell r="P6527" t="str">
            <v>STC9906I</v>
          </cell>
          <cell r="Q6527" t="str">
            <v>磁性位置传感器</v>
          </cell>
        </row>
        <row r="6528">
          <cell r="O6528" t="str">
            <v>SC1445A1</v>
          </cell>
          <cell r="P6528" t="str">
            <v>STC2899AB</v>
          </cell>
          <cell r="Q6528" t="str">
            <v>磁性位置传感器</v>
          </cell>
        </row>
        <row r="6529">
          <cell r="O6529" t="str">
            <v>SC2436SO</v>
          </cell>
          <cell r="P6529" t="str">
            <v>STC9906I</v>
          </cell>
          <cell r="Q6529" t="str">
            <v>磁性位置传感器</v>
          </cell>
        </row>
        <row r="6530">
          <cell r="O6530" t="str">
            <v>ATK-E512</v>
          </cell>
          <cell r="P6530" t="str">
            <v>STC4011B</v>
          </cell>
          <cell r="Q6530" t="str">
            <v>磁性位置传感器</v>
          </cell>
        </row>
        <row r="6531">
          <cell r="O6531" t="str">
            <v>ATK-E512</v>
          </cell>
          <cell r="P6531" t="str">
            <v>STC4011B</v>
          </cell>
          <cell r="Q6531" t="str">
            <v>磁性位置传感器</v>
          </cell>
        </row>
        <row r="6532">
          <cell r="O6532" t="str">
            <v>ATK-E512</v>
          </cell>
          <cell r="P6532" t="str">
            <v>STC4011B</v>
          </cell>
          <cell r="Q6532" t="str">
            <v>磁性位置传感器</v>
          </cell>
        </row>
        <row r="6533">
          <cell r="O6533" t="str">
            <v>SC60224-D-1024</v>
          </cell>
          <cell r="P6533" t="str">
            <v>STC9D04C</v>
          </cell>
          <cell r="Q6533" t="str">
            <v>电机编码器</v>
          </cell>
        </row>
        <row r="6534">
          <cell r="O6534" t="str">
            <v>SC4002UA</v>
          </cell>
          <cell r="P6534" t="str">
            <v>STC4000AA</v>
          </cell>
          <cell r="Q6534" t="str">
            <v>磁性位置传感器</v>
          </cell>
        </row>
        <row r="6535">
          <cell r="O6535" t="str">
            <v>G01</v>
          </cell>
          <cell r="P6535" t="str">
            <v>STC4011B</v>
          </cell>
          <cell r="Q6535" t="str">
            <v>磁性位置传感器</v>
          </cell>
        </row>
        <row r="6536">
          <cell r="O6536" t="str">
            <v>G01</v>
          </cell>
          <cell r="P6536" t="str">
            <v>STC4011B</v>
          </cell>
          <cell r="Q6536" t="str">
            <v>磁性位置传感器</v>
          </cell>
        </row>
        <row r="6537">
          <cell r="O6537" t="str">
            <v>G01</v>
          </cell>
          <cell r="P6537" t="str">
            <v>STC4011B</v>
          </cell>
          <cell r="Q6537" t="str">
            <v>磁性位置传感器</v>
          </cell>
        </row>
        <row r="6538">
          <cell r="O6538" t="str">
            <v>G01</v>
          </cell>
          <cell r="P6538" t="str">
            <v>STC4011B</v>
          </cell>
          <cell r="Q6538" t="str">
            <v>磁性位置传感器</v>
          </cell>
        </row>
        <row r="6539">
          <cell r="O6539" t="str">
            <v>G01</v>
          </cell>
          <cell r="P6539" t="str">
            <v>STC4011B</v>
          </cell>
          <cell r="Q6539" t="str">
            <v>磁性位置传感器</v>
          </cell>
        </row>
        <row r="6540">
          <cell r="O6540" t="str">
            <v>G01</v>
          </cell>
          <cell r="P6540" t="str">
            <v>STC4011B</v>
          </cell>
          <cell r="Q6540" t="str">
            <v>磁性位置传感器</v>
          </cell>
        </row>
        <row r="6541">
          <cell r="O6541" t="str">
            <v>G01</v>
          </cell>
          <cell r="P6541" t="str">
            <v>STC4011B</v>
          </cell>
          <cell r="Q6541" t="str">
            <v>磁性位置传感器</v>
          </cell>
        </row>
        <row r="6542">
          <cell r="O6542" t="str">
            <v>STC4011B-DS</v>
          </cell>
          <cell r="P6542" t="str">
            <v>STC4011B</v>
          </cell>
          <cell r="Q6542" t="str">
            <v>磁性位置传感器</v>
          </cell>
        </row>
        <row r="6543">
          <cell r="O6543" t="str">
            <v>SC2402SO-N-G</v>
          </cell>
          <cell r="P6543" t="str">
            <v>STC9G002A</v>
          </cell>
          <cell r="Q6543" t="str">
            <v>磁性位置传感器</v>
          </cell>
        </row>
        <row r="6544">
          <cell r="O6544" t="str">
            <v>SC2402SO-N-G</v>
          </cell>
          <cell r="P6544" t="str">
            <v>STC9G002A</v>
          </cell>
          <cell r="Q6544" t="str">
            <v>磁性位置传感器</v>
          </cell>
        </row>
        <row r="6545">
          <cell r="O6545" t="str">
            <v>SC1134UA</v>
          </cell>
          <cell r="P6545" t="str">
            <v>STC1898AI</v>
          </cell>
          <cell r="Q6545" t="str">
            <v>磁性位置传感器</v>
          </cell>
        </row>
        <row r="6546">
          <cell r="O6546" t="str">
            <v>SC1134UA</v>
          </cell>
          <cell r="P6546" t="str">
            <v>STC1898AI</v>
          </cell>
          <cell r="Q6546" t="str">
            <v>磁性位置传感器</v>
          </cell>
        </row>
        <row r="6547">
          <cell r="O6547" t="str">
            <v>SC1134UA</v>
          </cell>
          <cell r="P6547" t="str">
            <v>STC1898AI</v>
          </cell>
          <cell r="Q6547" t="str">
            <v>磁性位置传感器</v>
          </cell>
        </row>
        <row r="6548">
          <cell r="O6548" t="str">
            <v>SC9642TS-E</v>
          </cell>
          <cell r="P6548" t="str">
            <v>STC9A001H</v>
          </cell>
          <cell r="Q6548" t="str">
            <v>速度传感器</v>
          </cell>
        </row>
        <row r="6549">
          <cell r="O6549" t="str">
            <v>SC9642TS-E</v>
          </cell>
          <cell r="P6549" t="str">
            <v>STC9A001H</v>
          </cell>
          <cell r="Q6549" t="str">
            <v>速度传感器</v>
          </cell>
        </row>
        <row r="6550">
          <cell r="O6550" t="str">
            <v>SC4689SA</v>
          </cell>
          <cell r="P6550" t="str">
            <v>STC9D01F</v>
          </cell>
          <cell r="Q6550" t="str">
            <v>角度传感器</v>
          </cell>
        </row>
        <row r="6551">
          <cell r="O6551" t="str">
            <v>SC2436SO</v>
          </cell>
          <cell r="P6551" t="str">
            <v>STC9906I</v>
          </cell>
          <cell r="Q6551" t="str">
            <v>磁性位置传感器</v>
          </cell>
        </row>
        <row r="6552">
          <cell r="O6552" t="str">
            <v>SC2436SO</v>
          </cell>
          <cell r="P6552" t="str">
            <v>STC9906I</v>
          </cell>
          <cell r="Q6552" t="str">
            <v>磁性位置传感器</v>
          </cell>
        </row>
        <row r="6553">
          <cell r="O6553" t="str">
            <v>SC2436SO</v>
          </cell>
          <cell r="P6553" t="str">
            <v>STC9906I</v>
          </cell>
          <cell r="Q6553" t="str">
            <v>磁性位置传感器</v>
          </cell>
        </row>
        <row r="6554">
          <cell r="O6554" t="str">
            <v>SC9648TS-P</v>
          </cell>
          <cell r="P6554" t="str">
            <v>STC9A001I</v>
          </cell>
          <cell r="Q6554" t="str">
            <v>速度传感器</v>
          </cell>
        </row>
        <row r="6555">
          <cell r="O6555" t="str">
            <v>SC9648TS-P</v>
          </cell>
          <cell r="P6555" t="str">
            <v>STC9A001I</v>
          </cell>
          <cell r="Q6555" t="str">
            <v>速度传感器</v>
          </cell>
        </row>
        <row r="6556">
          <cell r="O6556" t="str">
            <v>SC9648TS-P</v>
          </cell>
          <cell r="P6556" t="str">
            <v>STC9A001I</v>
          </cell>
          <cell r="Q6556" t="str">
            <v>速度传感器</v>
          </cell>
        </row>
        <row r="6557">
          <cell r="O6557" t="str">
            <v>SC9641TS-P</v>
          </cell>
          <cell r="P6557" t="str">
            <v>STC9A001I</v>
          </cell>
          <cell r="Q6557" t="str">
            <v>速度传感器</v>
          </cell>
        </row>
        <row r="6558">
          <cell r="O6558" t="str">
            <v>SC9648TS-P</v>
          </cell>
          <cell r="P6558" t="str">
            <v>STC9A001I</v>
          </cell>
          <cell r="Q6558" t="str">
            <v>速度传感器</v>
          </cell>
        </row>
        <row r="6559">
          <cell r="O6559" t="str">
            <v>SC9648TS-P</v>
          </cell>
          <cell r="P6559" t="str">
            <v>STC9A001I</v>
          </cell>
          <cell r="Q6559" t="str">
            <v>速度传感器</v>
          </cell>
        </row>
        <row r="6560">
          <cell r="O6560" t="str">
            <v>SC9641TS-P</v>
          </cell>
          <cell r="P6560" t="str">
            <v>STC9A001I</v>
          </cell>
          <cell r="Q6560" t="str">
            <v>速度传感器</v>
          </cell>
        </row>
        <row r="6561">
          <cell r="O6561" t="str">
            <v>SC9641TS-P</v>
          </cell>
          <cell r="P6561" t="str">
            <v>STC9A001I</v>
          </cell>
          <cell r="Q6561" t="str">
            <v>速度传感器</v>
          </cell>
        </row>
        <row r="6562">
          <cell r="O6562" t="str">
            <v>PSTC9G002A</v>
          </cell>
          <cell r="P6562" t="str">
            <v>STC9G002A</v>
          </cell>
          <cell r="Q6562" t="str">
            <v>磁性位置传感器</v>
          </cell>
        </row>
        <row r="6563">
          <cell r="O6563" t="str">
            <v>SC9648TS-P</v>
          </cell>
          <cell r="P6563" t="str">
            <v>STC9A001I</v>
          </cell>
          <cell r="Q6563" t="str">
            <v>速度传感器</v>
          </cell>
        </row>
        <row r="6564">
          <cell r="O6564" t="str">
            <v>SC9648TS-P</v>
          </cell>
          <cell r="P6564" t="str">
            <v>STC9A001I</v>
          </cell>
          <cell r="Q6564" t="str">
            <v>速度传感器</v>
          </cell>
        </row>
        <row r="6565">
          <cell r="O6565" t="str">
            <v>SC9641TS</v>
          </cell>
          <cell r="P6565" t="str">
            <v>STC9910BN</v>
          </cell>
          <cell r="Q6565" t="str">
            <v>速度传感器</v>
          </cell>
        </row>
        <row r="6566">
          <cell r="O6566" t="str">
            <v>SC9675IM-P-HRF00</v>
          </cell>
          <cell r="P6566" t="str">
            <v>STC9A002B</v>
          </cell>
          <cell r="Q6566" t="str">
            <v>速度传感器</v>
          </cell>
        </row>
        <row r="6567">
          <cell r="O6567" t="str">
            <v>SC9675IM-P-HRF00</v>
          </cell>
          <cell r="P6567" t="str">
            <v>STC9A002B</v>
          </cell>
          <cell r="Q6567" t="str">
            <v>速度传感器</v>
          </cell>
        </row>
        <row r="6568">
          <cell r="O6568" t="str">
            <v>SC9641TS</v>
          </cell>
          <cell r="P6568" t="str">
            <v>STC9910BN</v>
          </cell>
          <cell r="Q6568" t="str">
            <v>速度传感器</v>
          </cell>
        </row>
        <row r="6569">
          <cell r="O6569" t="str">
            <v>SC1645B1</v>
          </cell>
          <cell r="P6569" t="str">
            <v>STC2899AE</v>
          </cell>
          <cell r="Q6569" t="str">
            <v>磁性位置传感器</v>
          </cell>
        </row>
        <row r="6570">
          <cell r="O6570" t="str">
            <v>SC1645B1</v>
          </cell>
          <cell r="P6570" t="str">
            <v>STC2899AE</v>
          </cell>
          <cell r="Q6570" t="str">
            <v>磁性位置传感器</v>
          </cell>
        </row>
        <row r="6571">
          <cell r="O6571" t="str">
            <v>SC1645B1</v>
          </cell>
          <cell r="P6571" t="str">
            <v>STC2899AE</v>
          </cell>
          <cell r="Q6571" t="str">
            <v>磁性位置传感器</v>
          </cell>
        </row>
        <row r="6572">
          <cell r="O6572" t="str">
            <v>SC1645B1</v>
          </cell>
          <cell r="P6572" t="str">
            <v>STC2899AE</v>
          </cell>
          <cell r="Q6572" t="str">
            <v>磁性位置传感器</v>
          </cell>
        </row>
        <row r="6573">
          <cell r="O6573" t="str">
            <v>SC60224-D-1024</v>
          </cell>
          <cell r="P6573" t="str">
            <v>STC9D04C</v>
          </cell>
          <cell r="Q6573" t="str">
            <v>电机编码器</v>
          </cell>
        </row>
        <row r="6574">
          <cell r="O6574" t="str">
            <v>SC4688SA-A</v>
          </cell>
          <cell r="P6574" t="str">
            <v>STC9D01C</v>
          </cell>
          <cell r="Q6574" t="str">
            <v>角度传感器</v>
          </cell>
        </row>
        <row r="6575">
          <cell r="O6575" t="str">
            <v>SC4688SA-A</v>
          </cell>
          <cell r="P6575" t="str">
            <v>STC9D01C</v>
          </cell>
          <cell r="Q6575" t="str">
            <v>角度传感器</v>
          </cell>
        </row>
        <row r="6576">
          <cell r="O6576" t="str">
            <v>SC2063SO</v>
          </cell>
          <cell r="P6576" t="str">
            <v>STC9G001C</v>
          </cell>
          <cell r="Q6576" t="str">
            <v>磁性位置传感器</v>
          </cell>
        </row>
        <row r="6577">
          <cell r="O6577" t="str">
            <v>SC2063SO</v>
          </cell>
          <cell r="P6577" t="str">
            <v>STC9G001C</v>
          </cell>
          <cell r="Q6577" t="str">
            <v>磁性位置传感器</v>
          </cell>
        </row>
        <row r="6578">
          <cell r="O6578" t="str">
            <v>SC243XSO</v>
          </cell>
          <cell r="P6578" t="str">
            <v>STC9906M</v>
          </cell>
          <cell r="Q6578" t="str">
            <v>磁性位置传感器</v>
          </cell>
        </row>
        <row r="6579">
          <cell r="O6579" t="str">
            <v>SC9621VB</v>
          </cell>
          <cell r="P6579" t="str">
            <v>STC9910C</v>
          </cell>
          <cell r="Q6579" t="str">
            <v>速度传感器</v>
          </cell>
        </row>
        <row r="6580">
          <cell r="O6580" t="str">
            <v>SD211VB</v>
          </cell>
          <cell r="P6580" t="str">
            <v>FD1016A</v>
          </cell>
          <cell r="Q6580" t="str">
            <v>电机驱动</v>
          </cell>
        </row>
        <row r="6581">
          <cell r="O6581" t="str">
            <v>SD211VB</v>
          </cell>
          <cell r="P6581" t="str">
            <v>FD1016A</v>
          </cell>
          <cell r="Q6581" t="str">
            <v>电机驱动</v>
          </cell>
        </row>
        <row r="6582">
          <cell r="O6582" t="str">
            <v>SC2402UA</v>
          </cell>
          <cell r="P6582" t="str">
            <v>STC9G002B</v>
          </cell>
          <cell r="Q6582" t="str">
            <v>磁性位置传感器</v>
          </cell>
        </row>
        <row r="6583">
          <cell r="O6583" t="str">
            <v>SC2402UA</v>
          </cell>
          <cell r="P6583" t="str">
            <v>STC9G002B</v>
          </cell>
          <cell r="Q6583" t="str">
            <v>磁性位置传感器</v>
          </cell>
        </row>
        <row r="6584">
          <cell r="O6584" t="str">
            <v>SC60224-U-P4-1024</v>
          </cell>
          <cell r="P6584" t="str">
            <v>STC9D04C</v>
          </cell>
          <cell r="Q6584" t="str">
            <v>电机编码器</v>
          </cell>
        </row>
        <row r="6585">
          <cell r="O6585" t="str">
            <v>SC2442SO</v>
          </cell>
          <cell r="P6585" t="str">
            <v>STC9906R</v>
          </cell>
          <cell r="Q6585" t="str">
            <v>磁性位置传感器</v>
          </cell>
        </row>
        <row r="6586">
          <cell r="O6586" t="str">
            <v>SC2462SO</v>
          </cell>
          <cell r="P6586" t="str">
            <v>STC9906J</v>
          </cell>
          <cell r="Q6586" t="str">
            <v>磁性位置传感器</v>
          </cell>
        </row>
        <row r="6587">
          <cell r="O6587" t="str">
            <v>SC2442UA</v>
          </cell>
          <cell r="P6587" t="str">
            <v>STC9906P</v>
          </cell>
          <cell r="Q6587" t="str">
            <v>磁性位置传感器</v>
          </cell>
        </row>
        <row r="6588">
          <cell r="O6588" t="str">
            <v>SC1134SO-N</v>
          </cell>
          <cell r="P6588" t="str">
            <v>STC1898AI</v>
          </cell>
          <cell r="Q6588" t="str">
            <v>磁性位置传感器</v>
          </cell>
        </row>
        <row r="6589">
          <cell r="O6589" t="str">
            <v>SC2063SO</v>
          </cell>
          <cell r="P6589" t="str">
            <v>STC9G001C</v>
          </cell>
          <cell r="Q6589" t="str">
            <v>磁性位置传感器</v>
          </cell>
        </row>
        <row r="6590">
          <cell r="O6590" t="str">
            <v>SC4011SO-N</v>
          </cell>
          <cell r="P6590" t="str">
            <v>STC4011B</v>
          </cell>
          <cell r="Q6590" t="str">
            <v>磁性位置传感器</v>
          </cell>
        </row>
        <row r="6591">
          <cell r="O6591" t="str">
            <v>SC1134UA</v>
          </cell>
          <cell r="P6591" t="str">
            <v>STC1898AI</v>
          </cell>
          <cell r="Q6591" t="str">
            <v>磁性位置传感器</v>
          </cell>
        </row>
        <row r="6592">
          <cell r="O6592" t="str">
            <v>SC2402UA</v>
          </cell>
          <cell r="P6592" t="str">
            <v>STC9902J</v>
          </cell>
          <cell r="Q6592" t="str">
            <v>磁性位置传感器</v>
          </cell>
        </row>
        <row r="6593">
          <cell r="O6593" t="str">
            <v>SC2434SO-N</v>
          </cell>
          <cell r="P6593" t="str">
            <v>STC9906I</v>
          </cell>
          <cell r="Q6593" t="str">
            <v>磁性位置传感器</v>
          </cell>
        </row>
        <row r="6594">
          <cell r="O6594" t="str">
            <v>SC9642TS-E</v>
          </cell>
          <cell r="P6594" t="str">
            <v>STC9A001H</v>
          </cell>
          <cell r="Q6594" t="str">
            <v>速度传感器</v>
          </cell>
        </row>
        <row r="6595">
          <cell r="O6595" t="str">
            <v>SC9314UA</v>
          </cell>
          <cell r="P6595" t="str">
            <v>STC9901AF</v>
          </cell>
          <cell r="Q6595" t="str">
            <v>速度传感器</v>
          </cell>
        </row>
        <row r="6596">
          <cell r="O6596" t="str">
            <v>G01</v>
          </cell>
          <cell r="P6596" t="str">
            <v>STC4011B</v>
          </cell>
          <cell r="Q6596" t="str">
            <v>磁性位置传感器</v>
          </cell>
        </row>
        <row r="6597">
          <cell r="O6597" t="str">
            <v>G01</v>
          </cell>
          <cell r="P6597" t="str">
            <v>STC4011B</v>
          </cell>
          <cell r="Q6597" t="str">
            <v>磁性位置传感器</v>
          </cell>
        </row>
        <row r="6598">
          <cell r="O6598" t="str">
            <v>G01</v>
          </cell>
          <cell r="P6598" t="str">
            <v>STC4011B</v>
          </cell>
          <cell r="Q6598" t="str">
            <v>磁性位置传感器</v>
          </cell>
        </row>
        <row r="6599">
          <cell r="O6599" t="str">
            <v>G01</v>
          </cell>
          <cell r="P6599" t="str">
            <v>STC4011B</v>
          </cell>
          <cell r="Q6599" t="str">
            <v>磁性位置传感器</v>
          </cell>
        </row>
        <row r="6600">
          <cell r="O6600" t="str">
            <v>G01</v>
          </cell>
          <cell r="P6600" t="str">
            <v>STC4011B</v>
          </cell>
          <cell r="Q6600" t="str">
            <v>磁性位置传感器</v>
          </cell>
        </row>
        <row r="6601">
          <cell r="O6601" t="str">
            <v>G01</v>
          </cell>
          <cell r="P6601" t="str">
            <v>STC4011B</v>
          </cell>
          <cell r="Q6601" t="str">
            <v>磁性位置传感器</v>
          </cell>
        </row>
        <row r="6602">
          <cell r="O6602" t="str">
            <v>G01</v>
          </cell>
          <cell r="P6602" t="str">
            <v>STC4011B</v>
          </cell>
          <cell r="Q6602" t="str">
            <v>磁性位置传感器</v>
          </cell>
        </row>
        <row r="6603">
          <cell r="O6603" t="str">
            <v>G01</v>
          </cell>
          <cell r="P6603" t="str">
            <v>STC4011B</v>
          </cell>
          <cell r="Q6603" t="str">
            <v>磁性位置传感器</v>
          </cell>
        </row>
        <row r="6604">
          <cell r="O6604" t="str">
            <v>G01</v>
          </cell>
          <cell r="P6604" t="str">
            <v>STC4011B</v>
          </cell>
          <cell r="Q6604" t="str">
            <v>磁性位置传感器</v>
          </cell>
        </row>
        <row r="6605">
          <cell r="O6605" t="str">
            <v>G01</v>
          </cell>
          <cell r="P6605" t="str">
            <v>STC4011B</v>
          </cell>
          <cell r="Q6605" t="str">
            <v>磁性位置传感器</v>
          </cell>
        </row>
        <row r="6606">
          <cell r="O6606" t="str">
            <v>G01</v>
          </cell>
          <cell r="P6606" t="str">
            <v>STC4011B</v>
          </cell>
          <cell r="Q6606" t="str">
            <v>磁性位置传感器</v>
          </cell>
        </row>
        <row r="6607">
          <cell r="O6607" t="str">
            <v>SC9642TS-EC</v>
          </cell>
          <cell r="P6607" t="str">
            <v>STC9A001H</v>
          </cell>
          <cell r="Q6607" t="str">
            <v>速度传感器</v>
          </cell>
        </row>
        <row r="6608">
          <cell r="O6608" t="str">
            <v>SC9642TS-EC</v>
          </cell>
          <cell r="P6608" t="str">
            <v>STC9A001H</v>
          </cell>
          <cell r="Q6608" t="str">
            <v>速度传感器</v>
          </cell>
        </row>
        <row r="6609">
          <cell r="O6609" t="str">
            <v>SC9642TS-EC</v>
          </cell>
          <cell r="P6609" t="str">
            <v>STC9A001H</v>
          </cell>
          <cell r="Q6609" t="str">
            <v>速度传感器</v>
          </cell>
        </row>
        <row r="6610">
          <cell r="O6610" t="str">
            <v>SC2462SO</v>
          </cell>
          <cell r="P6610" t="str">
            <v>STC9906J</v>
          </cell>
          <cell r="Q6610" t="str">
            <v>磁性位置传感器</v>
          </cell>
        </row>
        <row r="6611">
          <cell r="O6611" t="str">
            <v>SC2462SO</v>
          </cell>
          <cell r="P6611" t="str">
            <v>STC9906J</v>
          </cell>
          <cell r="Q6611" t="str">
            <v>磁性位置传感器</v>
          </cell>
        </row>
        <row r="6612">
          <cell r="O6612" t="str">
            <v>SC2462SO</v>
          </cell>
          <cell r="P6612" t="str">
            <v>STC9906J</v>
          </cell>
          <cell r="Q6612" t="str">
            <v>磁性位置传感器</v>
          </cell>
        </row>
        <row r="6613">
          <cell r="O6613" t="str">
            <v>SC9314UA</v>
          </cell>
          <cell r="P6613" t="str">
            <v>STC9901AF</v>
          </cell>
          <cell r="Q6613" t="str">
            <v>速度传感器</v>
          </cell>
        </row>
        <row r="6614">
          <cell r="O6614" t="str">
            <v>SC9314UA</v>
          </cell>
          <cell r="P6614" t="str">
            <v>STC9901AF</v>
          </cell>
          <cell r="Q6614" t="str">
            <v>速度传感器</v>
          </cell>
        </row>
        <row r="6615">
          <cell r="O6615" t="str">
            <v>SC9621VB</v>
          </cell>
          <cell r="P6615" t="str">
            <v>STC9910C</v>
          </cell>
          <cell r="Q6615" t="str">
            <v>速度传感器</v>
          </cell>
        </row>
        <row r="6616">
          <cell r="O6616" t="str">
            <v>ZH619A0</v>
          </cell>
          <cell r="P6616" t="str">
            <v>STC22303</v>
          </cell>
          <cell r="Q6616" t="str">
            <v>电机驱动</v>
          </cell>
        </row>
        <row r="6617">
          <cell r="O6617" t="str">
            <v>ZH619A0</v>
          </cell>
          <cell r="P6617" t="str">
            <v>STC22303</v>
          </cell>
          <cell r="Q6617" t="str">
            <v>电机驱动</v>
          </cell>
        </row>
        <row r="6618">
          <cell r="O6618" t="str">
            <v>ZH619A0</v>
          </cell>
          <cell r="P6618" t="str">
            <v>STC22303</v>
          </cell>
          <cell r="Q6618" t="str">
            <v>电机驱动</v>
          </cell>
        </row>
        <row r="6619">
          <cell r="O6619" t="str">
            <v>SC9621VB</v>
          </cell>
          <cell r="P6619" t="str">
            <v>STC9910C</v>
          </cell>
          <cell r="Q6619" t="str">
            <v>速度传感器</v>
          </cell>
        </row>
        <row r="6620">
          <cell r="O6620" t="str">
            <v>SC2432UA</v>
          </cell>
          <cell r="P6620" t="str">
            <v>STC9906I</v>
          </cell>
          <cell r="Q6620" t="str">
            <v>磁性位置传感器</v>
          </cell>
        </row>
        <row r="6621">
          <cell r="O6621" t="str">
            <v>SC9641TS</v>
          </cell>
          <cell r="P6621" t="str">
            <v>STC9910BN</v>
          </cell>
          <cell r="Q6621" t="str">
            <v>速度传感器</v>
          </cell>
        </row>
        <row r="6622">
          <cell r="O6622" t="str">
            <v>SC9641TS</v>
          </cell>
          <cell r="P6622" t="str">
            <v>STC9910BN</v>
          </cell>
          <cell r="Q6622" t="str">
            <v>速度传感器</v>
          </cell>
        </row>
        <row r="6623">
          <cell r="O6623" t="str">
            <v>SC2432UA</v>
          </cell>
          <cell r="P6623" t="str">
            <v>STC9906I</v>
          </cell>
          <cell r="Q6623" t="str">
            <v>磁性位置传感器</v>
          </cell>
        </row>
        <row r="6624">
          <cell r="O6624" t="str">
            <v>SC9641TS</v>
          </cell>
          <cell r="P6624" t="str">
            <v>STC9910BN</v>
          </cell>
          <cell r="Q6624" t="str">
            <v>速度传感器</v>
          </cell>
        </row>
        <row r="6625">
          <cell r="O6625" t="str">
            <v>SC2402UA</v>
          </cell>
          <cell r="P6625" t="str">
            <v>STC9902J</v>
          </cell>
          <cell r="Q6625" t="str">
            <v>磁性位置传感器</v>
          </cell>
        </row>
        <row r="6626">
          <cell r="O6626" t="str">
            <v>SC2402UA</v>
          </cell>
          <cell r="P6626" t="str">
            <v>STC9902J</v>
          </cell>
          <cell r="Q6626" t="str">
            <v>磁性位置传感器</v>
          </cell>
        </row>
        <row r="6627">
          <cell r="O6627" t="str">
            <v>ATK-E512</v>
          </cell>
          <cell r="P6627" t="str">
            <v>STC4011B</v>
          </cell>
          <cell r="Q6627" t="str">
            <v>磁性位置传感器</v>
          </cell>
        </row>
        <row r="6628">
          <cell r="O6628" t="str">
            <v>ATK-E512</v>
          </cell>
          <cell r="P6628" t="str">
            <v>STC4011B</v>
          </cell>
          <cell r="Q6628" t="str">
            <v>磁性位置传感器</v>
          </cell>
        </row>
        <row r="6629">
          <cell r="O6629" t="str">
            <v>ATK-E512</v>
          </cell>
          <cell r="P6629" t="str">
            <v>STC4011B</v>
          </cell>
          <cell r="Q6629" t="str">
            <v>磁性位置传感器</v>
          </cell>
        </row>
        <row r="6630">
          <cell r="O6630" t="str">
            <v>SC2464SO</v>
          </cell>
          <cell r="P6630" t="str">
            <v>STC9906J</v>
          </cell>
          <cell r="Q6630" t="str">
            <v>磁性位置传感器</v>
          </cell>
        </row>
        <row r="6631">
          <cell r="O6631" t="str">
            <v>SC2442SO-N</v>
          </cell>
          <cell r="P6631" t="str">
            <v>STC9906P</v>
          </cell>
          <cell r="Q6631" t="str">
            <v>磁性位置传感器</v>
          </cell>
        </row>
        <row r="6632">
          <cell r="O6632" t="str">
            <v>SC2442SO-N</v>
          </cell>
          <cell r="P6632" t="str">
            <v>STC9906P</v>
          </cell>
          <cell r="Q6632" t="str">
            <v>磁性位置传感器</v>
          </cell>
        </row>
        <row r="6633">
          <cell r="O6633" t="str">
            <v>SC2442SO-N</v>
          </cell>
          <cell r="P6633" t="str">
            <v>STC9906P</v>
          </cell>
          <cell r="Q6633" t="str">
            <v>磁性位置传感器</v>
          </cell>
        </row>
        <row r="6634">
          <cell r="O6634" t="str">
            <v>SC2442SO-N</v>
          </cell>
          <cell r="P6634" t="str">
            <v>STC9906P</v>
          </cell>
          <cell r="Q6634" t="str">
            <v>磁性位置传感器</v>
          </cell>
        </row>
        <row r="6635">
          <cell r="O6635" t="str">
            <v>SC2442SO-N</v>
          </cell>
          <cell r="P6635" t="str">
            <v>STC9906P</v>
          </cell>
          <cell r="Q6635" t="str">
            <v>磁性位置传感器</v>
          </cell>
        </row>
        <row r="6636">
          <cell r="O6636" t="str">
            <v>SC2442SO-N</v>
          </cell>
          <cell r="P6636" t="str">
            <v>STC9906P</v>
          </cell>
          <cell r="Q6636" t="str">
            <v>磁性位置传感器</v>
          </cell>
        </row>
        <row r="6637">
          <cell r="O6637" t="str">
            <v>SC2442SO-N</v>
          </cell>
          <cell r="P6637" t="str">
            <v>STC9906P</v>
          </cell>
          <cell r="Q6637" t="str">
            <v>磁性位置传感器</v>
          </cell>
        </row>
        <row r="6638">
          <cell r="O6638" t="str">
            <v>SC2464SO</v>
          </cell>
          <cell r="P6638" t="str">
            <v>STC9906J</v>
          </cell>
          <cell r="Q6638" t="str">
            <v>磁性位置传感器</v>
          </cell>
        </row>
        <row r="6639">
          <cell r="O6639" t="str">
            <v>SC2402SO-N-H</v>
          </cell>
          <cell r="P6639" t="str">
            <v>STC9H001A</v>
          </cell>
          <cell r="Q6639" t="str">
            <v>磁性位置传感器</v>
          </cell>
        </row>
        <row r="6640">
          <cell r="O6640" t="str">
            <v>SC2402SO-N-H</v>
          </cell>
          <cell r="P6640" t="str">
            <v>STC9H001A</v>
          </cell>
          <cell r="Q6640" t="str">
            <v>磁性位置传感器</v>
          </cell>
        </row>
        <row r="6641">
          <cell r="O6641" t="str">
            <v>SC2402SO-N-H</v>
          </cell>
          <cell r="P6641" t="str">
            <v>STC9H001A</v>
          </cell>
          <cell r="Q6641" t="str">
            <v>磁性位置传感器</v>
          </cell>
        </row>
        <row r="6642">
          <cell r="O6642" t="str">
            <v>SC2402SO-N-H</v>
          </cell>
          <cell r="P6642" t="str">
            <v>STC9H001A</v>
          </cell>
          <cell r="Q6642" t="str">
            <v>磁性位置传感器</v>
          </cell>
        </row>
        <row r="6643">
          <cell r="O6643" t="str">
            <v>SC2402SO-N-H</v>
          </cell>
          <cell r="P6643" t="str">
            <v>STC9H001A</v>
          </cell>
          <cell r="Q6643" t="str">
            <v>磁性位置传感器</v>
          </cell>
        </row>
        <row r="6644">
          <cell r="O6644" t="str">
            <v>SC2402SO-N-H</v>
          </cell>
          <cell r="P6644" t="str">
            <v>STC9H001A</v>
          </cell>
          <cell r="Q6644" t="str">
            <v>磁性位置传感器</v>
          </cell>
        </row>
        <row r="6645">
          <cell r="O6645" t="str">
            <v>G01</v>
          </cell>
          <cell r="P6645" t="str">
            <v>STC4011B</v>
          </cell>
          <cell r="Q6645" t="str">
            <v>磁性位置传感器</v>
          </cell>
        </row>
        <row r="6646">
          <cell r="O6646" t="str">
            <v>G01</v>
          </cell>
          <cell r="P6646" t="str">
            <v>STC4011B</v>
          </cell>
          <cell r="Q6646" t="str">
            <v>磁性位置传感器</v>
          </cell>
        </row>
        <row r="6647">
          <cell r="O6647" t="str">
            <v>G01</v>
          </cell>
          <cell r="P6647" t="str">
            <v>STC4011B</v>
          </cell>
          <cell r="Q6647" t="str">
            <v>磁性位置传感器</v>
          </cell>
        </row>
        <row r="6648">
          <cell r="O6648" t="str">
            <v>G01</v>
          </cell>
          <cell r="P6648" t="str">
            <v>STC4011B</v>
          </cell>
          <cell r="Q6648" t="str">
            <v>磁性位置传感器</v>
          </cell>
        </row>
        <row r="6649">
          <cell r="O6649" t="str">
            <v>SC4101DN</v>
          </cell>
          <cell r="P6649" t="str">
            <v>STC11201B</v>
          </cell>
          <cell r="Q6649" t="str">
            <v>磁性位置传感器</v>
          </cell>
        </row>
        <row r="6650">
          <cell r="O6650" t="str">
            <v>SC4001SE</v>
          </cell>
          <cell r="P6650" t="str">
            <v>STC4001AB</v>
          </cell>
          <cell r="Q6650" t="str">
            <v>磁性位置传感器</v>
          </cell>
        </row>
        <row r="6651">
          <cell r="O6651" t="str">
            <v>SC4688编程板</v>
          </cell>
          <cell r="P6651" t="str">
            <v xml:space="preserve"> </v>
          </cell>
          <cell r="Q6651" t="str">
            <v>角度传感器</v>
          </cell>
        </row>
        <row r="6652">
          <cell r="O6652" t="str">
            <v>SC2402SO-N-G</v>
          </cell>
          <cell r="P6652" t="str">
            <v>STC9G002A</v>
          </cell>
          <cell r="Q6652" t="str">
            <v>磁性位置传感器</v>
          </cell>
        </row>
        <row r="6653">
          <cell r="O6653" t="str">
            <v>SC4688SA</v>
          </cell>
          <cell r="P6653" t="str">
            <v>STC9D01C</v>
          </cell>
          <cell r="Q6653" t="str">
            <v>角度传感器</v>
          </cell>
        </row>
        <row r="6654">
          <cell r="O6654" t="str">
            <v>SC4688SA</v>
          </cell>
          <cell r="P6654" t="str">
            <v>STC9D01C</v>
          </cell>
          <cell r="Q6654" t="str">
            <v>角度传感器</v>
          </cell>
        </row>
        <row r="6655">
          <cell r="O6655" t="str">
            <v>SC4688SA</v>
          </cell>
          <cell r="P6655" t="str">
            <v>STC9D01C</v>
          </cell>
          <cell r="Q6655" t="str">
            <v>角度传感器</v>
          </cell>
        </row>
        <row r="6656">
          <cell r="O6656" t="str">
            <v>SC4688SA</v>
          </cell>
          <cell r="P6656" t="str">
            <v>STC9D01C</v>
          </cell>
          <cell r="Q6656" t="str">
            <v>角度传感器</v>
          </cell>
        </row>
        <row r="6657">
          <cell r="O6657" t="str">
            <v>SC1134SO-N</v>
          </cell>
          <cell r="P6657" t="str">
            <v>STC1898AI</v>
          </cell>
          <cell r="Q6657" t="str">
            <v>磁性位置传感器</v>
          </cell>
        </row>
        <row r="6658">
          <cell r="O6658" t="str">
            <v>SC1134SO-N</v>
          </cell>
          <cell r="P6658" t="str">
            <v>STC1898AI</v>
          </cell>
          <cell r="Q6658" t="str">
            <v>磁性位置传感器</v>
          </cell>
        </row>
        <row r="6659">
          <cell r="O6659" t="str">
            <v>SC9641TS-PC</v>
          </cell>
          <cell r="P6659" t="str">
            <v>STC9A001I</v>
          </cell>
          <cell r="Q6659" t="str">
            <v>速度传感器</v>
          </cell>
        </row>
        <row r="6660">
          <cell r="O6660" t="str">
            <v>SC9641TS-PC</v>
          </cell>
          <cell r="P6660" t="str">
            <v>STC9A001I</v>
          </cell>
          <cell r="Q6660" t="str">
            <v>速度传感器</v>
          </cell>
        </row>
        <row r="6661">
          <cell r="O6661" t="str">
            <v>SC2242UA</v>
          </cell>
          <cell r="P6661" t="str">
            <v>STC9906H</v>
          </cell>
          <cell r="Q6661" t="str">
            <v>磁性位置传感器</v>
          </cell>
        </row>
        <row r="6662">
          <cell r="O6662" t="str">
            <v>SC9641TS-PC</v>
          </cell>
          <cell r="P6662" t="str">
            <v>STC9A001I</v>
          </cell>
          <cell r="Q6662" t="str">
            <v>速度传感器</v>
          </cell>
        </row>
        <row r="6663">
          <cell r="O6663" t="str">
            <v>SC2464SO</v>
          </cell>
          <cell r="P6663" t="str">
            <v>STC9906J</v>
          </cell>
          <cell r="Q6663" t="str">
            <v>磁性位置传感器</v>
          </cell>
        </row>
        <row r="6664">
          <cell r="O6664" t="str">
            <v>SC2442UA</v>
          </cell>
          <cell r="P6664" t="str">
            <v>STC9906P</v>
          </cell>
          <cell r="Q6664" t="str">
            <v>磁性位置传感器</v>
          </cell>
        </row>
        <row r="6665">
          <cell r="O6665" t="str">
            <v>SC2442UA</v>
          </cell>
          <cell r="P6665" t="str">
            <v>STC9906P</v>
          </cell>
          <cell r="Q6665" t="str">
            <v>磁性位置传感器</v>
          </cell>
        </row>
        <row r="6666">
          <cell r="O6666" t="str">
            <v>SC1445A1</v>
          </cell>
          <cell r="P6666" t="str">
            <v>STC2899AB</v>
          </cell>
          <cell r="Q6666" t="str">
            <v>磁性位置传感器</v>
          </cell>
        </row>
        <row r="6667">
          <cell r="O6667" t="str">
            <v>SC2442SO-N</v>
          </cell>
          <cell r="P6667" t="str">
            <v>STC9906P</v>
          </cell>
          <cell r="Q6667" t="str">
            <v>磁性位置传感器</v>
          </cell>
        </row>
        <row r="6668">
          <cell r="O6668" t="str">
            <v>SC2462SO</v>
          </cell>
          <cell r="P6668" t="str">
            <v>STC9906J</v>
          </cell>
          <cell r="Q6668" t="str">
            <v>磁性位置传感器</v>
          </cell>
        </row>
        <row r="6669">
          <cell r="O6669" t="str">
            <v>SC2462SO</v>
          </cell>
          <cell r="P6669" t="str">
            <v>STC9906J</v>
          </cell>
          <cell r="Q6669" t="str">
            <v>磁性位置传感器</v>
          </cell>
        </row>
        <row r="6670">
          <cell r="O6670" t="str">
            <v>SD211VB</v>
          </cell>
          <cell r="P6670" t="str">
            <v>FD1016A</v>
          </cell>
          <cell r="Q6670" t="str">
            <v>电机驱动</v>
          </cell>
        </row>
        <row r="6671">
          <cell r="O6671" t="str">
            <v>SD211VB</v>
          </cell>
          <cell r="P6671" t="str">
            <v>FD1016A</v>
          </cell>
          <cell r="Q6671" t="str">
            <v>电机驱动</v>
          </cell>
        </row>
        <row r="6672">
          <cell r="O6672" t="str">
            <v>SD211VB</v>
          </cell>
          <cell r="P6672" t="str">
            <v>FD1016A</v>
          </cell>
          <cell r="Q6672" t="str">
            <v>电机驱动</v>
          </cell>
        </row>
        <row r="6673">
          <cell r="O6673" t="str">
            <v>SC9314UA</v>
          </cell>
          <cell r="P6673" t="str">
            <v>STC9901AF</v>
          </cell>
          <cell r="Q6673" t="str">
            <v>速度传感器</v>
          </cell>
        </row>
        <row r="6674">
          <cell r="O6674" t="str">
            <v>SD2276</v>
          </cell>
          <cell r="P6674" t="str">
            <v>FD1014A</v>
          </cell>
          <cell r="Q6674" t="str">
            <v>电机驱动</v>
          </cell>
        </row>
        <row r="6675">
          <cell r="O6675" t="str">
            <v>2100HBL</v>
          </cell>
          <cell r="P6675" t="str">
            <v>STC9D03E</v>
          </cell>
          <cell r="Q6675" t="str">
            <v>电流传感器</v>
          </cell>
        </row>
        <row r="6676">
          <cell r="O6676" t="str">
            <v>SC1134SO-N</v>
          </cell>
          <cell r="P6676" t="str">
            <v>STC1898AI</v>
          </cell>
          <cell r="Q6676" t="str">
            <v>磁性位置传感器</v>
          </cell>
        </row>
        <row r="6677">
          <cell r="O6677" t="str">
            <v>SC2434UA</v>
          </cell>
          <cell r="P6677" t="str">
            <v>STC9906I</v>
          </cell>
          <cell r="Q6677" t="str">
            <v>磁性位置传感器</v>
          </cell>
        </row>
        <row r="6678">
          <cell r="O6678" t="str">
            <v>SC2434UA</v>
          </cell>
          <cell r="P6678" t="str">
            <v>STC9906I</v>
          </cell>
          <cell r="Q6678" t="str">
            <v>磁性位置传感器</v>
          </cell>
        </row>
        <row r="6679">
          <cell r="O6679" t="str">
            <v>SC1134SO-N</v>
          </cell>
          <cell r="P6679" t="str">
            <v>STC1898AI</v>
          </cell>
          <cell r="Q6679" t="str">
            <v>磁性位置传感器</v>
          </cell>
        </row>
        <row r="6680">
          <cell r="O6680" t="str">
            <v>SC2402UA-G</v>
          </cell>
          <cell r="P6680" t="str">
            <v>STC9G002B</v>
          </cell>
          <cell r="Q6680" t="str">
            <v>磁性位置传感器</v>
          </cell>
        </row>
        <row r="6681">
          <cell r="O6681" t="str">
            <v>ATK-E512</v>
          </cell>
          <cell r="P6681" t="str">
            <v>STC4011B</v>
          </cell>
          <cell r="Q6681" t="str">
            <v>磁性位置传感器</v>
          </cell>
        </row>
        <row r="6682">
          <cell r="O6682" t="str">
            <v>ATK-E512</v>
          </cell>
          <cell r="P6682" t="str">
            <v>STC4011B</v>
          </cell>
          <cell r="Q6682" t="str">
            <v>磁性位置传感器</v>
          </cell>
        </row>
        <row r="6683">
          <cell r="O6683" t="str">
            <v>ATK-E512</v>
          </cell>
          <cell r="P6683" t="str">
            <v>STC4011B</v>
          </cell>
          <cell r="Q6683" t="str">
            <v>磁性位置传感器</v>
          </cell>
        </row>
        <row r="6684">
          <cell r="O6684" t="str">
            <v>ATK-E512</v>
          </cell>
          <cell r="P6684" t="str">
            <v>STC4011B</v>
          </cell>
          <cell r="Q6684" t="str">
            <v>磁性位置传感器</v>
          </cell>
        </row>
        <row r="6685">
          <cell r="O6685" t="str">
            <v>ATK-E512</v>
          </cell>
          <cell r="P6685" t="str">
            <v>STC4011B</v>
          </cell>
          <cell r="Q6685" t="str">
            <v>磁性位置传感器</v>
          </cell>
        </row>
        <row r="6686">
          <cell r="O6686" t="str">
            <v>SC9314UA</v>
          </cell>
          <cell r="P6686" t="str">
            <v>STC9901AF</v>
          </cell>
          <cell r="Q6686" t="str">
            <v>速度传感器</v>
          </cell>
        </row>
        <row r="6687">
          <cell r="O6687" t="str">
            <v>SC9314UA</v>
          </cell>
          <cell r="P6687" t="str">
            <v>STC9901AF</v>
          </cell>
          <cell r="Q6687" t="str">
            <v>速度传感器</v>
          </cell>
        </row>
        <row r="6688">
          <cell r="O6688" t="str">
            <v>SC9314UA</v>
          </cell>
          <cell r="P6688" t="str">
            <v>STC9901AF</v>
          </cell>
          <cell r="Q6688" t="str">
            <v>速度传感器</v>
          </cell>
        </row>
        <row r="6689">
          <cell r="O6689" t="str">
            <v>SC9632VB</v>
          </cell>
          <cell r="P6689" t="str">
            <v>STC9905E</v>
          </cell>
          <cell r="Q6689" t="str">
            <v>速度传感器</v>
          </cell>
        </row>
        <row r="6690">
          <cell r="O6690" t="str">
            <v>SC9632VB</v>
          </cell>
          <cell r="P6690" t="str">
            <v>STC9905E</v>
          </cell>
          <cell r="Q6690" t="str">
            <v>速度传感器</v>
          </cell>
        </row>
        <row r="6691">
          <cell r="O6691" t="str">
            <v>SC9633VB</v>
          </cell>
          <cell r="P6691" t="str">
            <v>STC9905F</v>
          </cell>
          <cell r="Q6691" t="str">
            <v>速度传感器</v>
          </cell>
        </row>
        <row r="6692">
          <cell r="O6692" t="str">
            <v>SC2442UA</v>
          </cell>
          <cell r="P6692" t="str">
            <v>STC9906P</v>
          </cell>
          <cell r="Q6692" t="str">
            <v>磁性位置传感器</v>
          </cell>
        </row>
        <row r="6693">
          <cell r="O6693" t="str">
            <v>SC2442UA</v>
          </cell>
          <cell r="P6693" t="str">
            <v>STC9906P</v>
          </cell>
          <cell r="Q6693" t="str">
            <v>磁性位置传感器</v>
          </cell>
        </row>
        <row r="6694">
          <cell r="O6694" t="str">
            <v>G01</v>
          </cell>
          <cell r="P6694" t="str">
            <v>STC4011B</v>
          </cell>
          <cell r="Q6694" t="str">
            <v>磁性位置传感器</v>
          </cell>
        </row>
        <row r="6695">
          <cell r="O6695" t="str">
            <v>G01</v>
          </cell>
          <cell r="P6695" t="str">
            <v>STC4011B</v>
          </cell>
          <cell r="Q6695" t="str">
            <v>磁性位置传感器</v>
          </cell>
        </row>
        <row r="6696">
          <cell r="O6696" t="str">
            <v>G01</v>
          </cell>
          <cell r="P6696" t="str">
            <v>STC4011B</v>
          </cell>
          <cell r="Q6696" t="str">
            <v>磁性位置传感器</v>
          </cell>
        </row>
        <row r="6697">
          <cell r="O6697" t="str">
            <v>G01</v>
          </cell>
          <cell r="P6697" t="str">
            <v>STC4011B</v>
          </cell>
          <cell r="Q6697" t="str">
            <v>磁性位置传感器</v>
          </cell>
        </row>
        <row r="6698">
          <cell r="O6698" t="str">
            <v>G01</v>
          </cell>
          <cell r="P6698" t="str">
            <v>STC4011B</v>
          </cell>
          <cell r="Q6698" t="str">
            <v>磁性位置传感器</v>
          </cell>
        </row>
        <row r="6699">
          <cell r="O6699" t="str">
            <v>G01</v>
          </cell>
          <cell r="P6699" t="str">
            <v>STC4011B</v>
          </cell>
          <cell r="Q6699" t="str">
            <v>磁性位置传感器</v>
          </cell>
        </row>
        <row r="6700">
          <cell r="O6700" t="str">
            <v>G01</v>
          </cell>
          <cell r="P6700" t="str">
            <v>STC4011B</v>
          </cell>
          <cell r="Q6700" t="str">
            <v>磁性位置传感器</v>
          </cell>
        </row>
        <row r="6701">
          <cell r="O6701" t="str">
            <v>G01</v>
          </cell>
          <cell r="P6701" t="str">
            <v>STC4011B</v>
          </cell>
          <cell r="Q6701" t="str">
            <v>磁性位置传感器</v>
          </cell>
        </row>
        <row r="6702">
          <cell r="O6702" t="str">
            <v>G01</v>
          </cell>
          <cell r="P6702" t="str">
            <v>STC4011B</v>
          </cell>
          <cell r="Q6702" t="str">
            <v>磁性位置传感器</v>
          </cell>
        </row>
        <row r="6703">
          <cell r="O6703" t="str">
            <v>G01</v>
          </cell>
          <cell r="P6703" t="str">
            <v>STC4011B</v>
          </cell>
          <cell r="Q6703" t="str">
            <v>磁性位置传感器</v>
          </cell>
        </row>
        <row r="6704">
          <cell r="O6704" t="str">
            <v>SC1134SO-N</v>
          </cell>
          <cell r="P6704" t="str">
            <v>STC1898AI</v>
          </cell>
          <cell r="Q6704" t="str">
            <v>磁性位置传感器</v>
          </cell>
        </row>
        <row r="6705">
          <cell r="O6705" t="str">
            <v>SC9675IM-P-LRF00</v>
          </cell>
          <cell r="P6705" t="str">
            <v>STC9A002B</v>
          </cell>
          <cell r="Q6705" t="str">
            <v>速度传感器</v>
          </cell>
        </row>
        <row r="6706">
          <cell r="O6706" t="str">
            <v>SC9648TS-P</v>
          </cell>
          <cell r="P6706" t="str">
            <v>STC9A001I</v>
          </cell>
          <cell r="Q6706" t="str">
            <v>速度传感器</v>
          </cell>
        </row>
        <row r="6707">
          <cell r="O6707" t="str">
            <v>SC9648TS-P</v>
          </cell>
          <cell r="P6707" t="str">
            <v>STC9A001I</v>
          </cell>
          <cell r="Q6707" t="str">
            <v>速度传感器</v>
          </cell>
        </row>
        <row r="6708">
          <cell r="O6708" t="str">
            <v>SC9648TS-P</v>
          </cell>
          <cell r="P6708" t="str">
            <v>STC9A001I</v>
          </cell>
          <cell r="Q6708" t="str">
            <v>速度传感器</v>
          </cell>
        </row>
        <row r="6709">
          <cell r="O6709" t="str">
            <v>SC9641TS-PC</v>
          </cell>
          <cell r="P6709" t="str">
            <v>STC9A001I</v>
          </cell>
          <cell r="Q6709" t="str">
            <v>速度传感器</v>
          </cell>
        </row>
        <row r="6710">
          <cell r="O6710" t="str">
            <v>SC2442UA</v>
          </cell>
          <cell r="P6710" t="str">
            <v>STC9906P</v>
          </cell>
          <cell r="Q6710" t="str">
            <v>磁性位置传感器</v>
          </cell>
        </row>
        <row r="6711">
          <cell r="O6711" t="str">
            <v>SC2442UA</v>
          </cell>
          <cell r="P6711" t="str">
            <v>STC9906P</v>
          </cell>
          <cell r="Q6711" t="str">
            <v>磁性位置传感器</v>
          </cell>
        </row>
        <row r="6712">
          <cell r="O6712" t="str">
            <v>SC1134SO-N</v>
          </cell>
          <cell r="P6712" t="str">
            <v>STC1898AI</v>
          </cell>
          <cell r="Q6712" t="str">
            <v>磁性位置传感器</v>
          </cell>
        </row>
        <row r="6713">
          <cell r="O6713" t="str">
            <v>SC9648TS-P</v>
          </cell>
          <cell r="P6713" t="str">
            <v>STC9A001I</v>
          </cell>
          <cell r="Q6713" t="str">
            <v>速度传感器</v>
          </cell>
        </row>
        <row r="6714">
          <cell r="O6714" t="str">
            <v>SC9641TS-PC</v>
          </cell>
          <cell r="P6714" t="str">
            <v>STC9A001I</v>
          </cell>
          <cell r="Q6714" t="str">
            <v>速度传感器</v>
          </cell>
        </row>
        <row r="6715">
          <cell r="O6715" t="str">
            <v>SC9675IM-P-LRF00</v>
          </cell>
          <cell r="P6715" t="str">
            <v>STC9A002B</v>
          </cell>
          <cell r="Q6715" t="str">
            <v>速度传感器</v>
          </cell>
        </row>
        <row r="6716">
          <cell r="O6716" t="str">
            <v>SC9675IM-P-LRF00</v>
          </cell>
          <cell r="P6716" t="str">
            <v>STC9A002B</v>
          </cell>
          <cell r="Q6716" t="str">
            <v>速度传感器</v>
          </cell>
        </row>
        <row r="6717">
          <cell r="O6717" t="str">
            <v>SC9675IM-P-LRF00</v>
          </cell>
          <cell r="P6717" t="str">
            <v>STC9A002B</v>
          </cell>
          <cell r="Q6717" t="str">
            <v>速度传感器</v>
          </cell>
        </row>
        <row r="6718">
          <cell r="O6718" t="str">
            <v>SC9675IM-P-LRF00</v>
          </cell>
          <cell r="P6718" t="str">
            <v>STC9A002B</v>
          </cell>
          <cell r="Q6718" t="str">
            <v>速度传感器</v>
          </cell>
        </row>
        <row r="6719">
          <cell r="O6719" t="str">
            <v>SC9642TS</v>
          </cell>
          <cell r="P6719" t="str">
            <v>STC9A001G</v>
          </cell>
          <cell r="Q6719" t="str">
            <v>速度传感器</v>
          </cell>
        </row>
        <row r="6720">
          <cell r="O6720" t="str">
            <v>SC9642TS</v>
          </cell>
          <cell r="P6720" t="str">
            <v>STC9A001G</v>
          </cell>
          <cell r="Q6720" t="str">
            <v>速度传感器</v>
          </cell>
        </row>
        <row r="6721">
          <cell r="O6721" t="str">
            <v>SC9642TS</v>
          </cell>
          <cell r="P6721" t="str">
            <v>STC9A001G</v>
          </cell>
          <cell r="Q6721" t="str">
            <v>速度传感器</v>
          </cell>
        </row>
        <row r="6722">
          <cell r="O6722" t="str">
            <v>SC1134SO-N</v>
          </cell>
          <cell r="P6722" t="str">
            <v>STC1898AI</v>
          </cell>
          <cell r="Q6722" t="str">
            <v>磁性位置传感器</v>
          </cell>
        </row>
        <row r="6723">
          <cell r="O6723" t="str">
            <v>ATK-E512</v>
          </cell>
          <cell r="P6723" t="str">
            <v>STC4011B</v>
          </cell>
          <cell r="Q6723" t="str">
            <v>磁性位置传感器</v>
          </cell>
        </row>
        <row r="6724">
          <cell r="O6724" t="str">
            <v>ATK-E512</v>
          </cell>
          <cell r="P6724" t="str">
            <v>STC4011B</v>
          </cell>
          <cell r="Q6724" t="str">
            <v>磁性位置传感器</v>
          </cell>
        </row>
        <row r="6725">
          <cell r="O6725" t="str">
            <v>ATK-E512</v>
          </cell>
          <cell r="P6725" t="str">
            <v>STC4011B</v>
          </cell>
          <cell r="Q6725" t="str">
            <v>磁性位置传感器</v>
          </cell>
        </row>
        <row r="6726">
          <cell r="O6726" t="str">
            <v>ATK-E512</v>
          </cell>
          <cell r="P6726" t="str">
            <v>STC4011B</v>
          </cell>
          <cell r="Q6726" t="str">
            <v>磁性位置传感器</v>
          </cell>
        </row>
        <row r="6727">
          <cell r="O6727" t="str">
            <v>ATK-E512</v>
          </cell>
          <cell r="P6727" t="str">
            <v>STC4011B</v>
          </cell>
          <cell r="Q6727" t="str">
            <v>磁性位置传感器</v>
          </cell>
        </row>
        <row r="6728">
          <cell r="O6728" t="str">
            <v>G01</v>
          </cell>
          <cell r="P6728" t="str">
            <v>STC4011B</v>
          </cell>
          <cell r="Q6728" t="str">
            <v>磁性位置传感器</v>
          </cell>
        </row>
        <row r="6729">
          <cell r="O6729" t="str">
            <v>G01</v>
          </cell>
          <cell r="P6729" t="str">
            <v>STC4011B</v>
          </cell>
          <cell r="Q6729" t="str">
            <v>磁性位置传感器</v>
          </cell>
        </row>
        <row r="6730">
          <cell r="O6730" t="str">
            <v>G01</v>
          </cell>
          <cell r="P6730" t="str">
            <v>STC4011B</v>
          </cell>
          <cell r="Q6730" t="str">
            <v>磁性位置传感器</v>
          </cell>
        </row>
        <row r="6731">
          <cell r="O6731" t="str">
            <v>ATK-E512</v>
          </cell>
          <cell r="P6731" t="str">
            <v>STC4011B</v>
          </cell>
          <cell r="Q6731" t="str">
            <v>磁性位置传感器</v>
          </cell>
        </row>
        <row r="6732">
          <cell r="O6732" t="str">
            <v>G01</v>
          </cell>
          <cell r="P6732" t="str">
            <v>STC4011B</v>
          </cell>
          <cell r="Q6732" t="str">
            <v>磁性位置传感器</v>
          </cell>
        </row>
        <row r="6733">
          <cell r="O6733" t="str">
            <v>G01</v>
          </cell>
          <cell r="P6733" t="str">
            <v>STC4011B</v>
          </cell>
          <cell r="Q6733" t="str">
            <v>磁性位置传感器</v>
          </cell>
        </row>
        <row r="6734">
          <cell r="O6734" t="str">
            <v>G01</v>
          </cell>
          <cell r="P6734" t="str">
            <v>STC4011B</v>
          </cell>
          <cell r="Q6734" t="str">
            <v>磁性位置传感器</v>
          </cell>
        </row>
        <row r="6735">
          <cell r="O6735" t="str">
            <v>G01</v>
          </cell>
          <cell r="P6735" t="str">
            <v>STC4011B</v>
          </cell>
          <cell r="Q6735" t="str">
            <v>磁性位置传感器</v>
          </cell>
        </row>
        <row r="6736">
          <cell r="O6736" t="str">
            <v>G01</v>
          </cell>
          <cell r="P6736" t="str">
            <v>STC4011B</v>
          </cell>
          <cell r="Q6736" t="str">
            <v>磁性位置传感器</v>
          </cell>
        </row>
        <row r="6737">
          <cell r="O6737" t="str">
            <v>G01</v>
          </cell>
          <cell r="P6737" t="str">
            <v>STC4011B</v>
          </cell>
          <cell r="Q6737" t="str">
            <v>磁性位置传感器</v>
          </cell>
        </row>
        <row r="6738">
          <cell r="O6738" t="str">
            <v>G01</v>
          </cell>
          <cell r="P6738" t="str">
            <v>STC4011B</v>
          </cell>
          <cell r="Q6738" t="str">
            <v>磁性位置传感器</v>
          </cell>
        </row>
        <row r="6739">
          <cell r="O6739" t="str">
            <v>G01</v>
          </cell>
          <cell r="P6739" t="str">
            <v>STC4011B</v>
          </cell>
          <cell r="Q6739" t="str">
            <v>磁性位置传感器</v>
          </cell>
        </row>
        <row r="6740">
          <cell r="O6740" t="str">
            <v>G01</v>
          </cell>
          <cell r="P6740" t="str">
            <v>STC4011B</v>
          </cell>
          <cell r="Q6740" t="str">
            <v>磁性位置传感器</v>
          </cell>
        </row>
        <row r="6741">
          <cell r="O6741" t="str">
            <v>G01</v>
          </cell>
          <cell r="P6741" t="str">
            <v>STC4011B</v>
          </cell>
          <cell r="Q6741" t="str">
            <v>磁性位置传感器</v>
          </cell>
        </row>
        <row r="6742">
          <cell r="O6742" t="str">
            <v>G01</v>
          </cell>
          <cell r="P6742" t="str">
            <v>STC4011B</v>
          </cell>
          <cell r="Q6742" t="str">
            <v>磁性位置传感器</v>
          </cell>
        </row>
        <row r="6743">
          <cell r="O6743" t="str">
            <v>G01</v>
          </cell>
          <cell r="P6743" t="str">
            <v>STC4011B</v>
          </cell>
          <cell r="Q6743" t="str">
            <v>磁性位置传感器</v>
          </cell>
        </row>
        <row r="6744">
          <cell r="O6744" t="str">
            <v>G01</v>
          </cell>
          <cell r="P6744" t="str">
            <v>STC4011B</v>
          </cell>
          <cell r="Q6744" t="str">
            <v>磁性位置传感器</v>
          </cell>
        </row>
        <row r="6745">
          <cell r="O6745" t="str">
            <v>G01</v>
          </cell>
          <cell r="P6745" t="str">
            <v>STC4011B</v>
          </cell>
          <cell r="Q6745" t="str">
            <v>磁性位置传感器</v>
          </cell>
        </row>
        <row r="6746">
          <cell r="O6746" t="str">
            <v>G01</v>
          </cell>
          <cell r="P6746" t="str">
            <v>STC4011B</v>
          </cell>
          <cell r="Q6746" t="str">
            <v>磁性位置传感器</v>
          </cell>
        </row>
        <row r="6747">
          <cell r="O6747" t="str">
            <v>G01</v>
          </cell>
          <cell r="P6747" t="str">
            <v>STC4011B</v>
          </cell>
          <cell r="Q6747" t="str">
            <v>磁性位置传感器</v>
          </cell>
        </row>
        <row r="6748">
          <cell r="O6748" t="str">
            <v>G01</v>
          </cell>
          <cell r="P6748" t="str">
            <v>STC4011B</v>
          </cell>
          <cell r="Q6748" t="str">
            <v>磁性位置传感器</v>
          </cell>
        </row>
        <row r="6749">
          <cell r="O6749" t="str">
            <v>G01</v>
          </cell>
          <cell r="P6749" t="str">
            <v>STC4011B</v>
          </cell>
          <cell r="Q6749" t="str">
            <v>磁性位置传感器</v>
          </cell>
        </row>
        <row r="6750">
          <cell r="O6750" t="str">
            <v>G01</v>
          </cell>
          <cell r="P6750" t="str">
            <v>STC4011B</v>
          </cell>
          <cell r="Q6750" t="str">
            <v>磁性位置传感器</v>
          </cell>
        </row>
        <row r="6751">
          <cell r="O6751" t="str">
            <v>SC4011SO-N</v>
          </cell>
          <cell r="P6751" t="str">
            <v>STC4011B</v>
          </cell>
          <cell r="Q6751" t="str">
            <v>磁性位置传感器</v>
          </cell>
        </row>
        <row r="6752">
          <cell r="O6752" t="str">
            <v>SC4011SO-N</v>
          </cell>
          <cell r="P6752" t="str">
            <v>STC4011B</v>
          </cell>
          <cell r="Q6752" t="str">
            <v>磁性位置传感器</v>
          </cell>
        </row>
        <row r="6753">
          <cell r="O6753" t="str">
            <v>SC4011SO-N</v>
          </cell>
          <cell r="P6753" t="str">
            <v>STC4011B</v>
          </cell>
          <cell r="Q6753" t="str">
            <v>磁性位置传感器</v>
          </cell>
        </row>
        <row r="6754">
          <cell r="O6754" t="str">
            <v>SC4011SO-N</v>
          </cell>
          <cell r="P6754" t="str">
            <v>STC4011B</v>
          </cell>
          <cell r="Q6754" t="str">
            <v>磁性位置传感器</v>
          </cell>
        </row>
        <row r="6755">
          <cell r="O6755" t="str">
            <v>SC4011SO-N</v>
          </cell>
          <cell r="P6755" t="str">
            <v>STC4011B</v>
          </cell>
          <cell r="Q6755" t="str">
            <v>磁性位置传感器</v>
          </cell>
        </row>
        <row r="6756">
          <cell r="O6756" t="str">
            <v>SC4011SO-N</v>
          </cell>
          <cell r="P6756" t="str">
            <v>STC4011B</v>
          </cell>
          <cell r="Q6756" t="str">
            <v>磁性位置传感器</v>
          </cell>
        </row>
        <row r="6757">
          <cell r="O6757" t="str">
            <v>SC4011SO-N</v>
          </cell>
          <cell r="P6757" t="str">
            <v>STC4011B</v>
          </cell>
          <cell r="Q6757" t="str">
            <v>磁性位置传感器</v>
          </cell>
        </row>
        <row r="6758">
          <cell r="O6758" t="str">
            <v>SC4011SO-N</v>
          </cell>
          <cell r="P6758" t="str">
            <v>STC4011B</v>
          </cell>
          <cell r="Q6758" t="str">
            <v>磁性位置传感器</v>
          </cell>
        </row>
        <row r="6759">
          <cell r="O6759" t="str">
            <v>SC4011SO-N</v>
          </cell>
          <cell r="P6759" t="str">
            <v>STC4011B</v>
          </cell>
          <cell r="Q6759" t="str">
            <v>磁性位置传感器</v>
          </cell>
        </row>
        <row r="6760">
          <cell r="O6760" t="str">
            <v>SC4011SO-N</v>
          </cell>
          <cell r="P6760" t="str">
            <v>STC4011B</v>
          </cell>
          <cell r="Q6760" t="str">
            <v>磁性位置传感器</v>
          </cell>
        </row>
        <row r="6761">
          <cell r="O6761" t="str">
            <v>SC4011SO-N</v>
          </cell>
          <cell r="P6761" t="str">
            <v>STC4011B</v>
          </cell>
          <cell r="Q6761" t="str">
            <v>磁性位置传感器</v>
          </cell>
        </row>
        <row r="6762">
          <cell r="O6762" t="str">
            <v>SC4011SO-N</v>
          </cell>
          <cell r="P6762" t="str">
            <v>STC4011B</v>
          </cell>
          <cell r="Q6762" t="str">
            <v>磁性位置传感器</v>
          </cell>
        </row>
        <row r="6763">
          <cell r="O6763" t="str">
            <v>SC4011SO-N</v>
          </cell>
          <cell r="P6763" t="str">
            <v>STC4011B</v>
          </cell>
          <cell r="Q6763" t="str">
            <v>磁性位置传感器</v>
          </cell>
        </row>
        <row r="6764">
          <cell r="O6764" t="str">
            <v>SC4011SO-N</v>
          </cell>
          <cell r="P6764" t="str">
            <v>STC4011B</v>
          </cell>
          <cell r="Q6764" t="str">
            <v>磁性位置传感器</v>
          </cell>
        </row>
        <row r="6765">
          <cell r="O6765" t="str">
            <v>SC4011SO-N</v>
          </cell>
          <cell r="P6765" t="str">
            <v>STC4011B</v>
          </cell>
          <cell r="Q6765" t="str">
            <v>磁性位置传感器</v>
          </cell>
        </row>
        <row r="6766">
          <cell r="O6766" t="str">
            <v>SC4011SO-N</v>
          </cell>
          <cell r="P6766" t="str">
            <v>STC4011B</v>
          </cell>
          <cell r="Q6766" t="str">
            <v>磁性位置传感器</v>
          </cell>
        </row>
        <row r="6767">
          <cell r="O6767" t="str">
            <v>SC4011SO-N</v>
          </cell>
          <cell r="P6767" t="str">
            <v>STC4011B</v>
          </cell>
          <cell r="Q6767" t="str">
            <v>磁性位置传感器</v>
          </cell>
        </row>
        <row r="6768">
          <cell r="O6768" t="str">
            <v>SC4011SO-N</v>
          </cell>
          <cell r="P6768" t="str">
            <v>STC4011B</v>
          </cell>
          <cell r="Q6768" t="str">
            <v>磁性位置传感器</v>
          </cell>
        </row>
        <row r="6769">
          <cell r="O6769" t="str">
            <v>SC4011SO-N</v>
          </cell>
          <cell r="P6769" t="str">
            <v>STC4011B</v>
          </cell>
          <cell r="Q6769" t="str">
            <v>磁性位置传感器</v>
          </cell>
        </row>
        <row r="6770">
          <cell r="O6770" t="str">
            <v>G01</v>
          </cell>
          <cell r="P6770" t="str">
            <v>STC4011B</v>
          </cell>
          <cell r="Q6770" t="str">
            <v>磁性位置传感器</v>
          </cell>
        </row>
        <row r="6771">
          <cell r="O6771" t="str">
            <v>G01</v>
          </cell>
          <cell r="P6771" t="str">
            <v>STC4011B</v>
          </cell>
          <cell r="Q6771" t="str">
            <v>磁性位置传感器</v>
          </cell>
        </row>
        <row r="6772">
          <cell r="O6772" t="str">
            <v>G01</v>
          </cell>
          <cell r="P6772" t="str">
            <v>STC4011B</v>
          </cell>
          <cell r="Q6772" t="str">
            <v>磁性位置传感器</v>
          </cell>
        </row>
        <row r="6773">
          <cell r="O6773" t="str">
            <v>G01</v>
          </cell>
          <cell r="P6773" t="str">
            <v>STC4011B</v>
          </cell>
          <cell r="Q6773" t="str">
            <v>磁性位置传感器</v>
          </cell>
        </row>
        <row r="6774">
          <cell r="O6774" t="str">
            <v>G01</v>
          </cell>
          <cell r="P6774" t="str">
            <v>STC4011B</v>
          </cell>
          <cell r="Q6774" t="str">
            <v>磁性位置传感器</v>
          </cell>
        </row>
        <row r="6775">
          <cell r="O6775" t="str">
            <v>SC4001UA</v>
          </cell>
          <cell r="P6775" t="str">
            <v>STC4001AB</v>
          </cell>
          <cell r="Q6775" t="str">
            <v>磁性位置传感器</v>
          </cell>
        </row>
        <row r="6776">
          <cell r="O6776" t="str">
            <v>SD2276</v>
          </cell>
          <cell r="P6776" t="str">
            <v>FD1014A</v>
          </cell>
          <cell r="Q6776" t="str">
            <v>电机驱动</v>
          </cell>
        </row>
        <row r="6777">
          <cell r="O6777" t="str">
            <v>SC2402UA</v>
          </cell>
          <cell r="P6777" t="str">
            <v>STC9902J</v>
          </cell>
          <cell r="Q6777" t="str">
            <v>磁性位置传感器</v>
          </cell>
        </row>
        <row r="6778">
          <cell r="O6778" t="str">
            <v>SC2402UA</v>
          </cell>
          <cell r="P6778" t="str">
            <v>STC9902J</v>
          </cell>
          <cell r="Q6778" t="str">
            <v>磁性位置传感器</v>
          </cell>
        </row>
        <row r="6779">
          <cell r="O6779" t="str">
            <v>SC2402UA</v>
          </cell>
          <cell r="P6779" t="str">
            <v>STC9902J</v>
          </cell>
          <cell r="Q6779" t="str">
            <v>磁性位置传感器</v>
          </cell>
        </row>
        <row r="6780">
          <cell r="O6780" t="str">
            <v>SC2402UA</v>
          </cell>
          <cell r="P6780" t="str">
            <v>STC9902J</v>
          </cell>
          <cell r="Q6780" t="str">
            <v>磁性位置传感器</v>
          </cell>
        </row>
        <row r="6781">
          <cell r="O6781" t="str">
            <v>SC4688DC-M3</v>
          </cell>
          <cell r="P6781" t="str">
            <v>STC9D01C</v>
          </cell>
          <cell r="Q6781" t="str">
            <v>角度传感器</v>
          </cell>
        </row>
        <row r="6782">
          <cell r="O6782" t="str">
            <v>SC4002UA</v>
          </cell>
          <cell r="P6782" t="str">
            <v>STC4000AA</v>
          </cell>
          <cell r="Q6782" t="str">
            <v>磁性位置传感器</v>
          </cell>
        </row>
        <row r="6783">
          <cell r="O6783" t="str">
            <v>SD2276</v>
          </cell>
          <cell r="P6783" t="str">
            <v>FD1014A</v>
          </cell>
          <cell r="Q6783" t="str">
            <v>电机驱动</v>
          </cell>
        </row>
        <row r="6784">
          <cell r="O6784" t="str">
            <v>SD2276</v>
          </cell>
          <cell r="P6784" t="str">
            <v>FD1014A</v>
          </cell>
          <cell r="Q6784" t="str">
            <v>电机驱动</v>
          </cell>
        </row>
        <row r="6785">
          <cell r="O6785" t="str">
            <v>2100HBL</v>
          </cell>
          <cell r="P6785" t="str">
            <v>STC9D03E</v>
          </cell>
          <cell r="Q6785" t="str">
            <v>电流传感器</v>
          </cell>
        </row>
        <row r="6786">
          <cell r="O6786" t="str">
            <v>ATK-E512</v>
          </cell>
          <cell r="P6786" t="str">
            <v>STC4011B</v>
          </cell>
          <cell r="Q6786" t="str">
            <v>磁性位置传感器</v>
          </cell>
        </row>
        <row r="6787">
          <cell r="O6787" t="str">
            <v>SC9621VB</v>
          </cell>
          <cell r="P6787" t="str">
            <v>STC9910C</v>
          </cell>
          <cell r="Q6787" t="str">
            <v>速度传感器</v>
          </cell>
        </row>
        <row r="6788">
          <cell r="O6788" t="str">
            <v>SC9621VB</v>
          </cell>
          <cell r="P6788" t="str">
            <v>STC9910C</v>
          </cell>
          <cell r="Q6788" t="str">
            <v>速度传感器</v>
          </cell>
        </row>
        <row r="6789">
          <cell r="O6789" t="str">
            <v>G01</v>
          </cell>
          <cell r="P6789" t="str">
            <v>STC4011B</v>
          </cell>
          <cell r="Q6789" t="str">
            <v>磁性位置传感器</v>
          </cell>
        </row>
        <row r="6790">
          <cell r="O6790" t="str">
            <v>G01</v>
          </cell>
          <cell r="P6790" t="str">
            <v>STC4011B</v>
          </cell>
          <cell r="Q6790" t="str">
            <v>磁性位置传感器</v>
          </cell>
        </row>
        <row r="6791">
          <cell r="O6791" t="str">
            <v>G01</v>
          </cell>
          <cell r="P6791" t="str">
            <v>STC4011B</v>
          </cell>
          <cell r="Q6791" t="str">
            <v>磁性位置传感器</v>
          </cell>
        </row>
        <row r="6792">
          <cell r="O6792" t="str">
            <v>G01</v>
          </cell>
          <cell r="P6792" t="str">
            <v>STC4011B</v>
          </cell>
          <cell r="Q6792" t="str">
            <v>磁性位置传感器</v>
          </cell>
        </row>
        <row r="6793">
          <cell r="O6793" t="str">
            <v>G01</v>
          </cell>
          <cell r="P6793" t="str">
            <v>STC4011B</v>
          </cell>
          <cell r="Q6793" t="str">
            <v>磁性位置传感器</v>
          </cell>
        </row>
        <row r="6794">
          <cell r="O6794" t="str">
            <v>G01</v>
          </cell>
          <cell r="P6794" t="str">
            <v>STC4011B</v>
          </cell>
          <cell r="Q6794" t="str">
            <v>磁性位置传感器</v>
          </cell>
        </row>
        <row r="6795">
          <cell r="O6795" t="str">
            <v>G01</v>
          </cell>
          <cell r="P6795" t="str">
            <v>STC4011B</v>
          </cell>
          <cell r="Q6795" t="str">
            <v>磁性位置传感器</v>
          </cell>
        </row>
        <row r="6796">
          <cell r="O6796" t="str">
            <v>G01</v>
          </cell>
          <cell r="P6796" t="str">
            <v>STC4011B</v>
          </cell>
          <cell r="Q6796" t="str">
            <v>磁性位置传感器</v>
          </cell>
        </row>
        <row r="6797">
          <cell r="O6797" t="str">
            <v>G01</v>
          </cell>
          <cell r="P6797" t="str">
            <v>STC4011B</v>
          </cell>
          <cell r="Q6797" t="str">
            <v>磁性位置传感器</v>
          </cell>
        </row>
        <row r="6798">
          <cell r="O6798" t="str">
            <v>SC2242UA</v>
          </cell>
          <cell r="P6798" t="str">
            <v>STC9906H</v>
          </cell>
          <cell r="Q6798" t="str">
            <v>磁性位置传感器</v>
          </cell>
        </row>
        <row r="6799">
          <cell r="O6799" t="str">
            <v>PSTC9901AF</v>
          </cell>
          <cell r="P6799" t="str">
            <v>STC9901AF</v>
          </cell>
          <cell r="Q6799" t="str">
            <v>速度传感器</v>
          </cell>
        </row>
        <row r="6800">
          <cell r="O6800" t="str">
            <v>SC9641TS-P</v>
          </cell>
          <cell r="P6800" t="str">
            <v>STC9A001I</v>
          </cell>
          <cell r="Q6800" t="str">
            <v>速度传感器</v>
          </cell>
        </row>
        <row r="6801">
          <cell r="O6801" t="str">
            <v>SC4688DC</v>
          </cell>
          <cell r="P6801" t="str">
            <v>STC9D01C</v>
          </cell>
          <cell r="Q6801" t="str">
            <v>角度传感器</v>
          </cell>
        </row>
        <row r="6802">
          <cell r="O6802" t="str">
            <v>SC2443SO</v>
          </cell>
          <cell r="P6802" t="str">
            <v>STC9906T</v>
          </cell>
          <cell r="Q6802" t="str">
            <v>磁性位置传感器</v>
          </cell>
        </row>
        <row r="6803">
          <cell r="O6803" t="str">
            <v>SC2443SO</v>
          </cell>
          <cell r="P6803" t="str">
            <v>STC9906T</v>
          </cell>
          <cell r="Q6803" t="str">
            <v>磁性位置传感器</v>
          </cell>
        </row>
        <row r="6804">
          <cell r="O6804" t="str">
            <v>SC1138SO-N</v>
          </cell>
          <cell r="P6804" t="str">
            <v>STC1898AC</v>
          </cell>
          <cell r="Q6804" t="str">
            <v>磁性位置传感器</v>
          </cell>
        </row>
        <row r="6805">
          <cell r="O6805" t="str">
            <v>SC1138SO-N</v>
          </cell>
          <cell r="P6805" t="str">
            <v>STC1898AC</v>
          </cell>
          <cell r="Q6805" t="str">
            <v>磁性位置传感器</v>
          </cell>
        </row>
        <row r="6806">
          <cell r="O6806" t="str">
            <v>SC1138SO-N</v>
          </cell>
          <cell r="P6806" t="str">
            <v>STC1898AC</v>
          </cell>
          <cell r="Q6806" t="str">
            <v>磁性位置传感器</v>
          </cell>
        </row>
        <row r="6807">
          <cell r="O6807" t="str">
            <v>SC1138SO-N</v>
          </cell>
          <cell r="P6807" t="str">
            <v>STC1898AC</v>
          </cell>
          <cell r="Q6807" t="str">
            <v>磁性位置传感器</v>
          </cell>
        </row>
        <row r="6808">
          <cell r="O6808" t="str">
            <v>SC4688SA</v>
          </cell>
          <cell r="P6808" t="str">
            <v>STC9D01C</v>
          </cell>
          <cell r="Q6808" t="str">
            <v>角度传感器</v>
          </cell>
        </row>
        <row r="6809">
          <cell r="O6809" t="str">
            <v>SC4688SA</v>
          </cell>
          <cell r="P6809" t="str">
            <v>STC9D01C</v>
          </cell>
          <cell r="Q6809" t="str">
            <v>角度传感器</v>
          </cell>
        </row>
        <row r="6810">
          <cell r="O6810" t="str">
            <v>SC4688SA</v>
          </cell>
          <cell r="P6810" t="str">
            <v>STC9D01C</v>
          </cell>
          <cell r="Q6810" t="str">
            <v>角度传感器</v>
          </cell>
        </row>
        <row r="6811">
          <cell r="O6811" t="str">
            <v>S41H</v>
          </cell>
          <cell r="P6811" t="str">
            <v>STC2899AI</v>
          </cell>
          <cell r="Q6811" t="str">
            <v>磁性位置传感器</v>
          </cell>
        </row>
        <row r="6812">
          <cell r="O6812" t="str">
            <v>S41H</v>
          </cell>
          <cell r="P6812" t="str">
            <v>STC2899AI</v>
          </cell>
          <cell r="Q6812" t="str">
            <v>磁性位置传感器</v>
          </cell>
        </row>
        <row r="6813">
          <cell r="O6813" t="str">
            <v>SC9641TS-PC</v>
          </cell>
          <cell r="P6813" t="str">
            <v>STC9A001I</v>
          </cell>
          <cell r="Q6813" t="str">
            <v>速度传感器</v>
          </cell>
        </row>
        <row r="6814">
          <cell r="O6814" t="str">
            <v>SC2443UA</v>
          </cell>
          <cell r="P6814" t="str">
            <v>STC9906G</v>
          </cell>
          <cell r="Q6814" t="str">
            <v>磁性位置传感器</v>
          </cell>
        </row>
        <row r="6815">
          <cell r="O6815" t="str">
            <v>SC9642TS-EC</v>
          </cell>
          <cell r="P6815" t="str">
            <v>STC9A001H</v>
          </cell>
          <cell r="Q6815" t="str">
            <v>速度传感器</v>
          </cell>
        </row>
        <row r="6816">
          <cell r="O6816" t="str">
            <v>SC9642TS</v>
          </cell>
          <cell r="P6816" t="str">
            <v>STC9A001G</v>
          </cell>
          <cell r="Q6816" t="str">
            <v>速度传感器</v>
          </cell>
        </row>
        <row r="6817">
          <cell r="O6817" t="str">
            <v>SC4616UA-10NV</v>
          </cell>
          <cell r="P6817" t="str">
            <v>STC9907D</v>
          </cell>
          <cell r="Q6817" t="str">
            <v>电流传感器</v>
          </cell>
        </row>
        <row r="6818">
          <cell r="O6818" t="str">
            <v>SC4616UA-10NV</v>
          </cell>
          <cell r="P6818" t="str">
            <v>STC9907D</v>
          </cell>
          <cell r="Q6818" t="str">
            <v>电流传感器</v>
          </cell>
        </row>
        <row r="6819">
          <cell r="O6819" t="str">
            <v>SC2432UA</v>
          </cell>
          <cell r="P6819" t="str">
            <v>STC9906I</v>
          </cell>
          <cell r="Q6819" t="str">
            <v>磁性位置传感器</v>
          </cell>
        </row>
        <row r="6820">
          <cell r="O6820" t="str">
            <v>SC2432UA</v>
          </cell>
          <cell r="P6820" t="str">
            <v>STC9906I</v>
          </cell>
          <cell r="Q6820" t="str">
            <v>磁性位置传感器</v>
          </cell>
        </row>
        <row r="6821">
          <cell r="O6821" t="str">
            <v>SC2432UA</v>
          </cell>
          <cell r="P6821" t="str">
            <v>STC9906I</v>
          </cell>
          <cell r="Q6821" t="str">
            <v>磁性位置传感器</v>
          </cell>
        </row>
        <row r="6822">
          <cell r="O6822" t="str">
            <v>SC2432UA</v>
          </cell>
          <cell r="P6822" t="str">
            <v>STC9906I</v>
          </cell>
          <cell r="Q6822" t="str">
            <v>磁性位置传感器</v>
          </cell>
        </row>
        <row r="6823">
          <cell r="O6823" t="str">
            <v>SC4011SO-N</v>
          </cell>
          <cell r="P6823" t="str">
            <v>STC4011B</v>
          </cell>
          <cell r="Q6823" t="str">
            <v>磁性位置传感器</v>
          </cell>
        </row>
        <row r="6824">
          <cell r="O6824" t="str">
            <v>SC4011SO-N</v>
          </cell>
          <cell r="P6824" t="str">
            <v>STC4011B</v>
          </cell>
          <cell r="Q6824" t="str">
            <v>磁性位置传感器</v>
          </cell>
        </row>
        <row r="6825">
          <cell r="O6825" t="str">
            <v>SC4011SO-N</v>
          </cell>
          <cell r="P6825" t="str">
            <v>STC4011B</v>
          </cell>
          <cell r="Q6825" t="str">
            <v>磁性位置传感器</v>
          </cell>
        </row>
        <row r="6826">
          <cell r="O6826" t="str">
            <v>SC4011SO-N</v>
          </cell>
          <cell r="P6826" t="str">
            <v>STC4011B</v>
          </cell>
          <cell r="Q6826" t="str">
            <v>磁性位置传感器</v>
          </cell>
        </row>
        <row r="6827">
          <cell r="O6827" t="str">
            <v>SC4011SO-N</v>
          </cell>
          <cell r="P6827" t="str">
            <v>STC4011B</v>
          </cell>
          <cell r="Q6827" t="str">
            <v>磁性位置传感器</v>
          </cell>
        </row>
        <row r="6828">
          <cell r="O6828" t="str">
            <v>SC4011SO-N</v>
          </cell>
          <cell r="P6828" t="str">
            <v>STC4011B</v>
          </cell>
          <cell r="Q6828" t="str">
            <v>磁性位置传感器</v>
          </cell>
        </row>
        <row r="6829">
          <cell r="O6829" t="str">
            <v>SC4011SO-N</v>
          </cell>
          <cell r="P6829" t="str">
            <v>STC4011B</v>
          </cell>
          <cell r="Q6829" t="str">
            <v>磁性位置传感器</v>
          </cell>
        </row>
        <row r="6830">
          <cell r="O6830" t="str">
            <v>SC4011SO-N</v>
          </cell>
          <cell r="P6830" t="str">
            <v>STC4011B</v>
          </cell>
          <cell r="Q6830" t="str">
            <v>磁性位置传感器</v>
          </cell>
        </row>
        <row r="6831">
          <cell r="O6831" t="str">
            <v>SC4011SO-N</v>
          </cell>
          <cell r="P6831" t="str">
            <v>STC4011B</v>
          </cell>
          <cell r="Q6831" t="str">
            <v>磁性位置传感器</v>
          </cell>
        </row>
        <row r="6832">
          <cell r="O6832" t="str">
            <v>SC4011SO-N</v>
          </cell>
          <cell r="P6832" t="str">
            <v>STC4011B</v>
          </cell>
          <cell r="Q6832" t="str">
            <v>磁性位置传感器</v>
          </cell>
        </row>
        <row r="6833">
          <cell r="O6833" t="str">
            <v>SC2448SO</v>
          </cell>
          <cell r="P6833" t="str">
            <v>STC9906S</v>
          </cell>
          <cell r="Q6833" t="str">
            <v>磁性位置传感器</v>
          </cell>
        </row>
        <row r="6834">
          <cell r="O6834" t="str">
            <v>SC2402SO-N-G</v>
          </cell>
          <cell r="P6834" t="str">
            <v>STC9G002A</v>
          </cell>
          <cell r="Q6834" t="str">
            <v>磁性位置传感器</v>
          </cell>
        </row>
        <row r="6835">
          <cell r="O6835" t="str">
            <v>SC1445A1</v>
          </cell>
          <cell r="P6835" t="str">
            <v>STC2899AB</v>
          </cell>
          <cell r="Q6835" t="str">
            <v>磁性位置传感器</v>
          </cell>
        </row>
        <row r="6836">
          <cell r="O6836" t="str">
            <v>SC4011SO-N</v>
          </cell>
          <cell r="P6836" t="str">
            <v>STC4011B</v>
          </cell>
          <cell r="Q6836" t="str">
            <v>磁性位置传感器</v>
          </cell>
        </row>
        <row r="6837">
          <cell r="O6837" t="str">
            <v>SC4011SO-N</v>
          </cell>
          <cell r="P6837" t="str">
            <v>STC4011B</v>
          </cell>
          <cell r="Q6837" t="str">
            <v>磁性位置传感器</v>
          </cell>
        </row>
        <row r="6838">
          <cell r="O6838" t="str">
            <v>SC2402UA-G</v>
          </cell>
          <cell r="P6838" t="str">
            <v>STC9G002B</v>
          </cell>
          <cell r="Q6838" t="str">
            <v>磁性位置传感器</v>
          </cell>
        </row>
        <row r="6839">
          <cell r="O6839" t="str">
            <v>SC2464SO</v>
          </cell>
          <cell r="P6839" t="str">
            <v>STC9906J</v>
          </cell>
          <cell r="Q6839" t="str">
            <v>磁性位置传感器</v>
          </cell>
        </row>
        <row r="6840">
          <cell r="O6840" t="str">
            <v>G01</v>
          </cell>
          <cell r="P6840" t="str">
            <v>STC4011B</v>
          </cell>
          <cell r="Q6840" t="str">
            <v>磁性位置传感器</v>
          </cell>
        </row>
        <row r="6841">
          <cell r="O6841" t="str">
            <v>G01</v>
          </cell>
          <cell r="P6841" t="str">
            <v>STC4011B</v>
          </cell>
          <cell r="Q6841" t="str">
            <v>磁性位置传感器</v>
          </cell>
        </row>
        <row r="6842">
          <cell r="O6842" t="str">
            <v>SC4011SO-N</v>
          </cell>
          <cell r="P6842" t="str">
            <v>STC4011B</v>
          </cell>
          <cell r="Q6842" t="str">
            <v>磁性位置传感器</v>
          </cell>
        </row>
        <row r="6843">
          <cell r="O6843" t="str">
            <v>SC4011SO-N</v>
          </cell>
          <cell r="P6843" t="str">
            <v>STC4011B</v>
          </cell>
          <cell r="Q6843" t="str">
            <v>磁性位置传感器</v>
          </cell>
        </row>
        <row r="6844">
          <cell r="O6844" t="str">
            <v>SC9641TS-P</v>
          </cell>
          <cell r="P6844" t="str">
            <v>STC9A001I</v>
          </cell>
          <cell r="Q6844" t="str">
            <v>速度传感器</v>
          </cell>
        </row>
        <row r="6845">
          <cell r="O6845" t="str">
            <v>SC9642TS</v>
          </cell>
          <cell r="P6845" t="str">
            <v>STC9A001D</v>
          </cell>
          <cell r="Q6845" t="str">
            <v>速度传感器</v>
          </cell>
        </row>
        <row r="6846">
          <cell r="O6846" t="str">
            <v>SC9642TS</v>
          </cell>
          <cell r="P6846" t="str">
            <v>STC9A001D</v>
          </cell>
          <cell r="Q6846" t="str">
            <v>速度传感器</v>
          </cell>
        </row>
        <row r="6847">
          <cell r="O6847" t="str">
            <v>SC9642TS</v>
          </cell>
          <cell r="P6847" t="str">
            <v>STC9A001D</v>
          </cell>
          <cell r="Q6847" t="str">
            <v>速度传感器</v>
          </cell>
        </row>
        <row r="6848">
          <cell r="O6848" t="str">
            <v>SC9675IM-P-HRF11</v>
          </cell>
          <cell r="P6848" t="str">
            <v>STC9A002B</v>
          </cell>
          <cell r="Q6848" t="str">
            <v>速度传感器</v>
          </cell>
        </row>
        <row r="6849">
          <cell r="O6849" t="str">
            <v>SC9675IM-P-HRF11</v>
          </cell>
          <cell r="P6849" t="str">
            <v>STC9A002B</v>
          </cell>
          <cell r="Q6849" t="str">
            <v>速度传感器</v>
          </cell>
        </row>
        <row r="6850">
          <cell r="O6850" t="str">
            <v>SC69401-A</v>
          </cell>
          <cell r="P6850" t="str">
            <v>STC9H002DQ</v>
          </cell>
          <cell r="Q6850" t="str">
            <v>角度传感器</v>
          </cell>
        </row>
        <row r="6851">
          <cell r="O6851" t="str">
            <v>SC2402SO-N-H</v>
          </cell>
          <cell r="P6851" t="str">
            <v>STC9H001A</v>
          </cell>
          <cell r="Q6851" t="str">
            <v>磁性位置传感器</v>
          </cell>
        </row>
        <row r="6852">
          <cell r="O6852" t="str">
            <v>SC2402SO-N-H</v>
          </cell>
          <cell r="P6852" t="str">
            <v>STC9H001A</v>
          </cell>
          <cell r="Q6852" t="str">
            <v>磁性位置传感器</v>
          </cell>
        </row>
        <row r="6853">
          <cell r="O6853" t="str">
            <v>SC9641TS-P</v>
          </cell>
          <cell r="P6853" t="str">
            <v>STC9A001I</v>
          </cell>
          <cell r="Q6853" t="str">
            <v>速度传感器</v>
          </cell>
        </row>
        <row r="6854">
          <cell r="O6854" t="str">
            <v>S41H</v>
          </cell>
          <cell r="P6854" t="str">
            <v>STC2899AI</v>
          </cell>
          <cell r="Q6854" t="str">
            <v>磁性位置传感器</v>
          </cell>
        </row>
        <row r="6855">
          <cell r="O6855" t="str">
            <v>SC9641TS-PC</v>
          </cell>
          <cell r="P6855" t="str">
            <v>STC9A001I</v>
          </cell>
          <cell r="Q6855" t="str">
            <v>速度传感器</v>
          </cell>
        </row>
        <row r="6856">
          <cell r="O6856" t="str">
            <v>SC9675IM-P-LRF00</v>
          </cell>
          <cell r="P6856" t="str">
            <v>STC9A002B</v>
          </cell>
          <cell r="Q6856" t="str">
            <v>速度传感器</v>
          </cell>
        </row>
        <row r="6857">
          <cell r="O6857" t="str">
            <v>SC9642TS</v>
          </cell>
          <cell r="P6857" t="str">
            <v>STC9A001G</v>
          </cell>
          <cell r="Q6857" t="str">
            <v>速度传感器</v>
          </cell>
        </row>
        <row r="6858">
          <cell r="O6858" t="str">
            <v>SC9642TS</v>
          </cell>
          <cell r="P6858" t="str">
            <v>STC9A001G</v>
          </cell>
          <cell r="Q6858" t="str">
            <v>速度传感器</v>
          </cell>
        </row>
        <row r="6859">
          <cell r="O6859" t="str">
            <v>SC1138SO-N</v>
          </cell>
          <cell r="P6859" t="str">
            <v>STC1898AC</v>
          </cell>
          <cell r="Q6859" t="str">
            <v>磁性位置传感器</v>
          </cell>
        </row>
        <row r="6860">
          <cell r="O6860" t="str">
            <v>SC1645A1</v>
          </cell>
          <cell r="P6860" t="str">
            <v>STC2899AE</v>
          </cell>
          <cell r="Q6860" t="str">
            <v>磁性位置传感器</v>
          </cell>
        </row>
        <row r="6861">
          <cell r="O6861" t="str">
            <v>SD2276</v>
          </cell>
          <cell r="P6861" t="str">
            <v>FD1014A</v>
          </cell>
          <cell r="Q6861" t="str">
            <v>电机驱动</v>
          </cell>
        </row>
        <row r="6862">
          <cell r="O6862" t="str">
            <v>SC4002UA</v>
          </cell>
          <cell r="P6862" t="str">
            <v>STC4000AA</v>
          </cell>
          <cell r="Q6862" t="str">
            <v>磁性位置传感器</v>
          </cell>
        </row>
        <row r="6863">
          <cell r="O6863" t="str">
            <v>SC1245SO-N</v>
          </cell>
          <cell r="P6863" t="str">
            <v>STC1898AD</v>
          </cell>
          <cell r="Q6863" t="str">
            <v>磁性位置传感器</v>
          </cell>
        </row>
        <row r="6864">
          <cell r="O6864" t="str">
            <v>SC2442UA</v>
          </cell>
          <cell r="P6864" t="str">
            <v>STC9906P</v>
          </cell>
          <cell r="Q6864" t="str">
            <v>磁性位置传感器</v>
          </cell>
        </row>
        <row r="6865">
          <cell r="O6865" t="str">
            <v>G01</v>
          </cell>
          <cell r="P6865" t="str">
            <v>STC4011B</v>
          </cell>
          <cell r="Q6865" t="str">
            <v>磁性位置传感器</v>
          </cell>
        </row>
        <row r="6866">
          <cell r="O6866" t="str">
            <v>G01</v>
          </cell>
          <cell r="P6866" t="str">
            <v>STC4011B</v>
          </cell>
          <cell r="Q6866" t="str">
            <v>磁性位置传感器</v>
          </cell>
        </row>
        <row r="6867">
          <cell r="O6867" t="str">
            <v>G01</v>
          </cell>
          <cell r="P6867" t="str">
            <v>STC4011B</v>
          </cell>
          <cell r="Q6867" t="str">
            <v>磁性位置传感器</v>
          </cell>
        </row>
        <row r="6868">
          <cell r="O6868" t="str">
            <v>G01</v>
          </cell>
          <cell r="P6868" t="str">
            <v>STC4011B</v>
          </cell>
          <cell r="Q6868" t="str">
            <v>磁性位置传感器</v>
          </cell>
        </row>
        <row r="6869">
          <cell r="O6869" t="str">
            <v>G01</v>
          </cell>
          <cell r="P6869" t="str">
            <v>STC4011B</v>
          </cell>
          <cell r="Q6869" t="str">
            <v>磁性位置传感器</v>
          </cell>
        </row>
        <row r="6870">
          <cell r="O6870" t="str">
            <v>G01</v>
          </cell>
          <cell r="P6870" t="str">
            <v>STC4011B</v>
          </cell>
          <cell r="Q6870" t="str">
            <v>磁性位置传感器</v>
          </cell>
        </row>
        <row r="6871">
          <cell r="O6871" t="str">
            <v>G01</v>
          </cell>
          <cell r="P6871" t="str">
            <v>STC4011B</v>
          </cell>
          <cell r="Q6871" t="str">
            <v>磁性位置传感器</v>
          </cell>
        </row>
        <row r="6872">
          <cell r="O6872" t="str">
            <v>G01</v>
          </cell>
          <cell r="P6872" t="str">
            <v>STC4011B</v>
          </cell>
          <cell r="Q6872" t="str">
            <v>磁性位置传感器</v>
          </cell>
        </row>
        <row r="6873">
          <cell r="O6873" t="str">
            <v>G01</v>
          </cell>
          <cell r="P6873" t="str">
            <v>STC4011B</v>
          </cell>
          <cell r="Q6873" t="str">
            <v>磁性位置传感器</v>
          </cell>
        </row>
        <row r="6874">
          <cell r="O6874" t="str">
            <v>G01</v>
          </cell>
          <cell r="P6874" t="str">
            <v>STC4011B</v>
          </cell>
          <cell r="Q6874" t="str">
            <v>磁性位置传感器</v>
          </cell>
        </row>
        <row r="6875">
          <cell r="O6875" t="str">
            <v>G01</v>
          </cell>
          <cell r="P6875" t="str">
            <v>STC4011B</v>
          </cell>
          <cell r="Q6875" t="str">
            <v>磁性位置传感器</v>
          </cell>
        </row>
        <row r="6876">
          <cell r="O6876" t="str">
            <v>SC9641TS-P</v>
          </cell>
          <cell r="P6876" t="str">
            <v>STC9A001I</v>
          </cell>
          <cell r="Q6876" t="str">
            <v>速度传感器</v>
          </cell>
        </row>
        <row r="6877">
          <cell r="O6877" t="str">
            <v>SC9641TS-P</v>
          </cell>
          <cell r="P6877" t="str">
            <v>STC9A001I</v>
          </cell>
          <cell r="Q6877" t="str">
            <v>速度传感器</v>
          </cell>
        </row>
        <row r="6878">
          <cell r="O6878" t="str">
            <v>SC9641TS-P</v>
          </cell>
          <cell r="P6878" t="str">
            <v>STC9A001I</v>
          </cell>
          <cell r="Q6878" t="str">
            <v>速度传感器</v>
          </cell>
        </row>
        <row r="6879">
          <cell r="O6879" t="str">
            <v>SC2448UA-N</v>
          </cell>
          <cell r="P6879" t="str">
            <v>STC9906S</v>
          </cell>
          <cell r="Q6879" t="str">
            <v>磁性位置传感器</v>
          </cell>
        </row>
        <row r="6880">
          <cell r="O6880" t="str">
            <v>SC4643VB-A</v>
          </cell>
          <cell r="P6880" t="str">
            <v>STC9D03E</v>
          </cell>
          <cell r="Q6880" t="str">
            <v>电流传感器</v>
          </cell>
        </row>
        <row r="6881">
          <cell r="O6881" t="str">
            <v>SC4643VB-A</v>
          </cell>
          <cell r="P6881" t="str">
            <v>STC9D03E</v>
          </cell>
          <cell r="Q6881" t="str">
            <v>电流传感器</v>
          </cell>
        </row>
        <row r="6882">
          <cell r="O6882" t="str">
            <v>SC4643VB-A</v>
          </cell>
          <cell r="P6882" t="str">
            <v>STC9D03E</v>
          </cell>
          <cell r="Q6882" t="str">
            <v>电流传感器</v>
          </cell>
        </row>
        <row r="6883">
          <cell r="O6883" t="str">
            <v>SC4643VB-A</v>
          </cell>
          <cell r="P6883" t="str">
            <v>STC9D03E</v>
          </cell>
          <cell r="Q6883" t="str">
            <v>电流传感器</v>
          </cell>
        </row>
        <row r="6884">
          <cell r="O6884" t="str">
            <v>SC4643VB-A</v>
          </cell>
          <cell r="P6884" t="str">
            <v>STC9D03E</v>
          </cell>
          <cell r="Q6884" t="str">
            <v>电流传感器</v>
          </cell>
        </row>
        <row r="6885">
          <cell r="O6885" t="str">
            <v>SC4643VB-A</v>
          </cell>
          <cell r="P6885" t="str">
            <v>STC9D03E</v>
          </cell>
          <cell r="Q6885" t="str">
            <v>电流传感器</v>
          </cell>
        </row>
        <row r="6886">
          <cell r="O6886" t="str">
            <v>SC4643VB-A</v>
          </cell>
          <cell r="P6886" t="str">
            <v>STC9D03E</v>
          </cell>
          <cell r="Q6886" t="str">
            <v>电流传感器</v>
          </cell>
        </row>
        <row r="6887">
          <cell r="O6887" t="str">
            <v>SC4643VB-A</v>
          </cell>
          <cell r="P6887" t="str">
            <v>STC9D03E</v>
          </cell>
          <cell r="Q6887" t="str">
            <v>电流传感器</v>
          </cell>
        </row>
        <row r="6888">
          <cell r="O6888" t="str">
            <v>SC9641TS-P</v>
          </cell>
          <cell r="P6888" t="str">
            <v>STC9A001I</v>
          </cell>
          <cell r="Q6888" t="str">
            <v>速度传感器</v>
          </cell>
        </row>
        <row r="6889">
          <cell r="O6889" t="str">
            <v>SC9675IM-P-HRF00</v>
          </cell>
          <cell r="P6889" t="str">
            <v>STC9A002B</v>
          </cell>
          <cell r="Q6889" t="str">
            <v>速度传感器</v>
          </cell>
        </row>
        <row r="6890">
          <cell r="O6890" t="str">
            <v>SC9642TS</v>
          </cell>
          <cell r="P6890" t="str">
            <v>STC9A001G</v>
          </cell>
          <cell r="Q6890" t="str">
            <v>速度传感器</v>
          </cell>
        </row>
        <row r="6891">
          <cell r="O6891" t="str">
            <v>SC60221-D-360</v>
          </cell>
          <cell r="P6891" t="str">
            <v>STC9D04C</v>
          </cell>
          <cell r="Q6891" t="str">
            <v>电机编码器</v>
          </cell>
        </row>
        <row r="6892">
          <cell r="O6892" t="str">
            <v>SC60221-D-360</v>
          </cell>
          <cell r="P6892" t="str">
            <v>STC9D04C</v>
          </cell>
          <cell r="Q6892" t="str">
            <v>电机编码器</v>
          </cell>
        </row>
        <row r="6893">
          <cell r="O6893" t="str">
            <v>SD211VB</v>
          </cell>
          <cell r="P6893" t="str">
            <v>FD1016A</v>
          </cell>
          <cell r="Q6893" t="str">
            <v>电机驱动</v>
          </cell>
        </row>
        <row r="6894">
          <cell r="O6894" t="str">
            <v>SD211VB</v>
          </cell>
          <cell r="P6894" t="str">
            <v>FD1016A</v>
          </cell>
          <cell r="Q6894" t="str">
            <v>电机驱动</v>
          </cell>
        </row>
        <row r="6895">
          <cell r="O6895" t="str">
            <v>SC9648TS-P</v>
          </cell>
          <cell r="P6895" t="str">
            <v>STC9A001I</v>
          </cell>
          <cell r="Q6895" t="str">
            <v>速度传感器</v>
          </cell>
        </row>
        <row r="6896">
          <cell r="O6896" t="str">
            <v>SC9648TS-P</v>
          </cell>
          <cell r="P6896" t="str">
            <v>STC9A001I</v>
          </cell>
          <cell r="Q6896" t="str">
            <v>速度传感器</v>
          </cell>
        </row>
        <row r="6897">
          <cell r="O6897" t="str">
            <v>SC9648TS-P</v>
          </cell>
          <cell r="P6897" t="str">
            <v>STC9A001I</v>
          </cell>
          <cell r="Q6897" t="str">
            <v>速度传感器</v>
          </cell>
        </row>
        <row r="6898">
          <cell r="O6898" t="str">
            <v>SC2402SO-N</v>
          </cell>
          <cell r="P6898" t="str">
            <v>STC9902J</v>
          </cell>
          <cell r="Q6898" t="str">
            <v>磁性位置传感器</v>
          </cell>
        </row>
        <row r="6899">
          <cell r="O6899" t="str">
            <v>SC4011SO-N</v>
          </cell>
          <cell r="P6899" t="str">
            <v>STC4011B</v>
          </cell>
          <cell r="Q6899" t="str">
            <v>磁性位置传感器</v>
          </cell>
        </row>
        <row r="6900">
          <cell r="O6900" t="str">
            <v>SC4011SO-N</v>
          </cell>
          <cell r="P6900" t="str">
            <v>STC4011B</v>
          </cell>
          <cell r="Q6900" t="str">
            <v>磁性位置传感器</v>
          </cell>
        </row>
        <row r="6901">
          <cell r="O6901" t="str">
            <v>SC4011SO-N</v>
          </cell>
          <cell r="P6901" t="str">
            <v>STC4011B</v>
          </cell>
          <cell r="Q6901" t="str">
            <v>磁性位置传感器</v>
          </cell>
        </row>
        <row r="6902">
          <cell r="O6902" t="str">
            <v>SC4011SO-N</v>
          </cell>
          <cell r="P6902" t="str">
            <v>STC4011B</v>
          </cell>
          <cell r="Q6902" t="str">
            <v>磁性位置传感器</v>
          </cell>
        </row>
        <row r="6903">
          <cell r="O6903" t="str">
            <v>SC4011SO-N</v>
          </cell>
          <cell r="P6903" t="str">
            <v>STC4011B</v>
          </cell>
          <cell r="Q6903" t="str">
            <v>磁性位置传感器</v>
          </cell>
        </row>
        <row r="6904">
          <cell r="O6904" t="str">
            <v>SC4011SO-N</v>
          </cell>
          <cell r="P6904" t="str">
            <v>STC4011B</v>
          </cell>
          <cell r="Q6904" t="str">
            <v>磁性位置传感器</v>
          </cell>
        </row>
        <row r="6905">
          <cell r="O6905" t="str">
            <v>SC4011SO-N</v>
          </cell>
          <cell r="P6905" t="str">
            <v>STC4011B</v>
          </cell>
          <cell r="Q6905" t="str">
            <v>磁性位置传感器</v>
          </cell>
        </row>
        <row r="6906">
          <cell r="O6906" t="str">
            <v>SC4011SO-N</v>
          </cell>
          <cell r="P6906" t="str">
            <v>STC4011B</v>
          </cell>
          <cell r="Q6906" t="str">
            <v>磁性位置传感器</v>
          </cell>
        </row>
        <row r="6907">
          <cell r="O6907" t="str">
            <v>SC4011SO-N</v>
          </cell>
          <cell r="P6907" t="str">
            <v>STC4011B</v>
          </cell>
          <cell r="Q6907" t="str">
            <v>磁性位置传感器</v>
          </cell>
        </row>
        <row r="6908">
          <cell r="O6908" t="str">
            <v>SC4011SO-N</v>
          </cell>
          <cell r="P6908" t="str">
            <v>STC4011B</v>
          </cell>
          <cell r="Q6908" t="str">
            <v>磁性位置传感器</v>
          </cell>
        </row>
        <row r="6909">
          <cell r="O6909" t="str">
            <v>SC4011SO-N</v>
          </cell>
          <cell r="P6909" t="str">
            <v>STC4011B</v>
          </cell>
          <cell r="Q6909" t="str">
            <v>磁性位置传感器</v>
          </cell>
        </row>
        <row r="6910">
          <cell r="O6910" t="str">
            <v>SC4011SO-N</v>
          </cell>
          <cell r="P6910" t="str">
            <v>STC4011B</v>
          </cell>
          <cell r="Q6910" t="str">
            <v>磁性位置传感器</v>
          </cell>
        </row>
        <row r="6911">
          <cell r="O6911" t="str">
            <v>SC4011SO-N</v>
          </cell>
          <cell r="P6911" t="str">
            <v>STC4011B</v>
          </cell>
          <cell r="Q6911" t="str">
            <v>磁性位置传感器</v>
          </cell>
        </row>
        <row r="6912">
          <cell r="O6912" t="str">
            <v>SC4011SO-N</v>
          </cell>
          <cell r="P6912" t="str">
            <v>STC4011B</v>
          </cell>
          <cell r="Q6912" t="str">
            <v>磁性位置传感器</v>
          </cell>
        </row>
        <row r="6913">
          <cell r="O6913" t="str">
            <v>SC4011SO-N</v>
          </cell>
          <cell r="P6913" t="str">
            <v>STC4011B</v>
          </cell>
          <cell r="Q6913" t="str">
            <v>磁性位置传感器</v>
          </cell>
        </row>
        <row r="6914">
          <cell r="O6914" t="str">
            <v>ATK-E512</v>
          </cell>
          <cell r="P6914" t="str">
            <v>STC4011B</v>
          </cell>
          <cell r="Q6914" t="str">
            <v>磁性位置传感器</v>
          </cell>
        </row>
        <row r="6915">
          <cell r="O6915" t="str">
            <v>ATK-E512</v>
          </cell>
          <cell r="P6915" t="str">
            <v>STC4011B</v>
          </cell>
          <cell r="Q6915" t="str">
            <v>磁性位置传感器</v>
          </cell>
        </row>
        <row r="6916">
          <cell r="O6916" t="str">
            <v>ATK-E512</v>
          </cell>
          <cell r="P6916" t="str">
            <v>STC4011B</v>
          </cell>
          <cell r="Q6916" t="str">
            <v>磁性位置传感器</v>
          </cell>
        </row>
        <row r="6917">
          <cell r="O6917" t="str">
            <v>SC2402SO-N</v>
          </cell>
          <cell r="P6917" t="str">
            <v>STC9902J</v>
          </cell>
          <cell r="Q6917" t="str">
            <v>磁性位置传感器</v>
          </cell>
        </row>
        <row r="6918">
          <cell r="O6918" t="str">
            <v>SC2063SO</v>
          </cell>
          <cell r="P6918" t="str">
            <v>STC9G001C</v>
          </cell>
          <cell r="Q6918" t="str">
            <v>磁性位置传感器</v>
          </cell>
        </row>
        <row r="6919">
          <cell r="O6919" t="str">
            <v>SC2402SO-N-H</v>
          </cell>
          <cell r="P6919" t="str">
            <v>STC9H001A</v>
          </cell>
          <cell r="Q6919" t="str">
            <v>磁性位置传感器</v>
          </cell>
        </row>
        <row r="6920">
          <cell r="O6920" t="str">
            <v>281</v>
          </cell>
          <cell r="P6920" t="str">
            <v>STC4011B</v>
          </cell>
          <cell r="Q6920" t="str">
            <v>磁性位置传感器</v>
          </cell>
        </row>
        <row r="6921">
          <cell r="O6921" t="str">
            <v>281</v>
          </cell>
          <cell r="P6921" t="str">
            <v>STC4011B</v>
          </cell>
          <cell r="Q6921" t="str">
            <v>磁性位置传感器</v>
          </cell>
        </row>
        <row r="6922">
          <cell r="O6922" t="str">
            <v>G01</v>
          </cell>
          <cell r="P6922" t="str">
            <v>STC4011B</v>
          </cell>
          <cell r="Q6922" t="str">
            <v>磁性位置传感器</v>
          </cell>
        </row>
        <row r="6923">
          <cell r="O6923" t="str">
            <v>G01</v>
          </cell>
          <cell r="P6923" t="str">
            <v>STC4011B</v>
          </cell>
          <cell r="Q6923" t="str">
            <v>磁性位置传感器</v>
          </cell>
        </row>
        <row r="6924">
          <cell r="O6924" t="str">
            <v>G01</v>
          </cell>
          <cell r="P6924" t="str">
            <v>STC4011B</v>
          </cell>
          <cell r="Q6924" t="str">
            <v>磁性位置传感器</v>
          </cell>
        </row>
        <row r="6925">
          <cell r="O6925" t="str">
            <v>G01</v>
          </cell>
          <cell r="P6925" t="str">
            <v>STC4011B</v>
          </cell>
          <cell r="Q6925" t="str">
            <v>磁性位置传感器</v>
          </cell>
        </row>
        <row r="6926">
          <cell r="O6926" t="str">
            <v>G01</v>
          </cell>
          <cell r="P6926" t="str">
            <v>STC4011B</v>
          </cell>
          <cell r="Q6926" t="str">
            <v>磁性位置传感器</v>
          </cell>
        </row>
        <row r="6927">
          <cell r="O6927" t="str">
            <v>G01</v>
          </cell>
          <cell r="P6927" t="str">
            <v>STC4011B</v>
          </cell>
          <cell r="Q6927" t="str">
            <v>磁性位置传感器</v>
          </cell>
        </row>
        <row r="6928">
          <cell r="O6928" t="str">
            <v>G01</v>
          </cell>
          <cell r="P6928" t="str">
            <v>STC4011B</v>
          </cell>
          <cell r="Q6928" t="str">
            <v>磁性位置传感器</v>
          </cell>
        </row>
        <row r="6929">
          <cell r="O6929" t="str">
            <v>2100S</v>
          </cell>
          <cell r="P6929" t="str">
            <v>STC9D03E</v>
          </cell>
          <cell r="Q6929" t="str">
            <v>电流传感器</v>
          </cell>
        </row>
        <row r="6930">
          <cell r="O6930" t="str">
            <v>SC4688SA</v>
          </cell>
          <cell r="P6930" t="str">
            <v>STC9D01C</v>
          </cell>
          <cell r="Q6930" t="str">
            <v>角度传感器</v>
          </cell>
        </row>
        <row r="6931">
          <cell r="O6931" t="str">
            <v>SC9648TS-P</v>
          </cell>
          <cell r="P6931" t="str">
            <v>STC9A001I</v>
          </cell>
          <cell r="Q6931" t="str">
            <v>速度传感器</v>
          </cell>
        </row>
        <row r="6932">
          <cell r="O6932" t="str">
            <v>SC9675IM-P-LRF00</v>
          </cell>
          <cell r="P6932" t="str">
            <v>STC9A002B</v>
          </cell>
          <cell r="Q6932" t="str">
            <v>速度传感器</v>
          </cell>
        </row>
        <row r="6933">
          <cell r="O6933" t="str">
            <v>SC9648TS-P</v>
          </cell>
          <cell r="P6933" t="str">
            <v>STC9A001I</v>
          </cell>
          <cell r="Q6933" t="str">
            <v>速度传感器</v>
          </cell>
        </row>
        <row r="6934">
          <cell r="O6934" t="str">
            <v>SC2402SO-N-H</v>
          </cell>
          <cell r="P6934" t="str">
            <v>STC9H001A</v>
          </cell>
          <cell r="Q6934" t="str">
            <v>磁性位置传感器</v>
          </cell>
        </row>
        <row r="6935">
          <cell r="O6935" t="str">
            <v>SC2432SO</v>
          </cell>
          <cell r="P6935" t="str">
            <v>STC9906I</v>
          </cell>
          <cell r="Q6935" t="str">
            <v>磁性位置传感器</v>
          </cell>
        </row>
        <row r="6936">
          <cell r="O6936" t="str">
            <v>SC2432UA</v>
          </cell>
          <cell r="P6936" t="str">
            <v>STC9906I</v>
          </cell>
          <cell r="Q6936" t="str">
            <v>磁性位置传感器</v>
          </cell>
        </row>
        <row r="6937">
          <cell r="O6937" t="str">
            <v>SC4011UA</v>
          </cell>
          <cell r="P6937" t="str">
            <v>STC4011B</v>
          </cell>
          <cell r="Q6937" t="str">
            <v>磁性位置传感器</v>
          </cell>
        </row>
        <row r="6938">
          <cell r="O6938" t="str">
            <v>SC4011UA</v>
          </cell>
          <cell r="P6938" t="str">
            <v>STC4011B</v>
          </cell>
          <cell r="Q6938" t="str">
            <v>磁性位置传感器</v>
          </cell>
        </row>
        <row r="6939">
          <cell r="O6939" t="str">
            <v>S41H</v>
          </cell>
          <cell r="P6939" t="str">
            <v>STC2899AI</v>
          </cell>
          <cell r="Q6939" t="str">
            <v>磁性位置传感器</v>
          </cell>
        </row>
        <row r="6940">
          <cell r="O6940" t="str">
            <v>SC9641TS-PC</v>
          </cell>
          <cell r="P6940" t="str">
            <v>STC9A001I</v>
          </cell>
          <cell r="Q6940" t="str">
            <v>速度传感器</v>
          </cell>
        </row>
        <row r="6941">
          <cell r="O6941" t="str">
            <v>SC9641TS-PC</v>
          </cell>
          <cell r="P6941" t="str">
            <v>STC9A001I</v>
          </cell>
          <cell r="Q6941" t="str">
            <v>速度传感器</v>
          </cell>
        </row>
        <row r="6942">
          <cell r="O6942" t="str">
            <v>SC9648TS-P</v>
          </cell>
          <cell r="P6942" t="str">
            <v>STC9A001I</v>
          </cell>
          <cell r="Q6942" t="str">
            <v>速度传感器</v>
          </cell>
        </row>
        <row r="6943">
          <cell r="O6943" t="str">
            <v>SC9642TS</v>
          </cell>
          <cell r="P6943" t="str">
            <v>STC9A001G</v>
          </cell>
          <cell r="Q6943" t="str">
            <v>速度传感器</v>
          </cell>
        </row>
        <row r="6944">
          <cell r="O6944" t="str">
            <v>SC9642TS</v>
          </cell>
          <cell r="P6944" t="str">
            <v>STC9A001G</v>
          </cell>
          <cell r="Q6944" t="str">
            <v>速度传感器</v>
          </cell>
        </row>
        <row r="6945">
          <cell r="O6945" t="str">
            <v>SC919H</v>
          </cell>
          <cell r="P6945" t="str">
            <v>STC9913D</v>
          </cell>
          <cell r="Q6945" t="str">
            <v>磁性位置传感器</v>
          </cell>
        </row>
        <row r="6946">
          <cell r="O6946" t="str">
            <v>SC2443SO</v>
          </cell>
          <cell r="P6946" t="str">
            <v>STC9906T</v>
          </cell>
          <cell r="Q6946" t="str">
            <v>磁性位置传感器</v>
          </cell>
        </row>
        <row r="6947">
          <cell r="O6947" t="str">
            <v>SC2443SO</v>
          </cell>
          <cell r="P6947" t="str">
            <v>STC9906T</v>
          </cell>
          <cell r="Q6947" t="str">
            <v>磁性位置传感器</v>
          </cell>
        </row>
        <row r="6948">
          <cell r="O6948" t="str">
            <v>SC2443SO</v>
          </cell>
          <cell r="P6948" t="str">
            <v>STC9906T</v>
          </cell>
          <cell r="Q6948" t="str">
            <v>磁性位置传感器</v>
          </cell>
        </row>
        <row r="6949">
          <cell r="O6949" t="str">
            <v>SD211VB</v>
          </cell>
          <cell r="P6949" t="str">
            <v>FD1016A</v>
          </cell>
          <cell r="Q6949" t="str">
            <v>电机驱动</v>
          </cell>
        </row>
        <row r="6950">
          <cell r="O6950" t="str">
            <v>SC4002UA</v>
          </cell>
          <cell r="P6950" t="str">
            <v>STC4000AA</v>
          </cell>
          <cell r="Q6950" t="str">
            <v>磁性位置传感器</v>
          </cell>
        </row>
        <row r="6951">
          <cell r="O6951" t="str">
            <v>SD211VB</v>
          </cell>
          <cell r="P6951" t="str">
            <v>FD1016A</v>
          </cell>
          <cell r="Q6951" t="str">
            <v>电机驱动</v>
          </cell>
        </row>
        <row r="6952">
          <cell r="O6952" t="str">
            <v>SC2434SO-N</v>
          </cell>
          <cell r="P6952" t="str">
            <v>STC9906I</v>
          </cell>
          <cell r="Q6952" t="str">
            <v>磁性位置传感器</v>
          </cell>
        </row>
        <row r="6953">
          <cell r="O6953" t="str">
            <v>SYLMV324BPD2R</v>
          </cell>
          <cell r="P6953" t="str">
            <v>STC9G003B</v>
          </cell>
          <cell r="Q6953" t="str">
            <v>其他数模混合</v>
          </cell>
        </row>
        <row r="6954">
          <cell r="O6954" t="str">
            <v>SYLMV324BPD2R</v>
          </cell>
          <cell r="P6954" t="str">
            <v>STC9G003B</v>
          </cell>
          <cell r="Q6954" t="str">
            <v>其他数模混合</v>
          </cell>
        </row>
        <row r="6955">
          <cell r="O6955" t="str">
            <v>SC2434SO-N</v>
          </cell>
          <cell r="P6955" t="str">
            <v>STC9906I</v>
          </cell>
          <cell r="Q6955" t="str">
            <v>磁性位置传感器</v>
          </cell>
        </row>
        <row r="6956">
          <cell r="O6956" t="str">
            <v>SC2434SO-N</v>
          </cell>
          <cell r="P6956" t="str">
            <v>STC9906I</v>
          </cell>
          <cell r="Q6956" t="str">
            <v>磁性位置传感器</v>
          </cell>
        </row>
        <row r="6957">
          <cell r="O6957" t="str">
            <v>SC2442SO-N</v>
          </cell>
          <cell r="P6957" t="str">
            <v>STC9906P</v>
          </cell>
          <cell r="Q6957" t="str">
            <v>磁性位置传感器</v>
          </cell>
        </row>
        <row r="6958">
          <cell r="O6958" t="str">
            <v>SC2442SO-N</v>
          </cell>
          <cell r="P6958" t="str">
            <v>STC9906P</v>
          </cell>
          <cell r="Q6958" t="str">
            <v>磁性位置传感器</v>
          </cell>
        </row>
        <row r="6959">
          <cell r="O6959" t="str">
            <v>SC2442SO-N</v>
          </cell>
          <cell r="P6959" t="str">
            <v>STC9906P</v>
          </cell>
          <cell r="Q6959" t="str">
            <v>磁性位置传感器</v>
          </cell>
        </row>
        <row r="6960">
          <cell r="O6960" t="str">
            <v>SC60221-D-64</v>
          </cell>
          <cell r="P6960" t="str">
            <v>STC9D04C</v>
          </cell>
          <cell r="Q6960" t="str">
            <v>电机编码器</v>
          </cell>
        </row>
        <row r="6961">
          <cell r="O6961" t="str">
            <v>SC2442SO-N</v>
          </cell>
          <cell r="P6961" t="str">
            <v>STC9906P</v>
          </cell>
          <cell r="Q6961" t="str">
            <v>磁性位置传感器</v>
          </cell>
        </row>
        <row r="6962">
          <cell r="O6962" t="str">
            <v>SC2442SO-N</v>
          </cell>
          <cell r="P6962" t="str">
            <v>STC9906P</v>
          </cell>
          <cell r="Q6962" t="str">
            <v>磁性位置传感器</v>
          </cell>
        </row>
        <row r="6963">
          <cell r="O6963" t="str">
            <v>SC2063UA</v>
          </cell>
          <cell r="P6963" t="str">
            <v>STC9G001C</v>
          </cell>
          <cell r="Q6963" t="str">
            <v>磁性位置传感器</v>
          </cell>
        </row>
        <row r="6964">
          <cell r="O6964" t="str">
            <v>SC2442UA</v>
          </cell>
          <cell r="P6964" t="str">
            <v>STC9906P</v>
          </cell>
          <cell r="Q6964" t="str">
            <v>磁性位置传感器</v>
          </cell>
        </row>
        <row r="6965">
          <cell r="O6965" t="str">
            <v>SC2442UA</v>
          </cell>
          <cell r="P6965" t="str">
            <v>STC9906P</v>
          </cell>
          <cell r="Q6965" t="str">
            <v>磁性位置传感器</v>
          </cell>
        </row>
        <row r="6966">
          <cell r="O6966" t="str">
            <v>G01</v>
          </cell>
          <cell r="P6966" t="str">
            <v>STC4011B</v>
          </cell>
          <cell r="Q6966" t="str">
            <v>磁性位置传感器</v>
          </cell>
        </row>
        <row r="6967">
          <cell r="O6967" t="str">
            <v>G01</v>
          </cell>
          <cell r="P6967" t="str">
            <v>STC4011B</v>
          </cell>
          <cell r="Q6967" t="str">
            <v>磁性位置传感器</v>
          </cell>
        </row>
        <row r="6968">
          <cell r="O6968" t="str">
            <v>G01</v>
          </cell>
          <cell r="P6968" t="str">
            <v>STC4011B</v>
          </cell>
          <cell r="Q6968" t="str">
            <v>磁性位置传感器</v>
          </cell>
        </row>
        <row r="6969">
          <cell r="O6969" t="str">
            <v>SC2442SO-N</v>
          </cell>
          <cell r="P6969" t="str">
            <v>STC9906P</v>
          </cell>
          <cell r="Q6969" t="str">
            <v>磁性位置传感器</v>
          </cell>
        </row>
        <row r="6970">
          <cell r="O6970" t="str">
            <v>SC2442SO-N</v>
          </cell>
          <cell r="P6970" t="str">
            <v>STC9906P</v>
          </cell>
          <cell r="Q6970" t="str">
            <v>磁性位置传感器</v>
          </cell>
        </row>
        <row r="6971">
          <cell r="O6971" t="str">
            <v>SC2442UA</v>
          </cell>
          <cell r="P6971" t="str">
            <v>STC9906P</v>
          </cell>
          <cell r="Q6971" t="str">
            <v>磁性位置传感器</v>
          </cell>
        </row>
        <row r="6972">
          <cell r="O6972" t="str">
            <v>SC2442UA</v>
          </cell>
          <cell r="P6972" t="str">
            <v>STC9906P</v>
          </cell>
          <cell r="Q6972" t="str">
            <v>磁性位置传感器</v>
          </cell>
        </row>
        <row r="6973">
          <cell r="O6973" t="str">
            <v>SC2442UA</v>
          </cell>
          <cell r="P6973" t="str">
            <v>STC9906P</v>
          </cell>
          <cell r="Q6973" t="str">
            <v>磁性位置传感器</v>
          </cell>
        </row>
        <row r="6974">
          <cell r="O6974" t="str">
            <v>SC60221-D-256</v>
          </cell>
          <cell r="P6974" t="str">
            <v>STC9D04C</v>
          </cell>
          <cell r="Q6974" t="str">
            <v>电机编码器</v>
          </cell>
        </row>
        <row r="6975">
          <cell r="O6975" t="str">
            <v>SC9314UA</v>
          </cell>
          <cell r="P6975" t="str">
            <v>STC9901AF</v>
          </cell>
          <cell r="Q6975" t="str">
            <v>速度传感器</v>
          </cell>
        </row>
        <row r="6976">
          <cell r="O6976" t="str">
            <v>SC9641TS-P</v>
          </cell>
          <cell r="P6976" t="str">
            <v>STC9A001I</v>
          </cell>
          <cell r="Q6976" t="str">
            <v>速度传感器</v>
          </cell>
        </row>
        <row r="6977">
          <cell r="O6977" t="str">
            <v>SC9648TS-P</v>
          </cell>
          <cell r="P6977" t="str">
            <v>STC9A001I</v>
          </cell>
          <cell r="Q6977" t="str">
            <v>速度传感器</v>
          </cell>
        </row>
        <row r="6978">
          <cell r="O6978" t="str">
            <v>SC9648TS-P</v>
          </cell>
          <cell r="P6978" t="str">
            <v>STC9A001I</v>
          </cell>
          <cell r="Q6978" t="str">
            <v>速度传感器</v>
          </cell>
        </row>
        <row r="6979">
          <cell r="O6979" t="str">
            <v>SC9648TS-P</v>
          </cell>
          <cell r="P6979" t="str">
            <v>STC9A001I</v>
          </cell>
          <cell r="Q6979" t="str">
            <v>速度传感器</v>
          </cell>
        </row>
        <row r="6980">
          <cell r="O6980" t="str">
            <v>SC9641TS-P</v>
          </cell>
          <cell r="P6980" t="str">
            <v>STC9A001I</v>
          </cell>
          <cell r="Q6980" t="str">
            <v>速度传感器</v>
          </cell>
        </row>
        <row r="6981">
          <cell r="O6981" t="str">
            <v>SC9648TS-P</v>
          </cell>
          <cell r="P6981" t="str">
            <v>STC9A001I</v>
          </cell>
          <cell r="Q6981" t="str">
            <v>速度传感器</v>
          </cell>
        </row>
        <row r="6982">
          <cell r="O6982" t="str">
            <v>SC9641TS-P</v>
          </cell>
          <cell r="P6982" t="str">
            <v>STC9A001I</v>
          </cell>
          <cell r="Q6982" t="str">
            <v>速度传感器</v>
          </cell>
        </row>
        <row r="6983">
          <cell r="O6983" t="str">
            <v>SC69401-A</v>
          </cell>
          <cell r="P6983" t="str">
            <v>STC9H002DQ</v>
          </cell>
          <cell r="Q6983" t="str">
            <v>角度传感器</v>
          </cell>
        </row>
        <row r="6984">
          <cell r="O6984" t="str">
            <v>SC69401-A</v>
          </cell>
          <cell r="P6984" t="str">
            <v>STC9H002DQ</v>
          </cell>
          <cell r="Q6984" t="str">
            <v>角度传感器</v>
          </cell>
        </row>
        <row r="6985">
          <cell r="O6985" t="str">
            <v>SC2402SO-N-H</v>
          </cell>
          <cell r="P6985" t="str">
            <v>STC9H001A</v>
          </cell>
          <cell r="Q6985" t="str">
            <v>磁性位置传感器</v>
          </cell>
        </row>
        <row r="6986">
          <cell r="O6986" t="str">
            <v>SC1245UA</v>
          </cell>
          <cell r="P6986" t="str">
            <v>STC1898AD</v>
          </cell>
          <cell r="Q6986" t="str">
            <v>磁性位置传感器</v>
          </cell>
        </row>
        <row r="6987">
          <cell r="O6987" t="str">
            <v>SC9641TS-P</v>
          </cell>
          <cell r="P6987" t="str">
            <v>STC9A001I</v>
          </cell>
          <cell r="Q6987" t="str">
            <v>速度传感器</v>
          </cell>
        </row>
        <row r="6988">
          <cell r="O6988" t="str">
            <v>SC2498UA-N</v>
          </cell>
          <cell r="P6988" t="str">
            <v>SC9915C</v>
          </cell>
          <cell r="Q6988" t="str">
            <v>磁性位置传感器</v>
          </cell>
        </row>
        <row r="6989">
          <cell r="O6989" t="str">
            <v>SC2498UA-N</v>
          </cell>
          <cell r="P6989" t="str">
            <v>SC9915C</v>
          </cell>
          <cell r="Q6989" t="str">
            <v>磁性位置传感器</v>
          </cell>
        </row>
        <row r="6990">
          <cell r="O6990" t="str">
            <v>SC9648TS-P</v>
          </cell>
          <cell r="P6990" t="str">
            <v>STC9A001I</v>
          </cell>
          <cell r="Q6990" t="str">
            <v>速度传感器</v>
          </cell>
        </row>
        <row r="6991">
          <cell r="O6991" t="str">
            <v>SC1134UA</v>
          </cell>
          <cell r="P6991" t="str">
            <v>STC1898AI</v>
          </cell>
          <cell r="Q6991" t="str">
            <v>磁性位置传感器</v>
          </cell>
        </row>
        <row r="6992">
          <cell r="O6992" t="str">
            <v>SC1134UA</v>
          </cell>
          <cell r="P6992" t="str">
            <v>STC1898AI</v>
          </cell>
          <cell r="Q6992" t="str">
            <v>磁性位置传感器</v>
          </cell>
        </row>
        <row r="6993">
          <cell r="O6993" t="str">
            <v>SC1134UA</v>
          </cell>
          <cell r="P6993" t="str">
            <v>STC1898AI</v>
          </cell>
          <cell r="Q6993" t="str">
            <v>磁性位置传感器</v>
          </cell>
        </row>
        <row r="6994">
          <cell r="O6994" t="str">
            <v>SC9642TS</v>
          </cell>
          <cell r="P6994" t="str">
            <v>STC9A001G</v>
          </cell>
          <cell r="Q6994" t="str">
            <v>速度传感器</v>
          </cell>
        </row>
        <row r="6995">
          <cell r="O6995" t="str">
            <v>SC9642TS</v>
          </cell>
          <cell r="P6995" t="str">
            <v>STC9A001G</v>
          </cell>
          <cell r="Q6995" t="str">
            <v>速度传感器</v>
          </cell>
        </row>
        <row r="6996">
          <cell r="O6996" t="str">
            <v>SC603X0编程器</v>
          </cell>
          <cell r="P6996" t="str">
            <v xml:space="preserve"> </v>
          </cell>
          <cell r="Q6996" t="str">
            <v>电机编码器</v>
          </cell>
        </row>
        <row r="6997">
          <cell r="O6997" t="str">
            <v>SC4688DC-M3</v>
          </cell>
          <cell r="P6997" t="str">
            <v>STC9D01C</v>
          </cell>
          <cell r="Q6997" t="str">
            <v>角度传感器</v>
          </cell>
        </row>
        <row r="6998">
          <cell r="O6998" t="str">
            <v>SC1134UA</v>
          </cell>
          <cell r="P6998" t="str">
            <v>STC1898AI</v>
          </cell>
          <cell r="Q6998" t="str">
            <v>磁性位置传感器</v>
          </cell>
        </row>
        <row r="6999">
          <cell r="O6999" t="str">
            <v>SD211VB</v>
          </cell>
          <cell r="P6999" t="str">
            <v>FD1016A</v>
          </cell>
          <cell r="Q6999" t="str">
            <v>电机驱动</v>
          </cell>
        </row>
        <row r="7000">
          <cell r="O7000" t="str">
            <v>SD211VB</v>
          </cell>
          <cell r="P7000" t="str">
            <v>FD1016A</v>
          </cell>
          <cell r="Q7000" t="str">
            <v>电机驱动</v>
          </cell>
        </row>
        <row r="7001">
          <cell r="O7001" t="str">
            <v>SD2276</v>
          </cell>
          <cell r="P7001" t="str">
            <v>FD1014A</v>
          </cell>
          <cell r="Q7001" t="str">
            <v>电机驱动</v>
          </cell>
        </row>
        <row r="7002">
          <cell r="O7002" t="str">
            <v>SD2276</v>
          </cell>
          <cell r="P7002" t="str">
            <v>FD1014A</v>
          </cell>
          <cell r="Q7002" t="str">
            <v>电机驱动</v>
          </cell>
        </row>
        <row r="7003">
          <cell r="O7003" t="str">
            <v>SD2276</v>
          </cell>
          <cell r="P7003" t="str">
            <v>FD1014A</v>
          </cell>
          <cell r="Q7003" t="str">
            <v>电机驱动</v>
          </cell>
        </row>
        <row r="7004">
          <cell r="O7004" t="str">
            <v>SC2202SO-N</v>
          </cell>
          <cell r="P7004" t="str">
            <v>STC9902E</v>
          </cell>
          <cell r="Q7004" t="str">
            <v>磁性位置传感器</v>
          </cell>
        </row>
        <row r="7005">
          <cell r="O7005" t="str">
            <v>G01</v>
          </cell>
          <cell r="P7005" t="str">
            <v>STC4011B</v>
          </cell>
          <cell r="Q7005" t="str">
            <v>磁性位置传感器</v>
          </cell>
        </row>
        <row r="7006">
          <cell r="O7006" t="str">
            <v>G01</v>
          </cell>
          <cell r="P7006" t="str">
            <v>STC4011B</v>
          </cell>
          <cell r="Q7006" t="str">
            <v>磁性位置传感器</v>
          </cell>
        </row>
        <row r="7007">
          <cell r="O7007" t="str">
            <v>SC4616UA-10.2NF</v>
          </cell>
          <cell r="P7007" t="str">
            <v>STC9907D</v>
          </cell>
          <cell r="Q7007" t="str">
            <v>电流传感器</v>
          </cell>
        </row>
        <row r="7008">
          <cell r="O7008" t="str">
            <v>SC9675IM-P-LRF00</v>
          </cell>
          <cell r="P7008" t="str">
            <v>STC9A002B</v>
          </cell>
          <cell r="Q7008" t="str">
            <v>速度传感器</v>
          </cell>
        </row>
        <row r="7009">
          <cell r="O7009" t="str">
            <v>SC9641TS-P</v>
          </cell>
          <cell r="P7009" t="str">
            <v>STC9A001I</v>
          </cell>
          <cell r="Q7009" t="str">
            <v>速度传感器</v>
          </cell>
        </row>
        <row r="7010">
          <cell r="O7010" t="str">
            <v>SC2413SO-N</v>
          </cell>
          <cell r="P7010" t="str">
            <v>STC9902D</v>
          </cell>
          <cell r="Q7010" t="str">
            <v>磁性位置传感器</v>
          </cell>
        </row>
        <row r="7011">
          <cell r="O7011" t="str">
            <v>SC2413SO-N</v>
          </cell>
          <cell r="P7011" t="str">
            <v>STC9902D</v>
          </cell>
          <cell r="Q7011" t="str">
            <v>磁性位置传感器</v>
          </cell>
        </row>
        <row r="7012">
          <cell r="O7012" t="str">
            <v>SC2448SO</v>
          </cell>
          <cell r="P7012" t="str">
            <v>STC9906S</v>
          </cell>
          <cell r="Q7012" t="str">
            <v>磁性位置传感器</v>
          </cell>
        </row>
        <row r="7013">
          <cell r="O7013" t="str">
            <v>SC2448SO</v>
          </cell>
          <cell r="P7013" t="str">
            <v>STC9906S</v>
          </cell>
          <cell r="Q7013" t="str">
            <v>磁性位置传感器</v>
          </cell>
        </row>
        <row r="7014">
          <cell r="O7014" t="str">
            <v>SC2448SO</v>
          </cell>
          <cell r="P7014" t="str">
            <v>STC9906S</v>
          </cell>
          <cell r="Q7014" t="str">
            <v>磁性位置传感器</v>
          </cell>
        </row>
        <row r="7015">
          <cell r="O7015" t="str">
            <v>SC2448SO</v>
          </cell>
          <cell r="P7015" t="str">
            <v>STC9906S</v>
          </cell>
          <cell r="Q7015" t="str">
            <v>磁性位置传感器</v>
          </cell>
        </row>
        <row r="7016">
          <cell r="O7016" t="str">
            <v>SC2448SO</v>
          </cell>
          <cell r="P7016" t="str">
            <v>STC9906S</v>
          </cell>
          <cell r="Q7016" t="str">
            <v>磁性位置传感器</v>
          </cell>
        </row>
        <row r="7017">
          <cell r="O7017" t="str">
            <v>SC2448SO</v>
          </cell>
          <cell r="P7017" t="str">
            <v>STC9906S</v>
          </cell>
          <cell r="Q7017" t="str">
            <v>磁性位置传感器</v>
          </cell>
        </row>
        <row r="7018">
          <cell r="O7018" t="str">
            <v>SD477S</v>
          </cell>
          <cell r="P7018" t="str">
            <v>STC22304C</v>
          </cell>
          <cell r="Q7018" t="str">
            <v>电机驱动</v>
          </cell>
        </row>
        <row r="7019">
          <cell r="O7019" t="str">
            <v>SC1645B1</v>
          </cell>
          <cell r="P7019" t="str">
            <v>STC2899AE</v>
          </cell>
          <cell r="Q7019" t="str">
            <v>磁性位置传感器</v>
          </cell>
        </row>
        <row r="7020">
          <cell r="O7020" t="str">
            <v>SC1645B1</v>
          </cell>
          <cell r="P7020" t="str">
            <v>STC2899AE</v>
          </cell>
          <cell r="Q7020" t="str">
            <v>磁性位置传感器</v>
          </cell>
        </row>
        <row r="7021">
          <cell r="O7021" t="str">
            <v>SC1645B1</v>
          </cell>
          <cell r="P7021" t="str">
            <v>STC2899AE</v>
          </cell>
          <cell r="Q7021" t="str">
            <v>磁性位置传感器</v>
          </cell>
        </row>
        <row r="7022">
          <cell r="O7022" t="str">
            <v>SC2498SO</v>
          </cell>
          <cell r="P7022" t="str">
            <v>SC9915C</v>
          </cell>
          <cell r="Q7022" t="str">
            <v>磁性位置传感器</v>
          </cell>
        </row>
        <row r="7023">
          <cell r="O7023" t="str">
            <v>SC9648TS-P</v>
          </cell>
          <cell r="P7023" t="str">
            <v>STC9A001I</v>
          </cell>
          <cell r="Q7023" t="str">
            <v>速度传感器</v>
          </cell>
        </row>
        <row r="7024">
          <cell r="O7024" t="str">
            <v>SC1134SO-N</v>
          </cell>
          <cell r="P7024" t="str">
            <v>STC1898AI</v>
          </cell>
          <cell r="Q7024" t="str">
            <v>磁性位置传感器</v>
          </cell>
        </row>
        <row r="7025">
          <cell r="O7025" t="str">
            <v>SC1138SO-N</v>
          </cell>
          <cell r="P7025" t="str">
            <v>STC1898AC</v>
          </cell>
          <cell r="Q7025" t="str">
            <v>磁性位置传感器</v>
          </cell>
        </row>
        <row r="7026">
          <cell r="O7026" t="str">
            <v>SC1138SO-N</v>
          </cell>
          <cell r="P7026" t="str">
            <v>STC1898AC</v>
          </cell>
          <cell r="Q7026" t="str">
            <v>磁性位置传感器</v>
          </cell>
        </row>
        <row r="7027">
          <cell r="O7027" t="str">
            <v>SC1134SO-N</v>
          </cell>
          <cell r="P7027" t="str">
            <v>STC1002AF</v>
          </cell>
          <cell r="Q7027" t="str">
            <v>磁性位置传感器</v>
          </cell>
        </row>
        <row r="7028">
          <cell r="O7028" t="str">
            <v>SC1134BU</v>
          </cell>
          <cell r="P7028" t="str">
            <v>STC1898AI</v>
          </cell>
          <cell r="Q7028" t="str">
            <v>磁性位置传感器</v>
          </cell>
        </row>
        <row r="7029">
          <cell r="O7029" t="str">
            <v>SC2402UA-G</v>
          </cell>
          <cell r="P7029" t="str">
            <v>STC9G002B</v>
          </cell>
          <cell r="Q7029" t="str">
            <v>磁性位置传感器</v>
          </cell>
        </row>
        <row r="7030">
          <cell r="O7030" t="str">
            <v>SC4011SO-N</v>
          </cell>
          <cell r="P7030" t="str">
            <v>STC4011B</v>
          </cell>
          <cell r="Q7030" t="str">
            <v>磁性位置传感器</v>
          </cell>
        </row>
        <row r="7031">
          <cell r="O7031" t="str">
            <v>SC4011SO-N</v>
          </cell>
          <cell r="P7031" t="str">
            <v>STC4011B</v>
          </cell>
          <cell r="Q7031" t="str">
            <v>磁性位置传感器</v>
          </cell>
        </row>
        <row r="7032">
          <cell r="O7032" t="str">
            <v>SC4011SO-N</v>
          </cell>
          <cell r="P7032" t="str">
            <v>STC4011B</v>
          </cell>
          <cell r="Q7032" t="str">
            <v>磁性位置传感器</v>
          </cell>
        </row>
        <row r="7033">
          <cell r="O7033" t="str">
            <v>SC4011SO-N</v>
          </cell>
          <cell r="P7033" t="str">
            <v>STC4011B</v>
          </cell>
          <cell r="Q7033" t="str">
            <v>磁性位置传感器</v>
          </cell>
        </row>
        <row r="7034">
          <cell r="O7034" t="str">
            <v>SC4011SO-N</v>
          </cell>
          <cell r="P7034" t="str">
            <v>STC4011B</v>
          </cell>
          <cell r="Q7034" t="str">
            <v>磁性位置传感器</v>
          </cell>
        </row>
        <row r="7035">
          <cell r="O7035" t="str">
            <v>SC2402SO-N</v>
          </cell>
          <cell r="P7035" t="str">
            <v>STC9902J</v>
          </cell>
          <cell r="Q7035" t="str">
            <v>磁性位置传感器</v>
          </cell>
        </row>
        <row r="7036">
          <cell r="O7036" t="str">
            <v>SC2402SO-N</v>
          </cell>
          <cell r="P7036" t="str">
            <v>STC9902J</v>
          </cell>
          <cell r="Q7036" t="str">
            <v>磁性位置传感器</v>
          </cell>
        </row>
        <row r="7037">
          <cell r="O7037" t="str">
            <v>SC2063SO</v>
          </cell>
          <cell r="P7037" t="str">
            <v>STC9G001C</v>
          </cell>
          <cell r="Q7037" t="str">
            <v>磁性位置传感器</v>
          </cell>
        </row>
        <row r="7038">
          <cell r="O7038" t="str">
            <v>SC2402SO-N</v>
          </cell>
          <cell r="P7038" t="str">
            <v>STC9902J</v>
          </cell>
          <cell r="Q7038" t="str">
            <v>磁性位置传感器</v>
          </cell>
        </row>
        <row r="7039">
          <cell r="O7039" t="str">
            <v>SC2402SO-N</v>
          </cell>
          <cell r="P7039" t="str">
            <v>STC9902J</v>
          </cell>
          <cell r="Q7039" t="str">
            <v>磁性位置传感器</v>
          </cell>
        </row>
        <row r="7040">
          <cell r="O7040" t="str">
            <v>SC4011SO-N</v>
          </cell>
          <cell r="P7040" t="str">
            <v>STC4011B</v>
          </cell>
          <cell r="Q7040" t="str">
            <v>磁性位置传感器</v>
          </cell>
        </row>
        <row r="7041">
          <cell r="O7041" t="str">
            <v>SC4011SO-N</v>
          </cell>
          <cell r="P7041" t="str">
            <v>STC4011B</v>
          </cell>
          <cell r="Q7041" t="str">
            <v>磁性位置传感器</v>
          </cell>
        </row>
        <row r="7042">
          <cell r="O7042" t="str">
            <v>SC4011SO-N</v>
          </cell>
          <cell r="P7042" t="str">
            <v>STC4011B</v>
          </cell>
          <cell r="Q7042" t="str">
            <v>磁性位置传感器</v>
          </cell>
        </row>
        <row r="7043">
          <cell r="O7043" t="str">
            <v>SC4011SO-N</v>
          </cell>
          <cell r="P7043" t="str">
            <v>STC4011B</v>
          </cell>
          <cell r="Q7043" t="str">
            <v>磁性位置传感器</v>
          </cell>
        </row>
        <row r="7044">
          <cell r="O7044" t="str">
            <v>SC4011SO-N</v>
          </cell>
          <cell r="P7044" t="str">
            <v>STC4011B</v>
          </cell>
          <cell r="Q7044" t="str">
            <v>磁性位置传感器</v>
          </cell>
        </row>
        <row r="7045">
          <cell r="O7045" t="str">
            <v>KH211</v>
          </cell>
          <cell r="P7045" t="str">
            <v>FD1016A</v>
          </cell>
          <cell r="Q7045" t="str">
            <v>电机驱动</v>
          </cell>
        </row>
        <row r="7046">
          <cell r="O7046" t="str">
            <v>KH211</v>
          </cell>
          <cell r="P7046" t="str">
            <v>FD1016A</v>
          </cell>
          <cell r="Q7046" t="str">
            <v>电机驱动</v>
          </cell>
        </row>
        <row r="7047">
          <cell r="O7047" t="str">
            <v>KH211</v>
          </cell>
          <cell r="P7047" t="str">
            <v>FD1016A</v>
          </cell>
          <cell r="Q7047" t="str">
            <v>电机驱动</v>
          </cell>
        </row>
        <row r="7048">
          <cell r="O7048" t="str">
            <v>KH211</v>
          </cell>
          <cell r="P7048" t="str">
            <v>FD1016A</v>
          </cell>
          <cell r="Q7048" t="str">
            <v>电机驱动</v>
          </cell>
        </row>
        <row r="7049">
          <cell r="O7049" t="str">
            <v>KH211</v>
          </cell>
          <cell r="P7049" t="str">
            <v>FD1016A</v>
          </cell>
          <cell r="Q7049" t="str">
            <v>电机驱动</v>
          </cell>
        </row>
        <row r="7050">
          <cell r="O7050" t="str">
            <v>KH211</v>
          </cell>
          <cell r="P7050" t="str">
            <v>FD1016A</v>
          </cell>
          <cell r="Q7050" t="str">
            <v>电机驱动</v>
          </cell>
        </row>
        <row r="7051">
          <cell r="O7051" t="str">
            <v>KH211</v>
          </cell>
          <cell r="P7051" t="str">
            <v>FD1016A</v>
          </cell>
          <cell r="Q7051" t="str">
            <v>电机驱动</v>
          </cell>
        </row>
        <row r="7052">
          <cell r="O7052" t="str">
            <v>KH211</v>
          </cell>
          <cell r="P7052" t="str">
            <v>FD1016A</v>
          </cell>
          <cell r="Q7052" t="str">
            <v>电机驱动</v>
          </cell>
        </row>
        <row r="7053">
          <cell r="O7053" t="str">
            <v>KH211</v>
          </cell>
          <cell r="P7053" t="str">
            <v>FD1016A</v>
          </cell>
          <cell r="Q7053" t="str">
            <v>电机驱动</v>
          </cell>
        </row>
        <row r="7054">
          <cell r="O7054" t="str">
            <v>KH211</v>
          </cell>
          <cell r="P7054" t="str">
            <v>FD1016A</v>
          </cell>
          <cell r="Q7054" t="str">
            <v>电机驱动</v>
          </cell>
        </row>
        <row r="7055">
          <cell r="O7055" t="str">
            <v>SC2402SO-N-H</v>
          </cell>
          <cell r="P7055" t="str">
            <v>STC9H001A</v>
          </cell>
          <cell r="Q7055" t="str">
            <v>磁性位置传感器</v>
          </cell>
        </row>
        <row r="7056">
          <cell r="O7056" t="str">
            <v>SC2402SO-N-H</v>
          </cell>
          <cell r="P7056" t="str">
            <v>STC9H001A</v>
          </cell>
          <cell r="Q7056" t="str">
            <v>磁性位置传感器</v>
          </cell>
        </row>
        <row r="7057">
          <cell r="O7057" t="str">
            <v>SC2402SO-N-H</v>
          </cell>
          <cell r="P7057" t="str">
            <v>STC9H001A</v>
          </cell>
          <cell r="Q7057" t="str">
            <v>磁性位置传感器</v>
          </cell>
        </row>
        <row r="7058">
          <cell r="O7058" t="str">
            <v>SC2402SO-N</v>
          </cell>
          <cell r="P7058" t="str">
            <v>STC9902J</v>
          </cell>
          <cell r="Q7058" t="str">
            <v>磁性位置传感器</v>
          </cell>
        </row>
        <row r="7059">
          <cell r="O7059" t="str">
            <v>SC2466SO</v>
          </cell>
          <cell r="P7059" t="str">
            <v>STC9906O</v>
          </cell>
          <cell r="Q7059" t="str">
            <v>磁性位置传感器</v>
          </cell>
        </row>
        <row r="7060">
          <cell r="O7060" t="str">
            <v>SC2466SO</v>
          </cell>
          <cell r="P7060" t="str">
            <v>STC9906O</v>
          </cell>
          <cell r="Q7060" t="str">
            <v>磁性位置传感器</v>
          </cell>
        </row>
        <row r="7061">
          <cell r="O7061" t="str">
            <v>SC2466SO</v>
          </cell>
          <cell r="P7061" t="str">
            <v>STC9906O</v>
          </cell>
          <cell r="Q7061" t="str">
            <v>磁性位置传感器</v>
          </cell>
        </row>
        <row r="7062">
          <cell r="O7062" t="str">
            <v>SC2466SO</v>
          </cell>
          <cell r="P7062" t="str">
            <v>STC9906O</v>
          </cell>
          <cell r="Q7062" t="str">
            <v>磁性位置传感器</v>
          </cell>
        </row>
        <row r="7063">
          <cell r="O7063" t="str">
            <v>SC1134SO-N</v>
          </cell>
          <cell r="P7063" t="str">
            <v>STC1002AF</v>
          </cell>
          <cell r="Q7063" t="str">
            <v>磁性位置传感器</v>
          </cell>
        </row>
        <row r="7064">
          <cell r="O7064" t="str">
            <v>SC1134SO-N</v>
          </cell>
          <cell r="P7064" t="str">
            <v>STC1002AF</v>
          </cell>
          <cell r="Q7064" t="str">
            <v>磁性位置传感器</v>
          </cell>
        </row>
        <row r="7065">
          <cell r="O7065" t="str">
            <v>SC2402UA</v>
          </cell>
          <cell r="P7065" t="str">
            <v>STC9902J</v>
          </cell>
          <cell r="Q7065" t="str">
            <v>磁性位置传感器</v>
          </cell>
        </row>
        <row r="7066">
          <cell r="O7066" t="str">
            <v>SC2402UA</v>
          </cell>
          <cell r="P7066" t="str">
            <v>STC9902J</v>
          </cell>
          <cell r="Q7066" t="str">
            <v>磁性位置传感器</v>
          </cell>
        </row>
        <row r="7067">
          <cell r="O7067" t="str">
            <v>SC2402UA</v>
          </cell>
          <cell r="P7067" t="str">
            <v>STC9902J</v>
          </cell>
          <cell r="Q7067" t="str">
            <v>磁性位置传感器</v>
          </cell>
        </row>
        <row r="7068">
          <cell r="O7068" t="str">
            <v>SC4011SO-N</v>
          </cell>
          <cell r="P7068" t="str">
            <v>STC4011B</v>
          </cell>
          <cell r="Q7068" t="str">
            <v>磁性位置传感器</v>
          </cell>
        </row>
        <row r="7069">
          <cell r="O7069" t="str">
            <v>SC4011SO-N</v>
          </cell>
          <cell r="P7069" t="str">
            <v>STC4011B</v>
          </cell>
          <cell r="Q7069" t="str">
            <v>磁性位置传感器</v>
          </cell>
        </row>
        <row r="7070">
          <cell r="O7070" t="str">
            <v>SC4011SO-N</v>
          </cell>
          <cell r="P7070" t="str">
            <v>STC4011B</v>
          </cell>
          <cell r="Q7070" t="str">
            <v>磁性位置传感器</v>
          </cell>
        </row>
        <row r="7071">
          <cell r="O7071" t="str">
            <v>SC4011SO-N</v>
          </cell>
          <cell r="P7071" t="str">
            <v>STC4011B</v>
          </cell>
          <cell r="Q7071" t="str">
            <v>磁性位置传感器</v>
          </cell>
        </row>
        <row r="7072">
          <cell r="O7072" t="str">
            <v>SC4011SO-N</v>
          </cell>
          <cell r="P7072" t="str">
            <v>STC4011B</v>
          </cell>
          <cell r="Q7072" t="str">
            <v>磁性位置传感器</v>
          </cell>
        </row>
        <row r="7073">
          <cell r="O7073" t="str">
            <v>SC4011SO-N</v>
          </cell>
          <cell r="P7073" t="str">
            <v>STC4011B</v>
          </cell>
          <cell r="Q7073" t="str">
            <v>磁性位置传感器</v>
          </cell>
        </row>
        <row r="7074">
          <cell r="O7074" t="str">
            <v>SC4011SO-N</v>
          </cell>
          <cell r="P7074" t="str">
            <v>STC4011B</v>
          </cell>
          <cell r="Q7074" t="str">
            <v>磁性位置传感器</v>
          </cell>
        </row>
        <row r="7075">
          <cell r="O7075" t="str">
            <v>SC4011SO-N</v>
          </cell>
          <cell r="P7075" t="str">
            <v>STC4011B</v>
          </cell>
          <cell r="Q7075" t="str">
            <v>磁性位置传感器</v>
          </cell>
        </row>
        <row r="7076">
          <cell r="O7076" t="str">
            <v>SC4011SO-N</v>
          </cell>
          <cell r="P7076" t="str">
            <v>STC4011B</v>
          </cell>
          <cell r="Q7076" t="str">
            <v>磁性位置传感器</v>
          </cell>
        </row>
        <row r="7077">
          <cell r="O7077" t="str">
            <v>SC4011SO-N</v>
          </cell>
          <cell r="P7077" t="str">
            <v>STC4011B</v>
          </cell>
          <cell r="Q7077" t="str">
            <v>磁性位置传感器</v>
          </cell>
        </row>
        <row r="7078">
          <cell r="O7078" t="str">
            <v>SC4011SO-N</v>
          </cell>
          <cell r="P7078" t="str">
            <v>STC4011B</v>
          </cell>
          <cell r="Q7078" t="str">
            <v>磁性位置传感器</v>
          </cell>
        </row>
        <row r="7079">
          <cell r="O7079" t="str">
            <v>SC4011SO-N</v>
          </cell>
          <cell r="P7079" t="str">
            <v>STC4011B</v>
          </cell>
          <cell r="Q7079" t="str">
            <v>磁性位置传感器</v>
          </cell>
        </row>
        <row r="7080">
          <cell r="O7080" t="str">
            <v>SC4011SO-N</v>
          </cell>
          <cell r="P7080" t="str">
            <v>STC4011B</v>
          </cell>
          <cell r="Q7080" t="str">
            <v>磁性位置传感器</v>
          </cell>
        </row>
        <row r="7081">
          <cell r="O7081" t="str">
            <v>SC4011SO-N</v>
          </cell>
          <cell r="P7081" t="str">
            <v>STC4011B</v>
          </cell>
          <cell r="Q7081" t="str">
            <v>磁性位置传感器</v>
          </cell>
        </row>
        <row r="7082">
          <cell r="O7082" t="str">
            <v>SC4011SO-N</v>
          </cell>
          <cell r="P7082" t="str">
            <v>STC4011B</v>
          </cell>
          <cell r="Q7082" t="str">
            <v>磁性位置传感器</v>
          </cell>
        </row>
        <row r="7083">
          <cell r="O7083" t="str">
            <v>SC4011SO-N</v>
          </cell>
          <cell r="P7083" t="str">
            <v>STC4011B</v>
          </cell>
          <cell r="Q7083" t="str">
            <v>磁性位置传感器</v>
          </cell>
        </row>
        <row r="7084">
          <cell r="O7084" t="str">
            <v>SC4011SO-N</v>
          </cell>
          <cell r="P7084" t="str">
            <v>STC4011B</v>
          </cell>
          <cell r="Q7084" t="str">
            <v>磁性位置传感器</v>
          </cell>
        </row>
        <row r="7085">
          <cell r="O7085" t="str">
            <v>SC4011SO-N</v>
          </cell>
          <cell r="P7085" t="str">
            <v>STC4011B</v>
          </cell>
          <cell r="Q7085" t="str">
            <v>磁性位置传感器</v>
          </cell>
        </row>
        <row r="7086">
          <cell r="O7086" t="str">
            <v>SC4011SO-N</v>
          </cell>
          <cell r="P7086" t="str">
            <v>STC4011B</v>
          </cell>
          <cell r="Q7086" t="str">
            <v>磁性位置传感器</v>
          </cell>
        </row>
        <row r="7087">
          <cell r="O7087" t="str">
            <v>SC9641TS-P</v>
          </cell>
          <cell r="P7087" t="str">
            <v>STC9A001I</v>
          </cell>
          <cell r="Q7087" t="str">
            <v>速度传感器</v>
          </cell>
        </row>
        <row r="7088">
          <cell r="O7088" t="str">
            <v>SC9648TS-P</v>
          </cell>
          <cell r="P7088" t="str">
            <v>STC9A001I</v>
          </cell>
          <cell r="Q7088" t="str">
            <v>速度传感器</v>
          </cell>
        </row>
        <row r="7089">
          <cell r="O7089" t="str">
            <v>SC9648TS-P</v>
          </cell>
          <cell r="P7089" t="str">
            <v>STC9A001I</v>
          </cell>
          <cell r="Q7089" t="str">
            <v>速度传感器</v>
          </cell>
        </row>
        <row r="7090">
          <cell r="O7090" t="str">
            <v>SC9641TS-P</v>
          </cell>
          <cell r="P7090" t="str">
            <v>STC9A001I</v>
          </cell>
          <cell r="Q7090" t="str">
            <v>速度传感器</v>
          </cell>
        </row>
        <row r="7091">
          <cell r="O7091" t="str">
            <v>SC9641TS-P</v>
          </cell>
          <cell r="P7091" t="str">
            <v>STC9A001I</v>
          </cell>
          <cell r="Q7091" t="str">
            <v>速度传感器</v>
          </cell>
        </row>
        <row r="7092">
          <cell r="O7092" t="str">
            <v>SC9641TS-P</v>
          </cell>
          <cell r="P7092" t="str">
            <v>STC9A001I</v>
          </cell>
          <cell r="Q7092" t="str">
            <v>速度传感器</v>
          </cell>
        </row>
        <row r="7093">
          <cell r="O7093" t="str">
            <v>SC9641TS-P</v>
          </cell>
          <cell r="P7093" t="str">
            <v>STC9A001I</v>
          </cell>
          <cell r="Q7093" t="str">
            <v>速度传感器</v>
          </cell>
        </row>
        <row r="7094">
          <cell r="O7094" t="str">
            <v>SC9648TS-P</v>
          </cell>
          <cell r="P7094" t="str">
            <v>STC9A001I</v>
          </cell>
          <cell r="Q7094" t="str">
            <v>速度传感器</v>
          </cell>
        </row>
        <row r="7095">
          <cell r="O7095" t="str">
            <v>SC9648TS-P</v>
          </cell>
          <cell r="P7095" t="str">
            <v>STC9A001I</v>
          </cell>
          <cell r="Q7095" t="str">
            <v>速度传感器</v>
          </cell>
        </row>
        <row r="7096">
          <cell r="O7096" t="str">
            <v>SC9625VB-L</v>
          </cell>
          <cell r="P7096" t="str">
            <v>STC9910E</v>
          </cell>
          <cell r="Q7096" t="str">
            <v>速度传感器</v>
          </cell>
        </row>
        <row r="7097">
          <cell r="O7097" t="str">
            <v>SC4643VB</v>
          </cell>
          <cell r="P7097" t="str">
            <v>STC9D03E</v>
          </cell>
          <cell r="Q7097" t="str">
            <v>电流传感器</v>
          </cell>
        </row>
        <row r="7098">
          <cell r="O7098" t="str">
            <v>SC1134UA</v>
          </cell>
          <cell r="P7098" t="str">
            <v>STC1898AI</v>
          </cell>
          <cell r="Q7098" t="str">
            <v>磁性位置传感器</v>
          </cell>
        </row>
        <row r="7099">
          <cell r="O7099" t="str">
            <v>SC2202SO-N</v>
          </cell>
          <cell r="P7099" t="str">
            <v>STC9902E</v>
          </cell>
          <cell r="Q7099" t="str">
            <v>磁性位置传感器</v>
          </cell>
        </row>
        <row r="7100">
          <cell r="O7100" t="str">
            <v>SC4616UA-10.2NF</v>
          </cell>
          <cell r="P7100" t="str">
            <v>STC9907D</v>
          </cell>
          <cell r="Q7100" t="str">
            <v>电流传感器</v>
          </cell>
        </row>
        <row r="7101">
          <cell r="O7101" t="str">
            <v>SC4616UA-10.2NF</v>
          </cell>
          <cell r="P7101" t="str">
            <v>STC9907D</v>
          </cell>
          <cell r="Q7101" t="str">
            <v>电流传感器</v>
          </cell>
        </row>
        <row r="7102">
          <cell r="O7102" t="str">
            <v>SC4616UA-10.2NF</v>
          </cell>
          <cell r="P7102" t="str">
            <v>STC9907D</v>
          </cell>
          <cell r="Q7102" t="str">
            <v>电流传感器</v>
          </cell>
        </row>
        <row r="7103">
          <cell r="O7103" t="str">
            <v>SC9641TS-P</v>
          </cell>
          <cell r="P7103" t="str">
            <v>STC9A001I</v>
          </cell>
          <cell r="Q7103" t="str">
            <v>速度传感器</v>
          </cell>
        </row>
        <row r="7104">
          <cell r="O7104" t="str">
            <v>SC2498SO</v>
          </cell>
          <cell r="P7104" t="str">
            <v>SC9915C</v>
          </cell>
          <cell r="Q7104" t="str">
            <v>磁性位置传感器</v>
          </cell>
        </row>
        <row r="7105">
          <cell r="O7105" t="str">
            <v>SC2498SO</v>
          </cell>
          <cell r="P7105" t="str">
            <v>SC9915C</v>
          </cell>
          <cell r="Q7105" t="str">
            <v>磁性位置传感器</v>
          </cell>
        </row>
        <row r="7106">
          <cell r="O7106" t="str">
            <v>SC2448SO</v>
          </cell>
          <cell r="P7106" t="str">
            <v>STC9906S</v>
          </cell>
          <cell r="Q7106" t="str">
            <v>磁性位置传感器</v>
          </cell>
        </row>
        <row r="7107">
          <cell r="O7107" t="str">
            <v>SC2448SO</v>
          </cell>
          <cell r="P7107" t="str">
            <v>STC9906S</v>
          </cell>
          <cell r="Q7107" t="str">
            <v>磁性位置传感器</v>
          </cell>
        </row>
        <row r="7108">
          <cell r="O7108" t="str">
            <v>SC2448SO</v>
          </cell>
          <cell r="P7108" t="str">
            <v>STC9906S</v>
          </cell>
          <cell r="Q7108" t="str">
            <v>磁性位置传感器</v>
          </cell>
        </row>
        <row r="7109">
          <cell r="O7109" t="str">
            <v>SC2448SO</v>
          </cell>
          <cell r="P7109" t="str">
            <v>STC9906S</v>
          </cell>
          <cell r="Q7109" t="str">
            <v>磁性位置传感器</v>
          </cell>
        </row>
        <row r="7110">
          <cell r="O7110" t="str">
            <v>SC2448SO</v>
          </cell>
          <cell r="P7110" t="str">
            <v>STC9906S</v>
          </cell>
          <cell r="Q7110" t="str">
            <v>磁性位置传感器</v>
          </cell>
        </row>
        <row r="7111">
          <cell r="O7111" t="str">
            <v>SC2448SO</v>
          </cell>
          <cell r="P7111" t="str">
            <v>STC9906S</v>
          </cell>
          <cell r="Q7111" t="str">
            <v>磁性位置传感器</v>
          </cell>
        </row>
        <row r="7112">
          <cell r="O7112" t="str">
            <v>SC2448SO</v>
          </cell>
          <cell r="P7112" t="str">
            <v>STC9906S</v>
          </cell>
          <cell r="Q7112" t="str">
            <v>磁性位置传感器</v>
          </cell>
        </row>
        <row r="7113">
          <cell r="O7113" t="str">
            <v>SC2448SO</v>
          </cell>
          <cell r="P7113" t="str">
            <v>STC9906S</v>
          </cell>
          <cell r="Q7113" t="str">
            <v>磁性位置传感器</v>
          </cell>
        </row>
        <row r="7114">
          <cell r="O7114" t="str">
            <v>SC2448SO</v>
          </cell>
          <cell r="P7114" t="str">
            <v>STC9906S</v>
          </cell>
          <cell r="Q7114" t="str">
            <v>磁性位置传感器</v>
          </cell>
        </row>
        <row r="7115">
          <cell r="O7115" t="str">
            <v>SC9641TS</v>
          </cell>
          <cell r="P7115" t="str">
            <v>STC9910BN</v>
          </cell>
          <cell r="Q7115" t="str">
            <v>速度传感器</v>
          </cell>
        </row>
        <row r="7116">
          <cell r="O7116" t="str">
            <v>SC9641TS</v>
          </cell>
          <cell r="P7116" t="str">
            <v>STC9910BN</v>
          </cell>
          <cell r="Q7116" t="str">
            <v>速度传感器</v>
          </cell>
        </row>
        <row r="7117">
          <cell r="O7117" t="str">
            <v>SC4695DC</v>
          </cell>
          <cell r="P7117" t="str">
            <v>STC9D01C</v>
          </cell>
          <cell r="Q7117" t="str">
            <v>角度传感器</v>
          </cell>
        </row>
        <row r="7118">
          <cell r="O7118" t="str">
            <v>SC4695DC</v>
          </cell>
          <cell r="P7118" t="str">
            <v>STC9D01C</v>
          </cell>
          <cell r="Q7118" t="str">
            <v>角度传感器</v>
          </cell>
        </row>
        <row r="7119">
          <cell r="O7119" t="str">
            <v>SC4695DC</v>
          </cell>
          <cell r="P7119" t="str">
            <v>STC9D01C</v>
          </cell>
          <cell r="Q7119" t="str">
            <v>角度传感器</v>
          </cell>
        </row>
        <row r="7120">
          <cell r="O7120" t="str">
            <v>SC9621VB</v>
          </cell>
          <cell r="P7120" t="str">
            <v>STC9910C</v>
          </cell>
          <cell r="Q7120" t="str">
            <v>速度传感器</v>
          </cell>
        </row>
        <row r="7121">
          <cell r="O7121" t="str">
            <v>SC9641TS-P</v>
          </cell>
          <cell r="P7121" t="str">
            <v>STC9A001I</v>
          </cell>
          <cell r="Q7121" t="str">
            <v>速度传感器</v>
          </cell>
        </row>
        <row r="7122">
          <cell r="O7122" t="str">
            <v>SC9648TS-P</v>
          </cell>
          <cell r="P7122" t="str">
            <v>STC9A001I</v>
          </cell>
          <cell r="Q7122" t="str">
            <v>速度传感器</v>
          </cell>
        </row>
        <row r="7123">
          <cell r="O7123" t="str">
            <v>SC9648TS-P</v>
          </cell>
          <cell r="P7123" t="str">
            <v>STC9A001I</v>
          </cell>
          <cell r="Q7123" t="str">
            <v>速度传感器</v>
          </cell>
        </row>
        <row r="7124">
          <cell r="O7124" t="str">
            <v>SC9621VB</v>
          </cell>
          <cell r="P7124" t="str">
            <v>STC9910C</v>
          </cell>
          <cell r="Q7124" t="str">
            <v>速度传感器</v>
          </cell>
        </row>
        <row r="7125">
          <cell r="O7125" t="str">
            <v>SC4689SA</v>
          </cell>
          <cell r="P7125" t="str">
            <v>STC9D01F</v>
          </cell>
          <cell r="Q7125" t="str">
            <v>角度传感器</v>
          </cell>
        </row>
        <row r="7126">
          <cell r="O7126" t="str">
            <v>SC9625VB-L</v>
          </cell>
          <cell r="P7126" t="str">
            <v>STC9910E</v>
          </cell>
          <cell r="Q7126" t="str">
            <v>速度传感器</v>
          </cell>
        </row>
        <row r="7127">
          <cell r="O7127" t="str">
            <v>SC9625VB-L</v>
          </cell>
          <cell r="P7127" t="str">
            <v>STC9910E</v>
          </cell>
          <cell r="Q7127" t="str">
            <v>速度传感器</v>
          </cell>
        </row>
        <row r="7128">
          <cell r="O7128" t="str">
            <v>SC9641TS</v>
          </cell>
          <cell r="P7128" t="str">
            <v>STC9910BN</v>
          </cell>
          <cell r="Q7128" t="str">
            <v>速度传感器</v>
          </cell>
        </row>
        <row r="7129">
          <cell r="O7129" t="str">
            <v>SC9641TS</v>
          </cell>
          <cell r="P7129" t="str">
            <v>STC9910BN</v>
          </cell>
          <cell r="Q7129" t="str">
            <v>速度传感器</v>
          </cell>
        </row>
        <row r="7130">
          <cell r="O7130" t="str">
            <v>SC9641TS</v>
          </cell>
          <cell r="P7130" t="str">
            <v>STC9910BN</v>
          </cell>
          <cell r="Q7130" t="str">
            <v>速度传感器</v>
          </cell>
        </row>
        <row r="7131">
          <cell r="O7131" t="str">
            <v>SC9641TS</v>
          </cell>
          <cell r="P7131" t="str">
            <v>STC9910BN</v>
          </cell>
          <cell r="Q7131" t="str">
            <v>速度传感器</v>
          </cell>
        </row>
        <row r="7132">
          <cell r="O7132" t="str">
            <v>SC9642TS</v>
          </cell>
          <cell r="P7132" t="str">
            <v>STC9A001G</v>
          </cell>
          <cell r="Q7132" t="str">
            <v>速度传感器</v>
          </cell>
        </row>
        <row r="7133">
          <cell r="O7133" t="str">
            <v>SC9642TS</v>
          </cell>
          <cell r="P7133" t="str">
            <v>STC9A001G</v>
          </cell>
          <cell r="Q7133" t="str">
            <v>速度传感器</v>
          </cell>
        </row>
        <row r="7134">
          <cell r="O7134" t="str">
            <v>SC9642TS</v>
          </cell>
          <cell r="P7134" t="str">
            <v>STC9A001G</v>
          </cell>
          <cell r="Q7134" t="str">
            <v>速度传感器</v>
          </cell>
        </row>
        <row r="7135">
          <cell r="O7135" t="str">
            <v>SC9642TS</v>
          </cell>
          <cell r="P7135" t="str">
            <v>STC9A001G</v>
          </cell>
          <cell r="Q7135" t="str">
            <v>速度传感器</v>
          </cell>
        </row>
        <row r="7136">
          <cell r="O7136" t="str">
            <v>SC4616UA-10NV</v>
          </cell>
          <cell r="P7136" t="str">
            <v>STC9907D</v>
          </cell>
          <cell r="Q7136" t="str">
            <v>电流传感器</v>
          </cell>
        </row>
        <row r="7137">
          <cell r="O7137" t="str">
            <v>SC4616UA-10NV</v>
          </cell>
          <cell r="P7137" t="str">
            <v>STC9907D</v>
          </cell>
          <cell r="Q7137" t="str">
            <v>电流传感器</v>
          </cell>
        </row>
        <row r="7138">
          <cell r="O7138" t="str">
            <v>SC4616UA-10NV</v>
          </cell>
          <cell r="P7138" t="str">
            <v>STC9907D</v>
          </cell>
          <cell r="Q7138" t="str">
            <v>电流传感器</v>
          </cell>
        </row>
        <row r="7139">
          <cell r="O7139" t="str">
            <v>SC4616UA-10NV</v>
          </cell>
          <cell r="P7139" t="str">
            <v>STC9907D</v>
          </cell>
          <cell r="Q7139" t="str">
            <v>电流传感器</v>
          </cell>
        </row>
        <row r="7140">
          <cell r="O7140" t="str">
            <v>SC1945NB1</v>
          </cell>
          <cell r="P7140" t="str">
            <v>STC2899AJ</v>
          </cell>
          <cell r="Q7140" t="str">
            <v>磁性位置传感器</v>
          </cell>
        </row>
        <row r="7141">
          <cell r="O7141" t="str">
            <v>SC1945NB1</v>
          </cell>
          <cell r="P7141" t="str">
            <v>STC2899AJ</v>
          </cell>
          <cell r="Q7141" t="str">
            <v>磁性位置传感器</v>
          </cell>
        </row>
        <row r="7142">
          <cell r="O7142" t="str">
            <v>SC1945NB1</v>
          </cell>
          <cell r="P7142" t="str">
            <v>STC2899AJ</v>
          </cell>
          <cell r="Q7142" t="str">
            <v>磁性位置传感器</v>
          </cell>
        </row>
        <row r="7143">
          <cell r="O7143" t="str">
            <v>SC1945NB1</v>
          </cell>
          <cell r="P7143" t="str">
            <v>STC2899AM</v>
          </cell>
          <cell r="Q7143" t="str">
            <v>磁性位置传感器</v>
          </cell>
        </row>
        <row r="7144">
          <cell r="O7144" t="str">
            <v>SC1645B1</v>
          </cell>
          <cell r="P7144" t="str">
            <v>STC2899AE</v>
          </cell>
          <cell r="Q7144" t="str">
            <v>磁性位置传感器</v>
          </cell>
        </row>
        <row r="7145">
          <cell r="O7145" t="str">
            <v>SC1645B1</v>
          </cell>
          <cell r="P7145" t="str">
            <v>STC2899AE</v>
          </cell>
          <cell r="Q7145" t="str">
            <v>磁性位置传感器</v>
          </cell>
        </row>
        <row r="7146">
          <cell r="O7146" t="str">
            <v>SC1645B1</v>
          </cell>
          <cell r="P7146" t="str">
            <v>STC2899AE</v>
          </cell>
          <cell r="Q7146" t="str">
            <v>磁性位置传感器</v>
          </cell>
        </row>
        <row r="7147">
          <cell r="O7147" t="str">
            <v>SC1645B1</v>
          </cell>
          <cell r="P7147" t="str">
            <v>STC2899AE</v>
          </cell>
          <cell r="Q7147" t="str">
            <v>磁性位置传感器</v>
          </cell>
        </row>
        <row r="7148">
          <cell r="O7148" t="str">
            <v>SC1645B1</v>
          </cell>
          <cell r="P7148" t="str">
            <v>STC2899AE</v>
          </cell>
          <cell r="Q7148" t="str">
            <v>磁性位置传感器</v>
          </cell>
        </row>
        <row r="7149">
          <cell r="O7149" t="str">
            <v>SC1645B1</v>
          </cell>
          <cell r="P7149" t="str">
            <v>STC2899AE</v>
          </cell>
          <cell r="Q7149" t="str">
            <v>磁性位置传感器</v>
          </cell>
        </row>
        <row r="7150">
          <cell r="O7150" t="str">
            <v>SC1645B1</v>
          </cell>
          <cell r="P7150" t="str">
            <v>STC2899AE</v>
          </cell>
          <cell r="Q7150" t="str">
            <v>磁性位置传感器</v>
          </cell>
        </row>
        <row r="7151">
          <cell r="O7151" t="str">
            <v>SC1645B1</v>
          </cell>
          <cell r="P7151" t="str">
            <v>STC2899AE</v>
          </cell>
          <cell r="Q7151" t="str">
            <v>磁性位置传感器</v>
          </cell>
        </row>
        <row r="7152">
          <cell r="O7152" t="str">
            <v>SC1645B1</v>
          </cell>
          <cell r="P7152" t="str">
            <v>STC2899AE</v>
          </cell>
          <cell r="Q7152" t="str">
            <v>磁性位置传感器</v>
          </cell>
        </row>
        <row r="7153">
          <cell r="O7153" t="str">
            <v>SC1645B1</v>
          </cell>
          <cell r="P7153" t="str">
            <v>STC2899AE</v>
          </cell>
          <cell r="Q7153" t="str">
            <v>磁性位置传感器</v>
          </cell>
        </row>
        <row r="7154">
          <cell r="O7154" t="str">
            <v>SC4688SA-A</v>
          </cell>
          <cell r="P7154" t="str">
            <v>STC9D01C</v>
          </cell>
          <cell r="Q7154" t="str">
            <v>角度传感器</v>
          </cell>
        </row>
        <row r="7155">
          <cell r="O7155" t="str">
            <v>SC1134UA</v>
          </cell>
          <cell r="P7155" t="str">
            <v>STC1898AI</v>
          </cell>
          <cell r="Q7155" t="str">
            <v>磁性位置传感器</v>
          </cell>
        </row>
        <row r="7156">
          <cell r="O7156" t="str">
            <v>SC1134UA</v>
          </cell>
          <cell r="P7156" t="str">
            <v>STC1898AI</v>
          </cell>
          <cell r="Q7156" t="str">
            <v>磁性位置传感器</v>
          </cell>
        </row>
        <row r="7157">
          <cell r="O7157" t="str">
            <v>SC2448SO</v>
          </cell>
          <cell r="P7157" t="str">
            <v>STC9906S</v>
          </cell>
          <cell r="Q7157" t="str">
            <v>磁性位置传感器</v>
          </cell>
        </row>
        <row r="7158">
          <cell r="O7158" t="str">
            <v>SC4011SO-N</v>
          </cell>
          <cell r="P7158" t="str">
            <v>STC4011B</v>
          </cell>
          <cell r="Q7158" t="str">
            <v>磁性位置传感器</v>
          </cell>
        </row>
        <row r="7159">
          <cell r="O7159" t="str">
            <v>SC1138UA</v>
          </cell>
          <cell r="P7159" t="str">
            <v>STC1898AC</v>
          </cell>
          <cell r="Q7159" t="str">
            <v>磁性位置传感器</v>
          </cell>
        </row>
        <row r="7160">
          <cell r="O7160" t="str">
            <v>G01</v>
          </cell>
          <cell r="P7160" t="str">
            <v>STC4011B</v>
          </cell>
          <cell r="Q7160" t="str">
            <v>磁性位置传感器</v>
          </cell>
        </row>
        <row r="7161">
          <cell r="O7161" t="str">
            <v>SC2436SO</v>
          </cell>
          <cell r="P7161" t="str">
            <v>STC9906I</v>
          </cell>
          <cell r="Q7161" t="str">
            <v>磁性位置传感器</v>
          </cell>
        </row>
        <row r="7162">
          <cell r="O7162" t="str">
            <v>SC2436SO</v>
          </cell>
          <cell r="P7162" t="str">
            <v>STC9906I</v>
          </cell>
          <cell r="Q7162" t="str">
            <v>磁性位置传感器</v>
          </cell>
        </row>
        <row r="7163">
          <cell r="O7163" t="str">
            <v>SC2436SO</v>
          </cell>
          <cell r="P7163" t="str">
            <v>STC9906I</v>
          </cell>
          <cell r="Q7163" t="str">
            <v>磁性位置传感器</v>
          </cell>
        </row>
        <row r="7164">
          <cell r="O7164" t="str">
            <v>SC4689SA</v>
          </cell>
          <cell r="P7164" t="str">
            <v>STC9D01F</v>
          </cell>
          <cell r="Q7164" t="str">
            <v>角度传感器</v>
          </cell>
        </row>
        <row r="7165">
          <cell r="O7165" t="str">
            <v>SC4689SA</v>
          </cell>
          <cell r="P7165" t="str">
            <v>STC9D01F</v>
          </cell>
          <cell r="Q7165" t="str">
            <v>角度传感器</v>
          </cell>
        </row>
        <row r="7166">
          <cell r="O7166" t="str">
            <v>SC4688编程板</v>
          </cell>
          <cell r="P7166" t="str">
            <v xml:space="preserve"> </v>
          </cell>
          <cell r="Q7166" t="str">
            <v>角度传感器</v>
          </cell>
        </row>
        <row r="7167">
          <cell r="O7167" t="str">
            <v>SC2443UA</v>
          </cell>
          <cell r="P7167" t="str">
            <v>STC9906W</v>
          </cell>
          <cell r="Q7167" t="str">
            <v>磁性位置传感器</v>
          </cell>
        </row>
        <row r="7168">
          <cell r="O7168" t="str">
            <v>SC2443UA</v>
          </cell>
          <cell r="P7168" t="str">
            <v>STC9906W</v>
          </cell>
          <cell r="Q7168" t="str">
            <v>磁性位置传感器</v>
          </cell>
        </row>
        <row r="7169">
          <cell r="O7169" t="str">
            <v>SC2443UA</v>
          </cell>
          <cell r="P7169" t="str">
            <v>STC9906W</v>
          </cell>
          <cell r="Q7169" t="str">
            <v>磁性位置传感器</v>
          </cell>
        </row>
        <row r="7170">
          <cell r="O7170" t="str">
            <v>SC2443UA</v>
          </cell>
          <cell r="P7170" t="str">
            <v>STC9906W</v>
          </cell>
          <cell r="Q7170" t="str">
            <v>磁性位置传感器</v>
          </cell>
        </row>
        <row r="7171">
          <cell r="O7171" t="str">
            <v>SC2443UA</v>
          </cell>
          <cell r="P7171" t="str">
            <v>STC9906W</v>
          </cell>
          <cell r="Q7171" t="str">
            <v>磁性位置传感器</v>
          </cell>
        </row>
        <row r="7172">
          <cell r="O7172" t="str">
            <v>SC2443UA</v>
          </cell>
          <cell r="P7172" t="str">
            <v>STC9906W</v>
          </cell>
          <cell r="Q7172" t="str">
            <v>磁性位置传感器</v>
          </cell>
        </row>
        <row r="7173">
          <cell r="O7173" t="str">
            <v>SC2443UA</v>
          </cell>
          <cell r="P7173" t="str">
            <v>STC9906W</v>
          </cell>
          <cell r="Q7173" t="str">
            <v>磁性位置传感器</v>
          </cell>
        </row>
        <row r="7174">
          <cell r="O7174" t="str">
            <v>SC2443UA</v>
          </cell>
          <cell r="P7174" t="str">
            <v>STC9906W</v>
          </cell>
          <cell r="Q7174" t="str">
            <v>磁性位置传感器</v>
          </cell>
        </row>
        <row r="7175">
          <cell r="O7175" t="str">
            <v>SC2443UA</v>
          </cell>
          <cell r="P7175" t="str">
            <v>STC9906W</v>
          </cell>
          <cell r="Q7175" t="str">
            <v>磁性位置传感器</v>
          </cell>
        </row>
        <row r="7176">
          <cell r="O7176" t="str">
            <v>SC2443UA</v>
          </cell>
          <cell r="P7176" t="str">
            <v>STC9906W</v>
          </cell>
          <cell r="Q7176" t="str">
            <v>磁性位置传感器</v>
          </cell>
        </row>
        <row r="7177">
          <cell r="O7177" t="str">
            <v>SC2443UA</v>
          </cell>
          <cell r="P7177" t="str">
            <v>STC9906W</v>
          </cell>
          <cell r="Q7177" t="str">
            <v>磁性位置传感器</v>
          </cell>
        </row>
        <row r="7178">
          <cell r="O7178" t="str">
            <v>SC2443UA</v>
          </cell>
          <cell r="P7178" t="str">
            <v>STC9906W</v>
          </cell>
          <cell r="Q7178" t="str">
            <v>磁性位置传感器</v>
          </cell>
        </row>
        <row r="7179">
          <cell r="O7179" t="str">
            <v>FD1016A</v>
          </cell>
          <cell r="P7179" t="str">
            <v>FD1016A</v>
          </cell>
          <cell r="Q7179" t="str">
            <v>电机驱动</v>
          </cell>
        </row>
        <row r="7180">
          <cell r="O7180" t="str">
            <v>SC4643VB-A</v>
          </cell>
          <cell r="P7180" t="str">
            <v>STC9D03E</v>
          </cell>
          <cell r="Q7180" t="str">
            <v>电流传感器</v>
          </cell>
        </row>
        <row r="7181">
          <cell r="O7181" t="str">
            <v>SC4643VB-A</v>
          </cell>
          <cell r="P7181" t="str">
            <v>STC9D03E</v>
          </cell>
          <cell r="Q7181" t="str">
            <v>电流传感器</v>
          </cell>
        </row>
        <row r="7182">
          <cell r="O7182" t="str">
            <v>SC4643VB-A</v>
          </cell>
          <cell r="P7182" t="str">
            <v>STC9D03E</v>
          </cell>
          <cell r="Q7182" t="str">
            <v>电流传感器</v>
          </cell>
        </row>
        <row r="7183">
          <cell r="O7183" t="str">
            <v>SC4643VB-A</v>
          </cell>
          <cell r="P7183" t="str">
            <v>STC9D03E</v>
          </cell>
          <cell r="Q7183" t="str">
            <v>电流传感器</v>
          </cell>
        </row>
        <row r="7184">
          <cell r="O7184" t="str">
            <v>SC4643VB-A</v>
          </cell>
          <cell r="P7184" t="str">
            <v>STC9D03E</v>
          </cell>
          <cell r="Q7184" t="str">
            <v>电流传感器</v>
          </cell>
        </row>
        <row r="7185">
          <cell r="O7185" t="str">
            <v>SC4643VB-A</v>
          </cell>
          <cell r="P7185" t="str">
            <v>STC9D03E</v>
          </cell>
          <cell r="Q7185" t="str">
            <v>电流传感器</v>
          </cell>
        </row>
        <row r="7186">
          <cell r="O7186" t="str">
            <v>SC4643VB-A</v>
          </cell>
          <cell r="P7186" t="str">
            <v>STC9D03E</v>
          </cell>
          <cell r="Q7186" t="str">
            <v>电流传感器</v>
          </cell>
        </row>
        <row r="7187">
          <cell r="O7187" t="str">
            <v>SC4643VB-A</v>
          </cell>
          <cell r="P7187" t="str">
            <v>STC9D03E</v>
          </cell>
          <cell r="Q7187" t="str">
            <v>电流传感器</v>
          </cell>
        </row>
        <row r="7188">
          <cell r="O7188" t="str">
            <v>SC4643VB-A</v>
          </cell>
          <cell r="P7188" t="str">
            <v>STC9D03E</v>
          </cell>
          <cell r="Q7188" t="str">
            <v>电流传感器</v>
          </cell>
        </row>
        <row r="7189">
          <cell r="O7189" t="str">
            <v>SC4643VB-A</v>
          </cell>
          <cell r="P7189" t="str">
            <v>STC9D03E</v>
          </cell>
          <cell r="Q7189" t="str">
            <v>电流传感器</v>
          </cell>
        </row>
        <row r="7190">
          <cell r="O7190" t="str">
            <v>SC4643VB-A</v>
          </cell>
          <cell r="P7190" t="str">
            <v>STC9D03E</v>
          </cell>
          <cell r="Q7190" t="str">
            <v>电流传感器</v>
          </cell>
        </row>
        <row r="7191">
          <cell r="O7191" t="str">
            <v>SC4643VB-A</v>
          </cell>
          <cell r="P7191" t="str">
            <v>STC9D03E</v>
          </cell>
          <cell r="Q7191" t="str">
            <v>电流传感器</v>
          </cell>
        </row>
        <row r="7192">
          <cell r="O7192" t="str">
            <v>SC4643VB-A</v>
          </cell>
          <cell r="P7192" t="str">
            <v>STC9D03E</v>
          </cell>
          <cell r="Q7192" t="str">
            <v>电流传感器</v>
          </cell>
        </row>
        <row r="7193">
          <cell r="O7193" t="str">
            <v>SC4643VB-A</v>
          </cell>
          <cell r="P7193" t="str">
            <v>STC9D03E</v>
          </cell>
          <cell r="Q7193" t="str">
            <v>电流传感器</v>
          </cell>
        </row>
        <row r="7194">
          <cell r="O7194" t="str">
            <v>SC4643VB-A</v>
          </cell>
          <cell r="P7194" t="str">
            <v>STC9D03E</v>
          </cell>
          <cell r="Q7194" t="str">
            <v>电流传感器</v>
          </cell>
        </row>
        <row r="7195">
          <cell r="O7195" t="str">
            <v>SC4643VB-A</v>
          </cell>
          <cell r="P7195" t="str">
            <v>STC9D03E</v>
          </cell>
          <cell r="Q7195" t="str">
            <v>电流传感器</v>
          </cell>
        </row>
        <row r="7196">
          <cell r="O7196" t="str">
            <v>SC4643VB-A</v>
          </cell>
          <cell r="P7196" t="str">
            <v>STC9D03E</v>
          </cell>
          <cell r="Q7196" t="str">
            <v>电流传感器</v>
          </cell>
        </row>
        <row r="7197">
          <cell r="O7197" t="str">
            <v>SC4643VB-A</v>
          </cell>
          <cell r="P7197" t="str">
            <v>STC9D03E</v>
          </cell>
          <cell r="Q7197" t="str">
            <v>电流传感器</v>
          </cell>
        </row>
        <row r="7198">
          <cell r="O7198" t="str">
            <v>SC4643VB-A</v>
          </cell>
          <cell r="P7198" t="str">
            <v>STC9D03E</v>
          </cell>
          <cell r="Q7198" t="str">
            <v>电流传感器</v>
          </cell>
        </row>
        <row r="7199">
          <cell r="O7199" t="str">
            <v>SC4643VB-A</v>
          </cell>
          <cell r="P7199" t="str">
            <v>STC9D03E</v>
          </cell>
          <cell r="Q7199" t="str">
            <v>电流传感器</v>
          </cell>
        </row>
        <row r="7200">
          <cell r="O7200" t="str">
            <v>SC4643VB-A</v>
          </cell>
          <cell r="P7200" t="str">
            <v>STC9D03E</v>
          </cell>
          <cell r="Q7200" t="str">
            <v>电流传感器</v>
          </cell>
        </row>
        <row r="7201">
          <cell r="O7201" t="str">
            <v>SC4643VB-A</v>
          </cell>
          <cell r="P7201" t="str">
            <v>STC9D03E</v>
          </cell>
          <cell r="Q7201" t="str">
            <v>电流传感器</v>
          </cell>
        </row>
        <row r="7202">
          <cell r="O7202" t="str">
            <v>SC4643VB-A</v>
          </cell>
          <cell r="P7202" t="str">
            <v>STC9D03E</v>
          </cell>
          <cell r="Q7202" t="str">
            <v>电流传感器</v>
          </cell>
        </row>
        <row r="7203">
          <cell r="O7203" t="str">
            <v>SC4643VB-A</v>
          </cell>
          <cell r="P7203" t="str">
            <v>STC9D03E</v>
          </cell>
          <cell r="Q7203" t="str">
            <v>电流传感器</v>
          </cell>
        </row>
        <row r="7204">
          <cell r="O7204" t="str">
            <v>SC4643VB-A</v>
          </cell>
          <cell r="P7204" t="str">
            <v>STC9D03E</v>
          </cell>
          <cell r="Q7204" t="str">
            <v>电流传感器</v>
          </cell>
        </row>
        <row r="7205">
          <cell r="O7205" t="str">
            <v>SC2498CUA-N</v>
          </cell>
          <cell r="P7205" t="str">
            <v>SC9915C</v>
          </cell>
          <cell r="Q7205" t="str">
            <v>磁性位置传感器</v>
          </cell>
        </row>
        <row r="7206">
          <cell r="O7206" t="str">
            <v>SC9641TS</v>
          </cell>
          <cell r="P7206" t="str">
            <v>STC9910BN</v>
          </cell>
          <cell r="Q7206" t="str">
            <v>速度传感器</v>
          </cell>
        </row>
        <row r="7207">
          <cell r="O7207" t="str">
            <v>SC2416SE</v>
          </cell>
          <cell r="P7207" t="str">
            <v>STC9902B</v>
          </cell>
          <cell r="Q7207" t="str">
            <v>磁性位置传感器</v>
          </cell>
        </row>
        <row r="7208">
          <cell r="O7208" t="str">
            <v>SC2416SE</v>
          </cell>
          <cell r="P7208" t="str">
            <v>STC9902B</v>
          </cell>
          <cell r="Q7208" t="str">
            <v>磁性位置传感器</v>
          </cell>
        </row>
        <row r="7209">
          <cell r="O7209" t="str">
            <v>SC60221-D-256</v>
          </cell>
          <cell r="P7209" t="str">
            <v>STC9D04C</v>
          </cell>
          <cell r="Q7209" t="str">
            <v>电机编码器</v>
          </cell>
        </row>
        <row r="7210">
          <cell r="O7210" t="str">
            <v>SD2276</v>
          </cell>
          <cell r="P7210" t="str">
            <v>FD1014A</v>
          </cell>
          <cell r="Q7210" t="str">
            <v>电机驱动</v>
          </cell>
        </row>
        <row r="7211">
          <cell r="O7211" t="str">
            <v>SC1645A1</v>
          </cell>
          <cell r="P7211" t="str">
            <v>STC2899AE</v>
          </cell>
          <cell r="Q7211" t="str">
            <v>磁性位置传感器</v>
          </cell>
        </row>
        <row r="7212">
          <cell r="O7212" t="str">
            <v>SC1645A1</v>
          </cell>
          <cell r="P7212" t="str">
            <v>STC2899AE</v>
          </cell>
          <cell r="Q7212" t="str">
            <v>磁性位置传感器</v>
          </cell>
        </row>
        <row r="7213">
          <cell r="O7213" t="str">
            <v>SC4011UA</v>
          </cell>
          <cell r="P7213" t="str">
            <v>STC4011B</v>
          </cell>
          <cell r="Q7213" t="str">
            <v>磁性位置传感器</v>
          </cell>
        </row>
        <row r="7214">
          <cell r="O7214" t="str">
            <v>SD2276</v>
          </cell>
          <cell r="P7214" t="str">
            <v>FD1014A</v>
          </cell>
          <cell r="Q7214" t="str">
            <v>电机驱动</v>
          </cell>
        </row>
        <row r="7215">
          <cell r="O7215" t="str">
            <v>SD2276</v>
          </cell>
          <cell r="P7215" t="str">
            <v>FD1014A</v>
          </cell>
          <cell r="Q7215" t="str">
            <v>电机驱动</v>
          </cell>
        </row>
        <row r="7216">
          <cell r="O7216" t="str">
            <v>SC9648TS-P</v>
          </cell>
          <cell r="P7216" t="str">
            <v>STC9A001I</v>
          </cell>
          <cell r="Q7216" t="str">
            <v>速度传感器</v>
          </cell>
        </row>
        <row r="7217">
          <cell r="O7217" t="str">
            <v>SC4011SO-N</v>
          </cell>
          <cell r="P7217" t="str">
            <v>STC4011B</v>
          </cell>
          <cell r="Q7217" t="str">
            <v>磁性位置传感器</v>
          </cell>
        </row>
        <row r="7218">
          <cell r="O7218" t="str">
            <v>SC4011SO-N</v>
          </cell>
          <cell r="P7218" t="str">
            <v>STC4011B</v>
          </cell>
          <cell r="Q7218" t="str">
            <v>磁性位置传感器</v>
          </cell>
        </row>
        <row r="7219">
          <cell r="O7219" t="str">
            <v>SC4011SO-N</v>
          </cell>
          <cell r="P7219" t="str">
            <v>STC4011B</v>
          </cell>
          <cell r="Q7219" t="str">
            <v>磁性位置传感器</v>
          </cell>
        </row>
        <row r="7220">
          <cell r="O7220" t="str">
            <v>ATK-E512</v>
          </cell>
          <cell r="P7220" t="str">
            <v>STC4011B</v>
          </cell>
          <cell r="Q7220" t="str">
            <v>磁性位置传感器</v>
          </cell>
        </row>
        <row r="7221">
          <cell r="O7221" t="str">
            <v>ATK-E512</v>
          </cell>
          <cell r="P7221" t="str">
            <v>STC4011B</v>
          </cell>
          <cell r="Q7221" t="str">
            <v>磁性位置传感器</v>
          </cell>
        </row>
        <row r="7222">
          <cell r="O7222" t="str">
            <v>ATK-E512</v>
          </cell>
          <cell r="P7222" t="str">
            <v>STC4011B</v>
          </cell>
          <cell r="Q7222" t="str">
            <v>磁性位置传感器</v>
          </cell>
        </row>
        <row r="7223">
          <cell r="O7223" t="str">
            <v>SC2063SO</v>
          </cell>
          <cell r="P7223" t="str">
            <v>STC9G001C</v>
          </cell>
          <cell r="Q7223" t="str">
            <v>磁性位置传感器</v>
          </cell>
        </row>
        <row r="7224">
          <cell r="O7224" t="str">
            <v>SC2063SO</v>
          </cell>
          <cell r="P7224" t="str">
            <v>STC9G001C</v>
          </cell>
          <cell r="Q7224" t="str">
            <v>磁性位置传感器</v>
          </cell>
        </row>
        <row r="7225">
          <cell r="O7225" t="str">
            <v>SC4688SA</v>
          </cell>
          <cell r="P7225" t="str">
            <v>STC9D01C</v>
          </cell>
          <cell r="Q7225" t="str">
            <v>角度传感器</v>
          </cell>
        </row>
        <row r="7226">
          <cell r="O7226" t="str">
            <v>SC60224-U-P4-1024</v>
          </cell>
          <cell r="P7226" t="str">
            <v>STC9D04C</v>
          </cell>
          <cell r="Q7226" t="str">
            <v>电机编码器</v>
          </cell>
        </row>
        <row r="7227">
          <cell r="O7227" t="str">
            <v>SC2442SO</v>
          </cell>
          <cell r="P7227" t="str">
            <v>STC9906R</v>
          </cell>
          <cell r="Q7227" t="str">
            <v>磁性位置传感器</v>
          </cell>
        </row>
        <row r="7228">
          <cell r="O7228" t="str">
            <v>SC2464UA</v>
          </cell>
          <cell r="P7228" t="str">
            <v>STC9906J</v>
          </cell>
          <cell r="Q7228" t="str">
            <v>磁性位置传感器</v>
          </cell>
        </row>
        <row r="7229">
          <cell r="O7229" t="str">
            <v>SC2462SO</v>
          </cell>
          <cell r="P7229" t="str">
            <v>STC9906J</v>
          </cell>
          <cell r="Q7229" t="str">
            <v>磁性位置传感器</v>
          </cell>
        </row>
        <row r="7230">
          <cell r="O7230" t="str">
            <v>SC2242UA</v>
          </cell>
          <cell r="P7230" t="str">
            <v>STC9906H</v>
          </cell>
          <cell r="Q7230" t="str">
            <v>磁性位置传感器</v>
          </cell>
        </row>
        <row r="7231">
          <cell r="O7231" t="str">
            <v>SC2442UA</v>
          </cell>
          <cell r="P7231" t="str">
            <v>STC9906P</v>
          </cell>
          <cell r="Q7231" t="str">
            <v>磁性位置传感器</v>
          </cell>
        </row>
        <row r="7232">
          <cell r="O7232" t="str">
            <v>SC2442UA</v>
          </cell>
          <cell r="P7232" t="str">
            <v>STC9906P</v>
          </cell>
          <cell r="Q7232" t="str">
            <v>磁性位置传感器</v>
          </cell>
        </row>
        <row r="7233">
          <cell r="O7233" t="str">
            <v>SC1245A1</v>
          </cell>
          <cell r="P7233" t="str">
            <v>STC1898AD</v>
          </cell>
          <cell r="Q7233" t="str">
            <v>磁性位置传感器</v>
          </cell>
        </row>
        <row r="7234">
          <cell r="O7234" t="str">
            <v>SC1134UA</v>
          </cell>
          <cell r="P7234" t="str">
            <v>STC1898AI</v>
          </cell>
          <cell r="Q7234" t="str">
            <v>磁性位置传感器</v>
          </cell>
        </row>
        <row r="7235">
          <cell r="O7235" t="str">
            <v>SC1134SO-N</v>
          </cell>
          <cell r="P7235" t="str">
            <v>STC1898AI</v>
          </cell>
          <cell r="Q7235" t="str">
            <v>磁性位置传感器</v>
          </cell>
        </row>
        <row r="7236">
          <cell r="O7236" t="str">
            <v>SC1134UA</v>
          </cell>
          <cell r="P7236" t="str">
            <v>STC1898AI</v>
          </cell>
          <cell r="Q7236" t="str">
            <v>磁性位置传感器</v>
          </cell>
        </row>
        <row r="7237">
          <cell r="O7237" t="str">
            <v>SC2202UA</v>
          </cell>
          <cell r="P7237" t="str">
            <v>STC9902E</v>
          </cell>
          <cell r="Q7237" t="str">
            <v>磁性位置传感器</v>
          </cell>
        </row>
        <row r="7238">
          <cell r="O7238" t="str">
            <v>SC4001UA</v>
          </cell>
          <cell r="P7238" t="str">
            <v>STC4001AB</v>
          </cell>
          <cell r="Q7238" t="str">
            <v>磁性位置传感器</v>
          </cell>
        </row>
        <row r="7239">
          <cell r="O7239" t="str">
            <v>SC9641TS-P</v>
          </cell>
          <cell r="P7239" t="str">
            <v>STC9A001I</v>
          </cell>
          <cell r="Q7239" t="str">
            <v>速度传感器</v>
          </cell>
        </row>
        <row r="7240">
          <cell r="O7240" t="str">
            <v>SC9641TS-P</v>
          </cell>
          <cell r="P7240" t="str">
            <v>STC9A001I</v>
          </cell>
          <cell r="Q7240" t="str">
            <v>速度传感器</v>
          </cell>
        </row>
        <row r="7241">
          <cell r="O7241" t="str">
            <v>SC4688编程板</v>
          </cell>
          <cell r="P7241" t="str">
            <v xml:space="preserve"> </v>
          </cell>
          <cell r="Q7241" t="str">
            <v>角度传感器</v>
          </cell>
        </row>
        <row r="7242">
          <cell r="O7242" t="str">
            <v>SC9648TS-P</v>
          </cell>
          <cell r="P7242" t="str">
            <v>STC9A001I</v>
          </cell>
          <cell r="Q7242" t="str">
            <v>速度传感器</v>
          </cell>
        </row>
        <row r="7243">
          <cell r="O7243" t="str">
            <v>SC9648TS-P</v>
          </cell>
          <cell r="P7243" t="str">
            <v>STC9A001I</v>
          </cell>
          <cell r="Q7243" t="str">
            <v>速度传感器</v>
          </cell>
        </row>
        <row r="7244">
          <cell r="O7244" t="str">
            <v>SC9648TS-P</v>
          </cell>
          <cell r="P7244" t="str">
            <v>STC9A001I</v>
          </cell>
          <cell r="Q7244" t="str">
            <v>速度传感器</v>
          </cell>
        </row>
        <row r="7245">
          <cell r="O7245" t="str">
            <v>SC9641TS-P</v>
          </cell>
          <cell r="P7245" t="str">
            <v>STC9A001I</v>
          </cell>
          <cell r="Q7245" t="str">
            <v>速度传感器</v>
          </cell>
        </row>
        <row r="7246">
          <cell r="O7246" t="str">
            <v>SC2402SO-N</v>
          </cell>
          <cell r="P7246" t="str">
            <v>STC9902J</v>
          </cell>
          <cell r="Q7246" t="str">
            <v>磁性位置传感器</v>
          </cell>
        </row>
        <row r="7247">
          <cell r="O7247" t="str">
            <v>SC2402SO-N</v>
          </cell>
          <cell r="P7247" t="str">
            <v>STC9902J</v>
          </cell>
          <cell r="Q7247" t="str">
            <v>磁性位置传感器</v>
          </cell>
        </row>
        <row r="7248">
          <cell r="O7248" t="str">
            <v>SC4688SA</v>
          </cell>
          <cell r="P7248" t="str">
            <v>STC9D01C</v>
          </cell>
          <cell r="Q7248" t="str">
            <v>角度传感器</v>
          </cell>
        </row>
        <row r="7249">
          <cell r="O7249" t="str">
            <v>SC4688SA</v>
          </cell>
          <cell r="P7249" t="str">
            <v>STC9D01C</v>
          </cell>
          <cell r="Q7249" t="str">
            <v>角度传感器</v>
          </cell>
        </row>
        <row r="7250">
          <cell r="O7250" t="str">
            <v>SC1138SO-N</v>
          </cell>
          <cell r="P7250" t="str">
            <v>STC1898AC</v>
          </cell>
          <cell r="Q7250" t="str">
            <v>磁性位置传感器</v>
          </cell>
        </row>
        <row r="7251">
          <cell r="O7251" t="str">
            <v>SC1138SO-N</v>
          </cell>
          <cell r="P7251" t="str">
            <v>STC1898AC</v>
          </cell>
          <cell r="Q7251" t="str">
            <v>磁性位置传感器</v>
          </cell>
        </row>
        <row r="7252">
          <cell r="O7252" t="str">
            <v>SC9641TS-P</v>
          </cell>
          <cell r="P7252" t="str">
            <v>STC9A001I</v>
          </cell>
          <cell r="Q7252" t="str">
            <v>速度传感器</v>
          </cell>
        </row>
        <row r="7253">
          <cell r="O7253" t="str">
            <v>SC9641TS-P</v>
          </cell>
          <cell r="P7253" t="str">
            <v>STC9A001I</v>
          </cell>
          <cell r="Q7253" t="str">
            <v>速度传感器</v>
          </cell>
        </row>
        <row r="7254">
          <cell r="O7254" t="str">
            <v>SC2498CUA-N</v>
          </cell>
          <cell r="P7254" t="str">
            <v>SC9915C</v>
          </cell>
          <cell r="Q7254" t="str">
            <v>磁性位置传感器</v>
          </cell>
        </row>
        <row r="7255">
          <cell r="O7255" t="str">
            <v>SC2498CUA-N</v>
          </cell>
          <cell r="P7255" t="str">
            <v>SC9915C</v>
          </cell>
          <cell r="Q7255" t="str">
            <v>磁性位置传感器</v>
          </cell>
        </row>
        <row r="7256">
          <cell r="O7256" t="str">
            <v>SC4688编程板</v>
          </cell>
          <cell r="P7256" t="str">
            <v xml:space="preserve"> </v>
          </cell>
          <cell r="Q7256" t="str">
            <v>角度传感器</v>
          </cell>
        </row>
        <row r="7257">
          <cell r="O7257" t="str">
            <v>SC4688编程板</v>
          </cell>
          <cell r="P7257" t="str">
            <v xml:space="preserve"> </v>
          </cell>
          <cell r="Q7257" t="str">
            <v>角度传感器</v>
          </cell>
        </row>
        <row r="7258">
          <cell r="O7258" t="str">
            <v>SC9648TS-P</v>
          </cell>
          <cell r="P7258" t="str">
            <v>STC9A001I</v>
          </cell>
          <cell r="Q7258" t="str">
            <v>速度传感器</v>
          </cell>
        </row>
        <row r="7259">
          <cell r="O7259" t="str">
            <v>SC9648TS-P</v>
          </cell>
          <cell r="P7259" t="str">
            <v>STC9A001I</v>
          </cell>
          <cell r="Q7259" t="str">
            <v>速度传感器</v>
          </cell>
        </row>
        <row r="7260">
          <cell r="O7260" t="str">
            <v>SC9648TS-P</v>
          </cell>
          <cell r="P7260" t="str">
            <v>STC9A001I</v>
          </cell>
          <cell r="Q7260" t="str">
            <v>速度传感器</v>
          </cell>
        </row>
        <row r="7261">
          <cell r="O7261" t="str">
            <v>SC9641TS-P</v>
          </cell>
          <cell r="P7261" t="str">
            <v>STC9A001I</v>
          </cell>
          <cell r="Q7261" t="str">
            <v>速度传感器</v>
          </cell>
        </row>
        <row r="7262">
          <cell r="O7262" t="str">
            <v>SC243X编程器</v>
          </cell>
          <cell r="P7262" t="str">
            <v xml:space="preserve"> </v>
          </cell>
          <cell r="Q7262" t="str">
            <v>磁性位置传感器</v>
          </cell>
        </row>
        <row r="7263">
          <cell r="O7263" t="str">
            <v>SC2443UA</v>
          </cell>
          <cell r="P7263" t="str">
            <v>STC9906G</v>
          </cell>
          <cell r="Q7263" t="str">
            <v>磁性位置传感器</v>
          </cell>
        </row>
        <row r="7264">
          <cell r="O7264" t="str">
            <v>SC60221-U-P1-256-244-mai</v>
          </cell>
          <cell r="P7264" t="str">
            <v>STC9D04C</v>
          </cell>
          <cell r="Q7264" t="str">
            <v>电机编码器</v>
          </cell>
        </row>
        <row r="7265">
          <cell r="O7265" t="str">
            <v>SC60224-D-1024-976-BSD-01</v>
          </cell>
          <cell r="P7265" t="str">
            <v>STC9D04C</v>
          </cell>
          <cell r="Q7265" t="str">
            <v>电机编码器</v>
          </cell>
        </row>
        <row r="7266">
          <cell r="O7266" t="str">
            <v>SC2443SO</v>
          </cell>
          <cell r="P7266" t="str">
            <v>STC9906T</v>
          </cell>
          <cell r="Q7266" t="str">
            <v>磁性位置传感器</v>
          </cell>
        </row>
        <row r="7267">
          <cell r="O7267" t="str">
            <v>SC2443SO</v>
          </cell>
          <cell r="P7267" t="str">
            <v>STC9906T</v>
          </cell>
          <cell r="Q7267" t="str">
            <v>磁性位置传感器</v>
          </cell>
        </row>
        <row r="7268">
          <cell r="O7268" t="str">
            <v>SC2443SO</v>
          </cell>
          <cell r="P7268" t="str">
            <v>STC9906T</v>
          </cell>
          <cell r="Q7268" t="str">
            <v>磁性位置传感器</v>
          </cell>
        </row>
        <row r="7269">
          <cell r="O7269" t="str">
            <v>SC1139UA</v>
          </cell>
          <cell r="P7269" t="str">
            <v>STC1002AF</v>
          </cell>
          <cell r="Q7269" t="str">
            <v>磁性位置传感器</v>
          </cell>
        </row>
        <row r="7270">
          <cell r="O7270" t="str">
            <v>SC1139UA</v>
          </cell>
          <cell r="P7270" t="str">
            <v>STC1002AF</v>
          </cell>
          <cell r="Q7270" t="str">
            <v>磁性位置传感器</v>
          </cell>
        </row>
        <row r="7271">
          <cell r="O7271" t="str">
            <v>SC1139UA</v>
          </cell>
          <cell r="P7271" t="str">
            <v>STC1002AF</v>
          </cell>
          <cell r="Q7271" t="str">
            <v>磁性位置传感器</v>
          </cell>
        </row>
        <row r="7272">
          <cell r="O7272" t="str">
            <v>2100HBL</v>
          </cell>
          <cell r="P7272" t="str">
            <v>STC9D03E</v>
          </cell>
          <cell r="Q7272" t="str">
            <v>电流传感器</v>
          </cell>
        </row>
        <row r="7273">
          <cell r="O7273" t="str">
            <v>2100HBL</v>
          </cell>
          <cell r="P7273" t="str">
            <v>STC9D03E</v>
          </cell>
          <cell r="Q7273" t="str">
            <v>电流传感器</v>
          </cell>
        </row>
        <row r="7274">
          <cell r="O7274" t="str">
            <v>2100</v>
          </cell>
          <cell r="P7274" t="str">
            <v>STC9D03E</v>
          </cell>
          <cell r="Q7274" t="str">
            <v>电流传感器</v>
          </cell>
        </row>
        <row r="7275">
          <cell r="O7275" t="str">
            <v>2100</v>
          </cell>
          <cell r="P7275" t="str">
            <v>STC9D03E</v>
          </cell>
          <cell r="Q7275" t="str">
            <v>电流传感器</v>
          </cell>
        </row>
        <row r="7276">
          <cell r="O7276" t="str">
            <v>LKS4105</v>
          </cell>
          <cell r="P7276" t="str">
            <v>STC11201B1</v>
          </cell>
          <cell r="Q7276" t="str">
            <v>磁性位置传感器</v>
          </cell>
        </row>
        <row r="7277">
          <cell r="O7277" t="str">
            <v>LKS4105</v>
          </cell>
          <cell r="P7277" t="str">
            <v>STC11201B1</v>
          </cell>
          <cell r="Q7277" t="str">
            <v>磁性位置传感器</v>
          </cell>
        </row>
        <row r="7278">
          <cell r="O7278" t="str">
            <v>SC2443UA</v>
          </cell>
          <cell r="P7278" t="str">
            <v>STC9906W</v>
          </cell>
          <cell r="Q7278" t="str">
            <v>磁性位置传感器</v>
          </cell>
        </row>
        <row r="7279">
          <cell r="O7279" t="str">
            <v>SC1134SO-N</v>
          </cell>
          <cell r="P7279" t="str">
            <v>STC1898AI</v>
          </cell>
          <cell r="Q7279" t="str">
            <v>磁性位置传感器</v>
          </cell>
        </row>
        <row r="7280">
          <cell r="O7280" t="str">
            <v>SC1134SO-N</v>
          </cell>
          <cell r="P7280" t="str">
            <v>STC1898AI</v>
          </cell>
          <cell r="Q7280" t="str">
            <v>磁性位置传感器</v>
          </cell>
        </row>
        <row r="7281">
          <cell r="O7281" t="str">
            <v>SC1138SO-N</v>
          </cell>
          <cell r="P7281" t="str">
            <v>STC1898AC</v>
          </cell>
          <cell r="Q7281" t="str">
            <v>磁性位置传感器</v>
          </cell>
        </row>
        <row r="7282">
          <cell r="O7282" t="str">
            <v>SC2498UA-N</v>
          </cell>
          <cell r="P7282" t="str">
            <v>SC9915C</v>
          </cell>
          <cell r="Q7282" t="str">
            <v>磁性位置传感器</v>
          </cell>
        </row>
        <row r="7283">
          <cell r="O7283" t="str">
            <v>SC9641TS</v>
          </cell>
          <cell r="P7283" t="str">
            <v>STC9910BN</v>
          </cell>
          <cell r="Q7283" t="str">
            <v>速度传感器</v>
          </cell>
        </row>
        <row r="7284">
          <cell r="O7284" t="str">
            <v>SC9641TS</v>
          </cell>
          <cell r="P7284" t="str">
            <v>STC9910BN</v>
          </cell>
          <cell r="Q7284" t="str">
            <v>速度传感器</v>
          </cell>
        </row>
        <row r="7285">
          <cell r="O7285" t="str">
            <v>SC9641TS</v>
          </cell>
          <cell r="P7285" t="str">
            <v>STC9910BN</v>
          </cell>
          <cell r="Q7285" t="str">
            <v>速度传感器</v>
          </cell>
        </row>
        <row r="7286">
          <cell r="O7286" t="str">
            <v>SC9625VB</v>
          </cell>
          <cell r="P7286" t="str">
            <v>STC9910B</v>
          </cell>
          <cell r="Q7286" t="str">
            <v>速度传感器</v>
          </cell>
        </row>
        <row r="7287">
          <cell r="O7287" t="str">
            <v>SC9625VB</v>
          </cell>
          <cell r="P7287" t="str">
            <v>STC9910B</v>
          </cell>
          <cell r="Q7287" t="str">
            <v>速度传感器</v>
          </cell>
        </row>
        <row r="7288">
          <cell r="O7288" t="str">
            <v>SC4688SA</v>
          </cell>
          <cell r="P7288" t="str">
            <v>STC9D01C</v>
          </cell>
          <cell r="Q7288" t="str">
            <v>角度传感器</v>
          </cell>
        </row>
        <row r="7289">
          <cell r="O7289" t="str">
            <v>SC919H</v>
          </cell>
          <cell r="P7289" t="str">
            <v>STC9913D</v>
          </cell>
          <cell r="Q7289" t="str">
            <v>磁性位置传感器</v>
          </cell>
        </row>
        <row r="7290">
          <cell r="O7290" t="str">
            <v>SD2276</v>
          </cell>
          <cell r="P7290" t="str">
            <v>FD1014A</v>
          </cell>
          <cell r="Q7290" t="str">
            <v>电机驱动</v>
          </cell>
        </row>
        <row r="7291">
          <cell r="O7291" t="str">
            <v>SD2276</v>
          </cell>
          <cell r="P7291" t="str">
            <v>FD1014A</v>
          </cell>
          <cell r="Q7291" t="str">
            <v>电机驱动</v>
          </cell>
        </row>
        <row r="7292">
          <cell r="O7292" t="str">
            <v>SD2276</v>
          </cell>
          <cell r="P7292" t="str">
            <v>FD1014A</v>
          </cell>
          <cell r="Q7292" t="str">
            <v>电机驱动</v>
          </cell>
        </row>
        <row r="7293">
          <cell r="O7293" t="str">
            <v>SC2442SO-N</v>
          </cell>
          <cell r="P7293" t="str">
            <v>STC9906P</v>
          </cell>
          <cell r="Q7293" t="str">
            <v>磁性位置传感器</v>
          </cell>
        </row>
        <row r="7294">
          <cell r="O7294" t="str">
            <v>SC2442SO-N</v>
          </cell>
          <cell r="P7294" t="str">
            <v>STC9906P</v>
          </cell>
          <cell r="Q7294" t="str">
            <v>磁性位置传感器</v>
          </cell>
        </row>
        <row r="7295">
          <cell r="O7295" t="str">
            <v>SC2462UA</v>
          </cell>
          <cell r="P7295" t="str">
            <v>STC9906J</v>
          </cell>
          <cell r="Q7295" t="str">
            <v>磁性位置传感器</v>
          </cell>
        </row>
        <row r="7296">
          <cell r="O7296" t="str">
            <v>SC2462UA</v>
          </cell>
          <cell r="P7296" t="str">
            <v>STC9906J</v>
          </cell>
          <cell r="Q7296" t="str">
            <v>磁性位置传感器</v>
          </cell>
        </row>
        <row r="7297">
          <cell r="O7297" t="str">
            <v>SC9648TS-P</v>
          </cell>
          <cell r="P7297" t="str">
            <v>STC9A001I</v>
          </cell>
          <cell r="Q7297" t="str">
            <v>速度传感器</v>
          </cell>
        </row>
        <row r="7298">
          <cell r="O7298" t="str">
            <v>SYLMV358BPA1R</v>
          </cell>
          <cell r="P7298" t="str">
            <v>STC9G003B</v>
          </cell>
          <cell r="Q7298" t="str">
            <v>其他数模混合</v>
          </cell>
        </row>
        <row r="7299">
          <cell r="O7299" t="str">
            <v>SC2064SO</v>
          </cell>
          <cell r="P7299" t="str">
            <v>STC9G001C</v>
          </cell>
          <cell r="Q7299" t="str">
            <v>磁性位置传感器</v>
          </cell>
        </row>
        <row r="7300">
          <cell r="O7300" t="str">
            <v>SC2462UA</v>
          </cell>
          <cell r="P7300" t="str">
            <v>STC9906J</v>
          </cell>
          <cell r="Q7300" t="str">
            <v>磁性位置传感器</v>
          </cell>
        </row>
        <row r="7301">
          <cell r="O7301" t="str">
            <v>SC2462UA</v>
          </cell>
          <cell r="P7301" t="str">
            <v>STC9906J</v>
          </cell>
          <cell r="Q7301" t="str">
            <v>磁性位置传感器</v>
          </cell>
        </row>
        <row r="7302">
          <cell r="O7302" t="str">
            <v>SC2402SO-N-H</v>
          </cell>
          <cell r="P7302" t="str">
            <v>STC9H001A</v>
          </cell>
          <cell r="Q7302" t="str">
            <v>磁性位置传感器</v>
          </cell>
        </row>
        <row r="7303">
          <cell r="O7303" t="str">
            <v>SC2432SO</v>
          </cell>
          <cell r="P7303" t="str">
            <v>STC9906I</v>
          </cell>
          <cell r="Q7303" t="str">
            <v>磁性位置传感器</v>
          </cell>
        </row>
        <row r="7304">
          <cell r="O7304" t="str">
            <v>SC9648TS-P</v>
          </cell>
          <cell r="P7304" t="str">
            <v>STC9A001I</v>
          </cell>
          <cell r="Q7304" t="str">
            <v>速度传感器</v>
          </cell>
        </row>
        <row r="7305">
          <cell r="O7305" t="str">
            <v>SC9641TS-P</v>
          </cell>
          <cell r="P7305" t="str">
            <v>STC9A001I</v>
          </cell>
          <cell r="Q7305" t="str">
            <v>速度传感器</v>
          </cell>
        </row>
        <row r="7306">
          <cell r="O7306" t="str">
            <v>SC9641TS-P</v>
          </cell>
          <cell r="P7306" t="str">
            <v>STC9A001I</v>
          </cell>
          <cell r="Q7306" t="str">
            <v>速度传感器</v>
          </cell>
        </row>
        <row r="7307">
          <cell r="O7307" t="str">
            <v>SC9641TS-P</v>
          </cell>
          <cell r="P7307" t="str">
            <v>STC9A001I</v>
          </cell>
          <cell r="Q7307" t="str">
            <v>速度传感器</v>
          </cell>
        </row>
        <row r="7308">
          <cell r="O7308" t="str">
            <v>SC2202SO-N</v>
          </cell>
          <cell r="P7308" t="str">
            <v>STC9902E</v>
          </cell>
          <cell r="Q7308" t="str">
            <v>磁性位置传感器</v>
          </cell>
        </row>
        <row r="7309">
          <cell r="O7309" t="str">
            <v>SC2202SO-N</v>
          </cell>
          <cell r="P7309" t="str">
            <v>STC9902E</v>
          </cell>
          <cell r="Q7309" t="str">
            <v>磁性位置传感器</v>
          </cell>
        </row>
        <row r="7310">
          <cell r="O7310" t="str">
            <v>SC2443UA</v>
          </cell>
          <cell r="P7310" t="str">
            <v>STC9906W</v>
          </cell>
          <cell r="Q7310" t="str">
            <v>磁性位置传感器</v>
          </cell>
        </row>
        <row r="7311">
          <cell r="O7311" t="str">
            <v>SC2443UA</v>
          </cell>
          <cell r="P7311" t="str">
            <v>STC9906W</v>
          </cell>
          <cell r="Q7311" t="str">
            <v>磁性位置传感器</v>
          </cell>
        </row>
        <row r="7312">
          <cell r="O7312" t="str">
            <v>SC2443UA</v>
          </cell>
          <cell r="P7312" t="str">
            <v>STC9906W</v>
          </cell>
          <cell r="Q7312" t="str">
            <v>磁性位置传感器</v>
          </cell>
        </row>
        <row r="7313">
          <cell r="O7313" t="str">
            <v>SC1138SO-N</v>
          </cell>
          <cell r="P7313" t="str">
            <v>STC1898AC</v>
          </cell>
          <cell r="Q7313" t="str">
            <v>磁性位置传感器</v>
          </cell>
        </row>
        <row r="7314">
          <cell r="O7314" t="str">
            <v>SC1138SO-N</v>
          </cell>
          <cell r="P7314" t="str">
            <v>STC1898AC</v>
          </cell>
          <cell r="Q7314" t="str">
            <v>磁性位置传感器</v>
          </cell>
        </row>
        <row r="7315">
          <cell r="O7315" t="str">
            <v>SC2064UA</v>
          </cell>
          <cell r="P7315" t="str">
            <v>STC9G001C</v>
          </cell>
          <cell r="Q7315" t="str">
            <v>磁性位置传感器</v>
          </cell>
        </row>
        <row r="7316">
          <cell r="O7316" t="str">
            <v>SC2442SO</v>
          </cell>
          <cell r="P7316" t="str">
            <v>STC9906R</v>
          </cell>
          <cell r="Q7316" t="str">
            <v>磁性位置传感器</v>
          </cell>
        </row>
        <row r="7317">
          <cell r="O7317" t="str">
            <v>SC2442SO</v>
          </cell>
          <cell r="P7317" t="str">
            <v>STC9906R</v>
          </cell>
          <cell r="Q7317" t="str">
            <v>磁性位置传感器</v>
          </cell>
        </row>
        <row r="7318">
          <cell r="O7318" t="str">
            <v>SC9641TS-P</v>
          </cell>
          <cell r="P7318" t="str">
            <v>STC9A001I</v>
          </cell>
          <cell r="Q7318" t="str">
            <v>速度传感器</v>
          </cell>
        </row>
        <row r="7319">
          <cell r="O7319" t="str">
            <v>SC60224-D-16</v>
          </cell>
          <cell r="P7319" t="str">
            <v>STC9D04C</v>
          </cell>
          <cell r="Q7319" t="str">
            <v>电机编码器</v>
          </cell>
        </row>
        <row r="7320">
          <cell r="O7320" t="str">
            <v>SD2276</v>
          </cell>
          <cell r="P7320" t="str">
            <v>FD1014A</v>
          </cell>
          <cell r="Q7320" t="str">
            <v>电机驱动</v>
          </cell>
        </row>
        <row r="7321">
          <cell r="O7321" t="str">
            <v>ATK-E512</v>
          </cell>
          <cell r="P7321" t="str">
            <v>STC4011B</v>
          </cell>
          <cell r="Q7321" t="str">
            <v>磁性位置传感器</v>
          </cell>
        </row>
        <row r="7322">
          <cell r="O7322" t="str">
            <v>ATK-E512</v>
          </cell>
          <cell r="P7322" t="str">
            <v>STC4011B</v>
          </cell>
          <cell r="Q7322" t="str">
            <v>磁性位置传感器</v>
          </cell>
        </row>
        <row r="7323">
          <cell r="O7323" t="str">
            <v>ATK-E512</v>
          </cell>
          <cell r="P7323" t="str">
            <v>STC4011B</v>
          </cell>
          <cell r="Q7323" t="str">
            <v>磁性位置传感器</v>
          </cell>
        </row>
        <row r="7324">
          <cell r="O7324" t="str">
            <v>ATK-E512</v>
          </cell>
          <cell r="P7324" t="str">
            <v>STC4011B</v>
          </cell>
          <cell r="Q7324" t="str">
            <v>磁性位置传感器</v>
          </cell>
        </row>
        <row r="7325">
          <cell r="O7325" t="str">
            <v>ATK-E512</v>
          </cell>
          <cell r="P7325" t="str">
            <v>STC4011B</v>
          </cell>
          <cell r="Q7325" t="str">
            <v>磁性位置传感器</v>
          </cell>
        </row>
        <row r="7326">
          <cell r="O7326" t="str">
            <v>SC9648TS-P</v>
          </cell>
          <cell r="P7326" t="str">
            <v>STC9A001I</v>
          </cell>
          <cell r="Q7326" t="str">
            <v>速度传感器</v>
          </cell>
        </row>
        <row r="7327">
          <cell r="O7327" t="str">
            <v>SC9641TS-P</v>
          </cell>
          <cell r="P7327" t="str">
            <v>STC9A001I</v>
          </cell>
          <cell r="Q7327" t="str">
            <v>速度传感器</v>
          </cell>
        </row>
        <row r="7328">
          <cell r="O7328" t="str">
            <v>SC9641TS-P</v>
          </cell>
          <cell r="P7328" t="str">
            <v>STC9A001I</v>
          </cell>
          <cell r="Q7328" t="str">
            <v>速度传感器</v>
          </cell>
        </row>
        <row r="7329">
          <cell r="O7329" t="str">
            <v>SC9648TS-P</v>
          </cell>
          <cell r="P7329" t="str">
            <v>STC9A001I</v>
          </cell>
          <cell r="Q7329" t="str">
            <v>速度传感器</v>
          </cell>
        </row>
        <row r="7330">
          <cell r="O7330" t="str">
            <v>SC9648TS-P</v>
          </cell>
          <cell r="P7330" t="str">
            <v>STC9A001I</v>
          </cell>
          <cell r="Q7330" t="str">
            <v>速度传感器</v>
          </cell>
        </row>
        <row r="7331">
          <cell r="O7331" t="str">
            <v>SD2276</v>
          </cell>
          <cell r="P7331" t="str">
            <v>FD1014A</v>
          </cell>
          <cell r="Q7331" t="str">
            <v>电机驱动</v>
          </cell>
        </row>
        <row r="7332">
          <cell r="O7332" t="str">
            <v>SD2276</v>
          </cell>
          <cell r="P7332" t="str">
            <v>FD1014A</v>
          </cell>
          <cell r="Q7332" t="str">
            <v>电机驱动</v>
          </cell>
        </row>
        <row r="7333">
          <cell r="O7333" t="str">
            <v>SC1138SO-N</v>
          </cell>
          <cell r="P7333" t="str">
            <v>STC1898AC</v>
          </cell>
          <cell r="Q7333" t="str">
            <v>磁性位置传感器</v>
          </cell>
        </row>
        <row r="7334">
          <cell r="O7334" t="str">
            <v>PM301-MPW</v>
          </cell>
          <cell r="P7334" t="str">
            <v xml:space="preserve"> </v>
          </cell>
          <cell r="Q7334" t="str">
            <v>电源管理</v>
          </cell>
        </row>
        <row r="7335">
          <cell r="O7335" t="str">
            <v>SC2402SO-N-H</v>
          </cell>
          <cell r="P7335" t="str">
            <v>STC9H001A</v>
          </cell>
          <cell r="Q7335" t="str">
            <v>磁性位置传感器</v>
          </cell>
        </row>
        <row r="7336">
          <cell r="O7336" t="str">
            <v>KH276</v>
          </cell>
          <cell r="P7336" t="str">
            <v>FD1014A</v>
          </cell>
          <cell r="Q7336" t="str">
            <v>电机驱动</v>
          </cell>
        </row>
        <row r="7337">
          <cell r="O7337" t="str">
            <v>KH276</v>
          </cell>
          <cell r="P7337" t="str">
            <v>FD1014A</v>
          </cell>
          <cell r="Q7337" t="str">
            <v>电机驱动</v>
          </cell>
        </row>
        <row r="7338">
          <cell r="O7338" t="str">
            <v>SC4104SO</v>
          </cell>
          <cell r="P7338" t="str">
            <v>STC11201B1</v>
          </cell>
          <cell r="Q7338" t="str">
            <v>磁性位置传感器</v>
          </cell>
        </row>
        <row r="7339">
          <cell r="O7339" t="str">
            <v>SC1134UA</v>
          </cell>
          <cell r="P7339" t="str">
            <v>STC1898AI</v>
          </cell>
          <cell r="Q7339" t="str">
            <v>磁性位置传感器</v>
          </cell>
        </row>
        <row r="7340">
          <cell r="O7340" t="str">
            <v>SC2448SO</v>
          </cell>
          <cell r="P7340" t="str">
            <v>STC9906S</v>
          </cell>
          <cell r="Q7340" t="str">
            <v>磁性位置传感器</v>
          </cell>
        </row>
        <row r="7341">
          <cell r="O7341" t="str">
            <v>ATK-E512</v>
          </cell>
          <cell r="P7341" t="str">
            <v>STC4011B</v>
          </cell>
          <cell r="Q7341" t="str">
            <v>磁性位置传感器</v>
          </cell>
        </row>
        <row r="7342">
          <cell r="O7342" t="str">
            <v>SC1245SO-N</v>
          </cell>
          <cell r="P7342" t="str">
            <v>STC1898AD</v>
          </cell>
          <cell r="Q7342" t="str">
            <v>磁性位置传感器</v>
          </cell>
        </row>
        <row r="7343">
          <cell r="O7343" t="str">
            <v>SC2402SO-N</v>
          </cell>
          <cell r="P7343" t="str">
            <v>STC9902J</v>
          </cell>
          <cell r="Q7343" t="str">
            <v>磁性位置传感器</v>
          </cell>
        </row>
        <row r="7344">
          <cell r="O7344" t="str">
            <v>SC2402SO-N</v>
          </cell>
          <cell r="P7344" t="str">
            <v>STC9902J</v>
          </cell>
          <cell r="Q7344" t="str">
            <v>磁性位置传感器</v>
          </cell>
        </row>
        <row r="7345">
          <cell r="O7345" t="str">
            <v>SC2402SO-N</v>
          </cell>
          <cell r="P7345" t="str">
            <v>STC9902J</v>
          </cell>
          <cell r="Q7345" t="str">
            <v>磁性位置传感器</v>
          </cell>
        </row>
        <row r="7346">
          <cell r="O7346" t="str">
            <v>SC2402SO-N</v>
          </cell>
          <cell r="P7346" t="str">
            <v>STC9902J</v>
          </cell>
          <cell r="Q7346" t="str">
            <v>磁性位置传感器</v>
          </cell>
        </row>
        <row r="7347">
          <cell r="O7347" t="str">
            <v>SC2402SO-N</v>
          </cell>
          <cell r="P7347" t="str">
            <v>STC9902J</v>
          </cell>
          <cell r="Q7347" t="str">
            <v>磁性位置传感器</v>
          </cell>
        </row>
        <row r="7348">
          <cell r="O7348" t="str">
            <v>SC2402SO-N</v>
          </cell>
          <cell r="P7348" t="str">
            <v>STC9902J</v>
          </cell>
          <cell r="Q7348" t="str">
            <v>磁性位置传感器</v>
          </cell>
        </row>
        <row r="7349">
          <cell r="O7349" t="str">
            <v>SC2402SO-N</v>
          </cell>
          <cell r="P7349" t="str">
            <v>STC9902J</v>
          </cell>
          <cell r="Q7349" t="str">
            <v>磁性位置传感器</v>
          </cell>
        </row>
        <row r="7350">
          <cell r="O7350" t="str">
            <v>SC2402SO-N</v>
          </cell>
          <cell r="P7350" t="str">
            <v>STC9902J</v>
          </cell>
          <cell r="Q7350" t="str">
            <v>磁性位置传感器</v>
          </cell>
        </row>
        <row r="7351">
          <cell r="O7351" t="str">
            <v>G01</v>
          </cell>
          <cell r="P7351" t="str">
            <v>STC4011B</v>
          </cell>
          <cell r="Q7351" t="str">
            <v>磁性位置传感器</v>
          </cell>
        </row>
        <row r="7352">
          <cell r="O7352" t="str">
            <v>SC4688DC</v>
          </cell>
          <cell r="P7352" t="str">
            <v>STC9D01C</v>
          </cell>
          <cell r="Q7352" t="str">
            <v>角度传感器</v>
          </cell>
        </row>
        <row r="7353">
          <cell r="O7353" t="str">
            <v>SC9641TS-P</v>
          </cell>
          <cell r="P7353" t="str">
            <v>STC9A001I</v>
          </cell>
          <cell r="Q7353" t="str">
            <v>速度传感器</v>
          </cell>
        </row>
        <row r="7354">
          <cell r="O7354" t="str">
            <v>SC9641TS-P</v>
          </cell>
          <cell r="P7354" t="str">
            <v>STC9A001I</v>
          </cell>
          <cell r="Q7354" t="str">
            <v>速度传感器</v>
          </cell>
        </row>
        <row r="7355">
          <cell r="O7355" t="str">
            <v>SC1445A1</v>
          </cell>
          <cell r="P7355" t="str">
            <v>STC2899AB</v>
          </cell>
          <cell r="Q7355" t="str">
            <v>磁性位置传感器</v>
          </cell>
        </row>
        <row r="7356">
          <cell r="O7356" t="str">
            <v>SC2443UA</v>
          </cell>
          <cell r="P7356" t="str">
            <v>STC9906W</v>
          </cell>
          <cell r="Q7356" t="str">
            <v>磁性位置传感器</v>
          </cell>
        </row>
        <row r="7357">
          <cell r="O7357" t="str">
            <v>SC2443UA</v>
          </cell>
          <cell r="P7357" t="str">
            <v>STC9906W</v>
          </cell>
          <cell r="Q7357" t="str">
            <v>磁性位置传感器</v>
          </cell>
        </row>
        <row r="7358">
          <cell r="O7358" t="str">
            <v>SC2402SO-N-H</v>
          </cell>
          <cell r="P7358" t="str">
            <v>STC9H001A</v>
          </cell>
          <cell r="Q7358" t="str">
            <v>磁性位置传感器</v>
          </cell>
        </row>
        <row r="7359">
          <cell r="O7359" t="str">
            <v>SC9314UA</v>
          </cell>
          <cell r="P7359" t="str">
            <v>STC9901AF</v>
          </cell>
          <cell r="Q7359" t="str">
            <v>速度传感器</v>
          </cell>
        </row>
        <row r="7360">
          <cell r="O7360" t="str">
            <v>SC4695DC</v>
          </cell>
          <cell r="P7360" t="str">
            <v>STC9D01C</v>
          </cell>
          <cell r="Q7360" t="str">
            <v>角度传感器</v>
          </cell>
        </row>
        <row r="7361">
          <cell r="O7361" t="str">
            <v>SC4695DC</v>
          </cell>
          <cell r="P7361" t="str">
            <v>STC9D01C</v>
          </cell>
          <cell r="Q7361" t="str">
            <v>角度传感器</v>
          </cell>
        </row>
        <row r="7362">
          <cell r="O7362" t="str">
            <v>SC9648TS-P</v>
          </cell>
          <cell r="P7362" t="str">
            <v>STC9A001I</v>
          </cell>
          <cell r="Q7362" t="str">
            <v>速度传感器</v>
          </cell>
        </row>
        <row r="7363">
          <cell r="O7363" t="str">
            <v>SC9314UA</v>
          </cell>
          <cell r="P7363" t="str">
            <v>STC9901AF</v>
          </cell>
          <cell r="Q7363" t="str">
            <v>速度传感器</v>
          </cell>
        </row>
        <row r="7364">
          <cell r="O7364" t="str">
            <v>SC69401工程编程器套装</v>
          </cell>
          <cell r="P7364" t="str">
            <v xml:space="preserve"> </v>
          </cell>
          <cell r="Q7364" t="str">
            <v>角度传感器</v>
          </cell>
        </row>
        <row r="7365">
          <cell r="O7365" t="str">
            <v>SC60104</v>
          </cell>
          <cell r="P7365" t="str">
            <v>STC9D02C</v>
          </cell>
          <cell r="Q7365" t="str">
            <v>电机编码器</v>
          </cell>
        </row>
        <row r="7366">
          <cell r="O7366" t="str">
            <v>SC1002N1W-B2</v>
          </cell>
          <cell r="P7366" t="str">
            <v>STC1002AL</v>
          </cell>
          <cell r="Q7366" t="str">
            <v>磁性位置传感器</v>
          </cell>
        </row>
        <row r="7367">
          <cell r="O7367" t="str">
            <v>SC1002N1W</v>
          </cell>
          <cell r="P7367" t="str">
            <v>STC1002AL</v>
          </cell>
          <cell r="Q7367" t="str">
            <v>磁性位置传感器</v>
          </cell>
        </row>
        <row r="7368">
          <cell r="O7368" t="str">
            <v>SC2443SO</v>
          </cell>
          <cell r="P7368" t="str">
            <v>STC9906T</v>
          </cell>
          <cell r="Q7368" t="str">
            <v>磁性位置传感器</v>
          </cell>
        </row>
        <row r="7369">
          <cell r="O7369" t="str">
            <v>SC2443SO</v>
          </cell>
          <cell r="P7369" t="str">
            <v>STC9906T</v>
          </cell>
          <cell r="Q7369" t="str">
            <v>磁性位置传感器</v>
          </cell>
        </row>
        <row r="7370">
          <cell r="O7370" t="str">
            <v>SC1134UA</v>
          </cell>
          <cell r="P7370" t="str">
            <v>STC1898AI</v>
          </cell>
          <cell r="Q7370" t="str">
            <v>磁性位置传感器</v>
          </cell>
        </row>
        <row r="7371">
          <cell r="O7371" t="str">
            <v>2100S</v>
          </cell>
          <cell r="P7371" t="str">
            <v>STC9D03E</v>
          </cell>
          <cell r="Q7371" t="str">
            <v>电流传感器</v>
          </cell>
        </row>
        <row r="7372">
          <cell r="O7372" t="str">
            <v>2100S</v>
          </cell>
          <cell r="P7372" t="str">
            <v>STC9D03E</v>
          </cell>
          <cell r="Q7372" t="str">
            <v>电流传感器</v>
          </cell>
        </row>
        <row r="7373">
          <cell r="O7373" t="str">
            <v>G01</v>
          </cell>
          <cell r="P7373" t="str">
            <v>STC4011B</v>
          </cell>
          <cell r="Q7373" t="str">
            <v>磁性位置传感器</v>
          </cell>
        </row>
        <row r="7374">
          <cell r="O7374" t="str">
            <v>SC1134UA</v>
          </cell>
          <cell r="P7374" t="str">
            <v>STC1898AI</v>
          </cell>
          <cell r="Q7374" t="str">
            <v>磁性位置传感器</v>
          </cell>
        </row>
        <row r="7375">
          <cell r="O7375" t="str">
            <v>SC9621VB-A</v>
          </cell>
          <cell r="P7375" t="str">
            <v>STC9910F</v>
          </cell>
          <cell r="Q7375" t="str">
            <v>速度传感器</v>
          </cell>
        </row>
        <row r="7376">
          <cell r="O7376" t="str">
            <v>SC4688SA</v>
          </cell>
          <cell r="P7376" t="str">
            <v>STC9D01C</v>
          </cell>
          <cell r="Q7376" t="str">
            <v>角度传感器</v>
          </cell>
        </row>
        <row r="7377">
          <cell r="O7377" t="str">
            <v>SC1138SO-N</v>
          </cell>
          <cell r="P7377" t="str">
            <v>STC1898AC</v>
          </cell>
          <cell r="Q7377" t="str">
            <v>磁性位置传感器</v>
          </cell>
        </row>
        <row r="7378">
          <cell r="O7378" t="str">
            <v>SC2442SO</v>
          </cell>
          <cell r="P7378" t="str">
            <v>STC9906R</v>
          </cell>
          <cell r="Q7378" t="str">
            <v>磁性位置传感器</v>
          </cell>
        </row>
        <row r="7379">
          <cell r="O7379" t="str">
            <v>SC2442SO</v>
          </cell>
          <cell r="P7379" t="str">
            <v>STC9906R</v>
          </cell>
          <cell r="Q7379" t="str">
            <v>磁性位置传感器</v>
          </cell>
        </row>
        <row r="7380">
          <cell r="O7380" t="str">
            <v>SC2442SO-N</v>
          </cell>
          <cell r="P7380" t="str">
            <v>STC9906P</v>
          </cell>
          <cell r="Q7380" t="str">
            <v>磁性位置传感器</v>
          </cell>
        </row>
        <row r="7381">
          <cell r="O7381" t="str">
            <v>PSTC1898AC</v>
          </cell>
          <cell r="P7381" t="str">
            <v>STC1898AC</v>
          </cell>
          <cell r="Q7381" t="str">
            <v>磁性位置传感器</v>
          </cell>
        </row>
        <row r="7382">
          <cell r="O7382" t="str">
            <v>SC2430UA</v>
          </cell>
          <cell r="P7382" t="str">
            <v>STC9906I</v>
          </cell>
          <cell r="Q7382" t="str">
            <v>磁性位置传感器</v>
          </cell>
        </row>
        <row r="7383">
          <cell r="O7383" t="str">
            <v>SC4616UA-10NV</v>
          </cell>
          <cell r="P7383" t="str">
            <v>STC9907D</v>
          </cell>
          <cell r="Q7383" t="str">
            <v>电流传感器</v>
          </cell>
        </row>
        <row r="7384">
          <cell r="O7384" t="str">
            <v>SC4616UA-10NV</v>
          </cell>
          <cell r="P7384" t="str">
            <v>STC9907D</v>
          </cell>
          <cell r="Q7384" t="str">
            <v>电流传感器</v>
          </cell>
        </row>
        <row r="7385">
          <cell r="O7385" t="str">
            <v>SC4688DC</v>
          </cell>
          <cell r="P7385" t="str">
            <v>STC9D01C</v>
          </cell>
          <cell r="Q7385" t="str">
            <v>角度传感器</v>
          </cell>
        </row>
        <row r="7386">
          <cell r="O7386" t="str">
            <v>SC4688DC</v>
          </cell>
          <cell r="P7386" t="str">
            <v>STC9D01C</v>
          </cell>
          <cell r="Q7386" t="str">
            <v>角度传感器</v>
          </cell>
        </row>
        <row r="7387">
          <cell r="O7387" t="str">
            <v>SC4688DC</v>
          </cell>
          <cell r="P7387" t="str">
            <v>STC9D01C</v>
          </cell>
          <cell r="Q7387" t="str">
            <v>角度传感器</v>
          </cell>
        </row>
        <row r="7388">
          <cell r="O7388" t="str">
            <v>SC2526VB</v>
          </cell>
          <cell r="P7388" t="str">
            <v>STC9904C</v>
          </cell>
          <cell r="Q7388" t="str">
            <v>磁性位置传感器</v>
          </cell>
        </row>
        <row r="7389">
          <cell r="O7389" t="str">
            <v>SC2442SO-N</v>
          </cell>
          <cell r="P7389" t="str">
            <v>STC9906P</v>
          </cell>
          <cell r="Q7389" t="str">
            <v>磁性位置传感器</v>
          </cell>
        </row>
        <row r="7390">
          <cell r="O7390" t="str">
            <v>SC1134UA</v>
          </cell>
          <cell r="P7390" t="str">
            <v>STC1898AI</v>
          </cell>
          <cell r="Q7390" t="str">
            <v>磁性位置传感器</v>
          </cell>
        </row>
        <row r="7391">
          <cell r="O7391" t="str">
            <v>SC1134UA</v>
          </cell>
          <cell r="P7391" t="str">
            <v>STC1898AI</v>
          </cell>
          <cell r="Q7391" t="str">
            <v>磁性位置传感器</v>
          </cell>
        </row>
        <row r="7392">
          <cell r="O7392" t="str">
            <v>SC2434SO-N</v>
          </cell>
          <cell r="P7392" t="str">
            <v>STC9906I</v>
          </cell>
          <cell r="Q7392" t="str">
            <v>磁性位置传感器</v>
          </cell>
        </row>
        <row r="7393">
          <cell r="O7393" t="str">
            <v>ATK-E512</v>
          </cell>
          <cell r="P7393" t="str">
            <v>STC4011B</v>
          </cell>
          <cell r="Q7393" t="str">
            <v>磁性位置传感器</v>
          </cell>
        </row>
        <row r="7394">
          <cell r="O7394" t="str">
            <v>ATK-E512</v>
          </cell>
          <cell r="P7394" t="str">
            <v>STC4011B</v>
          </cell>
          <cell r="Q7394" t="str">
            <v>磁性位置传感器</v>
          </cell>
        </row>
        <row r="7395">
          <cell r="O7395" t="str">
            <v>ATK-E512</v>
          </cell>
          <cell r="P7395" t="str">
            <v>STC4011B</v>
          </cell>
          <cell r="Q7395" t="str">
            <v>磁性位置传感器</v>
          </cell>
        </row>
        <row r="7396">
          <cell r="O7396" t="str">
            <v>SC2466SO</v>
          </cell>
          <cell r="P7396" t="str">
            <v>STC9906O</v>
          </cell>
          <cell r="Q7396" t="str">
            <v>磁性位置传感器</v>
          </cell>
        </row>
        <row r="7397">
          <cell r="O7397" t="str">
            <v>SC2466SO</v>
          </cell>
          <cell r="P7397" t="str">
            <v>STC9906O</v>
          </cell>
          <cell r="Q7397" t="str">
            <v>磁性位置传感器</v>
          </cell>
        </row>
        <row r="7398">
          <cell r="O7398" t="str">
            <v>SC2462UA</v>
          </cell>
          <cell r="P7398" t="str">
            <v>STC9906J</v>
          </cell>
          <cell r="Q7398" t="str">
            <v>磁性位置传感器</v>
          </cell>
        </row>
        <row r="7399">
          <cell r="O7399" t="str">
            <v>SC2402SO-N-H</v>
          </cell>
          <cell r="P7399" t="str">
            <v>STC9H001A</v>
          </cell>
          <cell r="Q7399" t="str">
            <v>磁性位置传感器</v>
          </cell>
        </row>
        <row r="7400">
          <cell r="O7400" t="str">
            <v>2100S</v>
          </cell>
          <cell r="P7400" t="str">
            <v>STC9D03E</v>
          </cell>
          <cell r="Q7400" t="str">
            <v>电流传感器</v>
          </cell>
        </row>
        <row r="7401">
          <cell r="O7401" t="str">
            <v>2100S</v>
          </cell>
          <cell r="P7401" t="str">
            <v>STC9D03E</v>
          </cell>
          <cell r="Q7401" t="str">
            <v>电流传感器</v>
          </cell>
        </row>
        <row r="7402">
          <cell r="O7402" t="str">
            <v>G01</v>
          </cell>
          <cell r="P7402" t="str">
            <v>STC4011B</v>
          </cell>
          <cell r="Q7402" t="str">
            <v>磁性位置传感器</v>
          </cell>
        </row>
        <row r="7403">
          <cell r="O7403" t="str">
            <v>2100</v>
          </cell>
          <cell r="P7403" t="str">
            <v>STC9D03E</v>
          </cell>
          <cell r="Q7403" t="str">
            <v>电流传感器</v>
          </cell>
        </row>
        <row r="7404">
          <cell r="O7404" t="str">
            <v>2100</v>
          </cell>
          <cell r="P7404" t="str">
            <v>STC9D03E</v>
          </cell>
          <cell r="Q7404" t="str">
            <v>电流传感器</v>
          </cell>
        </row>
        <row r="7405">
          <cell r="O7405" t="str">
            <v>2100</v>
          </cell>
          <cell r="P7405" t="str">
            <v>STC9D03E</v>
          </cell>
          <cell r="Q7405" t="str">
            <v>电流传感器</v>
          </cell>
        </row>
        <row r="7406">
          <cell r="O7406" t="str">
            <v>SC9641TS-PC</v>
          </cell>
          <cell r="P7406" t="str">
            <v>STC9A001I</v>
          </cell>
          <cell r="Q7406" t="str">
            <v>速度传感器</v>
          </cell>
        </row>
        <row r="7407">
          <cell r="O7407" t="str">
            <v>SC9641TS-PC</v>
          </cell>
          <cell r="P7407" t="str">
            <v>STC9A001I</v>
          </cell>
          <cell r="Q7407" t="str">
            <v>速度传感器</v>
          </cell>
        </row>
        <row r="7408">
          <cell r="O7408" t="str">
            <v>SC9641TS-PC</v>
          </cell>
          <cell r="P7408" t="str">
            <v>STC9A001I</v>
          </cell>
          <cell r="Q7408" t="str">
            <v>速度传感器</v>
          </cell>
        </row>
        <row r="7409">
          <cell r="O7409" t="str">
            <v>SC9641TS-PC</v>
          </cell>
          <cell r="P7409" t="str">
            <v>STC9A001I</v>
          </cell>
          <cell r="Q7409" t="str">
            <v>速度传感器</v>
          </cell>
        </row>
        <row r="7410">
          <cell r="O7410" t="str">
            <v>SC9642TS-EC</v>
          </cell>
          <cell r="P7410" t="str">
            <v>STC9A001H</v>
          </cell>
          <cell r="Q7410" t="str">
            <v>速度传感器</v>
          </cell>
        </row>
        <row r="7411">
          <cell r="O7411" t="str">
            <v>SC9642TS-EC</v>
          </cell>
          <cell r="P7411" t="str">
            <v>STC9A001H</v>
          </cell>
          <cell r="Q7411" t="str">
            <v>速度传感器</v>
          </cell>
        </row>
        <row r="7412">
          <cell r="O7412" t="str">
            <v>SC9642TS-EC</v>
          </cell>
          <cell r="P7412" t="str">
            <v>STC9A001H</v>
          </cell>
          <cell r="Q7412" t="str">
            <v>速度传感器</v>
          </cell>
        </row>
        <row r="7413">
          <cell r="O7413" t="str">
            <v>SC9642TS-EC</v>
          </cell>
          <cell r="P7413" t="str">
            <v>STC9A001H</v>
          </cell>
          <cell r="Q7413" t="str">
            <v>速度传感器</v>
          </cell>
        </row>
        <row r="7414">
          <cell r="O7414" t="str">
            <v>SC2438SO</v>
          </cell>
          <cell r="P7414" t="str">
            <v>STC9906I</v>
          </cell>
          <cell r="Q7414" t="str">
            <v>磁性位置传感器</v>
          </cell>
        </row>
        <row r="7415">
          <cell r="O7415" t="str">
            <v>SC2443UA</v>
          </cell>
          <cell r="P7415" t="str">
            <v>STC9906W</v>
          </cell>
          <cell r="Q7415" t="str">
            <v>磁性位置传感器</v>
          </cell>
        </row>
        <row r="7416">
          <cell r="O7416" t="str">
            <v>SC2443UA</v>
          </cell>
          <cell r="P7416" t="str">
            <v>STC9906W</v>
          </cell>
          <cell r="Q7416" t="str">
            <v>磁性位置传感器</v>
          </cell>
        </row>
        <row r="7417">
          <cell r="O7417" t="str">
            <v>SC2443UA</v>
          </cell>
          <cell r="P7417" t="str">
            <v>STC9906W</v>
          </cell>
          <cell r="Q7417" t="str">
            <v>磁性位置传感器</v>
          </cell>
        </row>
        <row r="7418">
          <cell r="O7418" t="str">
            <v>SC2443UA</v>
          </cell>
          <cell r="P7418" t="str">
            <v>STC9906W</v>
          </cell>
          <cell r="Q7418" t="str">
            <v>磁性位置传感器</v>
          </cell>
        </row>
        <row r="7419">
          <cell r="O7419" t="str">
            <v>SC2443UA</v>
          </cell>
          <cell r="P7419" t="str">
            <v>STC9906W</v>
          </cell>
          <cell r="Q7419" t="str">
            <v>磁性位置传感器</v>
          </cell>
        </row>
        <row r="7420">
          <cell r="O7420" t="str">
            <v>SC2443UA</v>
          </cell>
          <cell r="P7420" t="str">
            <v>STC9906W</v>
          </cell>
          <cell r="Q7420" t="str">
            <v>磁性位置传感器</v>
          </cell>
        </row>
        <row r="7421">
          <cell r="O7421" t="str">
            <v>SC2443UA</v>
          </cell>
          <cell r="P7421" t="str">
            <v>STC9906W</v>
          </cell>
          <cell r="Q7421" t="str">
            <v>磁性位置传感器</v>
          </cell>
        </row>
        <row r="7422">
          <cell r="O7422" t="str">
            <v>SC2448UA-N</v>
          </cell>
          <cell r="P7422" t="str">
            <v>STC9906S</v>
          </cell>
          <cell r="Q7422" t="str">
            <v>磁性位置传感器</v>
          </cell>
        </row>
        <row r="7423">
          <cell r="O7423" t="str">
            <v>SC2448UA-N</v>
          </cell>
          <cell r="P7423" t="str">
            <v>STC9906S</v>
          </cell>
          <cell r="Q7423" t="str">
            <v>磁性位置传感器</v>
          </cell>
        </row>
        <row r="7424">
          <cell r="O7424" t="str">
            <v>SC4643编程板</v>
          </cell>
          <cell r="P7424" t="str">
            <v xml:space="preserve"> </v>
          </cell>
          <cell r="Q7424" t="str">
            <v>电流传感器</v>
          </cell>
        </row>
        <row r="7425">
          <cell r="O7425" t="str">
            <v>SC9641TS</v>
          </cell>
          <cell r="P7425" t="str">
            <v>STC9910BN</v>
          </cell>
          <cell r="Q7425" t="str">
            <v>速度传感器</v>
          </cell>
        </row>
        <row r="7426">
          <cell r="O7426" t="str">
            <v>SC1445A1</v>
          </cell>
          <cell r="P7426" t="str">
            <v>STC2899AB</v>
          </cell>
          <cell r="Q7426" t="str">
            <v>磁性位置传感器</v>
          </cell>
        </row>
        <row r="7427">
          <cell r="O7427" t="str">
            <v>SC1134UA</v>
          </cell>
          <cell r="P7427" t="str">
            <v>STC1898AI</v>
          </cell>
          <cell r="Q7427" t="str">
            <v>磁性位置传感器</v>
          </cell>
        </row>
        <row r="7428">
          <cell r="O7428" t="str">
            <v>SC2432UA</v>
          </cell>
          <cell r="P7428" t="str">
            <v>STC9906I</v>
          </cell>
          <cell r="Q7428" t="str">
            <v>磁性位置传感器</v>
          </cell>
        </row>
        <row r="7429">
          <cell r="O7429" t="str">
            <v>SC9648TS-P</v>
          </cell>
          <cell r="P7429" t="str">
            <v>STC9A001I</v>
          </cell>
          <cell r="Q7429" t="str">
            <v>速度传感器</v>
          </cell>
        </row>
        <row r="7430">
          <cell r="O7430" t="str">
            <v>SC9641TS</v>
          </cell>
          <cell r="P7430" t="str">
            <v>STC9910BN</v>
          </cell>
          <cell r="Q7430" t="str">
            <v>速度传感器</v>
          </cell>
        </row>
        <row r="7431">
          <cell r="O7431" t="str">
            <v>SC9641TS</v>
          </cell>
          <cell r="P7431" t="str">
            <v>STC9910BN</v>
          </cell>
          <cell r="Q7431" t="str">
            <v>速度传感器</v>
          </cell>
        </row>
        <row r="7432">
          <cell r="O7432" t="str">
            <v>SC9641TS</v>
          </cell>
          <cell r="P7432" t="str">
            <v>STC9910BN</v>
          </cell>
          <cell r="Q7432" t="str">
            <v>速度传感器</v>
          </cell>
        </row>
        <row r="7433">
          <cell r="O7433" t="str">
            <v>SC4616UA-10NV</v>
          </cell>
          <cell r="P7433" t="str">
            <v>STC9907D</v>
          </cell>
          <cell r="Q7433" t="str">
            <v>电流传感器</v>
          </cell>
        </row>
        <row r="7434">
          <cell r="O7434" t="str">
            <v>SC4011UA</v>
          </cell>
          <cell r="P7434" t="str">
            <v>STC4011B</v>
          </cell>
          <cell r="Q7434" t="str">
            <v>磁性位置传感器</v>
          </cell>
        </row>
        <row r="7435">
          <cell r="O7435" t="str">
            <v>SC2430UA</v>
          </cell>
          <cell r="P7435" t="str">
            <v>STC9906I</v>
          </cell>
          <cell r="Q7435" t="str">
            <v>磁性位置传感器</v>
          </cell>
        </row>
        <row r="7436">
          <cell r="O7436" t="str">
            <v>SC9314UA</v>
          </cell>
          <cell r="P7436" t="str">
            <v>STC9901AF</v>
          </cell>
          <cell r="Q7436" t="str">
            <v>速度传感器</v>
          </cell>
        </row>
        <row r="7437">
          <cell r="O7437" t="str">
            <v>SD477S</v>
          </cell>
          <cell r="P7437" t="str">
            <v>STC22304C</v>
          </cell>
          <cell r="Q7437" t="str">
            <v>电机驱动</v>
          </cell>
        </row>
        <row r="7438">
          <cell r="O7438" t="str">
            <v>SD477S</v>
          </cell>
          <cell r="P7438" t="str">
            <v>STC22304C</v>
          </cell>
          <cell r="Q7438" t="str">
            <v>电机驱动</v>
          </cell>
        </row>
        <row r="7439">
          <cell r="O7439" t="str">
            <v>SC2546VB</v>
          </cell>
          <cell r="P7439" t="str">
            <v>STC9906H</v>
          </cell>
          <cell r="Q7439" t="str">
            <v>磁性位置传感器</v>
          </cell>
        </row>
        <row r="7440">
          <cell r="O7440" t="str">
            <v>SC2546VB</v>
          </cell>
          <cell r="P7440" t="str">
            <v>STC9906H</v>
          </cell>
          <cell r="Q7440" t="str">
            <v>磁性位置传感器</v>
          </cell>
        </row>
        <row r="7441">
          <cell r="O7441" t="str">
            <v>SC2434UA</v>
          </cell>
          <cell r="P7441" t="str">
            <v>STC9906I</v>
          </cell>
          <cell r="Q7441" t="str">
            <v>磁性位置传感器</v>
          </cell>
        </row>
        <row r="7442">
          <cell r="O7442" t="str">
            <v>SC1134UA</v>
          </cell>
          <cell r="P7442" t="str">
            <v>STC1898AI</v>
          </cell>
          <cell r="Q7442" t="str">
            <v>磁性位置传感器</v>
          </cell>
        </row>
        <row r="7443">
          <cell r="O7443" t="str">
            <v>ATK-E512</v>
          </cell>
          <cell r="P7443" t="str">
            <v>STC4011B</v>
          </cell>
          <cell r="Q7443" t="str">
            <v>磁性位置传感器</v>
          </cell>
        </row>
        <row r="7444">
          <cell r="O7444" t="str">
            <v>SC9634VB</v>
          </cell>
          <cell r="P7444" t="str">
            <v>STC9905G</v>
          </cell>
          <cell r="Q7444" t="str">
            <v>速度传感器</v>
          </cell>
        </row>
        <row r="7445">
          <cell r="O7445" t="str">
            <v>G01</v>
          </cell>
          <cell r="P7445" t="str">
            <v>STC4011B</v>
          </cell>
          <cell r="Q7445" t="str">
            <v>磁性位置传感器</v>
          </cell>
        </row>
        <row r="7446">
          <cell r="O7446" t="str">
            <v>G01</v>
          </cell>
          <cell r="P7446" t="str">
            <v>STC4011B</v>
          </cell>
          <cell r="Q7446" t="str">
            <v>磁性位置传感器</v>
          </cell>
        </row>
        <row r="7447">
          <cell r="O7447" t="str">
            <v>G01</v>
          </cell>
          <cell r="P7447" t="str">
            <v>STC4011B</v>
          </cell>
          <cell r="Q7447" t="str">
            <v>磁性位置传感器</v>
          </cell>
        </row>
        <row r="7448">
          <cell r="O7448" t="str">
            <v>G01</v>
          </cell>
          <cell r="P7448" t="str">
            <v>STC4011B</v>
          </cell>
          <cell r="Q7448" t="str">
            <v>磁性位置传感器</v>
          </cell>
        </row>
        <row r="7449">
          <cell r="O7449" t="str">
            <v>G01</v>
          </cell>
          <cell r="P7449" t="str">
            <v>STC4011B</v>
          </cell>
          <cell r="Q7449" t="str">
            <v>磁性位置传感器</v>
          </cell>
        </row>
        <row r="7450">
          <cell r="O7450" t="str">
            <v>G01</v>
          </cell>
          <cell r="P7450" t="str">
            <v>STC4011B</v>
          </cell>
          <cell r="Q7450" t="str">
            <v>磁性位置传感器</v>
          </cell>
        </row>
        <row r="7451">
          <cell r="O7451" t="str">
            <v>G01</v>
          </cell>
          <cell r="P7451" t="str">
            <v>STC4011B</v>
          </cell>
          <cell r="Q7451" t="str">
            <v>磁性位置传感器</v>
          </cell>
        </row>
        <row r="7452">
          <cell r="O7452" t="str">
            <v>SC69401-A</v>
          </cell>
          <cell r="P7452" t="str">
            <v>STC9H002DQ</v>
          </cell>
          <cell r="Q7452" t="str">
            <v>角度传感器</v>
          </cell>
        </row>
        <row r="7453">
          <cell r="O7453" t="str">
            <v>SC69401-A</v>
          </cell>
          <cell r="P7453" t="str">
            <v>STC9H002DQ</v>
          </cell>
          <cell r="Q7453" t="str">
            <v>角度传感器</v>
          </cell>
        </row>
        <row r="7454">
          <cell r="O7454" t="str">
            <v>SC2442SO</v>
          </cell>
          <cell r="P7454" t="str">
            <v>STC9906R</v>
          </cell>
          <cell r="Q7454" t="str">
            <v>磁性位置传感器</v>
          </cell>
        </row>
        <row r="7455">
          <cell r="O7455" t="str">
            <v>SC2442SO</v>
          </cell>
          <cell r="P7455" t="str">
            <v>STC9906R</v>
          </cell>
          <cell r="Q7455" t="str">
            <v>磁性位置传感器</v>
          </cell>
        </row>
        <row r="7456">
          <cell r="O7456" t="str">
            <v>SC2442SO</v>
          </cell>
          <cell r="P7456" t="str">
            <v>STC9906R</v>
          </cell>
          <cell r="Q7456" t="str">
            <v>磁性位置传感器</v>
          </cell>
        </row>
        <row r="7457">
          <cell r="O7457" t="str">
            <v>SC2443UA</v>
          </cell>
          <cell r="P7457" t="str">
            <v>STC9906W</v>
          </cell>
          <cell r="Q7457" t="str">
            <v>磁性位置传感器</v>
          </cell>
        </row>
        <row r="7458">
          <cell r="O7458" t="str">
            <v>SC2443UA</v>
          </cell>
          <cell r="P7458" t="str">
            <v>STC9906W</v>
          </cell>
          <cell r="Q7458" t="str">
            <v>磁性位置传感器</v>
          </cell>
        </row>
        <row r="7459">
          <cell r="O7459" t="str">
            <v>SC2443UA</v>
          </cell>
          <cell r="P7459" t="str">
            <v>STC9906W</v>
          </cell>
          <cell r="Q7459" t="str">
            <v>磁性位置传感器</v>
          </cell>
        </row>
        <row r="7460">
          <cell r="O7460" t="str">
            <v>SC2443UA</v>
          </cell>
          <cell r="P7460" t="str">
            <v>STC9906W</v>
          </cell>
          <cell r="Q7460" t="str">
            <v>磁性位置传感器</v>
          </cell>
        </row>
        <row r="7461">
          <cell r="O7461" t="str">
            <v>SC2443UA</v>
          </cell>
          <cell r="P7461" t="str">
            <v>STC9906W</v>
          </cell>
          <cell r="Q7461" t="str">
            <v>磁性位置传感器</v>
          </cell>
        </row>
        <row r="7462">
          <cell r="O7462" t="str">
            <v>SC2442SO-N</v>
          </cell>
          <cell r="P7462" t="str">
            <v>STC9906P</v>
          </cell>
          <cell r="Q7462" t="str">
            <v>磁性位置传感器</v>
          </cell>
        </row>
        <row r="7463">
          <cell r="O7463" t="str">
            <v>SC2402SO-N-H</v>
          </cell>
          <cell r="P7463" t="str">
            <v>STC9H001A</v>
          </cell>
          <cell r="Q7463" t="str">
            <v>磁性位置传感器</v>
          </cell>
        </row>
        <row r="7464">
          <cell r="O7464" t="str">
            <v>SC9641TS</v>
          </cell>
          <cell r="P7464" t="str">
            <v>STC9910BN</v>
          </cell>
          <cell r="Q7464" t="str">
            <v>速度传感器</v>
          </cell>
        </row>
        <row r="7465">
          <cell r="O7465" t="str">
            <v>SC9641TS</v>
          </cell>
          <cell r="P7465" t="str">
            <v>STC9910BN</v>
          </cell>
          <cell r="Q7465" t="str">
            <v>速度传感器</v>
          </cell>
        </row>
        <row r="7466">
          <cell r="O7466" t="str">
            <v>PSTC11201B1-SC4104</v>
          </cell>
          <cell r="P7466" t="str">
            <v>STC11201B1</v>
          </cell>
          <cell r="Q7466" t="str">
            <v>磁性位置传感器</v>
          </cell>
        </row>
        <row r="7467">
          <cell r="O7467" t="str">
            <v>PSTC11201B1-SC4103</v>
          </cell>
          <cell r="P7467" t="str">
            <v>STC11201B1</v>
          </cell>
          <cell r="Q7467" t="str">
            <v>磁性位置传感器</v>
          </cell>
        </row>
        <row r="7468">
          <cell r="O7468" t="str">
            <v>SC9648TS-P</v>
          </cell>
          <cell r="P7468" t="str">
            <v>STC9A001I</v>
          </cell>
          <cell r="Q7468" t="str">
            <v>速度传感器</v>
          </cell>
        </row>
        <row r="7469">
          <cell r="O7469" t="str">
            <v>SC243XUA</v>
          </cell>
          <cell r="P7469" t="str">
            <v>STC9906I</v>
          </cell>
          <cell r="Q7469" t="str">
            <v>磁性位置传感器</v>
          </cell>
        </row>
        <row r="7470">
          <cell r="O7470" t="str">
            <v>SC9641TS-PC</v>
          </cell>
          <cell r="P7470" t="str">
            <v>STC9A001I</v>
          </cell>
          <cell r="Q7470" t="str">
            <v>速度传感器</v>
          </cell>
        </row>
        <row r="7471">
          <cell r="O7471" t="str">
            <v>SC60340</v>
          </cell>
          <cell r="P7471" t="str">
            <v>STC9D05C</v>
          </cell>
          <cell r="Q7471" t="str">
            <v>电机编码器</v>
          </cell>
        </row>
        <row r="7472">
          <cell r="O7472" t="str">
            <v>SC60224-D-1024</v>
          </cell>
          <cell r="P7472" t="str">
            <v>STC9D04C</v>
          </cell>
          <cell r="Q7472" t="str">
            <v>电机编码器</v>
          </cell>
        </row>
        <row r="7473">
          <cell r="O7473" t="str">
            <v>SC60224-D-1024</v>
          </cell>
          <cell r="P7473" t="str">
            <v>STC9D04C</v>
          </cell>
          <cell r="Q7473" t="str">
            <v>电机编码器</v>
          </cell>
        </row>
        <row r="7474">
          <cell r="O7474" t="str">
            <v>SC919H</v>
          </cell>
          <cell r="P7474" t="str">
            <v>STC9913D</v>
          </cell>
          <cell r="Q7474" t="str">
            <v>磁性位置传感器</v>
          </cell>
        </row>
        <row r="7475">
          <cell r="O7475" t="str">
            <v>SC919H</v>
          </cell>
          <cell r="P7475" t="str">
            <v>STC9913D</v>
          </cell>
          <cell r="Q7475" t="str">
            <v>磁性位置传感器</v>
          </cell>
        </row>
        <row r="7476">
          <cell r="O7476" t="str">
            <v>SC919H</v>
          </cell>
          <cell r="P7476" t="str">
            <v>STC9913D</v>
          </cell>
          <cell r="Q7476" t="str">
            <v>磁性位置传感器</v>
          </cell>
        </row>
        <row r="7477">
          <cell r="O7477" t="str">
            <v>SC4688SA-A</v>
          </cell>
          <cell r="P7477" t="str">
            <v>STC9D01C</v>
          </cell>
          <cell r="Q7477" t="str">
            <v>角度传感器</v>
          </cell>
        </row>
        <row r="7478">
          <cell r="O7478" t="str">
            <v>SC919H</v>
          </cell>
          <cell r="P7478" t="str">
            <v>STC9913D</v>
          </cell>
          <cell r="Q7478" t="str">
            <v>磁性位置传感器</v>
          </cell>
        </row>
        <row r="7479">
          <cell r="O7479" t="str">
            <v>SC1445A1</v>
          </cell>
          <cell r="P7479" t="str">
            <v>STC2899AB</v>
          </cell>
          <cell r="Q7479" t="str">
            <v>磁性位置传感器</v>
          </cell>
        </row>
        <row r="7480">
          <cell r="O7480" t="str">
            <v>SC2442SO-N</v>
          </cell>
          <cell r="P7480" t="str">
            <v>STC9906P</v>
          </cell>
          <cell r="Q7480" t="str">
            <v>磁性位置传感器</v>
          </cell>
        </row>
        <row r="7481">
          <cell r="O7481" t="str">
            <v>SC1138SO-N</v>
          </cell>
          <cell r="P7481" t="str">
            <v>STC1898AC</v>
          </cell>
          <cell r="Q7481" t="str">
            <v>磁性位置传感器</v>
          </cell>
        </row>
        <row r="7482">
          <cell r="O7482" t="str">
            <v>SC1134BU</v>
          </cell>
          <cell r="P7482" t="str">
            <v>STC1898AI</v>
          </cell>
          <cell r="Q7482" t="str">
            <v>磁性位置传感器</v>
          </cell>
        </row>
        <row r="7483">
          <cell r="O7483" t="str">
            <v>SYLMV324BPD2R</v>
          </cell>
          <cell r="P7483" t="str">
            <v>STC9G003B</v>
          </cell>
          <cell r="Q7483" t="str">
            <v>其他数模混合</v>
          </cell>
        </row>
        <row r="7484">
          <cell r="O7484" t="str">
            <v>ATK-E512</v>
          </cell>
          <cell r="P7484" t="str">
            <v>STC4011B</v>
          </cell>
          <cell r="Q7484" t="str">
            <v>磁性位置传感器</v>
          </cell>
        </row>
        <row r="7485">
          <cell r="O7485" t="str">
            <v>ATK-E512</v>
          </cell>
          <cell r="P7485" t="str">
            <v>STC4011B</v>
          </cell>
          <cell r="Q7485" t="str">
            <v>磁性位置传感器</v>
          </cell>
        </row>
        <row r="7486">
          <cell r="O7486" t="str">
            <v>ATK-E512</v>
          </cell>
          <cell r="P7486" t="str">
            <v>STC4011B</v>
          </cell>
          <cell r="Q7486" t="str">
            <v>磁性位置传感器</v>
          </cell>
        </row>
        <row r="7487">
          <cell r="O7487" t="str">
            <v>SC2442SO-N</v>
          </cell>
          <cell r="P7487" t="str">
            <v>STC9906P</v>
          </cell>
          <cell r="Q7487" t="str">
            <v>磁性位置传感器</v>
          </cell>
        </row>
        <row r="7488">
          <cell r="O7488" t="str">
            <v>SC2442SO-N</v>
          </cell>
          <cell r="P7488" t="str">
            <v>STC9906P</v>
          </cell>
          <cell r="Q7488" t="str">
            <v>磁性位置传感器</v>
          </cell>
        </row>
        <row r="7489">
          <cell r="O7489" t="str">
            <v>SC2464SO</v>
          </cell>
          <cell r="P7489" t="str">
            <v>STC9906J</v>
          </cell>
          <cell r="Q7489" t="str">
            <v>磁性位置传感器</v>
          </cell>
        </row>
        <row r="7490">
          <cell r="O7490" t="str">
            <v>SC2464SO</v>
          </cell>
          <cell r="P7490" t="str">
            <v>STC9906J</v>
          </cell>
          <cell r="Q7490" t="str">
            <v>磁性位置传感器</v>
          </cell>
        </row>
        <row r="7491">
          <cell r="O7491" t="str">
            <v>G01</v>
          </cell>
          <cell r="P7491" t="str">
            <v>STC4011B</v>
          </cell>
          <cell r="Q7491" t="str">
            <v>磁性位置传感器</v>
          </cell>
        </row>
        <row r="7492">
          <cell r="O7492" t="str">
            <v>G01</v>
          </cell>
          <cell r="P7492" t="str">
            <v>STC4011B</v>
          </cell>
          <cell r="Q7492" t="str">
            <v>磁性位置传感器</v>
          </cell>
        </row>
        <row r="7493">
          <cell r="O7493" t="str">
            <v>SC60228DC</v>
          </cell>
          <cell r="P7493" t="str">
            <v>STC9D04C</v>
          </cell>
          <cell r="Q7493" t="str">
            <v>电机编码器</v>
          </cell>
        </row>
        <row r="7494">
          <cell r="O7494" t="str">
            <v>SC1133UA</v>
          </cell>
          <cell r="P7494" t="str">
            <v>STC1898AJ</v>
          </cell>
          <cell r="Q7494" t="str">
            <v>磁性位置传感器</v>
          </cell>
        </row>
        <row r="7495">
          <cell r="O7495" t="str">
            <v>SC2442SO</v>
          </cell>
          <cell r="P7495" t="str">
            <v>STC9906R</v>
          </cell>
          <cell r="Q7495" t="str">
            <v>磁性位置传感器</v>
          </cell>
        </row>
        <row r="7496">
          <cell r="O7496" t="str">
            <v>SC2443UA</v>
          </cell>
          <cell r="P7496" t="str">
            <v>STC9906W</v>
          </cell>
          <cell r="Q7496" t="str">
            <v>磁性位置传感器</v>
          </cell>
        </row>
        <row r="7497">
          <cell r="O7497" t="str">
            <v>SC2443UA</v>
          </cell>
          <cell r="P7497" t="str">
            <v>STC9906W</v>
          </cell>
          <cell r="Q7497" t="str">
            <v>磁性位置传感器</v>
          </cell>
        </row>
        <row r="7498">
          <cell r="O7498" t="str">
            <v>SC2443UA</v>
          </cell>
          <cell r="P7498" t="str">
            <v>STC9906W</v>
          </cell>
          <cell r="Q7498" t="str">
            <v>磁性位置传感器</v>
          </cell>
        </row>
        <row r="7499">
          <cell r="O7499" t="str">
            <v>SC2464SO</v>
          </cell>
          <cell r="P7499" t="str">
            <v>STC9906J</v>
          </cell>
          <cell r="Q7499" t="str">
            <v>磁性位置传感器</v>
          </cell>
        </row>
        <row r="7500">
          <cell r="O7500" t="str">
            <v>SC2464SO</v>
          </cell>
          <cell r="P7500" t="str">
            <v>STC9906J</v>
          </cell>
          <cell r="Q7500" t="str">
            <v>磁性位置传感器</v>
          </cell>
        </row>
        <row r="7501">
          <cell r="O7501" t="str">
            <v>SC1445B2</v>
          </cell>
          <cell r="P7501" t="str">
            <v>STC2899AB</v>
          </cell>
          <cell r="Q7501" t="str">
            <v>磁性位置传感器</v>
          </cell>
        </row>
        <row r="7502">
          <cell r="O7502" t="str">
            <v>SC1445B2</v>
          </cell>
          <cell r="P7502" t="str">
            <v>STC2899AB</v>
          </cell>
          <cell r="Q7502" t="str">
            <v>磁性位置传感器</v>
          </cell>
        </row>
        <row r="7503">
          <cell r="O7503" t="str">
            <v>SC9642TS-E</v>
          </cell>
          <cell r="P7503" t="str">
            <v>STC9A001H</v>
          </cell>
          <cell r="Q7503" t="str">
            <v>速度传感器</v>
          </cell>
        </row>
        <row r="7504">
          <cell r="O7504" t="str">
            <v>SC2438SO</v>
          </cell>
          <cell r="P7504" t="str">
            <v>STC9906I</v>
          </cell>
          <cell r="Q7504" t="str">
            <v>磁性位置传感器</v>
          </cell>
        </row>
        <row r="7505">
          <cell r="O7505" t="str">
            <v>SC9314UA</v>
          </cell>
          <cell r="P7505" t="str">
            <v>STC9901AF</v>
          </cell>
          <cell r="Q7505" t="str">
            <v>速度传感器</v>
          </cell>
        </row>
        <row r="7506">
          <cell r="O7506" t="str">
            <v>SC1133UA</v>
          </cell>
          <cell r="P7506" t="str">
            <v>STC1898AJ</v>
          </cell>
          <cell r="Q7506" t="str">
            <v>磁性位置传感器</v>
          </cell>
        </row>
        <row r="7507">
          <cell r="O7507" t="str">
            <v>SC2430UA</v>
          </cell>
          <cell r="P7507" t="str">
            <v>STC9906I</v>
          </cell>
          <cell r="Q7507" t="str">
            <v>磁性位置传感器</v>
          </cell>
        </row>
        <row r="7508">
          <cell r="O7508" t="str">
            <v>SC9314UA</v>
          </cell>
          <cell r="P7508" t="str">
            <v>STC9901AF</v>
          </cell>
          <cell r="Q7508" t="str">
            <v>速度传感器</v>
          </cell>
        </row>
        <row r="7509">
          <cell r="O7509" t="str">
            <v>SC4688DC</v>
          </cell>
          <cell r="P7509" t="str">
            <v>STC9D01C</v>
          </cell>
          <cell r="Q7509" t="str">
            <v>角度传感器</v>
          </cell>
        </row>
        <row r="7510">
          <cell r="O7510" t="str">
            <v>SC4688DC</v>
          </cell>
          <cell r="P7510" t="str">
            <v>STC9D01C</v>
          </cell>
          <cell r="Q7510" t="str">
            <v>角度传感器</v>
          </cell>
        </row>
        <row r="7511">
          <cell r="O7511" t="str">
            <v>SC4688DC</v>
          </cell>
          <cell r="P7511" t="str">
            <v>STC9D01C</v>
          </cell>
          <cell r="Q7511" t="str">
            <v>角度传感器</v>
          </cell>
        </row>
        <row r="7512">
          <cell r="O7512" t="str">
            <v>SC1645B1</v>
          </cell>
          <cell r="P7512" t="str">
            <v>STC2899AE</v>
          </cell>
          <cell r="Q7512" t="str">
            <v>磁性位置传感器</v>
          </cell>
        </row>
        <row r="7513">
          <cell r="O7513" t="str">
            <v>SC1645B1</v>
          </cell>
          <cell r="P7513" t="str">
            <v>STC2899AE</v>
          </cell>
          <cell r="Q7513" t="str">
            <v>磁性位置传感器</v>
          </cell>
        </row>
        <row r="7514">
          <cell r="O7514" t="str">
            <v>SC1645B1</v>
          </cell>
          <cell r="P7514" t="str">
            <v>STC2899AE</v>
          </cell>
          <cell r="Q7514" t="str">
            <v>磁性位置传感器</v>
          </cell>
        </row>
        <row r="7515">
          <cell r="O7515" t="str">
            <v>SC1645B1</v>
          </cell>
          <cell r="P7515" t="str">
            <v>STC2899AE</v>
          </cell>
          <cell r="Q7515" t="str">
            <v>磁性位置传感器</v>
          </cell>
        </row>
        <row r="7516">
          <cell r="O7516" t="str">
            <v>SC1645B1</v>
          </cell>
          <cell r="P7516" t="str">
            <v>STC2899AE</v>
          </cell>
          <cell r="Q7516" t="str">
            <v>磁性位置传感器</v>
          </cell>
        </row>
        <row r="7517">
          <cell r="O7517" t="str">
            <v>SC1645B1</v>
          </cell>
          <cell r="P7517" t="str">
            <v>STC2899AE</v>
          </cell>
          <cell r="Q7517" t="str">
            <v>磁性位置传感器</v>
          </cell>
        </row>
        <row r="7518">
          <cell r="O7518" t="str">
            <v>SC1645B1</v>
          </cell>
          <cell r="P7518" t="str">
            <v>STC2899AE</v>
          </cell>
          <cell r="Q7518" t="str">
            <v>磁性位置传感器</v>
          </cell>
        </row>
        <row r="7519">
          <cell r="O7519" t="str">
            <v>SC1645B1</v>
          </cell>
          <cell r="P7519" t="str">
            <v>STC2899AE</v>
          </cell>
          <cell r="Q7519" t="str">
            <v>磁性位置传感器</v>
          </cell>
        </row>
        <row r="7520">
          <cell r="O7520" t="str">
            <v>SC60221-U-P1-256-244-mai</v>
          </cell>
          <cell r="P7520" t="str">
            <v>STC9D04C</v>
          </cell>
          <cell r="Q7520" t="str">
            <v>电机编码器</v>
          </cell>
        </row>
        <row r="7521">
          <cell r="O7521" t="str">
            <v>SC60224-D-1024-976-BSD-01</v>
          </cell>
          <cell r="P7521" t="str">
            <v>STC9D04C</v>
          </cell>
          <cell r="Q7521" t="str">
            <v>电机编码器</v>
          </cell>
        </row>
        <row r="7522">
          <cell r="O7522" t="str">
            <v>SC2464SO</v>
          </cell>
          <cell r="P7522" t="str">
            <v>STC9906J</v>
          </cell>
          <cell r="Q7522" t="str">
            <v>磁性位置传感器</v>
          </cell>
        </row>
        <row r="7523">
          <cell r="O7523" t="str">
            <v>SC2464SO</v>
          </cell>
          <cell r="P7523" t="str">
            <v>STC9906J</v>
          </cell>
          <cell r="Q7523" t="str">
            <v>磁性位置传感器</v>
          </cell>
        </row>
        <row r="7524">
          <cell r="O7524" t="str">
            <v>SC1134UA</v>
          </cell>
          <cell r="P7524" t="str">
            <v>STC1898AI</v>
          </cell>
          <cell r="Q7524" t="str">
            <v>磁性位置传感器</v>
          </cell>
        </row>
        <row r="7525">
          <cell r="O7525" t="str">
            <v>SC2443SO</v>
          </cell>
          <cell r="P7525" t="str">
            <v>STC9906T</v>
          </cell>
          <cell r="Q7525" t="str">
            <v>磁性位置传感器</v>
          </cell>
        </row>
        <row r="7526">
          <cell r="O7526" t="str">
            <v>SC2443SO</v>
          </cell>
          <cell r="P7526" t="str">
            <v>STC9906T</v>
          </cell>
          <cell r="Q7526" t="str">
            <v>磁性位置传感器</v>
          </cell>
        </row>
        <row r="7527">
          <cell r="O7527" t="str">
            <v>SC2443SO</v>
          </cell>
          <cell r="P7527" t="str">
            <v>STC9906T</v>
          </cell>
          <cell r="Q7527" t="str">
            <v>磁性位置传感器</v>
          </cell>
        </row>
        <row r="7528">
          <cell r="O7528" t="str">
            <v>SC2443SO</v>
          </cell>
          <cell r="P7528" t="str">
            <v>STC9906T</v>
          </cell>
          <cell r="Q7528" t="str">
            <v>磁性位置传感器</v>
          </cell>
        </row>
        <row r="7529">
          <cell r="O7529" t="str">
            <v>SC2413SO-N</v>
          </cell>
          <cell r="P7529" t="str">
            <v>STC9902D</v>
          </cell>
          <cell r="Q7529" t="str">
            <v>磁性位置传感器</v>
          </cell>
        </row>
        <row r="7530">
          <cell r="O7530" t="str">
            <v>SC2413SO-N</v>
          </cell>
          <cell r="P7530" t="str">
            <v>STC9902D</v>
          </cell>
          <cell r="Q7530" t="str">
            <v>磁性位置传感器</v>
          </cell>
        </row>
        <row r="7531">
          <cell r="O7531" t="str">
            <v>SC2242UA</v>
          </cell>
          <cell r="P7531" t="str">
            <v>STC9906H</v>
          </cell>
          <cell r="Q7531" t="str">
            <v>磁性位置传感器</v>
          </cell>
        </row>
        <row r="7532">
          <cell r="O7532" t="str">
            <v>SC4643VB</v>
          </cell>
          <cell r="P7532" t="str">
            <v>STC9D03E</v>
          </cell>
          <cell r="Q7532" t="str">
            <v>电流传感器</v>
          </cell>
        </row>
        <row r="7533">
          <cell r="O7533" t="str">
            <v>SC4645VB</v>
          </cell>
          <cell r="P7533" t="str">
            <v>STC9D06F</v>
          </cell>
          <cell r="Q7533" t="str">
            <v>电流传感器</v>
          </cell>
        </row>
        <row r="7534">
          <cell r="O7534" t="str">
            <v>SC2402SO-N</v>
          </cell>
          <cell r="P7534" t="str">
            <v>STC9902J</v>
          </cell>
          <cell r="Q7534" t="str">
            <v>磁性位置传感器</v>
          </cell>
        </row>
        <row r="7535">
          <cell r="O7535" t="str">
            <v>SC2402SO-N</v>
          </cell>
          <cell r="P7535" t="str">
            <v>STC9902J</v>
          </cell>
          <cell r="Q7535" t="str">
            <v>磁性位置传感器</v>
          </cell>
        </row>
        <row r="7536">
          <cell r="O7536" t="str">
            <v>SC2033SO-N</v>
          </cell>
          <cell r="P7536" t="str">
            <v>STC9G001D</v>
          </cell>
          <cell r="Q7536" t="str">
            <v>磁性位置传感器</v>
          </cell>
        </row>
        <row r="7537">
          <cell r="O7537" t="str">
            <v>SC2033SO-N</v>
          </cell>
          <cell r="P7537" t="str">
            <v>STC9G001D</v>
          </cell>
          <cell r="Q7537" t="str">
            <v>磁性位置传感器</v>
          </cell>
        </row>
        <row r="7538">
          <cell r="O7538" t="str">
            <v>SC2033SO-N</v>
          </cell>
          <cell r="P7538" t="str">
            <v>STC9G001D</v>
          </cell>
          <cell r="Q7538" t="str">
            <v>磁性位置传感器</v>
          </cell>
        </row>
        <row r="7539">
          <cell r="O7539" t="str">
            <v>SC2434SO-N</v>
          </cell>
          <cell r="P7539" t="str">
            <v>STC9906I</v>
          </cell>
          <cell r="Q7539" t="str">
            <v>磁性位置传感器</v>
          </cell>
        </row>
        <row r="7540">
          <cell r="O7540" t="str">
            <v>SC2442SO-N</v>
          </cell>
          <cell r="P7540" t="str">
            <v>STC9906P</v>
          </cell>
          <cell r="Q7540" t="str">
            <v>磁性位置传感器</v>
          </cell>
        </row>
        <row r="7541">
          <cell r="O7541" t="str">
            <v>SC9633VB</v>
          </cell>
          <cell r="P7541" t="str">
            <v>STC9905F</v>
          </cell>
          <cell r="Q7541" t="str">
            <v>速度传感器</v>
          </cell>
        </row>
        <row r="7542">
          <cell r="O7542" t="str">
            <v>SC2402SO-N-H</v>
          </cell>
          <cell r="P7542" t="str">
            <v>STC9H001A</v>
          </cell>
          <cell r="Q7542" t="str">
            <v>磁性位置传感器</v>
          </cell>
        </row>
        <row r="7543">
          <cell r="O7543" t="str">
            <v>SC2402SO-N-H</v>
          </cell>
          <cell r="P7543" t="str">
            <v>STC9H001A</v>
          </cell>
          <cell r="Q7543" t="str">
            <v>磁性位置传感器</v>
          </cell>
        </row>
        <row r="7544">
          <cell r="O7544" t="str">
            <v>SC2402SO-N-H</v>
          </cell>
          <cell r="P7544" t="str">
            <v>STC9H001A</v>
          </cell>
          <cell r="Q7544" t="str">
            <v>磁性位置传感器</v>
          </cell>
        </row>
        <row r="7545">
          <cell r="O7545" t="str">
            <v>SC2402SO-N-H</v>
          </cell>
          <cell r="P7545" t="str">
            <v>STC9H001A</v>
          </cell>
          <cell r="Q7545" t="str">
            <v>磁性位置传感器</v>
          </cell>
        </row>
        <row r="7546">
          <cell r="O7546" t="str">
            <v>SC2402SO-N-H</v>
          </cell>
          <cell r="P7546" t="str">
            <v>STC9H001A</v>
          </cell>
          <cell r="Q7546" t="str">
            <v>磁性位置传感器</v>
          </cell>
        </row>
        <row r="7547">
          <cell r="O7547" t="str">
            <v>G01</v>
          </cell>
          <cell r="P7547" t="str">
            <v>STC4011B</v>
          </cell>
          <cell r="Q7547" t="str">
            <v>磁性位置传感器</v>
          </cell>
        </row>
        <row r="7548">
          <cell r="O7548" t="str">
            <v>G01</v>
          </cell>
          <cell r="P7548" t="str">
            <v>STC4011B</v>
          </cell>
          <cell r="Q7548" t="str">
            <v>磁性位置传感器</v>
          </cell>
        </row>
        <row r="7549">
          <cell r="O7549" t="str">
            <v>G01</v>
          </cell>
          <cell r="P7549" t="str">
            <v>STC4011B</v>
          </cell>
          <cell r="Q7549" t="str">
            <v>磁性位置传感器</v>
          </cell>
        </row>
        <row r="7550">
          <cell r="O7550" t="str">
            <v>G01</v>
          </cell>
          <cell r="P7550" t="str">
            <v>STC4011B</v>
          </cell>
          <cell r="Q7550" t="str">
            <v>磁性位置传感器</v>
          </cell>
        </row>
        <row r="7551">
          <cell r="O7551" t="str">
            <v>G01</v>
          </cell>
          <cell r="P7551" t="str">
            <v>STC4011B</v>
          </cell>
          <cell r="Q7551" t="str">
            <v>磁性位置传感器</v>
          </cell>
        </row>
        <row r="7552">
          <cell r="O7552" t="str">
            <v>G01</v>
          </cell>
          <cell r="P7552" t="str">
            <v>STC4011B</v>
          </cell>
          <cell r="Q7552" t="str">
            <v>磁性位置传感器</v>
          </cell>
        </row>
        <row r="7553">
          <cell r="O7553" t="str">
            <v>G01</v>
          </cell>
          <cell r="P7553" t="str">
            <v>STC4011B</v>
          </cell>
          <cell r="Q7553" t="str">
            <v>磁性位置传感器</v>
          </cell>
        </row>
        <row r="7554">
          <cell r="O7554" t="str">
            <v>G01</v>
          </cell>
          <cell r="P7554" t="str">
            <v>STC4011B</v>
          </cell>
          <cell r="Q7554" t="str">
            <v>磁性位置传感器</v>
          </cell>
        </row>
        <row r="7555">
          <cell r="O7555" t="str">
            <v>G01</v>
          </cell>
          <cell r="P7555" t="str">
            <v>STC4011B</v>
          </cell>
          <cell r="Q7555" t="str">
            <v>磁性位置传感器</v>
          </cell>
        </row>
        <row r="7556">
          <cell r="O7556" t="str">
            <v>G01</v>
          </cell>
          <cell r="P7556" t="str">
            <v>STC4011B</v>
          </cell>
          <cell r="Q7556" t="str">
            <v>磁性位置传感器</v>
          </cell>
        </row>
        <row r="7557">
          <cell r="O7557" t="str">
            <v>G01</v>
          </cell>
          <cell r="P7557" t="str">
            <v>STC4011B</v>
          </cell>
          <cell r="Q7557" t="str">
            <v>磁性位置传感器</v>
          </cell>
        </row>
        <row r="7558">
          <cell r="O7558" t="str">
            <v>G01</v>
          </cell>
          <cell r="P7558" t="str">
            <v>STC4011B</v>
          </cell>
          <cell r="Q7558" t="str">
            <v>磁性位置传感器</v>
          </cell>
        </row>
        <row r="7559">
          <cell r="O7559" t="str">
            <v>G01</v>
          </cell>
          <cell r="P7559" t="str">
            <v>STC4011B</v>
          </cell>
          <cell r="Q7559" t="str">
            <v>磁性位置传感器</v>
          </cell>
        </row>
        <row r="7560">
          <cell r="O7560" t="str">
            <v>G01</v>
          </cell>
          <cell r="P7560" t="str">
            <v>STC4011B</v>
          </cell>
          <cell r="Q7560" t="str">
            <v>磁性位置传感器</v>
          </cell>
        </row>
        <row r="7561">
          <cell r="O7561" t="str">
            <v>G01</v>
          </cell>
          <cell r="P7561" t="str">
            <v>STC4011B</v>
          </cell>
          <cell r="Q7561" t="str">
            <v>磁性位置传感器</v>
          </cell>
        </row>
        <row r="7562">
          <cell r="O7562" t="str">
            <v>G01</v>
          </cell>
          <cell r="P7562" t="str">
            <v>STC4011B</v>
          </cell>
          <cell r="Q7562" t="str">
            <v>磁性位置传感器</v>
          </cell>
        </row>
        <row r="7563">
          <cell r="O7563" t="str">
            <v>G01</v>
          </cell>
          <cell r="P7563" t="str">
            <v>STC4011B</v>
          </cell>
          <cell r="Q7563" t="str">
            <v>磁性位置传感器</v>
          </cell>
        </row>
        <row r="7564">
          <cell r="O7564" t="str">
            <v>SC2442SO-N</v>
          </cell>
          <cell r="P7564" t="str">
            <v>STC9906P</v>
          </cell>
          <cell r="Q7564" t="str">
            <v>磁性位置传感器</v>
          </cell>
        </row>
        <row r="7565">
          <cell r="O7565" t="str">
            <v>SC2402SO-N</v>
          </cell>
          <cell r="P7565" t="str">
            <v>STC9902J</v>
          </cell>
          <cell r="Q7565" t="str">
            <v>磁性位置传感器</v>
          </cell>
        </row>
        <row r="7566">
          <cell r="O7566" t="str">
            <v>SC2402SO-N</v>
          </cell>
          <cell r="P7566" t="str">
            <v>STC9902J</v>
          </cell>
          <cell r="Q7566" t="str">
            <v>磁性位置传感器</v>
          </cell>
        </row>
        <row r="7567">
          <cell r="O7567" t="str">
            <v>SC9648TS-P</v>
          </cell>
          <cell r="P7567" t="str">
            <v>STC9A001I</v>
          </cell>
          <cell r="Q7567" t="str">
            <v>速度传感器</v>
          </cell>
        </row>
        <row r="7568">
          <cell r="O7568" t="str">
            <v>SC9648TS-P</v>
          </cell>
          <cell r="P7568" t="str">
            <v>STC9A001I</v>
          </cell>
          <cell r="Q7568" t="str">
            <v>速度传感器</v>
          </cell>
        </row>
        <row r="7569">
          <cell r="O7569" t="str">
            <v>SC2442SO</v>
          </cell>
          <cell r="P7569" t="str">
            <v>STC9906R</v>
          </cell>
          <cell r="Q7569" t="str">
            <v>磁性位置传感器</v>
          </cell>
        </row>
        <row r="7570">
          <cell r="O7570" t="str">
            <v>SC2402UA-G</v>
          </cell>
          <cell r="P7570" t="str">
            <v>STC9G002B</v>
          </cell>
          <cell r="Q7570" t="str">
            <v>磁性位置传感器</v>
          </cell>
        </row>
        <row r="7571">
          <cell r="O7571" t="str">
            <v>SC2448UA-N</v>
          </cell>
          <cell r="P7571" t="str">
            <v>STC9906S</v>
          </cell>
          <cell r="Q7571" t="str">
            <v>磁性位置传感器</v>
          </cell>
        </row>
        <row r="7572">
          <cell r="O7572" t="str">
            <v>SC2448UA-N</v>
          </cell>
          <cell r="P7572" t="str">
            <v>STC9906S</v>
          </cell>
          <cell r="Q7572" t="str">
            <v>磁性位置传感器</v>
          </cell>
        </row>
        <row r="7573">
          <cell r="O7573" t="str">
            <v>SC2448UA-N</v>
          </cell>
          <cell r="P7573" t="str">
            <v>STC9906S</v>
          </cell>
          <cell r="Q7573" t="str">
            <v>磁性位置传感器</v>
          </cell>
        </row>
        <row r="7574">
          <cell r="O7574" t="str">
            <v>SC2448UA-N</v>
          </cell>
          <cell r="P7574" t="str">
            <v>STC9906S</v>
          </cell>
          <cell r="Q7574" t="str">
            <v>磁性位置传感器</v>
          </cell>
        </row>
        <row r="7575">
          <cell r="O7575" t="str">
            <v>SC2448UA-N</v>
          </cell>
          <cell r="P7575" t="str">
            <v>STC9906S</v>
          </cell>
          <cell r="Q7575" t="str">
            <v>磁性位置传感器</v>
          </cell>
        </row>
        <row r="7576">
          <cell r="O7576" t="str">
            <v>SC2443UA</v>
          </cell>
          <cell r="P7576" t="str">
            <v>STC9906G</v>
          </cell>
          <cell r="Q7576" t="str">
            <v>磁性位置传感器</v>
          </cell>
        </row>
        <row r="7577">
          <cell r="O7577" t="str">
            <v>SC2448SO</v>
          </cell>
          <cell r="P7577" t="str">
            <v>STC9906S</v>
          </cell>
          <cell r="Q7577" t="str">
            <v>磁性位置传感器</v>
          </cell>
        </row>
        <row r="7578">
          <cell r="O7578" t="str">
            <v>SC9648TS-P</v>
          </cell>
          <cell r="P7578" t="str">
            <v>STC9A001I</v>
          </cell>
          <cell r="Q7578" t="str">
            <v>速度传感器</v>
          </cell>
        </row>
        <row r="7579">
          <cell r="O7579" t="str">
            <v>SC9648TS-P</v>
          </cell>
          <cell r="P7579" t="str">
            <v>STC9A001I</v>
          </cell>
          <cell r="Q7579" t="str">
            <v>速度传感器</v>
          </cell>
        </row>
        <row r="7580">
          <cell r="O7580" t="str">
            <v>SC4645VB</v>
          </cell>
          <cell r="P7580" t="str">
            <v>STC9D06F</v>
          </cell>
          <cell r="Q7580" t="str">
            <v>电流传感器</v>
          </cell>
        </row>
        <row r="7581">
          <cell r="O7581" t="str">
            <v>SC4002UA</v>
          </cell>
          <cell r="P7581" t="str">
            <v>STC4000AA</v>
          </cell>
          <cell r="Q7581" t="str">
            <v>磁性位置传感器</v>
          </cell>
        </row>
        <row r="7582">
          <cell r="O7582" t="str">
            <v>SC2413SO-N</v>
          </cell>
          <cell r="P7582" t="str">
            <v>STC9902D</v>
          </cell>
          <cell r="Q7582" t="str">
            <v>磁性位置传感器</v>
          </cell>
        </row>
        <row r="7583">
          <cell r="O7583" t="str">
            <v>SC2413SO-N</v>
          </cell>
          <cell r="P7583" t="str">
            <v>STC9902D</v>
          </cell>
          <cell r="Q7583" t="str">
            <v>磁性位置传感器</v>
          </cell>
        </row>
        <row r="7584">
          <cell r="O7584" t="str">
            <v>SC9648TS-P</v>
          </cell>
          <cell r="P7584" t="str">
            <v>STC9A001I</v>
          </cell>
          <cell r="Q7584" t="str">
            <v>速度传感器</v>
          </cell>
        </row>
        <row r="7585">
          <cell r="O7585" t="str">
            <v>SC9648TS-P</v>
          </cell>
          <cell r="P7585" t="str">
            <v>STC9A001I</v>
          </cell>
          <cell r="Q7585" t="str">
            <v>速度传感器</v>
          </cell>
        </row>
        <row r="7586">
          <cell r="O7586" t="str">
            <v>SC69401D</v>
          </cell>
          <cell r="P7586" t="str">
            <v>STC9H002D</v>
          </cell>
          <cell r="Q7586" t="str">
            <v>角度传感器</v>
          </cell>
        </row>
        <row r="7587">
          <cell r="O7587" t="str">
            <v>SC2432SO-N</v>
          </cell>
          <cell r="P7587" t="str">
            <v>STC9906I</v>
          </cell>
          <cell r="Q7587" t="str">
            <v>磁性位置传感器</v>
          </cell>
        </row>
        <row r="7588">
          <cell r="O7588" t="str">
            <v>SC2434SO-N</v>
          </cell>
          <cell r="P7588" t="str">
            <v>STC9906I</v>
          </cell>
          <cell r="Q7588" t="str">
            <v>磁性位置传感器</v>
          </cell>
        </row>
        <row r="7589">
          <cell r="O7589" t="str">
            <v>SC1134BU</v>
          </cell>
          <cell r="P7589" t="str">
            <v>STC1898AI</v>
          </cell>
          <cell r="Q7589" t="str">
            <v>磁性位置传感器</v>
          </cell>
        </row>
        <row r="7590">
          <cell r="O7590" t="str">
            <v>SC2464SO</v>
          </cell>
          <cell r="P7590" t="str">
            <v>STC9906J</v>
          </cell>
          <cell r="Q7590" t="str">
            <v>磁性位置传感器</v>
          </cell>
        </row>
        <row r="7591">
          <cell r="O7591" t="str">
            <v>ATK-E512</v>
          </cell>
          <cell r="P7591" t="str">
            <v>STC4011B</v>
          </cell>
          <cell r="Q7591" t="str">
            <v>磁性位置传感器</v>
          </cell>
        </row>
        <row r="7592">
          <cell r="O7592" t="str">
            <v>ATK-E512</v>
          </cell>
          <cell r="P7592" t="str">
            <v>STC4011B</v>
          </cell>
          <cell r="Q7592" t="str">
            <v>磁性位置传感器</v>
          </cell>
        </row>
        <row r="7593">
          <cell r="O7593" t="str">
            <v>SC1134SO-N</v>
          </cell>
          <cell r="P7593" t="str">
            <v>STC1898AI</v>
          </cell>
          <cell r="Q7593" t="str">
            <v>磁性位置传感器</v>
          </cell>
        </row>
        <row r="7594">
          <cell r="O7594" t="str">
            <v>SC2434SO-N</v>
          </cell>
          <cell r="P7594" t="str">
            <v>STC9906I</v>
          </cell>
          <cell r="Q7594" t="str">
            <v>磁性位置传感器</v>
          </cell>
        </row>
        <row r="7595">
          <cell r="O7595" t="str">
            <v>SC2442UA</v>
          </cell>
          <cell r="P7595" t="str">
            <v>STC9906P</v>
          </cell>
          <cell r="Q7595" t="str">
            <v>磁性位置传感器</v>
          </cell>
        </row>
        <row r="7596">
          <cell r="O7596" t="str">
            <v>SC2442UA</v>
          </cell>
          <cell r="P7596" t="str">
            <v>STC9906P</v>
          </cell>
          <cell r="Q7596" t="str">
            <v>磁性位置传感器</v>
          </cell>
        </row>
        <row r="7597">
          <cell r="O7597" t="str">
            <v>SC2442UA</v>
          </cell>
          <cell r="P7597" t="str">
            <v>STC9906P</v>
          </cell>
          <cell r="Q7597" t="str">
            <v>磁性位置传感器</v>
          </cell>
        </row>
        <row r="7598">
          <cell r="O7598" t="str">
            <v>SC2442UA</v>
          </cell>
          <cell r="P7598" t="str">
            <v>STC9906P</v>
          </cell>
          <cell r="Q7598" t="str">
            <v>磁性位置传感器</v>
          </cell>
        </row>
        <row r="7599">
          <cell r="O7599" t="str">
            <v>SC2442UA</v>
          </cell>
          <cell r="P7599" t="str">
            <v>STC9906P</v>
          </cell>
          <cell r="Q7599" t="str">
            <v>磁性位置传感器</v>
          </cell>
        </row>
        <row r="7600">
          <cell r="O7600" t="str">
            <v>SC9648TS-P</v>
          </cell>
          <cell r="P7600" t="str">
            <v>STC9A001I</v>
          </cell>
          <cell r="Q7600" t="str">
            <v>速度传感器</v>
          </cell>
        </row>
        <row r="7601">
          <cell r="O7601" t="str">
            <v>SC9314UA</v>
          </cell>
          <cell r="P7601" t="str">
            <v>STC9901AF</v>
          </cell>
          <cell r="Q7601" t="str">
            <v>速度传感器</v>
          </cell>
        </row>
        <row r="7602">
          <cell r="O7602" t="str">
            <v>SC9314UA</v>
          </cell>
          <cell r="P7602" t="str">
            <v>STC9901AF</v>
          </cell>
          <cell r="Q7602" t="str">
            <v>速度传感器</v>
          </cell>
        </row>
        <row r="7603">
          <cell r="O7603" t="str">
            <v>SC9648TS-P</v>
          </cell>
          <cell r="P7603" t="str">
            <v>STC9A001I</v>
          </cell>
          <cell r="Q7603" t="str">
            <v>速度传感器</v>
          </cell>
        </row>
        <row r="7604">
          <cell r="O7604" t="str">
            <v>SC2442UA</v>
          </cell>
          <cell r="P7604" t="str">
            <v>STC9906P</v>
          </cell>
          <cell r="Q7604" t="str">
            <v>磁性位置传感器</v>
          </cell>
        </row>
        <row r="7605">
          <cell r="O7605" t="str">
            <v>SC2442UA</v>
          </cell>
          <cell r="P7605" t="str">
            <v>STC9906P</v>
          </cell>
          <cell r="Q7605" t="str">
            <v>磁性位置传感器</v>
          </cell>
        </row>
        <row r="7606">
          <cell r="O7606" t="str">
            <v>SC4002BU</v>
          </cell>
          <cell r="P7606" t="str">
            <v>STC4000AA</v>
          </cell>
          <cell r="Q7606" t="str">
            <v>磁性位置传感器</v>
          </cell>
        </row>
        <row r="7607">
          <cell r="O7607" t="str">
            <v>SC4002BU</v>
          </cell>
          <cell r="P7607" t="str">
            <v>STC4000AA</v>
          </cell>
          <cell r="Q7607" t="str">
            <v>磁性位置传感器</v>
          </cell>
        </row>
        <row r="7608">
          <cell r="O7608" t="str">
            <v>SC4002BU</v>
          </cell>
          <cell r="P7608" t="str">
            <v>STC4000AA</v>
          </cell>
          <cell r="Q7608" t="str">
            <v>磁性位置传感器</v>
          </cell>
        </row>
        <row r="7609">
          <cell r="O7609" t="str">
            <v>SC4688DC</v>
          </cell>
          <cell r="P7609" t="str">
            <v>STC9D01C</v>
          </cell>
          <cell r="Q7609" t="str">
            <v>角度传感器</v>
          </cell>
        </row>
        <row r="7610">
          <cell r="O7610" t="str">
            <v>SC1134UA</v>
          </cell>
          <cell r="P7610" t="str">
            <v>STC1898AI</v>
          </cell>
          <cell r="Q7610" t="str">
            <v>磁性位置传感器</v>
          </cell>
        </row>
        <row r="7611">
          <cell r="O7611" t="str">
            <v>SC60228DC</v>
          </cell>
          <cell r="P7611" t="str">
            <v>STC9D04C</v>
          </cell>
          <cell r="Q7611" t="str">
            <v>电机编码器</v>
          </cell>
        </row>
        <row r="7612">
          <cell r="O7612" t="str">
            <v>SC2434SO-N</v>
          </cell>
          <cell r="P7612" t="str">
            <v>STC9906I</v>
          </cell>
          <cell r="Q7612" t="str">
            <v>磁性位置传感器</v>
          </cell>
        </row>
        <row r="7613">
          <cell r="O7613" t="str">
            <v>SC4643VB</v>
          </cell>
          <cell r="P7613" t="str">
            <v>STC9D03E</v>
          </cell>
          <cell r="Q7613" t="str">
            <v>电流传感器</v>
          </cell>
        </row>
        <row r="7614">
          <cell r="O7614" t="str">
            <v>SC2442SO</v>
          </cell>
          <cell r="P7614" t="str">
            <v>STC9906R</v>
          </cell>
          <cell r="Q7614" t="str">
            <v>磁性位置传感器</v>
          </cell>
        </row>
        <row r="7615">
          <cell r="O7615" t="str">
            <v>SC2442SO</v>
          </cell>
          <cell r="P7615" t="str">
            <v>STC9906R</v>
          </cell>
          <cell r="Q7615" t="str">
            <v>磁性位置传感器</v>
          </cell>
        </row>
        <row r="7616">
          <cell r="O7616" t="str">
            <v>SC9642TS-E</v>
          </cell>
          <cell r="P7616" t="str">
            <v>STC9A001H</v>
          </cell>
          <cell r="Q7616" t="str">
            <v>速度传感器</v>
          </cell>
        </row>
        <row r="7617">
          <cell r="O7617" t="str">
            <v>SC9648TS-P</v>
          </cell>
          <cell r="P7617" t="str">
            <v>STC9A001I</v>
          </cell>
          <cell r="Q7617" t="str">
            <v>速度传感器</v>
          </cell>
        </row>
        <row r="7618">
          <cell r="O7618" t="str">
            <v>SC60224-U-P4-1024</v>
          </cell>
          <cell r="P7618" t="str">
            <v>STC9D04C</v>
          </cell>
          <cell r="Q7618" t="str">
            <v>电机编码器</v>
          </cell>
        </row>
        <row r="7619">
          <cell r="O7619" t="str">
            <v>SC60224-U-P1-1024</v>
          </cell>
          <cell r="P7619" t="str">
            <v>STC9D04C</v>
          </cell>
          <cell r="Q7619" t="str">
            <v>电机编码器</v>
          </cell>
        </row>
        <row r="7620">
          <cell r="O7620" t="str">
            <v>SC1445A1</v>
          </cell>
          <cell r="P7620" t="str">
            <v>STC2899AB</v>
          </cell>
          <cell r="Q7620" t="str">
            <v>磁性位置传感器</v>
          </cell>
        </row>
        <row r="7621">
          <cell r="O7621" t="str">
            <v>SC1134SO-N</v>
          </cell>
          <cell r="P7621" t="str">
            <v>STC1898AI</v>
          </cell>
          <cell r="Q7621" t="str">
            <v>磁性位置传感器</v>
          </cell>
        </row>
        <row r="7622">
          <cell r="O7622" t="str">
            <v>SC25891SO</v>
          </cell>
          <cell r="P7622" t="str">
            <v>STC11210D</v>
          </cell>
          <cell r="Q7622" t="str">
            <v>磁性位置传感器</v>
          </cell>
        </row>
        <row r="7623">
          <cell r="O7623" t="str">
            <v>SC2462SO</v>
          </cell>
          <cell r="P7623" t="str">
            <v>STC9906J</v>
          </cell>
          <cell r="Q7623" t="str">
            <v>磁性位置传感器</v>
          </cell>
        </row>
        <row r="7624">
          <cell r="O7624" t="str">
            <v>SC2063UA</v>
          </cell>
          <cell r="P7624" t="str">
            <v>STC9G001C</v>
          </cell>
          <cell r="Q7624" t="str">
            <v>磁性位置传感器</v>
          </cell>
        </row>
        <row r="7625">
          <cell r="O7625" t="str">
            <v>SC2063SO</v>
          </cell>
          <cell r="P7625" t="str">
            <v>STC9G001C</v>
          </cell>
          <cell r="Q7625" t="str">
            <v>磁性位置传感器</v>
          </cell>
        </row>
        <row r="7626">
          <cell r="O7626" t="str">
            <v>ATK-E512</v>
          </cell>
          <cell r="P7626" t="str">
            <v>STC4011B</v>
          </cell>
          <cell r="Q7626" t="str">
            <v>磁性位置传感器</v>
          </cell>
        </row>
        <row r="7627">
          <cell r="O7627" t="str">
            <v>ATK-E512</v>
          </cell>
          <cell r="P7627" t="str">
            <v>STC4011B</v>
          </cell>
          <cell r="Q7627" t="str">
            <v>磁性位置传感器</v>
          </cell>
        </row>
        <row r="7628">
          <cell r="O7628" t="str">
            <v>ATK-E512</v>
          </cell>
          <cell r="P7628" t="str">
            <v>STC4011B</v>
          </cell>
          <cell r="Q7628" t="str">
            <v>磁性位置传感器</v>
          </cell>
        </row>
        <row r="7629">
          <cell r="O7629" t="str">
            <v>ATK-E512</v>
          </cell>
          <cell r="P7629" t="str">
            <v>STC4011B</v>
          </cell>
          <cell r="Q7629" t="str">
            <v>磁性位置传感器</v>
          </cell>
        </row>
        <row r="7630">
          <cell r="O7630" t="str">
            <v>SC2462SO</v>
          </cell>
          <cell r="P7630" t="str">
            <v>STC9906J</v>
          </cell>
          <cell r="Q7630" t="str">
            <v>磁性位置传感器</v>
          </cell>
        </row>
        <row r="7631">
          <cell r="O7631" t="str">
            <v>SC2462SO</v>
          </cell>
          <cell r="P7631" t="str">
            <v>STC9906J</v>
          </cell>
          <cell r="Q7631" t="str">
            <v>磁性位置传感器</v>
          </cell>
        </row>
        <row r="7632">
          <cell r="O7632" t="str">
            <v>SC2464SO</v>
          </cell>
          <cell r="P7632" t="str">
            <v>STC9906J</v>
          </cell>
          <cell r="Q7632" t="str">
            <v>磁性位置传感器</v>
          </cell>
        </row>
        <row r="7633">
          <cell r="O7633" t="str">
            <v>SC2464SO</v>
          </cell>
          <cell r="P7633" t="str">
            <v>STC9906J</v>
          </cell>
          <cell r="Q7633" t="str">
            <v>磁性位置传感器</v>
          </cell>
        </row>
        <row r="7634">
          <cell r="O7634" t="str">
            <v>KH211</v>
          </cell>
          <cell r="P7634" t="str">
            <v>FD1016A</v>
          </cell>
          <cell r="Q7634" t="str">
            <v>电机驱动</v>
          </cell>
        </row>
        <row r="7635">
          <cell r="O7635" t="str">
            <v>KH211</v>
          </cell>
          <cell r="P7635" t="str">
            <v>FD1016A</v>
          </cell>
          <cell r="Q7635" t="str">
            <v>电机驱动</v>
          </cell>
        </row>
        <row r="7636">
          <cell r="O7636" t="str">
            <v>KH211</v>
          </cell>
          <cell r="P7636" t="str">
            <v>FD1016A</v>
          </cell>
          <cell r="Q7636" t="str">
            <v>电机驱动</v>
          </cell>
        </row>
        <row r="7637">
          <cell r="O7637" t="str">
            <v>KH211</v>
          </cell>
          <cell r="P7637" t="str">
            <v>FD1016A</v>
          </cell>
          <cell r="Q7637" t="str">
            <v>电机驱动</v>
          </cell>
        </row>
        <row r="7638">
          <cell r="O7638" t="str">
            <v>SC9642TS-E</v>
          </cell>
          <cell r="P7638" t="str">
            <v>STC9A001H</v>
          </cell>
          <cell r="Q7638" t="str">
            <v>速度传感器</v>
          </cell>
        </row>
        <row r="7639">
          <cell r="O7639" t="str">
            <v>SC2462SO</v>
          </cell>
          <cell r="P7639" t="str">
            <v>STC9906J</v>
          </cell>
          <cell r="Q7639" t="str">
            <v>磁性位置传感器</v>
          </cell>
        </row>
        <row r="7640">
          <cell r="O7640" t="str">
            <v>SC2402SO-N-H</v>
          </cell>
          <cell r="P7640" t="str">
            <v>STC9H001A</v>
          </cell>
          <cell r="Q7640" t="str">
            <v>磁性位置传感器</v>
          </cell>
        </row>
        <row r="7641">
          <cell r="O7641" t="str">
            <v>SC2402SO-N-H</v>
          </cell>
          <cell r="P7641" t="str">
            <v>STC9H001A</v>
          </cell>
          <cell r="Q7641" t="str">
            <v>磁性位置传感器</v>
          </cell>
        </row>
        <row r="7642">
          <cell r="O7642" t="str">
            <v>SC2462SO</v>
          </cell>
          <cell r="P7642" t="str">
            <v>STC9906J</v>
          </cell>
          <cell r="Q7642" t="str">
            <v>磁性位置传感器</v>
          </cell>
        </row>
        <row r="7643">
          <cell r="O7643" t="str">
            <v>SC2462SO</v>
          </cell>
          <cell r="P7643" t="str">
            <v>STC9906J</v>
          </cell>
          <cell r="Q7643" t="str">
            <v>磁性位置传感器</v>
          </cell>
        </row>
        <row r="7644">
          <cell r="O7644" t="str">
            <v>G01</v>
          </cell>
          <cell r="P7644" t="str">
            <v>STC4011B</v>
          </cell>
          <cell r="Q7644" t="str">
            <v>磁性位置传感器</v>
          </cell>
        </row>
        <row r="7645">
          <cell r="O7645" t="str">
            <v>G01</v>
          </cell>
          <cell r="P7645" t="str">
            <v>STC4011B</v>
          </cell>
          <cell r="Q7645" t="str">
            <v>磁性位置传感器</v>
          </cell>
        </row>
        <row r="7646">
          <cell r="O7646" t="str">
            <v>G01</v>
          </cell>
          <cell r="P7646" t="str">
            <v>STC4011B</v>
          </cell>
          <cell r="Q7646" t="str">
            <v>磁性位置传感器</v>
          </cell>
        </row>
        <row r="7647">
          <cell r="O7647" t="str">
            <v>G01</v>
          </cell>
          <cell r="P7647" t="str">
            <v>STC4011B</v>
          </cell>
          <cell r="Q7647" t="str">
            <v>磁性位置传感器</v>
          </cell>
        </row>
        <row r="7648">
          <cell r="O7648" t="str">
            <v>G01</v>
          </cell>
          <cell r="P7648" t="str">
            <v>STC4011B</v>
          </cell>
          <cell r="Q7648" t="str">
            <v>磁性位置传感器</v>
          </cell>
        </row>
        <row r="7649">
          <cell r="O7649" t="str">
            <v>G01</v>
          </cell>
          <cell r="P7649" t="str">
            <v>STC4011B</v>
          </cell>
          <cell r="Q7649" t="str">
            <v>磁性位置传感器</v>
          </cell>
        </row>
        <row r="7650">
          <cell r="O7650" t="str">
            <v>G01</v>
          </cell>
          <cell r="P7650" t="str">
            <v>STC4011B</v>
          </cell>
          <cell r="Q7650" t="str">
            <v>磁性位置传感器</v>
          </cell>
        </row>
        <row r="7651">
          <cell r="O7651" t="str">
            <v>G01</v>
          </cell>
          <cell r="P7651" t="str">
            <v>STC4011B</v>
          </cell>
          <cell r="Q7651" t="str">
            <v>磁性位置传感器</v>
          </cell>
        </row>
        <row r="7652">
          <cell r="O7652" t="str">
            <v>G01</v>
          </cell>
          <cell r="P7652" t="str">
            <v>STC4011B</v>
          </cell>
          <cell r="Q7652" t="str">
            <v>磁性位置传感器</v>
          </cell>
        </row>
        <row r="7653">
          <cell r="O7653" t="str">
            <v>G01</v>
          </cell>
          <cell r="P7653" t="str">
            <v>STC4011B</v>
          </cell>
          <cell r="Q7653" t="str">
            <v>磁性位置传感器</v>
          </cell>
        </row>
        <row r="7654">
          <cell r="O7654" t="str">
            <v>2100</v>
          </cell>
          <cell r="P7654" t="str">
            <v>STC9D03E</v>
          </cell>
          <cell r="Q7654" t="str">
            <v>电流传感器</v>
          </cell>
        </row>
        <row r="7655">
          <cell r="O7655" t="str">
            <v>2100</v>
          </cell>
          <cell r="P7655" t="str">
            <v>STC9D03E</v>
          </cell>
          <cell r="Q7655" t="str">
            <v>电流传感器</v>
          </cell>
        </row>
        <row r="7656">
          <cell r="O7656" t="str">
            <v>2100</v>
          </cell>
          <cell r="P7656" t="str">
            <v>STC9D03E</v>
          </cell>
          <cell r="Q7656" t="str">
            <v>电流传感器</v>
          </cell>
        </row>
        <row r="7657">
          <cell r="O7657" t="str">
            <v>2100</v>
          </cell>
          <cell r="P7657" t="str">
            <v>STC9D03E</v>
          </cell>
          <cell r="Q7657" t="str">
            <v>电流传感器</v>
          </cell>
        </row>
        <row r="7658">
          <cell r="O7658" t="str">
            <v>2100</v>
          </cell>
          <cell r="P7658" t="str">
            <v>STC9D03E</v>
          </cell>
          <cell r="Q7658" t="str">
            <v>电流传感器</v>
          </cell>
        </row>
        <row r="7659">
          <cell r="O7659" t="str">
            <v>2100</v>
          </cell>
          <cell r="P7659" t="str">
            <v>STC9D03E</v>
          </cell>
          <cell r="Q7659" t="str">
            <v>电流传感器</v>
          </cell>
        </row>
        <row r="7660">
          <cell r="O7660" t="str">
            <v>2100</v>
          </cell>
          <cell r="P7660" t="str">
            <v>STC9D03E</v>
          </cell>
          <cell r="Q7660" t="str">
            <v>电流传感器</v>
          </cell>
        </row>
        <row r="7661">
          <cell r="O7661" t="str">
            <v>2100</v>
          </cell>
          <cell r="P7661" t="str">
            <v>STC9D03E</v>
          </cell>
          <cell r="Q7661" t="str">
            <v>电流传感器</v>
          </cell>
        </row>
        <row r="7662">
          <cell r="O7662" t="str">
            <v>2100HBL</v>
          </cell>
          <cell r="P7662" t="str">
            <v>STC9D03E</v>
          </cell>
          <cell r="Q7662" t="str">
            <v>电流传感器</v>
          </cell>
        </row>
        <row r="7663">
          <cell r="O7663" t="str">
            <v>2100HBL</v>
          </cell>
          <cell r="P7663" t="str">
            <v>STC9D03E</v>
          </cell>
          <cell r="Q7663" t="str">
            <v>电流传感器</v>
          </cell>
        </row>
        <row r="7664">
          <cell r="O7664" t="str">
            <v>SC2462SO</v>
          </cell>
          <cell r="P7664" t="str">
            <v>STC9906J</v>
          </cell>
          <cell r="Q7664" t="str">
            <v>磁性位置传感器</v>
          </cell>
        </row>
        <row r="7665">
          <cell r="O7665" t="str">
            <v>SC2462SO</v>
          </cell>
          <cell r="P7665" t="str">
            <v>STC9906J</v>
          </cell>
          <cell r="Q7665" t="str">
            <v>磁性位置传感器</v>
          </cell>
        </row>
        <row r="7666">
          <cell r="O7666" t="str">
            <v>SC2436SO</v>
          </cell>
          <cell r="P7666" t="str">
            <v>STC9906I</v>
          </cell>
          <cell r="Q7666" t="str">
            <v>磁性位置传感器</v>
          </cell>
        </row>
        <row r="7667">
          <cell r="O7667" t="str">
            <v>SC4689SA</v>
          </cell>
          <cell r="P7667" t="str">
            <v>STC9D01F</v>
          </cell>
          <cell r="Q7667" t="str">
            <v>角度传感器</v>
          </cell>
        </row>
        <row r="7668">
          <cell r="O7668" t="str">
            <v>SC9314UA</v>
          </cell>
          <cell r="P7668" t="str">
            <v>STC9901AF</v>
          </cell>
          <cell r="Q7668" t="str">
            <v>速度传感器</v>
          </cell>
        </row>
        <row r="7669">
          <cell r="O7669" t="str">
            <v>SC9648TS-P</v>
          </cell>
          <cell r="P7669" t="str">
            <v>STC9A001I</v>
          </cell>
          <cell r="Q7669" t="str">
            <v>速度传感器</v>
          </cell>
        </row>
        <row r="7670">
          <cell r="O7670" t="str">
            <v>SC2202SO-N</v>
          </cell>
          <cell r="P7670" t="str">
            <v>STC9902E</v>
          </cell>
          <cell r="Q7670" t="str">
            <v>磁性位置传感器</v>
          </cell>
        </row>
        <row r="7671">
          <cell r="O7671" t="str">
            <v>SC2202SO-N</v>
          </cell>
          <cell r="P7671" t="str">
            <v>STC9902E</v>
          </cell>
          <cell r="Q7671" t="str">
            <v>磁性位置传感器</v>
          </cell>
        </row>
        <row r="7672">
          <cell r="O7672" t="str">
            <v>SC2443UA</v>
          </cell>
          <cell r="P7672" t="str">
            <v>STC9906G</v>
          </cell>
          <cell r="Q7672" t="str">
            <v>磁性位置传感器</v>
          </cell>
        </row>
        <row r="7673">
          <cell r="O7673" t="str">
            <v>SC4643VB-A</v>
          </cell>
          <cell r="P7673" t="str">
            <v>STC9D03E</v>
          </cell>
          <cell r="Q7673" t="str">
            <v>电流传感器</v>
          </cell>
        </row>
        <row r="7674">
          <cell r="O7674" t="str">
            <v>SC4643VB-A</v>
          </cell>
          <cell r="P7674" t="str">
            <v>STC9D03E</v>
          </cell>
          <cell r="Q7674" t="str">
            <v>电流传感器</v>
          </cell>
        </row>
        <row r="7675">
          <cell r="O7675" t="str">
            <v>SC4643VB-A</v>
          </cell>
          <cell r="P7675" t="str">
            <v>STC9D03E</v>
          </cell>
          <cell r="Q7675" t="str">
            <v>电流传感器</v>
          </cell>
        </row>
        <row r="7676">
          <cell r="O7676" t="str">
            <v>SC4643VB-A</v>
          </cell>
          <cell r="P7676" t="str">
            <v>STC9D03E</v>
          </cell>
          <cell r="Q7676" t="str">
            <v>电流传感器</v>
          </cell>
        </row>
        <row r="7677">
          <cell r="O7677" t="str">
            <v>SC4643VB-A</v>
          </cell>
          <cell r="P7677" t="str">
            <v>STC9D03E</v>
          </cell>
          <cell r="Q7677" t="str">
            <v>电流传感器</v>
          </cell>
        </row>
        <row r="7678">
          <cell r="O7678" t="str">
            <v>SC4643VB-A</v>
          </cell>
          <cell r="P7678" t="str">
            <v>STC9D03E</v>
          </cell>
          <cell r="Q7678" t="str">
            <v>电流传感器</v>
          </cell>
        </row>
        <row r="7679">
          <cell r="O7679" t="str">
            <v>SC4643VB-A</v>
          </cell>
          <cell r="P7679" t="str">
            <v>STC9D03E</v>
          </cell>
          <cell r="Q7679" t="str">
            <v>电流传感器</v>
          </cell>
        </row>
        <row r="7680">
          <cell r="O7680" t="str">
            <v>SC4643VB-A</v>
          </cell>
          <cell r="P7680" t="str">
            <v>STC9D03E</v>
          </cell>
          <cell r="Q7680" t="str">
            <v>电流传感器</v>
          </cell>
        </row>
        <row r="7681">
          <cell r="O7681" t="str">
            <v>SC4643VB-A</v>
          </cell>
          <cell r="P7681" t="str">
            <v>STC9D03E</v>
          </cell>
          <cell r="Q7681" t="str">
            <v>电流传感器</v>
          </cell>
        </row>
        <row r="7682">
          <cell r="O7682" t="str">
            <v>SC4643VB-A</v>
          </cell>
          <cell r="P7682" t="str">
            <v>STC9D03E</v>
          </cell>
          <cell r="Q7682" t="str">
            <v>电流传感器</v>
          </cell>
        </row>
        <row r="7683">
          <cell r="O7683" t="str">
            <v>SC4643VB-A</v>
          </cell>
          <cell r="P7683" t="str">
            <v>STC9D03E</v>
          </cell>
          <cell r="Q7683" t="str">
            <v>电流传感器</v>
          </cell>
        </row>
        <row r="7684">
          <cell r="O7684" t="str">
            <v>SC4643VB-A</v>
          </cell>
          <cell r="P7684" t="str">
            <v>STC9D03E</v>
          </cell>
          <cell r="Q7684" t="str">
            <v>电流传感器</v>
          </cell>
        </row>
        <row r="7685">
          <cell r="O7685" t="str">
            <v>SC4643VB-A</v>
          </cell>
          <cell r="P7685" t="str">
            <v>STC9D03E</v>
          </cell>
          <cell r="Q7685" t="str">
            <v>电流传感器</v>
          </cell>
        </row>
        <row r="7686">
          <cell r="O7686" t="str">
            <v>SC4643VB-A</v>
          </cell>
          <cell r="P7686" t="str">
            <v>STC9D03E</v>
          </cell>
          <cell r="Q7686" t="str">
            <v>电流传感器</v>
          </cell>
        </row>
        <row r="7687">
          <cell r="O7687" t="str">
            <v>SC4643VB-A</v>
          </cell>
          <cell r="P7687" t="str">
            <v>STC9D03E</v>
          </cell>
          <cell r="Q7687" t="str">
            <v>电流传感器</v>
          </cell>
        </row>
        <row r="7688">
          <cell r="O7688" t="str">
            <v>SC4643VB-A</v>
          </cell>
          <cell r="P7688" t="str">
            <v>STC9D03E</v>
          </cell>
          <cell r="Q7688" t="str">
            <v>电流传感器</v>
          </cell>
        </row>
        <row r="7689">
          <cell r="O7689" t="str">
            <v>SC4643VB-A</v>
          </cell>
          <cell r="P7689" t="str">
            <v>STC9D03E</v>
          </cell>
          <cell r="Q7689" t="str">
            <v>电流传感器</v>
          </cell>
        </row>
        <row r="7690">
          <cell r="O7690" t="str">
            <v>SC4643VB-A</v>
          </cell>
          <cell r="P7690" t="str">
            <v>STC9D03E</v>
          </cell>
          <cell r="Q7690" t="str">
            <v>电流传感器</v>
          </cell>
        </row>
        <row r="7691">
          <cell r="O7691" t="str">
            <v>SC4643VB-A</v>
          </cell>
          <cell r="P7691" t="str">
            <v>STC9D03E</v>
          </cell>
          <cell r="Q7691" t="str">
            <v>电流传感器</v>
          </cell>
        </row>
        <row r="7692">
          <cell r="O7692" t="str">
            <v>SC4643VB-A</v>
          </cell>
          <cell r="P7692" t="str">
            <v>STC9D03E</v>
          </cell>
          <cell r="Q7692" t="str">
            <v>电流传感器</v>
          </cell>
        </row>
        <row r="7693">
          <cell r="O7693" t="str">
            <v>SC4643VB-A</v>
          </cell>
          <cell r="P7693" t="str">
            <v>STC9D03E</v>
          </cell>
          <cell r="Q7693" t="str">
            <v>电流传感器</v>
          </cell>
        </row>
        <row r="7694">
          <cell r="O7694" t="str">
            <v>SC4643VB-A</v>
          </cell>
          <cell r="P7694" t="str">
            <v>STC9D03E</v>
          </cell>
          <cell r="Q7694" t="str">
            <v>电流传感器</v>
          </cell>
        </row>
        <row r="7695">
          <cell r="O7695" t="str">
            <v>SC4643VB-A</v>
          </cell>
          <cell r="P7695" t="str">
            <v>STC9D03E</v>
          </cell>
          <cell r="Q7695" t="str">
            <v>电流传感器</v>
          </cell>
        </row>
        <row r="7696">
          <cell r="O7696" t="str">
            <v>SC4643VB-A</v>
          </cell>
          <cell r="P7696" t="str">
            <v>STC9D03E</v>
          </cell>
          <cell r="Q7696" t="str">
            <v>电流传感器</v>
          </cell>
        </row>
        <row r="7697">
          <cell r="O7697" t="str">
            <v>SC4643VB-A</v>
          </cell>
          <cell r="P7697" t="str">
            <v>STC9D03E</v>
          </cell>
          <cell r="Q7697" t="str">
            <v>电流传感器</v>
          </cell>
        </row>
        <row r="7698">
          <cell r="O7698" t="str">
            <v>SC4643VB-A</v>
          </cell>
          <cell r="P7698" t="str">
            <v>STC9D03E</v>
          </cell>
          <cell r="Q7698" t="str">
            <v>电流传感器</v>
          </cell>
        </row>
        <row r="7699">
          <cell r="O7699" t="str">
            <v>SC4643VB-A</v>
          </cell>
          <cell r="P7699" t="str">
            <v>STC9D03E</v>
          </cell>
          <cell r="Q7699" t="str">
            <v>电流传感器</v>
          </cell>
        </row>
        <row r="7700">
          <cell r="O7700" t="str">
            <v>SC4643VB-A</v>
          </cell>
          <cell r="P7700" t="str">
            <v>STC9D03E</v>
          </cell>
          <cell r="Q7700" t="str">
            <v>电流传感器</v>
          </cell>
        </row>
        <row r="7701">
          <cell r="O7701" t="str">
            <v>SC4643VB-A</v>
          </cell>
          <cell r="P7701" t="str">
            <v>STC9D03E</v>
          </cell>
          <cell r="Q7701" t="str">
            <v>电流传感器</v>
          </cell>
        </row>
        <row r="7702">
          <cell r="O7702" t="str">
            <v>SC4643VB-A</v>
          </cell>
          <cell r="P7702" t="str">
            <v>STC9D03E</v>
          </cell>
          <cell r="Q7702" t="str">
            <v>电流传感器</v>
          </cell>
        </row>
        <row r="7703">
          <cell r="O7703" t="str">
            <v>SC4643VB-A</v>
          </cell>
          <cell r="P7703" t="str">
            <v>STC9D03E</v>
          </cell>
          <cell r="Q7703" t="str">
            <v>电流传感器</v>
          </cell>
        </row>
        <row r="7704">
          <cell r="O7704" t="str">
            <v>SC9641TS</v>
          </cell>
          <cell r="P7704" t="str">
            <v>STC9910BN</v>
          </cell>
          <cell r="Q7704" t="str">
            <v>速度传感器</v>
          </cell>
        </row>
        <row r="7705">
          <cell r="O7705" t="str">
            <v>SC9641TS</v>
          </cell>
          <cell r="P7705" t="str">
            <v>STC9910BN</v>
          </cell>
          <cell r="Q7705" t="str">
            <v>速度传感器</v>
          </cell>
        </row>
        <row r="7706">
          <cell r="O7706" t="str">
            <v>SC1445A1</v>
          </cell>
          <cell r="P7706" t="str">
            <v>STC2899AB</v>
          </cell>
          <cell r="Q7706" t="str">
            <v>磁性位置传感器</v>
          </cell>
        </row>
        <row r="7707">
          <cell r="O7707" t="str">
            <v>STC4001AB</v>
          </cell>
          <cell r="P7707" t="str">
            <v>STC4001AB</v>
          </cell>
          <cell r="Q7707" t="str">
            <v>磁性位置传感器</v>
          </cell>
        </row>
        <row r="7708">
          <cell r="O7708" t="str">
            <v>SC9648TS-P</v>
          </cell>
          <cell r="P7708" t="str">
            <v>STC9A001I</v>
          </cell>
          <cell r="Q7708" t="str">
            <v>速度传感器</v>
          </cell>
        </row>
        <row r="7709">
          <cell r="O7709" t="str">
            <v>SC4688SA-A</v>
          </cell>
          <cell r="P7709" t="str">
            <v>STC9D01C</v>
          </cell>
          <cell r="Q7709" t="str">
            <v>角度传感器</v>
          </cell>
        </row>
        <row r="7710">
          <cell r="O7710" t="str">
            <v>SC4688SA-A</v>
          </cell>
          <cell r="P7710" t="str">
            <v>STC9D01C</v>
          </cell>
          <cell r="Q7710" t="str">
            <v>角度传感器</v>
          </cell>
        </row>
        <row r="7711">
          <cell r="O7711" t="str">
            <v>SC9641TS</v>
          </cell>
          <cell r="P7711" t="str">
            <v>STC9910BN</v>
          </cell>
          <cell r="Q7711" t="str">
            <v>速度传感器</v>
          </cell>
        </row>
        <row r="7712">
          <cell r="O7712" t="str">
            <v>SC9641TS-PC</v>
          </cell>
          <cell r="P7712" t="str">
            <v>STC9A001I</v>
          </cell>
          <cell r="Q7712" t="str">
            <v>速度传感器</v>
          </cell>
        </row>
        <row r="7713">
          <cell r="O7713" t="str">
            <v>SC9625VB</v>
          </cell>
          <cell r="P7713" t="str">
            <v>STC9910B</v>
          </cell>
          <cell r="Q7713" t="str">
            <v>速度传感器</v>
          </cell>
        </row>
        <row r="7714">
          <cell r="O7714" t="str">
            <v>SC9625VB</v>
          </cell>
          <cell r="P7714" t="str">
            <v>STC9910B</v>
          </cell>
          <cell r="Q7714" t="str">
            <v>速度传感器</v>
          </cell>
        </row>
        <row r="7715">
          <cell r="O7715" t="str">
            <v>SC9625VB</v>
          </cell>
          <cell r="P7715" t="str">
            <v>STC9910B</v>
          </cell>
          <cell r="Q7715" t="str">
            <v>速度传感器</v>
          </cell>
        </row>
        <row r="7716">
          <cell r="O7716" t="str">
            <v>SC9625VB</v>
          </cell>
          <cell r="P7716" t="str">
            <v>STC9910B</v>
          </cell>
          <cell r="Q7716" t="str">
            <v>速度传感器</v>
          </cell>
        </row>
        <row r="7717">
          <cell r="O7717" t="str">
            <v>SC9625VB</v>
          </cell>
          <cell r="P7717" t="str">
            <v>STC9910B</v>
          </cell>
          <cell r="Q7717" t="str">
            <v>速度传感器</v>
          </cell>
        </row>
        <row r="7718">
          <cell r="O7718" t="str">
            <v>SC4688DC</v>
          </cell>
          <cell r="P7718" t="str">
            <v>STC9D01C</v>
          </cell>
          <cell r="Q7718" t="str">
            <v>角度传感器</v>
          </cell>
        </row>
        <row r="7719">
          <cell r="O7719" t="str">
            <v>SC4688DC</v>
          </cell>
          <cell r="P7719" t="str">
            <v>STC9D01C</v>
          </cell>
          <cell r="Q7719" t="str">
            <v>角度传感器</v>
          </cell>
        </row>
        <row r="7720">
          <cell r="O7720" t="str">
            <v>SC4688DC</v>
          </cell>
          <cell r="P7720" t="str">
            <v>STC9D01C</v>
          </cell>
          <cell r="Q7720" t="str">
            <v>角度传感器</v>
          </cell>
        </row>
        <row r="7721">
          <cell r="O7721" t="str">
            <v>SC2462SO</v>
          </cell>
          <cell r="P7721" t="str">
            <v>STC9906J</v>
          </cell>
          <cell r="Q7721" t="str">
            <v>磁性位置传感器</v>
          </cell>
        </row>
        <row r="7722">
          <cell r="O7722" t="str">
            <v>SC2462SO</v>
          </cell>
          <cell r="P7722" t="str">
            <v>STC9906J</v>
          </cell>
          <cell r="Q7722" t="str">
            <v>磁性位置传感器</v>
          </cell>
        </row>
        <row r="7723">
          <cell r="O7723" t="str">
            <v>SC9648TS-P</v>
          </cell>
          <cell r="P7723" t="str">
            <v>STC9A001I</v>
          </cell>
          <cell r="Q7723" t="str">
            <v>速度传感器</v>
          </cell>
        </row>
        <row r="7724">
          <cell r="O7724" t="str">
            <v>SC2434UA</v>
          </cell>
          <cell r="P7724" t="str">
            <v>STC9906I</v>
          </cell>
          <cell r="Q7724" t="str">
            <v>磁性位置传感器</v>
          </cell>
        </row>
        <row r="7725">
          <cell r="O7725" t="str">
            <v>SC4643SA-A</v>
          </cell>
          <cell r="P7725" t="str">
            <v>STC9D03E</v>
          </cell>
          <cell r="Q7725" t="str">
            <v>电流传感器</v>
          </cell>
        </row>
        <row r="7726">
          <cell r="O7726" t="str">
            <v>SC2242SO</v>
          </cell>
          <cell r="P7726" t="str">
            <v>STC9906H</v>
          </cell>
          <cell r="Q7726" t="str">
            <v>磁性位置传感器</v>
          </cell>
        </row>
        <row r="7727">
          <cell r="O7727" t="str">
            <v>SC2242SO</v>
          </cell>
          <cell r="P7727" t="str">
            <v>STC9906H</v>
          </cell>
          <cell r="Q7727" t="str">
            <v>磁性位置传感器</v>
          </cell>
        </row>
        <row r="7728">
          <cell r="O7728" t="str">
            <v>ATK-E512</v>
          </cell>
          <cell r="P7728" t="str">
            <v>STC4011B</v>
          </cell>
          <cell r="Q7728" t="str">
            <v>磁性位置传感器</v>
          </cell>
        </row>
        <row r="7729">
          <cell r="O7729" t="str">
            <v>ATK-E512</v>
          </cell>
          <cell r="P7729" t="str">
            <v>STC4011B</v>
          </cell>
          <cell r="Q7729" t="str">
            <v>磁性位置传感器</v>
          </cell>
        </row>
        <row r="7730">
          <cell r="O7730" t="str">
            <v>ATK-E512</v>
          </cell>
          <cell r="P7730" t="str">
            <v>STC4011B</v>
          </cell>
          <cell r="Q7730" t="str">
            <v>磁性位置传感器</v>
          </cell>
        </row>
        <row r="7731">
          <cell r="O7731" t="str">
            <v>ATK-E512</v>
          </cell>
          <cell r="P7731" t="str">
            <v>STC4011B</v>
          </cell>
          <cell r="Q7731" t="str">
            <v>磁性位置传感器</v>
          </cell>
        </row>
        <row r="7732">
          <cell r="O7732" t="str">
            <v>SC2402SO-N</v>
          </cell>
          <cell r="P7732" t="str">
            <v>STC9902J</v>
          </cell>
          <cell r="Q7732" t="str">
            <v>磁性位置传感器</v>
          </cell>
        </row>
        <row r="7733">
          <cell r="O7733" t="str">
            <v>SC1134SO-N</v>
          </cell>
          <cell r="P7733" t="str">
            <v>STC1002AF</v>
          </cell>
          <cell r="Q7733" t="str">
            <v>磁性位置传感器</v>
          </cell>
        </row>
        <row r="7734">
          <cell r="O7734" t="str">
            <v>SC1134SO-N</v>
          </cell>
          <cell r="P7734" t="str">
            <v>STC1002AF</v>
          </cell>
          <cell r="Q7734" t="str">
            <v>磁性位置传感器</v>
          </cell>
        </row>
        <row r="7735">
          <cell r="O7735" t="str">
            <v>SC9648TS-P</v>
          </cell>
          <cell r="P7735" t="str">
            <v>STC9A001I</v>
          </cell>
          <cell r="Q7735" t="str">
            <v>速度传感器</v>
          </cell>
        </row>
        <row r="7736">
          <cell r="O7736" t="str">
            <v>SC9648TS-P</v>
          </cell>
          <cell r="P7736" t="str">
            <v>STC9A001I</v>
          </cell>
          <cell r="Q7736" t="str">
            <v>速度传感器</v>
          </cell>
        </row>
        <row r="7737">
          <cell r="O7737" t="str">
            <v>SC9648TS-P</v>
          </cell>
          <cell r="P7737" t="str">
            <v>STC9A001I</v>
          </cell>
          <cell r="Q7737" t="str">
            <v>速度传感器</v>
          </cell>
        </row>
        <row r="7738">
          <cell r="O7738" t="str">
            <v>SC1445A1</v>
          </cell>
          <cell r="P7738" t="str">
            <v>STC2899AB</v>
          </cell>
          <cell r="Q7738" t="str">
            <v>磁性位置传感器</v>
          </cell>
        </row>
        <row r="7739">
          <cell r="O7739" t="str">
            <v>SC1445A1</v>
          </cell>
          <cell r="P7739" t="str">
            <v>STC2899AB</v>
          </cell>
          <cell r="Q7739" t="str">
            <v>磁性位置传感器</v>
          </cell>
        </row>
        <row r="7740">
          <cell r="O7740" t="str">
            <v>SC1445A1</v>
          </cell>
          <cell r="P7740" t="str">
            <v>STC2899AB</v>
          </cell>
          <cell r="Q7740" t="str">
            <v>磁性位置传感器</v>
          </cell>
        </row>
        <row r="7741">
          <cell r="O7741" t="str">
            <v>SC1134UA</v>
          </cell>
          <cell r="P7741" t="str">
            <v>STC1898AI</v>
          </cell>
          <cell r="Q7741" t="str">
            <v>磁性位置传感器</v>
          </cell>
        </row>
        <row r="7742">
          <cell r="O7742" t="str">
            <v>SC2462SO</v>
          </cell>
          <cell r="P7742" t="str">
            <v>STC9906J</v>
          </cell>
          <cell r="Q7742" t="str">
            <v>磁性位置传感器</v>
          </cell>
        </row>
        <row r="7743">
          <cell r="O7743" t="str">
            <v>SC2462SO</v>
          </cell>
          <cell r="P7743" t="str">
            <v>STC9906J</v>
          </cell>
          <cell r="Q7743" t="str">
            <v>磁性位置传感器</v>
          </cell>
        </row>
        <row r="7744">
          <cell r="O7744" t="str">
            <v>SC9621VB</v>
          </cell>
          <cell r="P7744" t="str">
            <v>STC9910C</v>
          </cell>
          <cell r="Q7744" t="str">
            <v>速度传感器</v>
          </cell>
        </row>
        <row r="7745">
          <cell r="O7745" t="str">
            <v>SC9621VB</v>
          </cell>
          <cell r="P7745" t="str">
            <v>STC9910C</v>
          </cell>
          <cell r="Q7745" t="str">
            <v>速度传感器</v>
          </cell>
        </row>
        <row r="7746">
          <cell r="O7746" t="str">
            <v>SC9621VB</v>
          </cell>
          <cell r="P7746" t="str">
            <v>STC9910C</v>
          </cell>
          <cell r="Q7746" t="str">
            <v>速度传感器</v>
          </cell>
        </row>
        <row r="7747">
          <cell r="O7747" t="str">
            <v>SC9621VB</v>
          </cell>
          <cell r="P7747" t="str">
            <v>STC9910C</v>
          </cell>
          <cell r="Q7747" t="str">
            <v>速度传感器</v>
          </cell>
        </row>
        <row r="7748">
          <cell r="O7748" t="str">
            <v>SC9621VB</v>
          </cell>
          <cell r="P7748" t="str">
            <v>STC9910C</v>
          </cell>
          <cell r="Q7748" t="str">
            <v>速度传感器</v>
          </cell>
        </row>
        <row r="7749">
          <cell r="O7749" t="str">
            <v>SC2402UA-G</v>
          </cell>
          <cell r="P7749" t="str">
            <v>STC9G002B</v>
          </cell>
          <cell r="Q7749" t="str">
            <v>磁性位置传感器</v>
          </cell>
        </row>
        <row r="7750">
          <cell r="O7750" t="str">
            <v>ATK-E512</v>
          </cell>
          <cell r="P7750" t="str">
            <v>STC4011B</v>
          </cell>
          <cell r="Q7750" t="str">
            <v>磁性位置传感器</v>
          </cell>
        </row>
        <row r="7751">
          <cell r="O7751" t="str">
            <v>ATK-E512</v>
          </cell>
          <cell r="P7751" t="str">
            <v>STC4011B</v>
          </cell>
          <cell r="Q7751" t="str">
            <v>磁性位置传感器</v>
          </cell>
        </row>
        <row r="7752">
          <cell r="O7752" t="str">
            <v>SC2402UA-G</v>
          </cell>
          <cell r="P7752" t="str">
            <v>STC9G002B</v>
          </cell>
          <cell r="Q7752" t="str">
            <v>磁性位置传感器</v>
          </cell>
        </row>
        <row r="7753">
          <cell r="O7753" t="str">
            <v>SC2466SO</v>
          </cell>
          <cell r="P7753" t="str">
            <v>STC9906O</v>
          </cell>
          <cell r="Q7753" t="str">
            <v>磁性位置传感器</v>
          </cell>
        </row>
        <row r="7754">
          <cell r="O7754" t="str">
            <v>SC4688SA-A</v>
          </cell>
          <cell r="P7754" t="str">
            <v>STC9D01C</v>
          </cell>
          <cell r="Q7754" t="str">
            <v>角度传感器</v>
          </cell>
        </row>
        <row r="7755">
          <cell r="O7755" t="str">
            <v>SC2462SO</v>
          </cell>
          <cell r="P7755" t="str">
            <v>STC9906J</v>
          </cell>
          <cell r="Q7755" t="str">
            <v>磁性位置传感器</v>
          </cell>
        </row>
        <row r="7756">
          <cell r="O7756" t="str">
            <v>SC9633VB</v>
          </cell>
          <cell r="P7756" t="str">
            <v>STC9905F</v>
          </cell>
          <cell r="Q7756" t="str">
            <v>速度传感器</v>
          </cell>
        </row>
        <row r="7757">
          <cell r="O7757" t="str">
            <v>SC2064SO</v>
          </cell>
          <cell r="P7757" t="str">
            <v>STC9G001C</v>
          </cell>
          <cell r="Q7757" t="str">
            <v>磁性位置传感器</v>
          </cell>
        </row>
        <row r="7758">
          <cell r="O7758" t="str">
            <v>SC4001UA</v>
          </cell>
          <cell r="P7758" t="str">
            <v>STC4001AB</v>
          </cell>
          <cell r="Q7758" t="str">
            <v>磁性位置传感器</v>
          </cell>
        </row>
        <row r="7759">
          <cell r="O7759" t="str">
            <v>SC4005UA</v>
          </cell>
          <cell r="P7759" t="str">
            <v>STC4000AF</v>
          </cell>
          <cell r="Q7759" t="str">
            <v>磁性位置传感器</v>
          </cell>
        </row>
        <row r="7760">
          <cell r="O7760" t="str">
            <v>SC4001SE</v>
          </cell>
          <cell r="P7760" t="str">
            <v>STC4001AB</v>
          </cell>
          <cell r="Q7760" t="str">
            <v>磁性位置传感器</v>
          </cell>
        </row>
        <row r="7761">
          <cell r="O7761" t="str">
            <v>SC2202UA</v>
          </cell>
          <cell r="P7761" t="str">
            <v>STC9902E</v>
          </cell>
          <cell r="Q7761" t="str">
            <v>磁性位置传感器</v>
          </cell>
        </row>
        <row r="7762">
          <cell r="O7762" t="str">
            <v>SC2202UA</v>
          </cell>
          <cell r="P7762" t="str">
            <v>STC9902E</v>
          </cell>
          <cell r="Q7762" t="str">
            <v>磁性位置传感器</v>
          </cell>
        </row>
        <row r="7763">
          <cell r="O7763" t="str">
            <v>SC2202SO-N</v>
          </cell>
          <cell r="P7763" t="str">
            <v>STC9902E</v>
          </cell>
          <cell r="Q7763" t="str">
            <v>磁性位置传感器</v>
          </cell>
        </row>
        <row r="7764">
          <cell r="O7764" t="str">
            <v>SC1134SO-N</v>
          </cell>
          <cell r="P7764" t="str">
            <v>STC1898AI</v>
          </cell>
          <cell r="Q7764" t="str">
            <v>磁性位置传感器</v>
          </cell>
        </row>
        <row r="7765">
          <cell r="O7765" t="str">
            <v>SC1134SO-N</v>
          </cell>
          <cell r="P7765" t="str">
            <v>STC1898AI</v>
          </cell>
          <cell r="Q7765" t="str">
            <v>磁性位置传感器</v>
          </cell>
        </row>
        <row r="7766">
          <cell r="O7766" t="str">
            <v>SC1134UA</v>
          </cell>
          <cell r="P7766" t="str">
            <v>STC1898AI</v>
          </cell>
          <cell r="Q7766" t="str">
            <v>磁性位置传感器</v>
          </cell>
        </row>
        <row r="7767">
          <cell r="O7767" t="str">
            <v>SC2402SO-N</v>
          </cell>
          <cell r="P7767" t="str">
            <v>STC9902J</v>
          </cell>
          <cell r="Q7767" t="str">
            <v>磁性位置传感器</v>
          </cell>
        </row>
        <row r="7768">
          <cell r="O7768" t="str">
            <v>SC2442SO-N</v>
          </cell>
          <cell r="P7768" t="str">
            <v>STC9906P</v>
          </cell>
          <cell r="Q7768" t="str">
            <v>磁性位置传感器</v>
          </cell>
        </row>
        <row r="7769">
          <cell r="O7769" t="str">
            <v>SC2242SO</v>
          </cell>
          <cell r="P7769" t="str">
            <v>STC9906H</v>
          </cell>
          <cell r="Q7769" t="str">
            <v>磁性位置传感器</v>
          </cell>
        </row>
        <row r="7770">
          <cell r="O7770" t="str">
            <v>SC2242UA</v>
          </cell>
          <cell r="P7770" t="str">
            <v>STC9906H</v>
          </cell>
          <cell r="Q7770" t="str">
            <v>磁性位置传感器</v>
          </cell>
        </row>
        <row r="7771">
          <cell r="O7771" t="str">
            <v>SC2462SO</v>
          </cell>
          <cell r="P7771" t="str">
            <v>STC9906J</v>
          </cell>
          <cell r="Q7771" t="str">
            <v>磁性位置传感器</v>
          </cell>
        </row>
        <row r="7772">
          <cell r="O7772" t="str">
            <v>SC2464SO</v>
          </cell>
          <cell r="P7772" t="str">
            <v>STC9906J</v>
          </cell>
          <cell r="Q7772" t="str">
            <v>磁性位置传感器</v>
          </cell>
        </row>
        <row r="7773">
          <cell r="O7773" t="str">
            <v>SC2442SO</v>
          </cell>
          <cell r="P7773" t="str">
            <v>STC9906R</v>
          </cell>
          <cell r="Q7773" t="str">
            <v>磁性位置传感器</v>
          </cell>
        </row>
        <row r="7774">
          <cell r="O7774" t="str">
            <v>SC9641TS</v>
          </cell>
          <cell r="P7774" t="str">
            <v>STC9910BN</v>
          </cell>
          <cell r="Q7774" t="str">
            <v>速度传感器</v>
          </cell>
        </row>
        <row r="7775">
          <cell r="O7775" t="str">
            <v>SC9642TS</v>
          </cell>
          <cell r="P7775" t="str">
            <v>STC9A001D</v>
          </cell>
          <cell r="Q7775" t="str">
            <v>速度传感器</v>
          </cell>
        </row>
        <row r="7776">
          <cell r="O7776" t="str">
            <v>SC9642TS-E</v>
          </cell>
          <cell r="P7776" t="str">
            <v>STC9A001H</v>
          </cell>
          <cell r="Q7776" t="str">
            <v>速度传感器</v>
          </cell>
        </row>
        <row r="7777">
          <cell r="O7777" t="str">
            <v>SC9642TS-E</v>
          </cell>
          <cell r="P7777" t="str">
            <v>STC9A001H</v>
          </cell>
          <cell r="Q7777" t="str">
            <v>速度传感器</v>
          </cell>
        </row>
        <row r="7778">
          <cell r="O7778" t="str">
            <v>SC2434SO</v>
          </cell>
          <cell r="P7778" t="str">
            <v>STC9906I</v>
          </cell>
          <cell r="Q7778" t="str">
            <v>磁性位置传感器</v>
          </cell>
        </row>
        <row r="7779">
          <cell r="O7779" t="str">
            <v>SC2462SO</v>
          </cell>
          <cell r="P7779" t="str">
            <v>STC9906J</v>
          </cell>
          <cell r="Q7779" t="str">
            <v>磁性位置传感器</v>
          </cell>
        </row>
        <row r="7780">
          <cell r="O7780" t="str">
            <v>SC2462SO</v>
          </cell>
          <cell r="P7780" t="str">
            <v>STC9906J</v>
          </cell>
          <cell r="Q7780" t="str">
            <v>磁性位置传感器</v>
          </cell>
        </row>
        <row r="7781">
          <cell r="O7781" t="str">
            <v>SC2442UA</v>
          </cell>
          <cell r="P7781" t="str">
            <v>STC9906P</v>
          </cell>
          <cell r="Q7781" t="str">
            <v>磁性位置传感器</v>
          </cell>
        </row>
        <row r="7782">
          <cell r="O7782" t="str">
            <v>SC2442UA</v>
          </cell>
          <cell r="P7782" t="str">
            <v>STC9906P</v>
          </cell>
          <cell r="Q7782" t="str">
            <v>磁性位置传感器</v>
          </cell>
        </row>
        <row r="7783">
          <cell r="O7783" t="str">
            <v>SC4689SA</v>
          </cell>
          <cell r="P7783" t="str">
            <v>STC9D01F</v>
          </cell>
          <cell r="Q7783" t="str">
            <v>角度传感器</v>
          </cell>
        </row>
        <row r="7784">
          <cell r="O7784" t="str">
            <v>SC9625VB</v>
          </cell>
          <cell r="P7784" t="str">
            <v>STC9910B</v>
          </cell>
          <cell r="Q7784" t="str">
            <v>速度传感器</v>
          </cell>
        </row>
        <row r="7785">
          <cell r="O7785" t="str">
            <v>SC9648TS-P</v>
          </cell>
          <cell r="P7785" t="str">
            <v>STC9A001I</v>
          </cell>
          <cell r="Q7785" t="str">
            <v>速度传感器</v>
          </cell>
        </row>
        <row r="7786">
          <cell r="O7786" t="str">
            <v>SC9648TS-P</v>
          </cell>
          <cell r="P7786" t="str">
            <v>STC9A001I</v>
          </cell>
          <cell r="Q7786" t="str">
            <v>速度传感器</v>
          </cell>
        </row>
        <row r="7787">
          <cell r="O7787" t="str">
            <v>SC9621VB</v>
          </cell>
          <cell r="P7787" t="str">
            <v>STC9910C</v>
          </cell>
          <cell r="Q7787" t="str">
            <v>速度传感器</v>
          </cell>
        </row>
        <row r="7788">
          <cell r="O7788" t="str">
            <v>SC9642TS-EC</v>
          </cell>
          <cell r="P7788" t="str">
            <v>STC9A001H</v>
          </cell>
          <cell r="Q7788" t="str">
            <v>速度传感器</v>
          </cell>
        </row>
        <row r="7789">
          <cell r="O7789" t="str">
            <v>SC9642TS-EC</v>
          </cell>
          <cell r="P7789" t="str">
            <v>STC9A001H</v>
          </cell>
          <cell r="Q7789" t="str">
            <v>速度传感器</v>
          </cell>
        </row>
        <row r="7790">
          <cell r="O7790" t="str">
            <v>SC2546VB</v>
          </cell>
          <cell r="P7790" t="str">
            <v>STC9906H</v>
          </cell>
          <cell r="Q7790" t="str">
            <v>磁性位置传感器</v>
          </cell>
        </row>
        <row r="7791">
          <cell r="O7791" t="str">
            <v>SC60370</v>
          </cell>
          <cell r="P7791" t="str">
            <v>STC9D05B</v>
          </cell>
          <cell r="Q7791" t="str">
            <v>电机编码器</v>
          </cell>
        </row>
        <row r="7792">
          <cell r="O7792" t="str">
            <v>SC2662SO-N</v>
          </cell>
          <cell r="P7792" t="str">
            <v>STC9906P</v>
          </cell>
          <cell r="Q7792" t="str">
            <v>磁性位置传感器</v>
          </cell>
        </row>
        <row r="7793">
          <cell r="O7793" t="str">
            <v>SC2662SO-N</v>
          </cell>
          <cell r="P7793" t="str">
            <v>STC9906P</v>
          </cell>
          <cell r="Q7793" t="str">
            <v>磁性位置传感器</v>
          </cell>
        </row>
        <row r="7794">
          <cell r="O7794" t="str">
            <v>SC2498CUA-N</v>
          </cell>
          <cell r="P7794" t="str">
            <v>SC9915C</v>
          </cell>
          <cell r="Q7794" t="str">
            <v>磁性位置传感器</v>
          </cell>
        </row>
        <row r="7795">
          <cell r="O7795" t="str">
            <v>SC9648TS-P</v>
          </cell>
          <cell r="P7795" t="str">
            <v>STC9A001I</v>
          </cell>
          <cell r="Q7795" t="str">
            <v>速度传感器</v>
          </cell>
        </row>
        <row r="7796">
          <cell r="O7796" t="str">
            <v>SC2242UA</v>
          </cell>
          <cell r="P7796" t="str">
            <v>STC9906H</v>
          </cell>
          <cell r="Q7796" t="str">
            <v>磁性位置传感器</v>
          </cell>
        </row>
        <row r="7797">
          <cell r="O7797" t="str">
            <v>SC9641TS-PC</v>
          </cell>
          <cell r="P7797" t="str">
            <v>STC9A001I</v>
          </cell>
          <cell r="Q7797" t="str">
            <v>速度传感器</v>
          </cell>
        </row>
        <row r="7798">
          <cell r="O7798" t="str">
            <v>SC4643SA-A</v>
          </cell>
          <cell r="P7798" t="str">
            <v>STC9D03E</v>
          </cell>
          <cell r="Q7798" t="str">
            <v>电流传感器</v>
          </cell>
        </row>
        <row r="7799">
          <cell r="O7799" t="str">
            <v>SC69401D</v>
          </cell>
          <cell r="P7799" t="str">
            <v>STC9H002D</v>
          </cell>
          <cell r="Q7799" t="str">
            <v>角度传感器</v>
          </cell>
        </row>
        <row r="7800">
          <cell r="O7800" t="str">
            <v>SC4688DC</v>
          </cell>
          <cell r="P7800" t="str">
            <v>STC9D01C</v>
          </cell>
          <cell r="Q7800" t="str">
            <v>角度传感器</v>
          </cell>
        </row>
        <row r="7801">
          <cell r="O7801" t="str">
            <v>SC60228DC</v>
          </cell>
          <cell r="P7801" t="str">
            <v>STC9D04C</v>
          </cell>
          <cell r="Q7801" t="str">
            <v>电机编码器</v>
          </cell>
        </row>
        <row r="7802">
          <cell r="O7802" t="str">
            <v>SC60228DC</v>
          </cell>
          <cell r="P7802" t="str">
            <v>STC9D04C</v>
          </cell>
          <cell r="Q7802" t="str">
            <v>电机编码器</v>
          </cell>
        </row>
        <row r="7803">
          <cell r="O7803" t="str">
            <v>SC60228DC</v>
          </cell>
          <cell r="P7803" t="str">
            <v>STC9D04C</v>
          </cell>
          <cell r="Q7803" t="str">
            <v>电机编码器</v>
          </cell>
        </row>
        <row r="7804">
          <cell r="O7804" t="str">
            <v>SC60228DC</v>
          </cell>
          <cell r="P7804" t="str">
            <v>STC9D04C</v>
          </cell>
          <cell r="Q7804" t="str">
            <v>电机编码器</v>
          </cell>
        </row>
        <row r="7805">
          <cell r="O7805" t="str">
            <v>SC60228DC</v>
          </cell>
          <cell r="P7805" t="str">
            <v>STC9D04C</v>
          </cell>
          <cell r="Q7805" t="str">
            <v>电机编码器</v>
          </cell>
        </row>
        <row r="7806">
          <cell r="O7806" t="str">
            <v>SC60228DC</v>
          </cell>
          <cell r="P7806" t="str">
            <v>STC9D04C</v>
          </cell>
          <cell r="Q7806" t="str">
            <v>电机编码器</v>
          </cell>
        </row>
        <row r="7807">
          <cell r="O7807" t="str">
            <v>ATK-E512</v>
          </cell>
          <cell r="P7807" t="str">
            <v>STC4011B</v>
          </cell>
          <cell r="Q7807" t="str">
            <v>磁性位置传感器</v>
          </cell>
        </row>
        <row r="7808">
          <cell r="O7808" t="str">
            <v>ATK-E512</v>
          </cell>
          <cell r="P7808" t="str">
            <v>STC4011B</v>
          </cell>
          <cell r="Q7808" t="str">
            <v>磁性位置传感器</v>
          </cell>
        </row>
        <row r="7809">
          <cell r="O7809" t="str">
            <v>ATK-E512</v>
          </cell>
          <cell r="P7809" t="str">
            <v>STC4011B</v>
          </cell>
          <cell r="Q7809" t="str">
            <v>磁性位置传感器</v>
          </cell>
        </row>
        <row r="7810">
          <cell r="O7810" t="str">
            <v>ATK-E512</v>
          </cell>
          <cell r="P7810" t="str">
            <v>STC4011B</v>
          </cell>
          <cell r="Q7810" t="str">
            <v>磁性位置传感器</v>
          </cell>
        </row>
        <row r="7811">
          <cell r="O7811" t="str">
            <v>ATK-E512</v>
          </cell>
          <cell r="P7811" t="str">
            <v>STC4011B</v>
          </cell>
          <cell r="Q7811" t="str">
            <v>磁性位置传感器</v>
          </cell>
        </row>
        <row r="7812">
          <cell r="O7812" t="str">
            <v>ATK-E512</v>
          </cell>
          <cell r="P7812" t="str">
            <v>STC4011B</v>
          </cell>
          <cell r="Q7812" t="str">
            <v>磁性位置传感器</v>
          </cell>
        </row>
        <row r="7813">
          <cell r="O7813" t="str">
            <v>ATK-E512</v>
          </cell>
          <cell r="P7813" t="str">
            <v>STC4011B</v>
          </cell>
          <cell r="Q7813" t="str">
            <v>磁性位置传感器</v>
          </cell>
        </row>
        <row r="7814">
          <cell r="O7814" t="str">
            <v>ATK-E512</v>
          </cell>
          <cell r="P7814" t="str">
            <v>STC4011B</v>
          </cell>
          <cell r="Q7814" t="str">
            <v>磁性位置传感器</v>
          </cell>
        </row>
        <row r="7815">
          <cell r="O7815" t="str">
            <v>ATK-E512</v>
          </cell>
          <cell r="P7815" t="str">
            <v>STC4011B</v>
          </cell>
          <cell r="Q7815" t="str">
            <v>磁性位置传感器</v>
          </cell>
        </row>
        <row r="7816">
          <cell r="O7816" t="str">
            <v>ATK-E512</v>
          </cell>
          <cell r="P7816" t="str">
            <v>STC4011B</v>
          </cell>
          <cell r="Q7816" t="str">
            <v>磁性位置传感器</v>
          </cell>
        </row>
        <row r="7817">
          <cell r="O7817" t="str">
            <v>ATK-E512</v>
          </cell>
          <cell r="P7817" t="str">
            <v>STC4011B</v>
          </cell>
          <cell r="Q7817" t="str">
            <v>磁性位置传感器</v>
          </cell>
        </row>
        <row r="7818">
          <cell r="O7818" t="str">
            <v>ATK-E512</v>
          </cell>
          <cell r="P7818" t="str">
            <v>STC4011B</v>
          </cell>
          <cell r="Q7818" t="str">
            <v>磁性位置传感器</v>
          </cell>
        </row>
        <row r="7819">
          <cell r="O7819" t="str">
            <v>ATK-E512</v>
          </cell>
          <cell r="P7819" t="str">
            <v>STC4011B</v>
          </cell>
          <cell r="Q7819" t="str">
            <v>磁性位置传感器</v>
          </cell>
        </row>
        <row r="7820">
          <cell r="O7820" t="str">
            <v>ATK-E512</v>
          </cell>
          <cell r="P7820" t="str">
            <v>STC4011B</v>
          </cell>
          <cell r="Q7820" t="str">
            <v>磁性位置传感器</v>
          </cell>
        </row>
        <row r="7821">
          <cell r="O7821" t="str">
            <v>ATK-E512</v>
          </cell>
          <cell r="P7821" t="str">
            <v>STC4011B</v>
          </cell>
          <cell r="Q7821" t="str">
            <v>磁性位置传感器</v>
          </cell>
        </row>
        <row r="7822">
          <cell r="O7822" t="str">
            <v>G01</v>
          </cell>
          <cell r="P7822" t="str">
            <v>STC4011B</v>
          </cell>
          <cell r="Q7822" t="str">
            <v>磁性位置传感器</v>
          </cell>
        </row>
        <row r="7823">
          <cell r="O7823" t="str">
            <v>ZH6242</v>
          </cell>
          <cell r="P7823" t="str">
            <v>ZH6242</v>
          </cell>
          <cell r="Q7823" t="str">
            <v>电机驱动</v>
          </cell>
        </row>
        <row r="7824">
          <cell r="O7824" t="str">
            <v>ATK-E512</v>
          </cell>
          <cell r="P7824" t="str">
            <v>STC4011B</v>
          </cell>
          <cell r="Q7824" t="str">
            <v>磁性位置传感器</v>
          </cell>
        </row>
        <row r="7825">
          <cell r="O7825" t="str">
            <v>ATK-E512</v>
          </cell>
          <cell r="P7825" t="str">
            <v>STC4011B</v>
          </cell>
          <cell r="Q7825" t="str">
            <v>磁性位置传感器</v>
          </cell>
        </row>
        <row r="7826">
          <cell r="O7826" t="str">
            <v>ATK-E512</v>
          </cell>
          <cell r="P7826" t="str">
            <v>STC4011B</v>
          </cell>
          <cell r="Q7826" t="str">
            <v>磁性位置传感器</v>
          </cell>
        </row>
        <row r="7827">
          <cell r="O7827" t="str">
            <v>ATK-E512</v>
          </cell>
          <cell r="P7827" t="str">
            <v>STC4011B</v>
          </cell>
          <cell r="Q7827" t="str">
            <v>磁性位置传感器</v>
          </cell>
        </row>
        <row r="7828">
          <cell r="O7828" t="str">
            <v>ATK-E512</v>
          </cell>
          <cell r="P7828" t="str">
            <v>STC4011B</v>
          </cell>
          <cell r="Q7828" t="str">
            <v>磁性位置传感器</v>
          </cell>
        </row>
        <row r="7829">
          <cell r="O7829" t="str">
            <v>ATK-E512</v>
          </cell>
          <cell r="P7829" t="str">
            <v>STC4011B</v>
          </cell>
          <cell r="Q7829" t="str">
            <v>磁性位置传感器</v>
          </cell>
        </row>
        <row r="7830">
          <cell r="O7830" t="str">
            <v>ATK-E512</v>
          </cell>
          <cell r="P7830" t="str">
            <v>STC4011B</v>
          </cell>
          <cell r="Q7830" t="str">
            <v>磁性位置传感器</v>
          </cell>
        </row>
        <row r="7831">
          <cell r="O7831" t="str">
            <v>ATK-E512</v>
          </cell>
          <cell r="P7831" t="str">
            <v>STC4011B</v>
          </cell>
          <cell r="Q7831" t="str">
            <v>磁性位置传感器</v>
          </cell>
        </row>
        <row r="7832">
          <cell r="O7832" t="str">
            <v>ATK-E512</v>
          </cell>
          <cell r="P7832" t="str">
            <v>STC4011B</v>
          </cell>
          <cell r="Q7832" t="str">
            <v>磁性位置传感器</v>
          </cell>
        </row>
        <row r="7833">
          <cell r="O7833" t="str">
            <v>ATK-E512</v>
          </cell>
          <cell r="P7833" t="str">
            <v>STC4011B</v>
          </cell>
          <cell r="Q7833" t="str">
            <v>磁性位置传感器</v>
          </cell>
        </row>
        <row r="7834">
          <cell r="O7834" t="str">
            <v>SC9642TS-E</v>
          </cell>
          <cell r="P7834" t="str">
            <v>STC9A001H</v>
          </cell>
          <cell r="Q7834" t="str">
            <v>速度传感器</v>
          </cell>
        </row>
        <row r="7835">
          <cell r="O7835" t="str">
            <v>ATK-E512</v>
          </cell>
          <cell r="P7835" t="str">
            <v>STC4011B</v>
          </cell>
          <cell r="Q7835" t="str">
            <v>磁性位置传感器</v>
          </cell>
        </row>
        <row r="7836">
          <cell r="O7836" t="str">
            <v>SC4643VB-G</v>
          </cell>
          <cell r="P7836" t="str">
            <v>STC9D03E</v>
          </cell>
          <cell r="Q7836" t="str">
            <v>电流传感器</v>
          </cell>
        </row>
        <row r="7837">
          <cell r="O7837" t="str">
            <v>STC4001AB</v>
          </cell>
          <cell r="P7837" t="str">
            <v>STC4001AB</v>
          </cell>
          <cell r="Q7837" t="str">
            <v>磁性位置传感器</v>
          </cell>
        </row>
        <row r="7838">
          <cell r="O7838" t="str">
            <v>SC60221-U-256-976</v>
          </cell>
          <cell r="P7838" t="str">
            <v>STC9D04C</v>
          </cell>
          <cell r="Q7838" t="str">
            <v>电机编码器</v>
          </cell>
        </row>
        <row r="7839">
          <cell r="O7839" t="str">
            <v>PFD1014A</v>
          </cell>
          <cell r="P7839" t="str">
            <v>FD1014A</v>
          </cell>
          <cell r="Q7839" t="str">
            <v>电机驱动</v>
          </cell>
        </row>
        <row r="7840">
          <cell r="O7840" t="str">
            <v>PFD1014A</v>
          </cell>
          <cell r="P7840" t="str">
            <v>FD1014A</v>
          </cell>
          <cell r="Q7840" t="str">
            <v>电机驱动</v>
          </cell>
        </row>
        <row r="7841">
          <cell r="O7841" t="str">
            <v>SC2033SO-N</v>
          </cell>
          <cell r="P7841" t="str">
            <v>STC9G001D</v>
          </cell>
          <cell r="Q7841" t="str">
            <v>磁性位置传感器</v>
          </cell>
        </row>
        <row r="7842">
          <cell r="O7842" t="str">
            <v>SC2033SO-N</v>
          </cell>
          <cell r="P7842" t="str">
            <v>STC9G001D</v>
          </cell>
          <cell r="Q7842" t="str">
            <v>磁性位置传感器</v>
          </cell>
        </row>
        <row r="7843">
          <cell r="O7843" t="str">
            <v>ATK-E512</v>
          </cell>
          <cell r="P7843" t="str">
            <v>STC4011B</v>
          </cell>
          <cell r="Q7843" t="str">
            <v>磁性位置传感器</v>
          </cell>
        </row>
        <row r="7844">
          <cell r="O7844" t="str">
            <v>ATK-E512</v>
          </cell>
          <cell r="P7844" t="str">
            <v>STC4011B</v>
          </cell>
          <cell r="Q7844" t="str">
            <v>磁性位置传感器</v>
          </cell>
        </row>
        <row r="7845">
          <cell r="O7845" t="str">
            <v>ATK-E512</v>
          </cell>
          <cell r="P7845" t="str">
            <v>STC4011B</v>
          </cell>
          <cell r="Q7845" t="str">
            <v>磁性位置传感器</v>
          </cell>
        </row>
        <row r="7846">
          <cell r="O7846" t="str">
            <v>ATK-E512</v>
          </cell>
          <cell r="P7846" t="str">
            <v>STC4011B</v>
          </cell>
          <cell r="Q7846" t="str">
            <v>磁性位置传感器</v>
          </cell>
        </row>
        <row r="7847">
          <cell r="O7847" t="str">
            <v>ATK-E512</v>
          </cell>
          <cell r="P7847" t="str">
            <v>STC4011B</v>
          </cell>
          <cell r="Q7847" t="str">
            <v>磁性位置传感器</v>
          </cell>
        </row>
        <row r="7848">
          <cell r="O7848" t="str">
            <v>ATK-E512</v>
          </cell>
          <cell r="P7848" t="str">
            <v>STC4011B</v>
          </cell>
          <cell r="Q7848" t="str">
            <v>磁性位置传感器</v>
          </cell>
        </row>
        <row r="7849">
          <cell r="O7849" t="str">
            <v>ATK-E512</v>
          </cell>
          <cell r="P7849" t="str">
            <v>STC4011B</v>
          </cell>
          <cell r="Q7849" t="str">
            <v>磁性位置传感器</v>
          </cell>
        </row>
        <row r="7850">
          <cell r="O7850" t="str">
            <v>ATK-E512</v>
          </cell>
          <cell r="P7850" t="str">
            <v>STC4011B</v>
          </cell>
          <cell r="Q7850" t="str">
            <v>磁性位置传感器</v>
          </cell>
        </row>
        <row r="7851">
          <cell r="O7851" t="str">
            <v>SC60221-D-64</v>
          </cell>
          <cell r="P7851" t="str">
            <v>STC9D04C</v>
          </cell>
          <cell r="Q7851" t="str">
            <v>电机编码器</v>
          </cell>
        </row>
        <row r="7852">
          <cell r="O7852" t="str">
            <v>SC9632VB</v>
          </cell>
          <cell r="P7852" t="str">
            <v>STC9905E</v>
          </cell>
          <cell r="Q7852" t="str">
            <v>速度传感器</v>
          </cell>
        </row>
        <row r="7853">
          <cell r="O7853" t="str">
            <v>SC9633VB</v>
          </cell>
          <cell r="P7853" t="str">
            <v>STC9905F</v>
          </cell>
          <cell r="Q7853" t="str">
            <v>速度传感器</v>
          </cell>
        </row>
        <row r="7854">
          <cell r="O7854" t="str">
            <v>SC9634VB</v>
          </cell>
          <cell r="P7854" t="str">
            <v>STC9905G</v>
          </cell>
          <cell r="Q7854" t="str">
            <v>速度传感器</v>
          </cell>
        </row>
        <row r="7855">
          <cell r="O7855" t="str">
            <v>SC2442SO-N</v>
          </cell>
          <cell r="P7855" t="str">
            <v>STC9906P</v>
          </cell>
          <cell r="Q7855" t="str">
            <v>磁性位置传感器</v>
          </cell>
        </row>
        <row r="7856">
          <cell r="O7856" t="str">
            <v>SC2442SO-N</v>
          </cell>
          <cell r="P7856" t="str">
            <v>STC9906P</v>
          </cell>
          <cell r="Q7856" t="str">
            <v>磁性位置传感器</v>
          </cell>
        </row>
        <row r="7857">
          <cell r="O7857" t="str">
            <v>SC2442SO-N</v>
          </cell>
          <cell r="P7857" t="str">
            <v>STC9906P</v>
          </cell>
          <cell r="Q7857" t="str">
            <v>磁性位置传感器</v>
          </cell>
        </row>
        <row r="7858">
          <cell r="O7858" t="str">
            <v>SC2442SO-N</v>
          </cell>
          <cell r="P7858" t="str">
            <v>STC9906P</v>
          </cell>
          <cell r="Q7858" t="str">
            <v>磁性位置传感器</v>
          </cell>
        </row>
        <row r="7859">
          <cell r="O7859" t="str">
            <v>SC2442SO-N</v>
          </cell>
          <cell r="P7859" t="str">
            <v>STC9906P</v>
          </cell>
          <cell r="Q7859" t="str">
            <v>磁性位置传感器</v>
          </cell>
        </row>
        <row r="7860">
          <cell r="O7860" t="str">
            <v>SC2442SO-N</v>
          </cell>
          <cell r="P7860" t="str">
            <v>STC9906P</v>
          </cell>
          <cell r="Q7860" t="str">
            <v>磁性位置传感器</v>
          </cell>
        </row>
        <row r="7861">
          <cell r="O7861" t="str">
            <v>SC2442SO-N</v>
          </cell>
          <cell r="P7861" t="str">
            <v>STC9906P</v>
          </cell>
          <cell r="Q7861" t="str">
            <v>磁性位置传感器</v>
          </cell>
        </row>
        <row r="7862">
          <cell r="O7862" t="str">
            <v>2100</v>
          </cell>
          <cell r="P7862" t="str">
            <v>STC9D03E</v>
          </cell>
          <cell r="Q7862" t="str">
            <v>电流传感器</v>
          </cell>
        </row>
        <row r="7863">
          <cell r="O7863" t="str">
            <v>2100</v>
          </cell>
          <cell r="P7863" t="str">
            <v>STC9D03E</v>
          </cell>
          <cell r="Q7863" t="str">
            <v>电流传感器</v>
          </cell>
        </row>
        <row r="7864">
          <cell r="O7864" t="str">
            <v>2100</v>
          </cell>
          <cell r="P7864" t="str">
            <v>STC9D03E</v>
          </cell>
          <cell r="Q7864" t="str">
            <v>电流传感器</v>
          </cell>
        </row>
        <row r="7865">
          <cell r="O7865" t="str">
            <v>2100</v>
          </cell>
          <cell r="P7865" t="str">
            <v>STC9D03E</v>
          </cell>
          <cell r="Q7865" t="str">
            <v>电流传感器</v>
          </cell>
        </row>
        <row r="7866">
          <cell r="O7866" t="str">
            <v>2100</v>
          </cell>
          <cell r="P7866" t="str">
            <v>STC9D03E</v>
          </cell>
          <cell r="Q7866" t="str">
            <v>电流传感器</v>
          </cell>
        </row>
        <row r="7867">
          <cell r="O7867" t="str">
            <v>2100</v>
          </cell>
          <cell r="P7867" t="str">
            <v>STC9D03E</v>
          </cell>
          <cell r="Q7867" t="str">
            <v>电流传感器</v>
          </cell>
        </row>
        <row r="7868">
          <cell r="O7868" t="str">
            <v>2100</v>
          </cell>
          <cell r="P7868" t="str">
            <v>STC9D03E</v>
          </cell>
          <cell r="Q7868" t="str">
            <v>电流传感器</v>
          </cell>
        </row>
        <row r="7869">
          <cell r="O7869" t="str">
            <v>SC4688SA</v>
          </cell>
          <cell r="P7869" t="str">
            <v>STC9D01C</v>
          </cell>
          <cell r="Q7869" t="str">
            <v>角度传感器</v>
          </cell>
        </row>
        <row r="7870">
          <cell r="O7870" t="str">
            <v>SC9642TS-E</v>
          </cell>
          <cell r="P7870" t="str">
            <v>STC9A001H</v>
          </cell>
          <cell r="Q7870" t="str">
            <v>速度传感器</v>
          </cell>
        </row>
        <row r="7871">
          <cell r="O7871" t="str">
            <v>SC9641TS-P</v>
          </cell>
          <cell r="P7871" t="str">
            <v>STC9A001I</v>
          </cell>
          <cell r="Q7871" t="str">
            <v>速度传感器</v>
          </cell>
        </row>
        <row r="7872">
          <cell r="O7872" t="str">
            <v>SC9641TS-P</v>
          </cell>
          <cell r="P7872" t="str">
            <v>STC9A001I</v>
          </cell>
          <cell r="Q7872" t="str">
            <v>速度传感器</v>
          </cell>
        </row>
        <row r="7873">
          <cell r="O7873" t="str">
            <v>SC9641TS-P</v>
          </cell>
          <cell r="P7873" t="str">
            <v>STC9A001I</v>
          </cell>
          <cell r="Q7873" t="str">
            <v>速度传感器</v>
          </cell>
        </row>
        <row r="7874">
          <cell r="O7874" t="str">
            <v>SC9641TS-P</v>
          </cell>
          <cell r="P7874" t="str">
            <v>STC9A001I</v>
          </cell>
          <cell r="Q7874" t="str">
            <v>速度传感器</v>
          </cell>
        </row>
        <row r="7875">
          <cell r="O7875" t="str">
            <v>SC9641TS-P</v>
          </cell>
          <cell r="P7875" t="str">
            <v>STC9A001I</v>
          </cell>
          <cell r="Q7875" t="str">
            <v>速度传感器</v>
          </cell>
        </row>
        <row r="7876">
          <cell r="O7876" t="str">
            <v>SC9641TS-P</v>
          </cell>
          <cell r="P7876" t="str">
            <v>STC9A001I</v>
          </cell>
          <cell r="Q7876" t="str">
            <v>速度传感器</v>
          </cell>
        </row>
        <row r="7877">
          <cell r="O7877" t="str">
            <v>SC9641TS-P</v>
          </cell>
          <cell r="P7877" t="str">
            <v>STC9A001I</v>
          </cell>
          <cell r="Q7877" t="str">
            <v>速度传感器</v>
          </cell>
        </row>
        <row r="7878">
          <cell r="O7878" t="str">
            <v>SC9641TS-P</v>
          </cell>
          <cell r="P7878" t="str">
            <v>STC9A001I</v>
          </cell>
          <cell r="Q7878" t="str">
            <v>速度传感器</v>
          </cell>
        </row>
        <row r="7879">
          <cell r="O7879" t="str">
            <v>SC9641TS-P</v>
          </cell>
          <cell r="P7879" t="str">
            <v>STC9A001I</v>
          </cell>
          <cell r="Q7879" t="str">
            <v>速度传感器</v>
          </cell>
        </row>
        <row r="7880">
          <cell r="O7880" t="str">
            <v>SC2442UA</v>
          </cell>
          <cell r="P7880" t="str">
            <v>STC9906P</v>
          </cell>
          <cell r="Q7880" t="str">
            <v>磁性位置传感器</v>
          </cell>
        </row>
        <row r="7881">
          <cell r="O7881" t="str">
            <v>SC2442UA</v>
          </cell>
          <cell r="P7881" t="str">
            <v>STC9906P</v>
          </cell>
          <cell r="Q7881" t="str">
            <v>磁性位置传感器</v>
          </cell>
        </row>
        <row r="7882">
          <cell r="O7882" t="str">
            <v>SC2442SO</v>
          </cell>
          <cell r="P7882" t="str">
            <v>STC9906R</v>
          </cell>
          <cell r="Q7882" t="str">
            <v>磁性位置传感器</v>
          </cell>
        </row>
        <row r="7883">
          <cell r="O7883" t="str">
            <v>SC2442SO</v>
          </cell>
          <cell r="P7883" t="str">
            <v>STC9906R</v>
          </cell>
          <cell r="Q7883" t="str">
            <v>磁性位置传感器</v>
          </cell>
        </row>
        <row r="7884">
          <cell r="O7884" t="str">
            <v>SC2662SO-N</v>
          </cell>
          <cell r="P7884" t="str">
            <v>STC9906P</v>
          </cell>
          <cell r="Q7884" t="str">
            <v>磁性位置传感器</v>
          </cell>
        </row>
        <row r="7885">
          <cell r="O7885" t="str">
            <v>SC9621VB</v>
          </cell>
          <cell r="P7885" t="str">
            <v>STC9910C</v>
          </cell>
          <cell r="Q7885" t="str">
            <v>速度传感器</v>
          </cell>
        </row>
        <row r="7886">
          <cell r="O7886" t="str">
            <v>SC9641TS</v>
          </cell>
          <cell r="P7886" t="str">
            <v>STC9910BN</v>
          </cell>
          <cell r="Q7886" t="str">
            <v>速度传感器</v>
          </cell>
        </row>
        <row r="7887">
          <cell r="O7887" t="str">
            <v>SC9641TS</v>
          </cell>
          <cell r="P7887" t="str">
            <v>STC9910BN</v>
          </cell>
          <cell r="Q7887" t="str">
            <v>速度传感器</v>
          </cell>
        </row>
        <row r="7888">
          <cell r="O7888" t="str">
            <v>SC9641TS</v>
          </cell>
          <cell r="P7888" t="str">
            <v>STC9910BN</v>
          </cell>
          <cell r="Q7888" t="str">
            <v>速度传感器</v>
          </cell>
        </row>
        <row r="7889">
          <cell r="O7889" t="str">
            <v>SC9641TS</v>
          </cell>
          <cell r="P7889" t="str">
            <v>STC9910BN</v>
          </cell>
          <cell r="Q7889" t="str">
            <v>速度传感器</v>
          </cell>
        </row>
        <row r="7890">
          <cell r="O7890" t="str">
            <v>SC9641TS</v>
          </cell>
          <cell r="P7890" t="str">
            <v>STC9910BN</v>
          </cell>
          <cell r="Q7890" t="str">
            <v>速度传感器</v>
          </cell>
        </row>
        <row r="7891">
          <cell r="O7891" t="str">
            <v>SC9641TS</v>
          </cell>
          <cell r="P7891" t="str">
            <v>STC9910BN</v>
          </cell>
          <cell r="Q7891" t="str">
            <v>速度传感器</v>
          </cell>
        </row>
        <row r="7892">
          <cell r="O7892" t="str">
            <v>SC9641TS</v>
          </cell>
          <cell r="P7892" t="str">
            <v>STC9910BN</v>
          </cell>
          <cell r="Q7892" t="str">
            <v>速度传感器</v>
          </cell>
        </row>
        <row r="7893">
          <cell r="O7893" t="str">
            <v>SC9641TS</v>
          </cell>
          <cell r="P7893" t="str">
            <v>STC9910BN</v>
          </cell>
          <cell r="Q7893" t="str">
            <v>速度传感器</v>
          </cell>
        </row>
        <row r="7894">
          <cell r="O7894" t="str">
            <v>SC9641TS</v>
          </cell>
          <cell r="P7894" t="str">
            <v>STC9910BN</v>
          </cell>
          <cell r="Q7894" t="str">
            <v>速度传感器</v>
          </cell>
        </row>
        <row r="7895">
          <cell r="O7895" t="str">
            <v>SC9641TS</v>
          </cell>
          <cell r="P7895" t="str">
            <v>STC9910BN</v>
          </cell>
          <cell r="Q7895" t="str">
            <v>速度传感器</v>
          </cell>
        </row>
        <row r="7896">
          <cell r="O7896" t="str">
            <v>SC4688DC</v>
          </cell>
          <cell r="P7896" t="str">
            <v>STC9D01C</v>
          </cell>
          <cell r="Q7896" t="str">
            <v>角度传感器</v>
          </cell>
        </row>
        <row r="7897">
          <cell r="O7897" t="str">
            <v>ATK-E512</v>
          </cell>
          <cell r="P7897" t="str">
            <v>STC4011B</v>
          </cell>
          <cell r="Q7897" t="str">
            <v>磁性位置传感器</v>
          </cell>
        </row>
        <row r="7898">
          <cell r="O7898" t="str">
            <v>ATK-E512</v>
          </cell>
          <cell r="P7898" t="str">
            <v>STC4011B</v>
          </cell>
          <cell r="Q7898" t="str">
            <v>磁性位置传感器</v>
          </cell>
        </row>
        <row r="7899">
          <cell r="O7899" t="str">
            <v>ATK-E512</v>
          </cell>
          <cell r="P7899" t="str">
            <v>STC4011B</v>
          </cell>
          <cell r="Q7899" t="str">
            <v>磁性位置传感器</v>
          </cell>
        </row>
        <row r="7900">
          <cell r="O7900" t="str">
            <v>ATK-E512</v>
          </cell>
          <cell r="P7900" t="str">
            <v>STC4011B</v>
          </cell>
          <cell r="Q7900" t="str">
            <v>磁性位置传感器</v>
          </cell>
        </row>
        <row r="7901">
          <cell r="O7901" t="str">
            <v>ATK-E512</v>
          </cell>
          <cell r="P7901" t="str">
            <v>STC4011B</v>
          </cell>
          <cell r="Q7901" t="str">
            <v>磁性位置传感器</v>
          </cell>
        </row>
        <row r="7902">
          <cell r="O7902" t="str">
            <v>ATK-E512</v>
          </cell>
          <cell r="P7902" t="str">
            <v>STC4011B</v>
          </cell>
          <cell r="Q7902" t="str">
            <v>磁性位置传感器</v>
          </cell>
        </row>
        <row r="7903">
          <cell r="O7903" t="str">
            <v>ATK-E512</v>
          </cell>
          <cell r="P7903" t="str">
            <v>STC4011B</v>
          </cell>
          <cell r="Q7903" t="str">
            <v>磁性位置传感器</v>
          </cell>
        </row>
        <row r="7904">
          <cell r="O7904" t="str">
            <v>ATK-E512</v>
          </cell>
          <cell r="P7904" t="str">
            <v>STC4011B</v>
          </cell>
          <cell r="Q7904" t="str">
            <v>磁性位置传感器</v>
          </cell>
        </row>
        <row r="7905">
          <cell r="O7905" t="str">
            <v>ATK-E512</v>
          </cell>
          <cell r="P7905" t="str">
            <v>STC4011B</v>
          </cell>
          <cell r="Q7905" t="str">
            <v>磁性位置传感器</v>
          </cell>
        </row>
        <row r="7906">
          <cell r="O7906" t="str">
            <v>G01</v>
          </cell>
          <cell r="P7906" t="str">
            <v>STC4011B</v>
          </cell>
          <cell r="Q7906" t="str">
            <v>磁性位置传感器</v>
          </cell>
        </row>
        <row r="7907">
          <cell r="O7907" t="str">
            <v>G01</v>
          </cell>
          <cell r="P7907" t="str">
            <v>STC4011B</v>
          </cell>
          <cell r="Q7907" t="str">
            <v>磁性位置传感器</v>
          </cell>
        </row>
        <row r="7908">
          <cell r="O7908" t="str">
            <v>G01</v>
          </cell>
          <cell r="P7908" t="str">
            <v>STC4011B</v>
          </cell>
          <cell r="Q7908" t="str">
            <v>磁性位置传感器</v>
          </cell>
        </row>
        <row r="7909">
          <cell r="O7909" t="str">
            <v>G01</v>
          </cell>
          <cell r="P7909" t="str">
            <v>STC4011B</v>
          </cell>
          <cell r="Q7909" t="str">
            <v>磁性位置传感器</v>
          </cell>
        </row>
        <row r="7910">
          <cell r="O7910" t="str">
            <v>G01</v>
          </cell>
          <cell r="P7910" t="str">
            <v>STC4011B</v>
          </cell>
          <cell r="Q7910" t="str">
            <v>磁性位置传感器</v>
          </cell>
        </row>
        <row r="7911">
          <cell r="O7911" t="str">
            <v>G01</v>
          </cell>
          <cell r="P7911" t="str">
            <v>STC4011B</v>
          </cell>
          <cell r="Q7911" t="str">
            <v>磁性位置传感器</v>
          </cell>
        </row>
        <row r="7912">
          <cell r="O7912" t="str">
            <v>SC2443SO</v>
          </cell>
          <cell r="P7912" t="str">
            <v>STC9906T</v>
          </cell>
          <cell r="Q7912" t="str">
            <v>磁性位置传感器</v>
          </cell>
        </row>
        <row r="7913">
          <cell r="O7913" t="str">
            <v>SC9621VB</v>
          </cell>
          <cell r="P7913" t="str">
            <v>STC9910C</v>
          </cell>
          <cell r="Q7913" t="str">
            <v>速度传感器</v>
          </cell>
        </row>
        <row r="7914">
          <cell r="O7914" t="str">
            <v>SC9621VB</v>
          </cell>
          <cell r="P7914" t="str">
            <v>STC9910C</v>
          </cell>
          <cell r="Q7914" t="str">
            <v>速度传感器</v>
          </cell>
        </row>
        <row r="7915">
          <cell r="O7915" t="str">
            <v>SD477S</v>
          </cell>
          <cell r="P7915" t="str">
            <v>STC22304B</v>
          </cell>
          <cell r="Q7915" t="str">
            <v>电机驱动</v>
          </cell>
        </row>
        <row r="7916">
          <cell r="O7916" t="str">
            <v>SC2438UA</v>
          </cell>
          <cell r="P7916" t="str">
            <v>STC9906I</v>
          </cell>
          <cell r="Q7916" t="str">
            <v>磁性位置传感器</v>
          </cell>
        </row>
        <row r="7917">
          <cell r="O7917" t="str">
            <v>SC2448SO</v>
          </cell>
          <cell r="P7917" t="str">
            <v>STC9906S</v>
          </cell>
          <cell r="Q7917" t="str">
            <v>磁性位置传感器</v>
          </cell>
        </row>
        <row r="7918">
          <cell r="O7918" t="str">
            <v>SC2448SO</v>
          </cell>
          <cell r="P7918" t="str">
            <v>STC9906S</v>
          </cell>
          <cell r="Q7918" t="str">
            <v>磁性位置传感器</v>
          </cell>
        </row>
        <row r="7919">
          <cell r="O7919" t="str">
            <v>SC2063UA</v>
          </cell>
          <cell r="P7919" t="str">
            <v>STC9G001C</v>
          </cell>
          <cell r="Q7919" t="str">
            <v>磁性位置传感器</v>
          </cell>
        </row>
        <row r="7920">
          <cell r="O7920" t="str">
            <v>SC1645B1</v>
          </cell>
          <cell r="P7920" t="str">
            <v>STC2899AE</v>
          </cell>
          <cell r="Q7920" t="str">
            <v>磁性位置传感器</v>
          </cell>
        </row>
        <row r="7921">
          <cell r="O7921" t="str">
            <v>SC1645B1</v>
          </cell>
          <cell r="P7921" t="str">
            <v>STC2899AE</v>
          </cell>
          <cell r="Q7921" t="str">
            <v>磁性位置传感器</v>
          </cell>
        </row>
        <row r="7922">
          <cell r="O7922" t="str">
            <v>SC1645B1</v>
          </cell>
          <cell r="P7922" t="str">
            <v>STC2899AE</v>
          </cell>
          <cell r="Q7922" t="str">
            <v>磁性位置传感器</v>
          </cell>
        </row>
        <row r="7923">
          <cell r="O7923" t="str">
            <v>SC1645B1</v>
          </cell>
          <cell r="P7923" t="str">
            <v>STC2899AE</v>
          </cell>
          <cell r="Q7923" t="str">
            <v>磁性位置传感器</v>
          </cell>
        </row>
        <row r="7924">
          <cell r="O7924" t="str">
            <v>SC1645B1</v>
          </cell>
          <cell r="P7924" t="str">
            <v>STC2899AE</v>
          </cell>
          <cell r="Q7924" t="str">
            <v>磁性位置传感器</v>
          </cell>
        </row>
        <row r="7925">
          <cell r="O7925" t="str">
            <v>SC1645B1</v>
          </cell>
          <cell r="P7925" t="str">
            <v>STC2899AE</v>
          </cell>
          <cell r="Q7925" t="str">
            <v>磁性位置传感器</v>
          </cell>
        </row>
        <row r="7926">
          <cell r="O7926" t="str">
            <v>SC1645B1</v>
          </cell>
          <cell r="P7926" t="str">
            <v>STC2899AE</v>
          </cell>
          <cell r="Q7926" t="str">
            <v>磁性位置传感器</v>
          </cell>
        </row>
        <row r="7927">
          <cell r="O7927" t="str">
            <v>SC2448SO</v>
          </cell>
          <cell r="P7927" t="str">
            <v>STC9906S</v>
          </cell>
          <cell r="Q7927" t="str">
            <v>磁性位置传感器</v>
          </cell>
        </row>
        <row r="7928">
          <cell r="O7928" t="str">
            <v>SC2448SO</v>
          </cell>
          <cell r="P7928" t="str">
            <v>STC9906S</v>
          </cell>
          <cell r="Q7928" t="str">
            <v>磁性位置传感器</v>
          </cell>
        </row>
        <row r="7929">
          <cell r="O7929" t="str">
            <v>SC2448SO</v>
          </cell>
          <cell r="P7929" t="str">
            <v>STC9906S</v>
          </cell>
          <cell r="Q7929" t="str">
            <v>磁性位置传感器</v>
          </cell>
        </row>
        <row r="7930">
          <cell r="O7930" t="str">
            <v>SC2448SO</v>
          </cell>
          <cell r="P7930" t="str">
            <v>STC9906S</v>
          </cell>
          <cell r="Q7930" t="str">
            <v>磁性位置传感器</v>
          </cell>
        </row>
        <row r="7931">
          <cell r="O7931" t="str">
            <v>SC2448SO</v>
          </cell>
          <cell r="P7931" t="str">
            <v>STC9906S</v>
          </cell>
          <cell r="Q7931" t="str">
            <v>磁性位置传感器</v>
          </cell>
        </row>
        <row r="7932">
          <cell r="O7932" t="str">
            <v>SC2448SO</v>
          </cell>
          <cell r="P7932" t="str">
            <v>STC9906S</v>
          </cell>
          <cell r="Q7932" t="str">
            <v>磁性位置传感器</v>
          </cell>
        </row>
        <row r="7933">
          <cell r="O7933" t="str">
            <v>SC2448SO</v>
          </cell>
          <cell r="P7933" t="str">
            <v>STC9906S</v>
          </cell>
          <cell r="Q7933" t="str">
            <v>磁性位置传感器</v>
          </cell>
        </row>
        <row r="7934">
          <cell r="O7934" t="str">
            <v>SC4688SA-A</v>
          </cell>
          <cell r="P7934" t="str">
            <v>STC9D01C</v>
          </cell>
          <cell r="Q7934" t="str">
            <v>角度传感器</v>
          </cell>
        </row>
        <row r="7935">
          <cell r="O7935" t="str">
            <v>SC4688SA-A</v>
          </cell>
          <cell r="P7935" t="str">
            <v>STC9D01C</v>
          </cell>
          <cell r="Q7935" t="str">
            <v>角度传感器</v>
          </cell>
        </row>
        <row r="7936">
          <cell r="O7936" t="str">
            <v>SC2242SO</v>
          </cell>
          <cell r="P7936" t="str">
            <v>STC9906H</v>
          </cell>
          <cell r="Q7936" t="str">
            <v>磁性位置传感器</v>
          </cell>
        </row>
        <row r="7937">
          <cell r="O7937" t="str">
            <v>ATK-E512</v>
          </cell>
          <cell r="P7937" t="str">
            <v>STC4011B</v>
          </cell>
          <cell r="Q7937" t="str">
            <v>磁性位置传感器</v>
          </cell>
        </row>
        <row r="7938">
          <cell r="O7938" t="str">
            <v>ATK-E512</v>
          </cell>
          <cell r="P7938" t="str">
            <v>STC4011B</v>
          </cell>
          <cell r="Q7938" t="str">
            <v>磁性位置传感器</v>
          </cell>
        </row>
        <row r="7939">
          <cell r="O7939" t="str">
            <v>ATK-E512</v>
          </cell>
          <cell r="P7939" t="str">
            <v>STC4011B</v>
          </cell>
          <cell r="Q7939" t="str">
            <v>磁性位置传感器</v>
          </cell>
        </row>
        <row r="7940">
          <cell r="O7940" t="str">
            <v>ATK-E512</v>
          </cell>
          <cell r="P7940" t="str">
            <v>STC4011B</v>
          </cell>
          <cell r="Q7940" t="str">
            <v>磁性位置传感器</v>
          </cell>
        </row>
        <row r="7941">
          <cell r="O7941" t="str">
            <v>ATK-E512</v>
          </cell>
          <cell r="P7941" t="str">
            <v>STC4011B</v>
          </cell>
          <cell r="Q7941" t="str">
            <v>磁性位置传感器</v>
          </cell>
        </row>
        <row r="7942">
          <cell r="O7942" t="str">
            <v>ATK-E512</v>
          </cell>
          <cell r="P7942" t="str">
            <v>STC4011B</v>
          </cell>
          <cell r="Q7942" t="str">
            <v>磁性位置传感器</v>
          </cell>
        </row>
        <row r="7943">
          <cell r="O7943" t="str">
            <v>ATK-E512</v>
          </cell>
          <cell r="P7943" t="str">
            <v>STC4011B</v>
          </cell>
          <cell r="Q7943" t="str">
            <v>磁性位置传感器</v>
          </cell>
        </row>
        <row r="7944">
          <cell r="O7944" t="str">
            <v>ATK-E512</v>
          </cell>
          <cell r="P7944" t="str">
            <v>STC4011B</v>
          </cell>
          <cell r="Q7944" t="str">
            <v>磁性位置传感器</v>
          </cell>
        </row>
        <row r="7945">
          <cell r="O7945" t="str">
            <v>SC2064SO</v>
          </cell>
          <cell r="P7945" t="str">
            <v>STC9G001C</v>
          </cell>
          <cell r="Q7945" t="str">
            <v>磁性位置传感器</v>
          </cell>
        </row>
        <row r="7946">
          <cell r="O7946" t="str">
            <v>KH477ST4-G</v>
          </cell>
          <cell r="P7946" t="str">
            <v>STC22304C</v>
          </cell>
          <cell r="Q7946" t="str">
            <v>电机驱动</v>
          </cell>
        </row>
        <row r="7947">
          <cell r="O7947" t="str">
            <v>SC2402SO-N</v>
          </cell>
          <cell r="P7947" t="str">
            <v>STC9902J</v>
          </cell>
          <cell r="Q7947" t="str">
            <v>磁性位置传感器</v>
          </cell>
        </row>
        <row r="7948">
          <cell r="O7948" t="str">
            <v>SC2402SO-N</v>
          </cell>
          <cell r="P7948" t="str">
            <v>STC9902J</v>
          </cell>
          <cell r="Q7948" t="str">
            <v>磁性位置传感器</v>
          </cell>
        </row>
        <row r="7949">
          <cell r="O7949" t="str">
            <v>SC9621VB</v>
          </cell>
          <cell r="P7949" t="str">
            <v>STC9910C</v>
          </cell>
          <cell r="Q7949" t="str">
            <v>速度传感器</v>
          </cell>
        </row>
        <row r="7950">
          <cell r="O7950" t="str">
            <v>SC2442UA</v>
          </cell>
          <cell r="P7950" t="str">
            <v>STC9906P</v>
          </cell>
          <cell r="Q7950" t="str">
            <v>磁性位置传感器</v>
          </cell>
        </row>
        <row r="7951">
          <cell r="O7951" t="str">
            <v>SC1134BU</v>
          </cell>
          <cell r="P7951" t="str">
            <v>STC1898AI</v>
          </cell>
          <cell r="Q7951" t="str">
            <v>磁性位置传感器</v>
          </cell>
        </row>
        <row r="7952">
          <cell r="O7952" t="str">
            <v>2100</v>
          </cell>
          <cell r="P7952" t="str">
            <v>STC9D03E</v>
          </cell>
          <cell r="Q7952" t="str">
            <v>电流传感器</v>
          </cell>
        </row>
        <row r="7953">
          <cell r="O7953" t="str">
            <v>2100</v>
          </cell>
          <cell r="P7953" t="str">
            <v>STC9D03E</v>
          </cell>
          <cell r="Q7953" t="str">
            <v>电流传感器</v>
          </cell>
        </row>
        <row r="7954">
          <cell r="O7954" t="str">
            <v>2100S</v>
          </cell>
          <cell r="P7954" t="str">
            <v>STC9D03E</v>
          </cell>
          <cell r="Q7954" t="str">
            <v>电流传感器</v>
          </cell>
        </row>
        <row r="7955">
          <cell r="O7955" t="str">
            <v>SC2442UA</v>
          </cell>
          <cell r="P7955" t="str">
            <v>STC9906P</v>
          </cell>
          <cell r="Q7955" t="str">
            <v>磁性位置传感器</v>
          </cell>
        </row>
        <row r="7956">
          <cell r="O7956" t="str">
            <v>SC2442UA</v>
          </cell>
          <cell r="P7956" t="str">
            <v>STC9906P</v>
          </cell>
          <cell r="Q7956" t="str">
            <v>磁性位置传感器</v>
          </cell>
        </row>
        <row r="7957">
          <cell r="O7957" t="str">
            <v>SC2242SO</v>
          </cell>
          <cell r="P7957" t="str">
            <v>STC9906H</v>
          </cell>
          <cell r="Q7957" t="str">
            <v>磁性位置传感器</v>
          </cell>
        </row>
        <row r="7958">
          <cell r="O7958" t="str">
            <v>SC2242SO</v>
          </cell>
          <cell r="P7958" t="str">
            <v>STC9906H</v>
          </cell>
          <cell r="Q7958" t="str">
            <v>磁性位置传感器</v>
          </cell>
        </row>
        <row r="7959">
          <cell r="O7959" t="str">
            <v>SC2242SO</v>
          </cell>
          <cell r="P7959" t="str">
            <v>STC9906H</v>
          </cell>
          <cell r="Q7959" t="str">
            <v>磁性位置传感器</v>
          </cell>
        </row>
        <row r="7960">
          <cell r="O7960" t="str">
            <v>G01</v>
          </cell>
          <cell r="P7960" t="str">
            <v>STC4011B</v>
          </cell>
          <cell r="Q7960" t="str">
            <v>磁性位置传感器</v>
          </cell>
        </row>
        <row r="7961">
          <cell r="O7961" t="str">
            <v>G01</v>
          </cell>
          <cell r="P7961" t="str">
            <v>STC4011B</v>
          </cell>
          <cell r="Q7961" t="str">
            <v>磁性位置传感器</v>
          </cell>
        </row>
        <row r="7962">
          <cell r="O7962" t="str">
            <v>G01</v>
          </cell>
          <cell r="P7962" t="str">
            <v>STC4011B</v>
          </cell>
          <cell r="Q7962" t="str">
            <v>磁性位置传感器</v>
          </cell>
        </row>
        <row r="7963">
          <cell r="O7963" t="str">
            <v>G01</v>
          </cell>
          <cell r="P7963" t="str">
            <v>STC4011B</v>
          </cell>
          <cell r="Q7963" t="str">
            <v>磁性位置传感器</v>
          </cell>
        </row>
        <row r="7964">
          <cell r="O7964" t="str">
            <v>G01</v>
          </cell>
          <cell r="P7964" t="str">
            <v>STC4011B</v>
          </cell>
          <cell r="Q7964" t="str">
            <v>磁性位置传感器</v>
          </cell>
        </row>
        <row r="7965">
          <cell r="O7965" t="str">
            <v>G01</v>
          </cell>
          <cell r="P7965" t="str">
            <v>STC4011B</v>
          </cell>
          <cell r="Q7965" t="str">
            <v>磁性位置传感器</v>
          </cell>
        </row>
        <row r="7966">
          <cell r="O7966" t="str">
            <v>G01</v>
          </cell>
          <cell r="P7966" t="str">
            <v>STC4011B</v>
          </cell>
          <cell r="Q7966" t="str">
            <v>磁性位置传感器</v>
          </cell>
        </row>
        <row r="7967">
          <cell r="O7967" t="str">
            <v>G01</v>
          </cell>
          <cell r="P7967" t="str">
            <v>STC4011B</v>
          </cell>
          <cell r="Q7967" t="str">
            <v>磁性位置传感器</v>
          </cell>
        </row>
        <row r="7968">
          <cell r="O7968" t="str">
            <v>G01</v>
          </cell>
          <cell r="P7968" t="str">
            <v>STC4011B</v>
          </cell>
          <cell r="Q7968" t="str">
            <v>磁性位置传感器</v>
          </cell>
        </row>
        <row r="7969">
          <cell r="O7969" t="str">
            <v>G01</v>
          </cell>
          <cell r="P7969" t="str">
            <v>STC4011B</v>
          </cell>
          <cell r="Q7969" t="str">
            <v>磁性位置传感器</v>
          </cell>
        </row>
        <row r="7970">
          <cell r="O7970" t="str">
            <v>G01</v>
          </cell>
          <cell r="P7970" t="str">
            <v>STC4011B</v>
          </cell>
          <cell r="Q7970" t="str">
            <v>磁性位置传感器</v>
          </cell>
        </row>
        <row r="7971">
          <cell r="O7971" t="str">
            <v>G01</v>
          </cell>
          <cell r="P7971" t="str">
            <v>STC4011B</v>
          </cell>
          <cell r="Q7971" t="str">
            <v>磁性位置传感器</v>
          </cell>
        </row>
        <row r="7972">
          <cell r="O7972" t="str">
            <v>G01</v>
          </cell>
          <cell r="P7972" t="str">
            <v>STC4011B</v>
          </cell>
          <cell r="Q7972" t="str">
            <v>磁性位置传感器</v>
          </cell>
        </row>
        <row r="7973">
          <cell r="O7973" t="str">
            <v>G01</v>
          </cell>
          <cell r="P7973" t="str">
            <v>STC4011B</v>
          </cell>
          <cell r="Q7973" t="str">
            <v>磁性位置传感器</v>
          </cell>
        </row>
        <row r="7974">
          <cell r="O7974" t="str">
            <v>G01</v>
          </cell>
          <cell r="P7974" t="str">
            <v>STC4011B</v>
          </cell>
          <cell r="Q7974" t="str">
            <v>磁性位置传感器</v>
          </cell>
        </row>
        <row r="7975">
          <cell r="O7975" t="str">
            <v>G01</v>
          </cell>
          <cell r="P7975" t="str">
            <v>STC4011B</v>
          </cell>
          <cell r="Q7975" t="str">
            <v>磁性位置传感器</v>
          </cell>
        </row>
        <row r="7976">
          <cell r="O7976" t="str">
            <v>G01</v>
          </cell>
          <cell r="P7976" t="str">
            <v>STC4011B</v>
          </cell>
          <cell r="Q7976" t="str">
            <v>磁性位置传感器</v>
          </cell>
        </row>
        <row r="7977">
          <cell r="O7977" t="str">
            <v>G01</v>
          </cell>
          <cell r="P7977" t="str">
            <v>STC4011B</v>
          </cell>
          <cell r="Q7977" t="str">
            <v>磁性位置传感器</v>
          </cell>
        </row>
        <row r="7978">
          <cell r="O7978" t="str">
            <v>2100</v>
          </cell>
          <cell r="P7978" t="str">
            <v>STC9D03E</v>
          </cell>
          <cell r="Q7978" t="str">
            <v>电流传感器</v>
          </cell>
        </row>
        <row r="7979">
          <cell r="O7979" t="str">
            <v>2100</v>
          </cell>
          <cell r="P7979" t="str">
            <v>STC9D03E</v>
          </cell>
          <cell r="Q7979" t="str">
            <v>电流传感器</v>
          </cell>
        </row>
        <row r="7980">
          <cell r="O7980" t="str">
            <v>2100</v>
          </cell>
          <cell r="P7980" t="str">
            <v>STC9D03E</v>
          </cell>
          <cell r="Q7980" t="str">
            <v>电流传感器</v>
          </cell>
        </row>
        <row r="7981">
          <cell r="O7981" t="str">
            <v>2100</v>
          </cell>
          <cell r="P7981" t="str">
            <v>STC9D03E</v>
          </cell>
          <cell r="Q7981" t="str">
            <v>电流传感器</v>
          </cell>
        </row>
        <row r="7982">
          <cell r="O7982" t="str">
            <v>SC4643VB-A</v>
          </cell>
          <cell r="P7982" t="str">
            <v>STC9D03E</v>
          </cell>
          <cell r="Q7982" t="str">
            <v>电流传感器</v>
          </cell>
        </row>
        <row r="7983">
          <cell r="O7983" t="str">
            <v>SC4643VB-A</v>
          </cell>
          <cell r="P7983" t="str">
            <v>STC9D03E</v>
          </cell>
          <cell r="Q7983" t="str">
            <v>电流传感器</v>
          </cell>
        </row>
        <row r="7984">
          <cell r="O7984" t="str">
            <v>SC4643VB-A</v>
          </cell>
          <cell r="P7984" t="str">
            <v>STC9D03E</v>
          </cell>
          <cell r="Q7984" t="str">
            <v>电流传感器</v>
          </cell>
        </row>
        <row r="7985">
          <cell r="O7985" t="str">
            <v>SC2402SO-N-G</v>
          </cell>
          <cell r="P7985" t="str">
            <v>STC9G002A</v>
          </cell>
          <cell r="Q7985" t="str">
            <v>磁性位置传感器</v>
          </cell>
        </row>
        <row r="7986">
          <cell r="O7986" t="str">
            <v>SC9625VB-L</v>
          </cell>
          <cell r="P7986" t="str">
            <v>STC9910E</v>
          </cell>
          <cell r="Q7986" t="str">
            <v>速度传感器</v>
          </cell>
        </row>
        <row r="7987">
          <cell r="O7987" t="str">
            <v>SC4689SA</v>
          </cell>
          <cell r="P7987" t="str">
            <v>STC9D01F</v>
          </cell>
          <cell r="Q7987" t="str">
            <v>角度传感器</v>
          </cell>
        </row>
        <row r="7988">
          <cell r="O7988" t="str">
            <v>SC4689SA</v>
          </cell>
          <cell r="P7988" t="str">
            <v>STC9D01F</v>
          </cell>
          <cell r="Q7988" t="str">
            <v>角度传感器</v>
          </cell>
        </row>
        <row r="7989">
          <cell r="O7989" t="str">
            <v>SC4002UA</v>
          </cell>
          <cell r="P7989" t="str">
            <v>STC4000AA</v>
          </cell>
          <cell r="Q7989" t="str">
            <v>磁性位置传感器</v>
          </cell>
        </row>
        <row r="7990">
          <cell r="O7990" t="str">
            <v>SC4688DC</v>
          </cell>
          <cell r="P7990" t="str">
            <v>STC9D01C</v>
          </cell>
          <cell r="Q7990" t="str">
            <v>角度传感器</v>
          </cell>
        </row>
        <row r="7991">
          <cell r="O7991" t="str">
            <v>SC9625VB</v>
          </cell>
          <cell r="P7991" t="str">
            <v>STC9910B</v>
          </cell>
          <cell r="Q7991" t="str">
            <v>速度传感器</v>
          </cell>
        </row>
        <row r="7992">
          <cell r="O7992" t="str">
            <v>SC9648TS-P</v>
          </cell>
          <cell r="P7992" t="str">
            <v>STC9A001I</v>
          </cell>
          <cell r="Q7992" t="str">
            <v>速度传感器</v>
          </cell>
        </row>
        <row r="7993">
          <cell r="O7993" t="str">
            <v>SC9648TS-P</v>
          </cell>
          <cell r="P7993" t="str">
            <v>STC9A001I</v>
          </cell>
          <cell r="Q7993" t="str">
            <v>速度传感器</v>
          </cell>
        </row>
        <row r="7994">
          <cell r="O7994" t="str">
            <v>SC9648TS-P</v>
          </cell>
          <cell r="P7994" t="str">
            <v>STC9A001I</v>
          </cell>
          <cell r="Q7994" t="str">
            <v>速度传感器</v>
          </cell>
        </row>
        <row r="7995">
          <cell r="O7995" t="str">
            <v>SC9641TS-P</v>
          </cell>
          <cell r="P7995" t="str">
            <v>STC9A001I</v>
          </cell>
          <cell r="Q7995" t="str">
            <v>速度传感器</v>
          </cell>
        </row>
        <row r="7996">
          <cell r="O7996" t="str">
            <v>SC9625VB-L</v>
          </cell>
          <cell r="P7996" t="str">
            <v>STC9910E</v>
          </cell>
          <cell r="Q7996" t="str">
            <v>速度传感器</v>
          </cell>
        </row>
        <row r="7997">
          <cell r="O7997" t="str">
            <v>SC2442SO</v>
          </cell>
          <cell r="P7997" t="str">
            <v>STC9906R</v>
          </cell>
          <cell r="Q7997" t="str">
            <v>磁性位置传感器</v>
          </cell>
        </row>
        <row r="7998">
          <cell r="O7998" t="str">
            <v>ZH639D0B</v>
          </cell>
          <cell r="P7998" t="str">
            <v>ZH639D0B</v>
          </cell>
          <cell r="Q7998" t="str">
            <v>电机驱动</v>
          </cell>
        </row>
        <row r="7999">
          <cell r="O7999" t="str">
            <v>SC4688DC</v>
          </cell>
          <cell r="P7999" t="str">
            <v>STC9D01C</v>
          </cell>
          <cell r="Q7999" t="str">
            <v>角度传感器</v>
          </cell>
        </row>
        <row r="8000">
          <cell r="O8000" t="str">
            <v>SC2442UA</v>
          </cell>
          <cell r="P8000" t="str">
            <v>STC9906P</v>
          </cell>
          <cell r="Q8000" t="str">
            <v>磁性位置传感器</v>
          </cell>
        </row>
        <row r="8001">
          <cell r="O8001" t="str">
            <v>SC2202SO-N</v>
          </cell>
          <cell r="P8001" t="str">
            <v>STC9902E</v>
          </cell>
          <cell r="Q8001" t="str">
            <v>磁性位置传感器</v>
          </cell>
        </row>
        <row r="8002">
          <cell r="O8002" t="str">
            <v>SC2443UA</v>
          </cell>
          <cell r="P8002" t="str">
            <v>STC9906W</v>
          </cell>
          <cell r="Q8002" t="str">
            <v>磁性位置传感器</v>
          </cell>
        </row>
        <row r="8003">
          <cell r="O8003" t="str">
            <v>SC2443UA</v>
          </cell>
          <cell r="P8003" t="str">
            <v>STC9906W</v>
          </cell>
          <cell r="Q8003" t="str">
            <v>磁性位置传感器</v>
          </cell>
        </row>
        <row r="8004">
          <cell r="O8004" t="str">
            <v>SC2443UA</v>
          </cell>
          <cell r="P8004" t="str">
            <v>STC9906W</v>
          </cell>
          <cell r="Q8004" t="str">
            <v>磁性位置传感器</v>
          </cell>
        </row>
        <row r="8005">
          <cell r="O8005" t="str">
            <v>SC2443UA</v>
          </cell>
          <cell r="P8005" t="str">
            <v>STC9906W</v>
          </cell>
          <cell r="Q8005" t="str">
            <v>磁性位置传感器</v>
          </cell>
        </row>
        <row r="8006">
          <cell r="O8006" t="str">
            <v>SC2443SO</v>
          </cell>
          <cell r="P8006" t="str">
            <v>STC9906T</v>
          </cell>
          <cell r="Q8006" t="str">
            <v>磁性位置传感器</v>
          </cell>
        </row>
        <row r="8007">
          <cell r="O8007" t="str">
            <v>SC2443SO</v>
          </cell>
          <cell r="P8007" t="str">
            <v>STC9906T</v>
          </cell>
          <cell r="Q8007" t="str">
            <v>磁性位置传感器</v>
          </cell>
        </row>
        <row r="8008">
          <cell r="O8008" t="str">
            <v>SC2443SO</v>
          </cell>
          <cell r="P8008" t="str">
            <v>STC9906T</v>
          </cell>
          <cell r="Q8008" t="str">
            <v>磁性位置传感器</v>
          </cell>
        </row>
        <row r="8009">
          <cell r="O8009" t="str">
            <v>SC2448UA-N</v>
          </cell>
          <cell r="P8009" t="str">
            <v>STC9906S</v>
          </cell>
          <cell r="Q8009" t="str">
            <v>磁性位置传感器</v>
          </cell>
        </row>
        <row r="8010">
          <cell r="O8010" t="str">
            <v>SC4643VB</v>
          </cell>
          <cell r="P8010" t="str">
            <v>STC9D03E</v>
          </cell>
          <cell r="Q8010" t="str">
            <v>电流传感器</v>
          </cell>
        </row>
        <row r="8011">
          <cell r="O8011" t="str">
            <v>SC2064UA</v>
          </cell>
          <cell r="P8011" t="str">
            <v>STC9G001C</v>
          </cell>
          <cell r="Q8011" t="str">
            <v>磁性位置传感器</v>
          </cell>
        </row>
        <row r="8012">
          <cell r="O8012" t="str">
            <v>SC2662SO-N</v>
          </cell>
          <cell r="P8012" t="str">
            <v>STC9906P</v>
          </cell>
          <cell r="Q8012" t="str">
            <v>磁性位置传感器</v>
          </cell>
        </row>
        <row r="8013">
          <cell r="O8013" t="str">
            <v>SC2662SO-N</v>
          </cell>
          <cell r="P8013" t="str">
            <v>STC9906P</v>
          </cell>
          <cell r="Q8013" t="str">
            <v>磁性位置传感器</v>
          </cell>
        </row>
        <row r="8014">
          <cell r="O8014" t="str">
            <v>SC2442SO</v>
          </cell>
          <cell r="P8014" t="str">
            <v>STC9906R</v>
          </cell>
          <cell r="Q8014" t="str">
            <v>磁性位置传感器</v>
          </cell>
        </row>
        <row r="8015">
          <cell r="O8015" t="str">
            <v>SC2442SO</v>
          </cell>
          <cell r="P8015" t="str">
            <v>STC9906R</v>
          </cell>
          <cell r="Q8015" t="str">
            <v>磁性位置传感器</v>
          </cell>
        </row>
        <row r="8016">
          <cell r="O8016" t="str">
            <v>SC9621VB</v>
          </cell>
          <cell r="P8016" t="str">
            <v>STC9910C</v>
          </cell>
          <cell r="Q8016" t="str">
            <v>速度传感器</v>
          </cell>
        </row>
        <row r="8017">
          <cell r="O8017" t="str">
            <v>SC2498SO</v>
          </cell>
          <cell r="P8017" t="str">
            <v>SC9915C</v>
          </cell>
          <cell r="Q8017" t="str">
            <v>磁性位置传感器</v>
          </cell>
        </row>
        <row r="8018">
          <cell r="O8018" t="str">
            <v>SC2498SO</v>
          </cell>
          <cell r="P8018" t="str">
            <v>SC9915C</v>
          </cell>
          <cell r="Q8018" t="str">
            <v>磁性位置传感器</v>
          </cell>
        </row>
        <row r="8019">
          <cell r="O8019" t="str">
            <v>SC2498SO</v>
          </cell>
          <cell r="P8019" t="str">
            <v>SC9915C</v>
          </cell>
          <cell r="Q8019" t="str">
            <v>磁性位置传感器</v>
          </cell>
        </row>
        <row r="8020">
          <cell r="O8020" t="str">
            <v>STC4001AB</v>
          </cell>
          <cell r="P8020" t="str">
            <v>STC4001AB</v>
          </cell>
          <cell r="Q8020" t="str">
            <v>磁性位置传感器</v>
          </cell>
        </row>
        <row r="8021">
          <cell r="O8021" t="str">
            <v>STC4001AB</v>
          </cell>
          <cell r="P8021" t="str">
            <v>STC4001AB</v>
          </cell>
          <cell r="Q8021" t="str">
            <v>磁性位置传感器</v>
          </cell>
        </row>
        <row r="8022">
          <cell r="O8022" t="str">
            <v>SC2642SO</v>
          </cell>
          <cell r="P8022" t="str">
            <v>STC9906H</v>
          </cell>
          <cell r="Q8022" t="str">
            <v>磁性位置传感器</v>
          </cell>
        </row>
        <row r="8023">
          <cell r="O8023" t="str">
            <v>SC2642SO</v>
          </cell>
          <cell r="P8023" t="str">
            <v>STC9906H</v>
          </cell>
          <cell r="Q8023" t="str">
            <v>磁性位置传感器</v>
          </cell>
        </row>
        <row r="8024">
          <cell r="O8024" t="str">
            <v>SC4688DC</v>
          </cell>
          <cell r="P8024" t="str">
            <v>STC9D01C</v>
          </cell>
          <cell r="Q8024" t="str">
            <v>角度传感器</v>
          </cell>
        </row>
        <row r="8025">
          <cell r="O8025" t="str">
            <v>SC9641TS</v>
          </cell>
          <cell r="P8025" t="str">
            <v>STC9910BN</v>
          </cell>
          <cell r="Q8025" t="str">
            <v>速度传感器</v>
          </cell>
        </row>
        <row r="8026">
          <cell r="O8026" t="str">
            <v>SC9641TS</v>
          </cell>
          <cell r="P8026" t="str">
            <v>STC9910BN</v>
          </cell>
          <cell r="Q8026" t="str">
            <v>速度传感器</v>
          </cell>
        </row>
        <row r="8027">
          <cell r="O8027" t="str">
            <v>SC9642TS</v>
          </cell>
          <cell r="P8027" t="str">
            <v>STC9A001G</v>
          </cell>
          <cell r="Q8027" t="str">
            <v>速度传感器</v>
          </cell>
        </row>
        <row r="8028">
          <cell r="O8028" t="str">
            <v>SC9642TS</v>
          </cell>
          <cell r="P8028" t="str">
            <v>STC9A001G</v>
          </cell>
          <cell r="Q8028" t="str">
            <v>速度传感器</v>
          </cell>
        </row>
        <row r="8029">
          <cell r="O8029" t="str">
            <v>SC9642TS</v>
          </cell>
          <cell r="P8029" t="str">
            <v>STC9A001G</v>
          </cell>
          <cell r="Q8029" t="str">
            <v>速度传感器</v>
          </cell>
        </row>
        <row r="8030">
          <cell r="O8030" t="str">
            <v>SC9642TS</v>
          </cell>
          <cell r="P8030" t="str">
            <v>STC9A001G</v>
          </cell>
          <cell r="Q8030" t="str">
            <v>速度传感器</v>
          </cell>
        </row>
        <row r="8031">
          <cell r="O8031" t="str">
            <v>SC9642TS</v>
          </cell>
          <cell r="P8031" t="str">
            <v>STC9A001G</v>
          </cell>
          <cell r="Q8031" t="str">
            <v>速度传感器</v>
          </cell>
        </row>
        <row r="8032">
          <cell r="O8032" t="str">
            <v>SC9642TS</v>
          </cell>
          <cell r="P8032" t="str">
            <v>STC9A001G</v>
          </cell>
          <cell r="Q8032" t="str">
            <v>速度传感器</v>
          </cell>
        </row>
        <row r="8033">
          <cell r="O8033" t="str">
            <v>SC9642TS</v>
          </cell>
          <cell r="P8033" t="str">
            <v>STC9A001G</v>
          </cell>
          <cell r="Q8033" t="str">
            <v>速度传感器</v>
          </cell>
        </row>
        <row r="8034">
          <cell r="O8034" t="str">
            <v>SC9642TS</v>
          </cell>
          <cell r="P8034" t="str">
            <v>STC9A001G</v>
          </cell>
          <cell r="Q8034" t="str">
            <v>速度传感器</v>
          </cell>
        </row>
        <row r="8035">
          <cell r="O8035" t="str">
            <v>SC9642TS</v>
          </cell>
          <cell r="P8035" t="str">
            <v>STC9A001G</v>
          </cell>
          <cell r="Q8035" t="str">
            <v>速度传感器</v>
          </cell>
        </row>
        <row r="8036">
          <cell r="O8036" t="str">
            <v>SC60224-D-1024</v>
          </cell>
          <cell r="P8036" t="str">
            <v>STC9D04C</v>
          </cell>
          <cell r="Q8036" t="str">
            <v>电机编码器</v>
          </cell>
        </row>
        <row r="8037">
          <cell r="O8037" t="str">
            <v>SC60224-D-1024</v>
          </cell>
          <cell r="P8037" t="str">
            <v>STC9D04C</v>
          </cell>
          <cell r="Q8037" t="str">
            <v>电机编码器</v>
          </cell>
        </row>
        <row r="8038">
          <cell r="O8038" t="str">
            <v>SC60228DC</v>
          </cell>
          <cell r="P8038" t="str">
            <v>STC9D04C</v>
          </cell>
          <cell r="Q8038" t="str">
            <v>电机编码器</v>
          </cell>
        </row>
        <row r="8039">
          <cell r="O8039" t="str">
            <v>SC60228DC</v>
          </cell>
          <cell r="P8039" t="str">
            <v>STC9D04C</v>
          </cell>
          <cell r="Q8039" t="str">
            <v>电机编码器</v>
          </cell>
        </row>
        <row r="8040">
          <cell r="O8040" t="str">
            <v>SC4688DC</v>
          </cell>
          <cell r="P8040" t="str">
            <v>STC9D01C</v>
          </cell>
          <cell r="Q8040" t="str">
            <v>角度传感器</v>
          </cell>
        </row>
        <row r="8041">
          <cell r="O8041" t="str">
            <v>SC4688DC</v>
          </cell>
          <cell r="P8041" t="str">
            <v>STC9D01C</v>
          </cell>
          <cell r="Q8041" t="str">
            <v>角度传感器</v>
          </cell>
        </row>
        <row r="8042">
          <cell r="O8042" t="str">
            <v>SC2242UA</v>
          </cell>
          <cell r="P8042" t="str">
            <v>STC9906H</v>
          </cell>
          <cell r="Q8042" t="str">
            <v>磁性位置传感器</v>
          </cell>
        </row>
        <row r="8043">
          <cell r="O8043" t="str">
            <v>SC2402SO-N-H</v>
          </cell>
          <cell r="P8043" t="str">
            <v>STC9H001A</v>
          </cell>
          <cell r="Q8043" t="str">
            <v>磁性位置传感器</v>
          </cell>
        </row>
        <row r="8044">
          <cell r="O8044" t="str">
            <v>SC2402SO-N-H</v>
          </cell>
          <cell r="P8044" t="str">
            <v>STC9H001A</v>
          </cell>
          <cell r="Q8044" t="str">
            <v>磁性位置传感器</v>
          </cell>
        </row>
        <row r="8045">
          <cell r="O8045" t="str">
            <v>SC2402SO-N-H</v>
          </cell>
          <cell r="P8045" t="str">
            <v>STC9H001A</v>
          </cell>
          <cell r="Q8045" t="str">
            <v>磁性位置传感器</v>
          </cell>
        </row>
        <row r="8046">
          <cell r="O8046" t="str">
            <v>SC2402SO-N-H</v>
          </cell>
          <cell r="P8046" t="str">
            <v>STC9H001A</v>
          </cell>
          <cell r="Q8046" t="str">
            <v>磁性位置传感器</v>
          </cell>
        </row>
        <row r="8047">
          <cell r="O8047" t="str">
            <v>SC2402SO-N-H</v>
          </cell>
          <cell r="P8047" t="str">
            <v>STC9H001A</v>
          </cell>
          <cell r="Q8047" t="str">
            <v>磁性位置传感器</v>
          </cell>
        </row>
        <row r="8048">
          <cell r="O8048" t="str">
            <v>SC2402SO-N-H</v>
          </cell>
          <cell r="P8048" t="str">
            <v>STC9H001A</v>
          </cell>
          <cell r="Q8048" t="str">
            <v>磁性位置传感器</v>
          </cell>
        </row>
        <row r="8049">
          <cell r="O8049" t="str">
            <v>SC9641TS-P</v>
          </cell>
          <cell r="P8049" t="str">
            <v>STC9A001I</v>
          </cell>
          <cell r="Q8049" t="str">
            <v>速度传感器</v>
          </cell>
        </row>
        <row r="8050">
          <cell r="O8050" t="str">
            <v>ATK-E512</v>
          </cell>
          <cell r="P8050" t="str">
            <v>STC4011B</v>
          </cell>
          <cell r="Q8050" t="str">
            <v>磁性位置传感器</v>
          </cell>
        </row>
        <row r="8051">
          <cell r="O8051" t="str">
            <v>ATK-E512</v>
          </cell>
          <cell r="P8051" t="str">
            <v>STC4011B</v>
          </cell>
          <cell r="Q8051" t="str">
            <v>磁性位置传感器</v>
          </cell>
        </row>
        <row r="8052">
          <cell r="O8052" t="str">
            <v>ATK-E512</v>
          </cell>
          <cell r="P8052" t="str">
            <v>STC4011B</v>
          </cell>
          <cell r="Q8052" t="str">
            <v>磁性位置传感器</v>
          </cell>
        </row>
        <row r="8053">
          <cell r="O8053" t="str">
            <v>ATK-E512</v>
          </cell>
          <cell r="P8053" t="str">
            <v>STC4011B</v>
          </cell>
          <cell r="Q8053" t="str">
            <v>磁性位置传感器</v>
          </cell>
        </row>
        <row r="8054">
          <cell r="O8054" t="str">
            <v>ATK-E512</v>
          </cell>
          <cell r="P8054" t="str">
            <v>STC4011B</v>
          </cell>
          <cell r="Q8054" t="str">
            <v>磁性位置传感器</v>
          </cell>
        </row>
        <row r="8055">
          <cell r="O8055" t="str">
            <v>ATK-E512</v>
          </cell>
          <cell r="P8055" t="str">
            <v>STC4011B</v>
          </cell>
          <cell r="Q8055" t="str">
            <v>磁性位置传感器</v>
          </cell>
        </row>
        <row r="8056">
          <cell r="O8056" t="str">
            <v>ATK-E512</v>
          </cell>
          <cell r="P8056" t="str">
            <v>STC4011B</v>
          </cell>
          <cell r="Q8056" t="str">
            <v>磁性位置传感器</v>
          </cell>
        </row>
        <row r="8057">
          <cell r="O8057" t="str">
            <v>SC2434SO</v>
          </cell>
          <cell r="P8057" t="str">
            <v>STC9906I</v>
          </cell>
          <cell r="Q8057" t="str">
            <v>磁性位置传感器</v>
          </cell>
        </row>
        <row r="8058">
          <cell r="O8058" t="str">
            <v>SC4011SO-N</v>
          </cell>
          <cell r="P8058" t="str">
            <v>STC4011B</v>
          </cell>
          <cell r="Q8058" t="str">
            <v>磁性位置传感器</v>
          </cell>
        </row>
        <row r="8059">
          <cell r="O8059" t="str">
            <v>SC4011SO-N</v>
          </cell>
          <cell r="P8059" t="str">
            <v>STC4011B</v>
          </cell>
          <cell r="Q8059" t="str">
            <v>磁性位置传感器</v>
          </cell>
        </row>
        <row r="8060">
          <cell r="O8060" t="str">
            <v>SC2242UA</v>
          </cell>
          <cell r="P8060" t="str">
            <v>STC9906H</v>
          </cell>
          <cell r="Q8060" t="str">
            <v>磁性位置传感器</v>
          </cell>
        </row>
        <row r="8061">
          <cell r="O8061" t="str">
            <v>SC2442SO-N</v>
          </cell>
          <cell r="P8061" t="str">
            <v>STC9906P</v>
          </cell>
          <cell r="Q8061" t="str">
            <v>磁性位置传感器</v>
          </cell>
        </row>
        <row r="8062">
          <cell r="O8062" t="str">
            <v>SC2442SO-N</v>
          </cell>
          <cell r="P8062" t="str">
            <v>STC9906P</v>
          </cell>
          <cell r="Q8062" t="str">
            <v>磁性位置传感器</v>
          </cell>
        </row>
        <row r="8063">
          <cell r="O8063" t="str">
            <v>SC2242SO</v>
          </cell>
          <cell r="P8063" t="str">
            <v>STC9906H</v>
          </cell>
          <cell r="Q8063" t="str">
            <v>磁性位置传感器</v>
          </cell>
        </row>
        <row r="8064">
          <cell r="O8064" t="str">
            <v>SC2242SO</v>
          </cell>
          <cell r="P8064" t="str">
            <v>STC9906H</v>
          </cell>
          <cell r="Q8064" t="str">
            <v>磁性位置传感器</v>
          </cell>
        </row>
        <row r="8065">
          <cell r="O8065" t="str">
            <v>SC2442UA</v>
          </cell>
          <cell r="P8065" t="str">
            <v>STC9906P</v>
          </cell>
          <cell r="Q8065" t="str">
            <v>磁性位置传感器</v>
          </cell>
        </row>
        <row r="8066">
          <cell r="O8066" t="str">
            <v>SC9641TS-P</v>
          </cell>
          <cell r="P8066" t="str">
            <v>STC9A001I</v>
          </cell>
          <cell r="Q8066" t="str">
            <v>速度传感器</v>
          </cell>
        </row>
        <row r="8067">
          <cell r="O8067" t="str">
            <v>SC9641TS-P</v>
          </cell>
          <cell r="P8067" t="str">
            <v>STC9A001I</v>
          </cell>
          <cell r="Q8067" t="str">
            <v>速度传感器</v>
          </cell>
        </row>
        <row r="8068">
          <cell r="O8068" t="str">
            <v>SC9641TS-P</v>
          </cell>
          <cell r="P8068" t="str">
            <v>STC9A001I</v>
          </cell>
          <cell r="Q8068" t="str">
            <v>速度传感器</v>
          </cell>
        </row>
        <row r="8069">
          <cell r="O8069" t="str">
            <v>SC2462SO</v>
          </cell>
          <cell r="P8069" t="str">
            <v>STC9906J</v>
          </cell>
          <cell r="Q8069" t="str">
            <v>磁性位置传感器</v>
          </cell>
        </row>
        <row r="8070">
          <cell r="O8070" t="str">
            <v>SC2462SO</v>
          </cell>
          <cell r="P8070" t="str">
            <v>STC9906J</v>
          </cell>
          <cell r="Q8070" t="str">
            <v>磁性位置传感器</v>
          </cell>
        </row>
        <row r="8071">
          <cell r="O8071" t="str">
            <v>SC4643VB-A</v>
          </cell>
          <cell r="P8071" t="str">
            <v>STC9D03E</v>
          </cell>
          <cell r="Q8071" t="str">
            <v>电流传感器</v>
          </cell>
        </row>
        <row r="8072">
          <cell r="O8072" t="str">
            <v>SC4643VB-A</v>
          </cell>
          <cell r="P8072" t="str">
            <v>STC9D03E</v>
          </cell>
          <cell r="Q8072" t="str">
            <v>电流传感器</v>
          </cell>
        </row>
        <row r="8073">
          <cell r="O8073" t="str">
            <v>SC4643VB-A</v>
          </cell>
          <cell r="P8073" t="str">
            <v>STC9D03E</v>
          </cell>
          <cell r="Q8073" t="str">
            <v>电流传感器</v>
          </cell>
        </row>
        <row r="8074">
          <cell r="O8074" t="str">
            <v>SC4643VB-A</v>
          </cell>
          <cell r="P8074" t="str">
            <v>STC9D03E</v>
          </cell>
          <cell r="Q8074" t="str">
            <v>电流传感器</v>
          </cell>
        </row>
        <row r="8075">
          <cell r="O8075" t="str">
            <v>SC4643VB-A</v>
          </cell>
          <cell r="P8075" t="str">
            <v>STC9D03E</v>
          </cell>
          <cell r="Q8075" t="str">
            <v>电流传感器</v>
          </cell>
        </row>
        <row r="8076">
          <cell r="O8076" t="str">
            <v>SC4643VB-A</v>
          </cell>
          <cell r="P8076" t="str">
            <v>STC9D03E</v>
          </cell>
          <cell r="Q8076" t="str">
            <v>电流传感器</v>
          </cell>
        </row>
        <row r="8077">
          <cell r="O8077" t="str">
            <v>SC4643VB-A</v>
          </cell>
          <cell r="P8077" t="str">
            <v>STC9D03E</v>
          </cell>
          <cell r="Q8077" t="str">
            <v>电流传感器</v>
          </cell>
        </row>
        <row r="8078">
          <cell r="O8078" t="str">
            <v>SC4643VB-A</v>
          </cell>
          <cell r="P8078" t="str">
            <v>STC9D03E</v>
          </cell>
          <cell r="Q8078" t="str">
            <v>电流传感器</v>
          </cell>
        </row>
        <row r="8079">
          <cell r="O8079" t="str">
            <v>SC4643VB-A</v>
          </cell>
          <cell r="P8079" t="str">
            <v>STC9D03E</v>
          </cell>
          <cell r="Q8079" t="str">
            <v>电流传感器</v>
          </cell>
        </row>
        <row r="8080">
          <cell r="O8080" t="str">
            <v>S41H</v>
          </cell>
          <cell r="P8080" t="str">
            <v>STC2899AI</v>
          </cell>
          <cell r="Q8080" t="str">
            <v>磁性位置传感器</v>
          </cell>
        </row>
        <row r="8081">
          <cell r="O8081" t="str">
            <v>S41H</v>
          </cell>
          <cell r="P8081" t="str">
            <v>STC2899AI</v>
          </cell>
          <cell r="Q8081" t="str">
            <v>磁性位置传感器</v>
          </cell>
        </row>
        <row r="8082">
          <cell r="O8082" t="str">
            <v>SC1002F1</v>
          </cell>
          <cell r="P8082" t="str">
            <v>STC1002AG</v>
          </cell>
          <cell r="Q8082" t="str">
            <v>磁性位置传感器</v>
          </cell>
        </row>
        <row r="8083">
          <cell r="O8083" t="str">
            <v>SC1002F1</v>
          </cell>
          <cell r="P8083" t="str">
            <v>STC1002AG</v>
          </cell>
          <cell r="Q8083" t="str">
            <v>磁性位置传感器</v>
          </cell>
        </row>
        <row r="8084">
          <cell r="O8084" t="str">
            <v>SC1002F1</v>
          </cell>
          <cell r="P8084" t="str">
            <v>STC1002AG</v>
          </cell>
          <cell r="Q8084" t="str">
            <v>磁性位置传感器</v>
          </cell>
        </row>
        <row r="8085">
          <cell r="O8085" t="str">
            <v>S41H</v>
          </cell>
          <cell r="P8085" t="str">
            <v>STC2899AI</v>
          </cell>
          <cell r="Q8085" t="str">
            <v>磁性位置传感器</v>
          </cell>
        </row>
        <row r="8086">
          <cell r="O8086" t="str">
            <v>S41H</v>
          </cell>
          <cell r="P8086" t="str">
            <v>STC2899AI</v>
          </cell>
          <cell r="Q8086" t="str">
            <v>磁性位置传感器</v>
          </cell>
        </row>
        <row r="8087">
          <cell r="O8087" t="str">
            <v>S41H</v>
          </cell>
          <cell r="P8087" t="str">
            <v>STC2899AI</v>
          </cell>
          <cell r="Q8087" t="str">
            <v>磁性位置传感器</v>
          </cell>
        </row>
        <row r="8088">
          <cell r="O8088" t="str">
            <v>S41H</v>
          </cell>
          <cell r="P8088" t="str">
            <v>STC2899AI</v>
          </cell>
          <cell r="Q8088" t="str">
            <v>磁性位置传感器</v>
          </cell>
        </row>
        <row r="8089">
          <cell r="O8089" t="str">
            <v>S41H-A2</v>
          </cell>
          <cell r="P8089" t="str">
            <v>STC2899AI</v>
          </cell>
          <cell r="Q8089" t="str">
            <v>磁性位置传感器</v>
          </cell>
        </row>
        <row r="8090">
          <cell r="O8090" t="str">
            <v>S41H-A2</v>
          </cell>
          <cell r="P8090" t="str">
            <v>STC2899AI</v>
          </cell>
          <cell r="Q8090" t="str">
            <v>磁性位置传感器</v>
          </cell>
        </row>
        <row r="8091">
          <cell r="O8091" t="str">
            <v>S41H-A2</v>
          </cell>
          <cell r="P8091" t="str">
            <v>STC2899AI</v>
          </cell>
          <cell r="Q8091" t="str">
            <v>磁性位置传感器</v>
          </cell>
        </row>
        <row r="8092">
          <cell r="O8092" t="str">
            <v>S41H-A2</v>
          </cell>
          <cell r="P8092" t="str">
            <v>STC2899AI</v>
          </cell>
          <cell r="Q8092" t="str">
            <v>磁性位置传感器</v>
          </cell>
        </row>
        <row r="8093">
          <cell r="O8093" t="str">
            <v>S41H-A2</v>
          </cell>
          <cell r="P8093" t="str">
            <v>STC2899AI</v>
          </cell>
          <cell r="Q8093" t="str">
            <v>磁性位置传感器</v>
          </cell>
        </row>
        <row r="8094">
          <cell r="O8094" t="str">
            <v>S41H-A2</v>
          </cell>
          <cell r="P8094" t="str">
            <v>STC2899AI</v>
          </cell>
          <cell r="Q8094" t="str">
            <v>磁性位置传感器</v>
          </cell>
        </row>
        <row r="8095">
          <cell r="O8095" t="str">
            <v>S41H</v>
          </cell>
          <cell r="P8095" t="str">
            <v>STC2899AI</v>
          </cell>
          <cell r="Q8095" t="str">
            <v>磁性位置传感器</v>
          </cell>
        </row>
        <row r="8096">
          <cell r="O8096" t="str">
            <v>SC9648TS-P</v>
          </cell>
          <cell r="P8096" t="str">
            <v>STC9A001I</v>
          </cell>
          <cell r="Q8096" t="str">
            <v>速度传感器</v>
          </cell>
        </row>
        <row r="8097">
          <cell r="O8097" t="str">
            <v>SC9642TS</v>
          </cell>
          <cell r="P8097" t="str">
            <v>STC9A001D</v>
          </cell>
          <cell r="Q8097" t="str">
            <v>速度传感器</v>
          </cell>
        </row>
        <row r="8098">
          <cell r="O8098" t="str">
            <v>SC9642TS</v>
          </cell>
          <cell r="P8098" t="str">
            <v>STC9A001D</v>
          </cell>
          <cell r="Q8098" t="str">
            <v>速度传感器</v>
          </cell>
        </row>
        <row r="8099">
          <cell r="O8099" t="str">
            <v>SC2442SO</v>
          </cell>
          <cell r="P8099" t="str">
            <v>STC9906R</v>
          </cell>
          <cell r="Q8099" t="str">
            <v>磁性位置传感器</v>
          </cell>
        </row>
        <row r="8100">
          <cell r="O8100" t="str">
            <v>SC9641TS</v>
          </cell>
          <cell r="P8100" t="str">
            <v>STC9910BN</v>
          </cell>
          <cell r="Q8100" t="str">
            <v>速度传感器</v>
          </cell>
        </row>
        <row r="8101">
          <cell r="O8101" t="str">
            <v>SC9641TS-P</v>
          </cell>
          <cell r="P8101" t="str">
            <v>STC9A001F</v>
          </cell>
          <cell r="Q8101" t="str">
            <v>速度传感器</v>
          </cell>
        </row>
        <row r="8102">
          <cell r="O8102" t="str">
            <v>SC4688SA-A</v>
          </cell>
          <cell r="P8102" t="str">
            <v>STC9D01C</v>
          </cell>
          <cell r="Q8102" t="str">
            <v>角度传感器</v>
          </cell>
        </row>
        <row r="8103">
          <cell r="O8103" t="str">
            <v>ATK-E512</v>
          </cell>
          <cell r="P8103" t="str">
            <v>STC4011B</v>
          </cell>
          <cell r="Q8103" t="str">
            <v>磁性位置传感器</v>
          </cell>
        </row>
        <row r="8104">
          <cell r="O8104" t="str">
            <v>ATK-E512</v>
          </cell>
          <cell r="P8104" t="str">
            <v>STC4011B</v>
          </cell>
          <cell r="Q8104" t="str">
            <v>磁性位置传感器</v>
          </cell>
        </row>
        <row r="8105">
          <cell r="O8105" t="str">
            <v>SC2464SO</v>
          </cell>
          <cell r="P8105" t="str">
            <v>STC9906J</v>
          </cell>
          <cell r="Q8105" t="str">
            <v>磁性位置传感器</v>
          </cell>
        </row>
        <row r="8106">
          <cell r="O8106" t="str">
            <v>SC9633VB</v>
          </cell>
          <cell r="P8106" t="str">
            <v>STC9905F</v>
          </cell>
          <cell r="Q8106" t="str">
            <v>速度传感器</v>
          </cell>
        </row>
        <row r="8107">
          <cell r="O8107" t="str">
            <v>SC4011SO-N</v>
          </cell>
          <cell r="P8107" t="str">
            <v>STC4011B</v>
          </cell>
          <cell r="Q8107" t="str">
            <v>磁性位置传感器</v>
          </cell>
        </row>
        <row r="8108">
          <cell r="O8108" t="str">
            <v>SC4011SO-N</v>
          </cell>
          <cell r="P8108" t="str">
            <v>STC4011B</v>
          </cell>
          <cell r="Q8108" t="str">
            <v>磁性位置传感器</v>
          </cell>
        </row>
        <row r="8109">
          <cell r="O8109" t="str">
            <v>SC4011SO-N</v>
          </cell>
          <cell r="P8109" t="str">
            <v>STC4011B</v>
          </cell>
          <cell r="Q8109" t="str">
            <v>磁性位置传感器</v>
          </cell>
        </row>
        <row r="8110">
          <cell r="O8110" t="str">
            <v>SC2443UA</v>
          </cell>
          <cell r="P8110" t="str">
            <v>STC9906W</v>
          </cell>
          <cell r="Q8110" t="str">
            <v>磁性位置传感器</v>
          </cell>
        </row>
        <row r="8111">
          <cell r="O8111" t="str">
            <v>SC2498TSO</v>
          </cell>
          <cell r="P8111" t="str">
            <v>STC11300C</v>
          </cell>
          <cell r="Q8111" t="str">
            <v>磁性位置传感器</v>
          </cell>
        </row>
        <row r="8112">
          <cell r="O8112" t="str">
            <v>SC2442SO-N</v>
          </cell>
          <cell r="P8112" t="str">
            <v>STC9906P</v>
          </cell>
          <cell r="Q8112" t="str">
            <v>磁性位置传感器</v>
          </cell>
        </row>
        <row r="8113">
          <cell r="O8113" t="str">
            <v>SC2442SO-N</v>
          </cell>
          <cell r="P8113" t="str">
            <v>STC9906P</v>
          </cell>
          <cell r="Q8113" t="str">
            <v>磁性位置传感器</v>
          </cell>
        </row>
        <row r="8114">
          <cell r="O8114" t="str">
            <v>SC2442SO-N</v>
          </cell>
          <cell r="P8114" t="str">
            <v>STC9906P</v>
          </cell>
          <cell r="Q8114" t="str">
            <v>磁性位置传感器</v>
          </cell>
        </row>
        <row r="8115">
          <cell r="O8115" t="str">
            <v>SC2442SO-N</v>
          </cell>
          <cell r="P8115" t="str">
            <v>STC9906P</v>
          </cell>
          <cell r="Q8115" t="str">
            <v>磁性位置传感器</v>
          </cell>
        </row>
        <row r="8116">
          <cell r="O8116" t="str">
            <v>SC2442SO-N</v>
          </cell>
          <cell r="P8116" t="str">
            <v>STC9906P</v>
          </cell>
          <cell r="Q8116" t="str">
            <v>磁性位置传感器</v>
          </cell>
        </row>
        <row r="8117">
          <cell r="O8117" t="str">
            <v>SC2442SO-N</v>
          </cell>
          <cell r="P8117" t="str">
            <v>STC9906P</v>
          </cell>
          <cell r="Q8117" t="str">
            <v>磁性位置传感器</v>
          </cell>
        </row>
        <row r="8118">
          <cell r="O8118" t="str">
            <v>SC2442SO-N</v>
          </cell>
          <cell r="P8118" t="str">
            <v>STC9906P</v>
          </cell>
          <cell r="Q8118" t="str">
            <v>磁性位置传感器</v>
          </cell>
        </row>
        <row r="8119">
          <cell r="O8119" t="str">
            <v>SC2442SO-N</v>
          </cell>
          <cell r="P8119" t="str">
            <v>STC9906P</v>
          </cell>
          <cell r="Q8119" t="str">
            <v>磁性位置传感器</v>
          </cell>
        </row>
        <row r="8120">
          <cell r="O8120" t="str">
            <v>SC2442SO-N</v>
          </cell>
          <cell r="P8120" t="str">
            <v>STC9906P</v>
          </cell>
          <cell r="Q8120" t="str">
            <v>磁性位置传感器</v>
          </cell>
        </row>
        <row r="8121">
          <cell r="O8121" t="str">
            <v>SC2442SO-N</v>
          </cell>
          <cell r="P8121" t="str">
            <v>STC9906P</v>
          </cell>
          <cell r="Q8121" t="str">
            <v>磁性位置传感器</v>
          </cell>
        </row>
        <row r="8122">
          <cell r="O8122" t="str">
            <v>SC2442SO-N</v>
          </cell>
          <cell r="P8122" t="str">
            <v>STC9906P</v>
          </cell>
          <cell r="Q8122" t="str">
            <v>磁性位置传感器</v>
          </cell>
        </row>
        <row r="8123">
          <cell r="O8123" t="str">
            <v>SC1134SO-N</v>
          </cell>
          <cell r="P8123" t="str">
            <v>STC1898AI</v>
          </cell>
          <cell r="Q8123" t="str">
            <v>磁性位置传感器</v>
          </cell>
        </row>
        <row r="8124">
          <cell r="O8124" t="str">
            <v>SC1134SO-N</v>
          </cell>
          <cell r="P8124" t="str">
            <v>STC1898AI</v>
          </cell>
          <cell r="Q8124" t="str">
            <v>磁性位置传感器</v>
          </cell>
        </row>
        <row r="8125">
          <cell r="O8125" t="str">
            <v>SC1138SO-N</v>
          </cell>
          <cell r="P8125" t="str">
            <v>STC1898AC</v>
          </cell>
          <cell r="Q8125" t="str">
            <v>磁性位置传感器</v>
          </cell>
        </row>
        <row r="8126">
          <cell r="O8126" t="str">
            <v>SC1138SO-N</v>
          </cell>
          <cell r="P8126" t="str">
            <v>STC1898AC</v>
          </cell>
          <cell r="Q8126" t="str">
            <v>磁性位置传感器</v>
          </cell>
        </row>
        <row r="8127">
          <cell r="O8127" t="str">
            <v>SC1138SO-N</v>
          </cell>
          <cell r="P8127" t="str">
            <v>STC1898AC</v>
          </cell>
          <cell r="Q8127" t="str">
            <v>磁性位置传感器</v>
          </cell>
        </row>
        <row r="8128">
          <cell r="O8128" t="str">
            <v>SC1138SO-N</v>
          </cell>
          <cell r="P8128" t="str">
            <v>STC1898AC</v>
          </cell>
          <cell r="Q8128" t="str">
            <v>磁性位置传感器</v>
          </cell>
        </row>
        <row r="8129">
          <cell r="O8129" t="str">
            <v>SC1138SO-N</v>
          </cell>
          <cell r="P8129" t="str">
            <v>STC1898AC</v>
          </cell>
          <cell r="Q8129" t="str">
            <v>磁性位置传感器</v>
          </cell>
        </row>
        <row r="8130">
          <cell r="O8130" t="str">
            <v>SC1138SO-N</v>
          </cell>
          <cell r="P8130" t="str">
            <v>STC1898AC</v>
          </cell>
          <cell r="Q8130" t="str">
            <v>磁性位置传感器</v>
          </cell>
        </row>
        <row r="8131">
          <cell r="O8131" t="str">
            <v>SC4688SA</v>
          </cell>
          <cell r="P8131" t="str">
            <v>STC9D01C</v>
          </cell>
          <cell r="Q8131" t="str">
            <v>角度传感器</v>
          </cell>
        </row>
        <row r="8132">
          <cell r="O8132" t="str">
            <v>SC4688SA</v>
          </cell>
          <cell r="P8132" t="str">
            <v>STC9D01C</v>
          </cell>
          <cell r="Q8132" t="str">
            <v>角度传感器</v>
          </cell>
        </row>
        <row r="8133">
          <cell r="O8133" t="str">
            <v>SC4688SA</v>
          </cell>
          <cell r="P8133" t="str">
            <v>STC9D01C</v>
          </cell>
          <cell r="Q8133" t="str">
            <v>角度传感器</v>
          </cell>
        </row>
        <row r="8134">
          <cell r="O8134" t="str">
            <v>SC4688SA</v>
          </cell>
          <cell r="P8134" t="str">
            <v>STC9D01C</v>
          </cell>
          <cell r="Q8134" t="str">
            <v>角度传感器</v>
          </cell>
        </row>
        <row r="8135">
          <cell r="O8135" t="str">
            <v>SC4688SA</v>
          </cell>
          <cell r="P8135" t="str">
            <v>STC9D01C</v>
          </cell>
          <cell r="Q8135" t="str">
            <v>角度传感器</v>
          </cell>
        </row>
        <row r="8136">
          <cell r="O8136" t="str">
            <v>SC2464SO</v>
          </cell>
          <cell r="P8136" t="str">
            <v>STC9906J</v>
          </cell>
          <cell r="Q8136" t="str">
            <v>磁性位置传感器</v>
          </cell>
        </row>
        <row r="8137">
          <cell r="O8137" t="str">
            <v>SC1245UA</v>
          </cell>
          <cell r="P8137" t="str">
            <v>STC1898AD</v>
          </cell>
          <cell r="Q8137" t="str">
            <v>磁性位置传感器</v>
          </cell>
        </row>
        <row r="8138">
          <cell r="O8138" t="str">
            <v>SC1645B1</v>
          </cell>
          <cell r="P8138" t="str">
            <v>STC2899AE</v>
          </cell>
          <cell r="Q8138" t="str">
            <v>磁性位置传感器</v>
          </cell>
        </row>
        <row r="8139">
          <cell r="O8139" t="str">
            <v>SC1645B1</v>
          </cell>
          <cell r="P8139" t="str">
            <v>STC2899AE</v>
          </cell>
          <cell r="Q8139" t="str">
            <v>磁性位置传感器</v>
          </cell>
        </row>
        <row r="8140">
          <cell r="O8140" t="str">
            <v>SC1645B1</v>
          </cell>
          <cell r="P8140" t="str">
            <v>STC2899AE</v>
          </cell>
          <cell r="Q8140" t="str">
            <v>磁性位置传感器</v>
          </cell>
        </row>
        <row r="8141">
          <cell r="O8141" t="str">
            <v>SC1645B1</v>
          </cell>
          <cell r="P8141" t="str">
            <v>STC2899AE</v>
          </cell>
          <cell r="Q8141" t="str">
            <v>磁性位置传感器</v>
          </cell>
        </row>
        <row r="8142">
          <cell r="O8142" t="str">
            <v>SC1645B1</v>
          </cell>
          <cell r="P8142" t="str">
            <v>STC2899AE</v>
          </cell>
          <cell r="Q8142" t="str">
            <v>磁性位置传感器</v>
          </cell>
        </row>
        <row r="8143">
          <cell r="O8143" t="str">
            <v>SC1645B1</v>
          </cell>
          <cell r="P8143" t="str">
            <v>STC2899AE</v>
          </cell>
          <cell r="Q8143" t="str">
            <v>磁性位置传感器</v>
          </cell>
        </row>
        <row r="8144">
          <cell r="O8144" t="str">
            <v>SC1645B1</v>
          </cell>
          <cell r="P8144" t="str">
            <v>STC2899AE</v>
          </cell>
          <cell r="Q8144" t="str">
            <v>磁性位置传感器</v>
          </cell>
        </row>
        <row r="8145">
          <cell r="O8145" t="str">
            <v>SC1645B2</v>
          </cell>
          <cell r="P8145" t="str">
            <v>STC2899AI</v>
          </cell>
          <cell r="Q8145" t="str">
            <v>磁性位置传感器</v>
          </cell>
        </row>
        <row r="8146">
          <cell r="O8146" t="str">
            <v>SC1645B2</v>
          </cell>
          <cell r="P8146" t="str">
            <v>STC2899AI</v>
          </cell>
          <cell r="Q8146" t="str">
            <v>磁性位置传感器</v>
          </cell>
        </row>
        <row r="8147">
          <cell r="O8147" t="str">
            <v>SC1645B2</v>
          </cell>
          <cell r="P8147" t="str">
            <v>STC2899AI</v>
          </cell>
          <cell r="Q8147" t="str">
            <v>磁性位置传感器</v>
          </cell>
        </row>
        <row r="8148">
          <cell r="O8148" t="str">
            <v>SC4624SP50B5</v>
          </cell>
          <cell r="P8148" t="str">
            <v>STC9D06F</v>
          </cell>
          <cell r="Q8148" t="str">
            <v>电流传感器</v>
          </cell>
        </row>
        <row r="8149">
          <cell r="O8149" t="str">
            <v>KH276</v>
          </cell>
          <cell r="P8149" t="str">
            <v>FD1014A</v>
          </cell>
          <cell r="Q8149" t="str">
            <v>电机驱动</v>
          </cell>
        </row>
        <row r="8150">
          <cell r="O8150" t="str">
            <v>SC9648TS-P</v>
          </cell>
          <cell r="P8150" t="str">
            <v>STC9A001I</v>
          </cell>
          <cell r="Q8150" t="str">
            <v>速度传感器</v>
          </cell>
        </row>
        <row r="8151">
          <cell r="O8151" t="str">
            <v>SC2436SO</v>
          </cell>
          <cell r="P8151" t="str">
            <v>STC9906I</v>
          </cell>
          <cell r="Q8151" t="str">
            <v>磁性位置传感器</v>
          </cell>
        </row>
        <row r="8152">
          <cell r="O8152" t="str">
            <v>SC2436SO</v>
          </cell>
          <cell r="P8152" t="str">
            <v>STC9906I</v>
          </cell>
          <cell r="Q8152" t="str">
            <v>磁性位置传感器</v>
          </cell>
        </row>
        <row r="8153">
          <cell r="O8153" t="str">
            <v>ATK-E512</v>
          </cell>
          <cell r="P8153" t="str">
            <v>STC4011B</v>
          </cell>
          <cell r="Q8153" t="str">
            <v>磁性位置传感器</v>
          </cell>
        </row>
        <row r="8154">
          <cell r="O8154" t="str">
            <v>ATK-E512</v>
          </cell>
          <cell r="P8154" t="str">
            <v>STC4011B</v>
          </cell>
          <cell r="Q8154" t="str">
            <v>磁性位置传感器</v>
          </cell>
        </row>
        <row r="8155">
          <cell r="O8155" t="str">
            <v>ATK-E512</v>
          </cell>
          <cell r="P8155" t="str">
            <v>STC4011B</v>
          </cell>
          <cell r="Q8155" t="str">
            <v>磁性位置传感器</v>
          </cell>
        </row>
        <row r="8156">
          <cell r="O8156" t="str">
            <v>ATK-E512</v>
          </cell>
          <cell r="P8156" t="str">
            <v>STC4011B</v>
          </cell>
          <cell r="Q8156" t="str">
            <v>磁性位置传感器</v>
          </cell>
        </row>
        <row r="8157">
          <cell r="O8157" t="str">
            <v>ATK-E512</v>
          </cell>
          <cell r="P8157" t="str">
            <v>STC4011B</v>
          </cell>
          <cell r="Q8157" t="str">
            <v>磁性位置传感器</v>
          </cell>
        </row>
        <row r="8158">
          <cell r="O8158" t="str">
            <v>ATK-E512</v>
          </cell>
          <cell r="P8158" t="str">
            <v>STC4011B</v>
          </cell>
          <cell r="Q8158" t="str">
            <v>磁性位置传感器</v>
          </cell>
        </row>
        <row r="8159">
          <cell r="O8159" t="str">
            <v>ATK-E512</v>
          </cell>
          <cell r="P8159" t="str">
            <v>STC4011B</v>
          </cell>
          <cell r="Q8159" t="str">
            <v>磁性位置传感器</v>
          </cell>
        </row>
        <row r="8160">
          <cell r="O8160" t="str">
            <v>ATK-E512</v>
          </cell>
          <cell r="P8160" t="str">
            <v>STC4011B</v>
          </cell>
          <cell r="Q8160" t="str">
            <v>磁性位置传感器</v>
          </cell>
        </row>
        <row r="8161">
          <cell r="O8161" t="str">
            <v>ATK-E512</v>
          </cell>
          <cell r="P8161" t="str">
            <v>STC4011B</v>
          </cell>
          <cell r="Q8161" t="str">
            <v>磁性位置传感器</v>
          </cell>
        </row>
        <row r="8162">
          <cell r="O8162" t="str">
            <v>ATK-E512</v>
          </cell>
          <cell r="P8162" t="str">
            <v>STC4011B</v>
          </cell>
          <cell r="Q8162" t="str">
            <v>磁性位置传感器</v>
          </cell>
        </row>
        <row r="8163">
          <cell r="O8163" t="str">
            <v>SC2402SO-N</v>
          </cell>
          <cell r="P8163" t="str">
            <v>STC9902J</v>
          </cell>
          <cell r="Q8163" t="str">
            <v>磁性位置传感器</v>
          </cell>
        </row>
        <row r="8164">
          <cell r="O8164" t="str">
            <v>SC2402SO-N</v>
          </cell>
          <cell r="P8164" t="str">
            <v>STC9902J</v>
          </cell>
          <cell r="Q8164" t="str">
            <v>磁性位置传感器</v>
          </cell>
        </row>
        <row r="8165">
          <cell r="O8165" t="str">
            <v>SC2064SO</v>
          </cell>
          <cell r="P8165" t="str">
            <v>STC9G001C</v>
          </cell>
          <cell r="Q8165" t="str">
            <v>磁性位置传感器</v>
          </cell>
        </row>
        <row r="8166">
          <cell r="O8166" t="str">
            <v>SC2202SO-N</v>
          </cell>
          <cell r="P8166" t="str">
            <v>STC9902E</v>
          </cell>
          <cell r="Q8166" t="str">
            <v>磁性位置传感器</v>
          </cell>
        </row>
        <row r="8167">
          <cell r="O8167" t="str">
            <v>SC9621VB</v>
          </cell>
          <cell r="P8167" t="str">
            <v>STC9910C</v>
          </cell>
          <cell r="Q8167" t="str">
            <v>速度传感器</v>
          </cell>
        </row>
        <row r="8168">
          <cell r="O8168" t="str">
            <v>SC4011UA</v>
          </cell>
          <cell r="P8168" t="str">
            <v>STC4011B</v>
          </cell>
          <cell r="Q8168" t="str">
            <v>磁性位置传感器</v>
          </cell>
        </row>
        <row r="8169">
          <cell r="O8169" t="str">
            <v>SC2498SO</v>
          </cell>
          <cell r="P8169" t="str">
            <v>SC9915C</v>
          </cell>
          <cell r="Q8169" t="str">
            <v>磁性位置传感器</v>
          </cell>
        </row>
        <row r="8170">
          <cell r="O8170" t="str">
            <v>SC4002UA</v>
          </cell>
          <cell r="P8170" t="str">
            <v>STC4000AA</v>
          </cell>
          <cell r="Q8170" t="str">
            <v>磁性位置传感器</v>
          </cell>
        </row>
        <row r="8171">
          <cell r="O8171" t="str">
            <v>SC4002UA</v>
          </cell>
          <cell r="P8171" t="str">
            <v>STC4000AA</v>
          </cell>
          <cell r="Q8171" t="str">
            <v>磁性位置传感器</v>
          </cell>
        </row>
        <row r="8172">
          <cell r="O8172" t="str">
            <v>SC9648TS-P</v>
          </cell>
          <cell r="P8172" t="str">
            <v>STC9A001I</v>
          </cell>
          <cell r="Q8172" t="str">
            <v>速度传感器</v>
          </cell>
        </row>
        <row r="8173">
          <cell r="O8173" t="str">
            <v>SC9648TS-P</v>
          </cell>
          <cell r="P8173" t="str">
            <v>STC9A001I</v>
          </cell>
          <cell r="Q8173" t="str">
            <v>速度传感器</v>
          </cell>
        </row>
        <row r="8174">
          <cell r="O8174" t="str">
            <v>SC2442SO</v>
          </cell>
          <cell r="P8174" t="str">
            <v>STC9906R</v>
          </cell>
          <cell r="Q8174" t="str">
            <v>磁性位置传感器</v>
          </cell>
        </row>
        <row r="8175">
          <cell r="O8175" t="str">
            <v>SC2442SO</v>
          </cell>
          <cell r="P8175" t="str">
            <v>STC9906R</v>
          </cell>
          <cell r="Q8175" t="str">
            <v>磁性位置传感器</v>
          </cell>
        </row>
        <row r="8176">
          <cell r="O8176" t="str">
            <v>SC4643VB-A</v>
          </cell>
          <cell r="P8176" t="str">
            <v>STC9D03E</v>
          </cell>
          <cell r="Q8176" t="str">
            <v>电流传感器</v>
          </cell>
        </row>
        <row r="8177">
          <cell r="O8177" t="str">
            <v>SC2442SO</v>
          </cell>
          <cell r="P8177" t="str">
            <v>STC9906R</v>
          </cell>
          <cell r="Q8177" t="str">
            <v>磁性位置传感器</v>
          </cell>
        </row>
        <row r="8178">
          <cell r="O8178" t="str">
            <v>SC1245UA</v>
          </cell>
          <cell r="P8178" t="str">
            <v>STC1898AD</v>
          </cell>
          <cell r="Q8178" t="str">
            <v>磁性位置传感器</v>
          </cell>
        </row>
        <row r="8179">
          <cell r="O8179" t="str">
            <v>SC4643VB</v>
          </cell>
          <cell r="P8179" t="str">
            <v>STC9D03E</v>
          </cell>
          <cell r="Q8179" t="str">
            <v>电流传感器</v>
          </cell>
        </row>
        <row r="8180">
          <cell r="O8180" t="str">
            <v>SC2498CUA-N</v>
          </cell>
          <cell r="P8180" t="str">
            <v>SC9915C</v>
          </cell>
          <cell r="Q8180" t="str">
            <v>磁性位置传感器</v>
          </cell>
        </row>
        <row r="8181">
          <cell r="O8181" t="str">
            <v>SC2498CUA-N</v>
          </cell>
          <cell r="P8181" t="str">
            <v>SC9915C</v>
          </cell>
          <cell r="Q8181" t="str">
            <v>磁性位置传感器</v>
          </cell>
        </row>
        <row r="8182">
          <cell r="O8182" t="str">
            <v>SC2498CUA-N</v>
          </cell>
          <cell r="P8182" t="str">
            <v>SC9915C</v>
          </cell>
          <cell r="Q8182" t="str">
            <v>磁性位置传感器</v>
          </cell>
        </row>
        <row r="8183">
          <cell r="O8183" t="str">
            <v>SC2498CUA-N</v>
          </cell>
          <cell r="P8183" t="str">
            <v>SC9915C</v>
          </cell>
          <cell r="Q8183" t="str">
            <v>磁性位置传感器</v>
          </cell>
        </row>
        <row r="8184">
          <cell r="O8184" t="str">
            <v>SC2498CUA-N</v>
          </cell>
          <cell r="P8184" t="str">
            <v>SC9915C</v>
          </cell>
          <cell r="Q8184" t="str">
            <v>磁性位置传感器</v>
          </cell>
        </row>
        <row r="8185">
          <cell r="O8185" t="str">
            <v>SC9621VB</v>
          </cell>
          <cell r="P8185" t="str">
            <v>STC9910C</v>
          </cell>
          <cell r="Q8185" t="str">
            <v>速度传感器</v>
          </cell>
        </row>
        <row r="8186">
          <cell r="O8186" t="str">
            <v>SC2442SO</v>
          </cell>
          <cell r="P8186" t="str">
            <v>STC9906R</v>
          </cell>
          <cell r="Q8186" t="str">
            <v>磁性位置传感器</v>
          </cell>
        </row>
        <row r="8187">
          <cell r="O8187" t="str">
            <v>SC2442SO</v>
          </cell>
          <cell r="P8187" t="str">
            <v>STC9906R</v>
          </cell>
          <cell r="Q8187" t="str">
            <v>磁性位置传感器</v>
          </cell>
        </row>
        <row r="8188">
          <cell r="O8188" t="str">
            <v>SC9641TS</v>
          </cell>
          <cell r="P8188" t="str">
            <v>STC9910BN</v>
          </cell>
          <cell r="Q8188" t="str">
            <v>速度传感器</v>
          </cell>
        </row>
        <row r="8189">
          <cell r="O8189" t="str">
            <v>SC9641TS</v>
          </cell>
          <cell r="P8189" t="str">
            <v>STC9910BN</v>
          </cell>
          <cell r="Q8189" t="str">
            <v>速度传感器</v>
          </cell>
        </row>
        <row r="8190">
          <cell r="O8190" t="str">
            <v>SC9641TS</v>
          </cell>
          <cell r="P8190" t="str">
            <v>STC9910BN</v>
          </cell>
          <cell r="Q8190" t="str">
            <v>速度传感器</v>
          </cell>
        </row>
        <row r="8191">
          <cell r="O8191" t="str">
            <v>SC9641TS</v>
          </cell>
          <cell r="P8191" t="str">
            <v>STC9910BN</v>
          </cell>
          <cell r="Q8191" t="str">
            <v>速度传感器</v>
          </cell>
        </row>
        <row r="8192">
          <cell r="O8192" t="str">
            <v>SC9648TS-P</v>
          </cell>
          <cell r="P8192" t="str">
            <v>STC9A001I</v>
          </cell>
          <cell r="Q8192" t="str">
            <v>速度传感器</v>
          </cell>
        </row>
        <row r="8193">
          <cell r="O8193" t="str">
            <v>SC9648TS-P</v>
          </cell>
          <cell r="P8193" t="str">
            <v>STC9A001I</v>
          </cell>
          <cell r="Q8193" t="str">
            <v>速度传感器</v>
          </cell>
        </row>
        <row r="8194">
          <cell r="O8194" t="str">
            <v>SC2430UA</v>
          </cell>
          <cell r="P8194" t="str">
            <v>STC9906I</v>
          </cell>
          <cell r="Q8194" t="str">
            <v>磁性位置传感器</v>
          </cell>
        </row>
        <row r="8195">
          <cell r="O8195" t="str">
            <v>SC9621VB</v>
          </cell>
          <cell r="P8195" t="str">
            <v>STC9910C</v>
          </cell>
          <cell r="Q8195" t="str">
            <v>速度传感器</v>
          </cell>
        </row>
        <row r="8196">
          <cell r="O8196" t="str">
            <v>SC4689SA</v>
          </cell>
          <cell r="P8196" t="str">
            <v>STC9D01F</v>
          </cell>
          <cell r="Q8196" t="str">
            <v>角度传感器</v>
          </cell>
        </row>
        <row r="8197">
          <cell r="O8197" t="str">
            <v>SD477S</v>
          </cell>
          <cell r="P8197" t="str">
            <v>STC22304B</v>
          </cell>
          <cell r="Q8197" t="str">
            <v>电机驱动</v>
          </cell>
        </row>
        <row r="8198">
          <cell r="O8198" t="str">
            <v>SC4002UA</v>
          </cell>
          <cell r="P8198" t="str">
            <v>STC4000AA</v>
          </cell>
          <cell r="Q8198" t="str">
            <v>磁性位置传感器</v>
          </cell>
        </row>
        <row r="8199">
          <cell r="O8199" t="str">
            <v>ATK-E512</v>
          </cell>
          <cell r="P8199" t="str">
            <v>STC4011B</v>
          </cell>
          <cell r="Q8199" t="str">
            <v>磁性位置传感器</v>
          </cell>
        </row>
        <row r="8200">
          <cell r="O8200" t="str">
            <v>ATK-E512</v>
          </cell>
          <cell r="P8200" t="str">
            <v>STC4011B</v>
          </cell>
          <cell r="Q8200" t="str">
            <v>磁性位置传感器</v>
          </cell>
        </row>
        <row r="8201">
          <cell r="O8201" t="str">
            <v>ATK-E512</v>
          </cell>
          <cell r="P8201" t="str">
            <v>STC4011B</v>
          </cell>
          <cell r="Q8201" t="str">
            <v>磁性位置传感器</v>
          </cell>
        </row>
        <row r="8202">
          <cell r="O8202" t="str">
            <v>ATK-E512</v>
          </cell>
          <cell r="P8202" t="str">
            <v>STC4011B</v>
          </cell>
          <cell r="Q8202" t="str">
            <v>磁性位置传感器</v>
          </cell>
        </row>
        <row r="8203">
          <cell r="O8203" t="str">
            <v>ATK-E512</v>
          </cell>
          <cell r="P8203" t="str">
            <v>STC4011B</v>
          </cell>
          <cell r="Q8203" t="str">
            <v>磁性位置传感器</v>
          </cell>
        </row>
        <row r="8204">
          <cell r="O8204" t="str">
            <v>SC2402SO-N-H</v>
          </cell>
          <cell r="P8204" t="str">
            <v>STC9H001A</v>
          </cell>
          <cell r="Q8204" t="str">
            <v>磁性位置传感器</v>
          </cell>
        </row>
        <row r="8205">
          <cell r="O8205" t="str">
            <v>SC2402SO-N-H</v>
          </cell>
          <cell r="P8205" t="str">
            <v>STC9H001A</v>
          </cell>
          <cell r="Q8205" t="str">
            <v>磁性位置传感器</v>
          </cell>
        </row>
        <row r="8206">
          <cell r="O8206" t="str">
            <v>SC2546VB</v>
          </cell>
          <cell r="P8206" t="str">
            <v>STC9906H</v>
          </cell>
          <cell r="Q8206" t="str">
            <v>磁性位置传感器</v>
          </cell>
        </row>
        <row r="8207">
          <cell r="O8207" t="str">
            <v>SC4011SO-N</v>
          </cell>
          <cell r="P8207" t="str">
            <v>STC4011B</v>
          </cell>
          <cell r="Q8207" t="str">
            <v>磁性位置传感器</v>
          </cell>
        </row>
        <row r="8208">
          <cell r="O8208" t="str">
            <v>SC4011SO-N</v>
          </cell>
          <cell r="P8208" t="str">
            <v>STC4011B</v>
          </cell>
          <cell r="Q8208" t="str">
            <v>磁性位置传感器</v>
          </cell>
        </row>
        <row r="8209">
          <cell r="O8209" t="str">
            <v>STC4011B-DS</v>
          </cell>
          <cell r="P8209" t="str">
            <v>STC4011B</v>
          </cell>
          <cell r="Q8209" t="str">
            <v>磁性位置传感器</v>
          </cell>
        </row>
        <row r="8210">
          <cell r="O8210" t="str">
            <v>SC9625VB-L</v>
          </cell>
          <cell r="P8210" t="str">
            <v>STC9910E</v>
          </cell>
          <cell r="Q8210" t="str">
            <v>速度传感器</v>
          </cell>
        </row>
        <row r="8211">
          <cell r="O8211" t="str">
            <v>SC9625VB-L</v>
          </cell>
          <cell r="P8211" t="str">
            <v>STC9910E</v>
          </cell>
          <cell r="Q8211" t="str">
            <v>速度传感器</v>
          </cell>
        </row>
        <row r="8212">
          <cell r="O8212" t="str">
            <v>SC2436SO</v>
          </cell>
          <cell r="P8212" t="str">
            <v>STC9906I</v>
          </cell>
          <cell r="Q8212" t="str">
            <v>磁性位置传感器</v>
          </cell>
        </row>
        <row r="8213">
          <cell r="O8213" t="str">
            <v>SC2436SO</v>
          </cell>
          <cell r="P8213" t="str">
            <v>STC9906I</v>
          </cell>
          <cell r="Q8213" t="str">
            <v>磁性位置传感器</v>
          </cell>
        </row>
        <row r="8214">
          <cell r="O8214" t="str">
            <v>SC9641TS-P</v>
          </cell>
          <cell r="P8214" t="str">
            <v>STC9A001I</v>
          </cell>
          <cell r="Q8214" t="str">
            <v>速度传感器</v>
          </cell>
        </row>
        <row r="8215">
          <cell r="O8215" t="str">
            <v>SC9641TS-P</v>
          </cell>
          <cell r="P8215" t="str">
            <v>STC9A001I</v>
          </cell>
          <cell r="Q8215" t="str">
            <v>速度传感器</v>
          </cell>
        </row>
        <row r="8216">
          <cell r="O8216" t="str">
            <v>SC9641TS-P</v>
          </cell>
          <cell r="P8216" t="str">
            <v>STC9A001I</v>
          </cell>
          <cell r="Q8216" t="str">
            <v>速度传感器</v>
          </cell>
        </row>
        <row r="8217">
          <cell r="O8217" t="str">
            <v>SC9641TS-P</v>
          </cell>
          <cell r="P8217" t="str">
            <v>STC9A001I</v>
          </cell>
          <cell r="Q8217" t="str">
            <v>速度传感器</v>
          </cell>
        </row>
        <row r="8218">
          <cell r="O8218" t="str">
            <v>SC9641TS-P</v>
          </cell>
          <cell r="P8218" t="str">
            <v>STC9A001I</v>
          </cell>
          <cell r="Q8218" t="str">
            <v>速度传感器</v>
          </cell>
        </row>
        <row r="8219">
          <cell r="O8219" t="str">
            <v>SC9625VB-L</v>
          </cell>
          <cell r="P8219" t="str">
            <v>STC9910E</v>
          </cell>
          <cell r="Q8219" t="str">
            <v>速度传感器</v>
          </cell>
        </row>
        <row r="8220">
          <cell r="O8220" t="str">
            <v>SC9625VB-L</v>
          </cell>
          <cell r="P8220" t="str">
            <v>STC9910E</v>
          </cell>
          <cell r="Q8220" t="str">
            <v>速度传感器</v>
          </cell>
        </row>
        <row r="8221">
          <cell r="O8221" t="str">
            <v>SC9625VB-L</v>
          </cell>
          <cell r="P8221" t="str">
            <v>STC9910E</v>
          </cell>
          <cell r="Q8221" t="str">
            <v>速度传感器</v>
          </cell>
        </row>
        <row r="8222">
          <cell r="O8222" t="str">
            <v>SC9625VB-L</v>
          </cell>
          <cell r="P8222" t="str">
            <v>STC9910E</v>
          </cell>
          <cell r="Q8222" t="str">
            <v>速度传感器</v>
          </cell>
        </row>
        <row r="8223">
          <cell r="O8223" t="str">
            <v>SC2498TSO</v>
          </cell>
          <cell r="P8223" t="str">
            <v>STC11300C</v>
          </cell>
          <cell r="Q8223" t="str">
            <v>磁性位置传感器</v>
          </cell>
        </row>
        <row r="8224">
          <cell r="O8224" t="str">
            <v>SC9641TS</v>
          </cell>
          <cell r="P8224" t="str">
            <v>STC9910BN</v>
          </cell>
          <cell r="Q8224" t="str">
            <v>速度传感器</v>
          </cell>
        </row>
        <row r="8225">
          <cell r="O8225" t="str">
            <v>SC9641TS</v>
          </cell>
          <cell r="P8225" t="str">
            <v>STC9910BN</v>
          </cell>
          <cell r="Q8225" t="str">
            <v>速度传感器</v>
          </cell>
        </row>
        <row r="8226">
          <cell r="O8226" t="str">
            <v>SC9648TS-P</v>
          </cell>
          <cell r="P8226" t="str">
            <v>STC9A001I</v>
          </cell>
          <cell r="Q8226" t="str">
            <v>速度传感器</v>
          </cell>
        </row>
        <row r="8227">
          <cell r="O8227" t="str">
            <v>SC9648TS-P</v>
          </cell>
          <cell r="P8227" t="str">
            <v>STC9A001I</v>
          </cell>
          <cell r="Q8227" t="str">
            <v>速度传感器</v>
          </cell>
        </row>
        <row r="8228">
          <cell r="O8228" t="str">
            <v>SC9641TS-PC</v>
          </cell>
          <cell r="P8228" t="str">
            <v>STC9A001I</v>
          </cell>
          <cell r="Q8228" t="str">
            <v>速度传感器</v>
          </cell>
        </row>
        <row r="8229">
          <cell r="O8229" t="str">
            <v>SC9641TS-PC</v>
          </cell>
          <cell r="P8229" t="str">
            <v>STC9A001I</v>
          </cell>
          <cell r="Q8229" t="str">
            <v>速度传感器</v>
          </cell>
        </row>
        <row r="8230">
          <cell r="O8230" t="str">
            <v>SC4688SA-A</v>
          </cell>
          <cell r="P8230" t="str">
            <v>STC9D01C</v>
          </cell>
          <cell r="Q8230" t="str">
            <v>角度传感器</v>
          </cell>
        </row>
        <row r="8231">
          <cell r="O8231" t="str">
            <v>SC9675IM-P-LRF00</v>
          </cell>
          <cell r="P8231" t="str">
            <v>STC9A002B</v>
          </cell>
          <cell r="Q8231" t="str">
            <v>速度传感器</v>
          </cell>
        </row>
        <row r="8232">
          <cell r="O8232" t="str">
            <v>SC9314UA</v>
          </cell>
          <cell r="P8232" t="str">
            <v>STC9901AF</v>
          </cell>
          <cell r="Q8232" t="str">
            <v>速度传感器</v>
          </cell>
        </row>
        <row r="8233">
          <cell r="O8233" t="str">
            <v>SC9641TS</v>
          </cell>
          <cell r="P8233" t="str">
            <v>STC9910BN</v>
          </cell>
          <cell r="Q8233" t="str">
            <v>速度传感器</v>
          </cell>
        </row>
        <row r="8234">
          <cell r="O8234" t="str">
            <v>SC9625VB-L</v>
          </cell>
          <cell r="P8234" t="str">
            <v>STC9910E</v>
          </cell>
          <cell r="Q8234" t="str">
            <v>速度传感器</v>
          </cell>
        </row>
        <row r="8235">
          <cell r="O8235" t="str">
            <v>SC1134UA</v>
          </cell>
          <cell r="P8235" t="str">
            <v>STC1898AI</v>
          </cell>
          <cell r="Q8235" t="str">
            <v>磁性位置传感器</v>
          </cell>
        </row>
        <row r="8236">
          <cell r="O8236" t="str">
            <v>SC1134UA</v>
          </cell>
          <cell r="P8236" t="str">
            <v>STC1898AI</v>
          </cell>
          <cell r="Q8236" t="str">
            <v>磁性位置传感器</v>
          </cell>
        </row>
        <row r="8237">
          <cell r="O8237" t="str">
            <v>ATK-E512</v>
          </cell>
          <cell r="P8237" t="str">
            <v>STC4011B</v>
          </cell>
          <cell r="Q8237" t="str">
            <v>磁性位置传感器</v>
          </cell>
        </row>
        <row r="8238">
          <cell r="O8238" t="str">
            <v>SC4011SO-N</v>
          </cell>
          <cell r="P8238" t="str">
            <v>STC4011B</v>
          </cell>
          <cell r="Q8238" t="str">
            <v>磁性位置传感器</v>
          </cell>
        </row>
        <row r="8239">
          <cell r="O8239" t="str">
            <v>SC4011SO-N</v>
          </cell>
          <cell r="P8239" t="str">
            <v>STC4011B</v>
          </cell>
          <cell r="Q8239" t="str">
            <v>磁性位置传感器</v>
          </cell>
        </row>
        <row r="8240">
          <cell r="O8240" t="str">
            <v>SC4011SO-N</v>
          </cell>
          <cell r="P8240" t="str">
            <v>STC4011B</v>
          </cell>
          <cell r="Q8240" t="str">
            <v>磁性位置传感器</v>
          </cell>
        </row>
        <row r="8241">
          <cell r="O8241" t="str">
            <v>SC9621VB</v>
          </cell>
          <cell r="P8241" t="str">
            <v>STC9910C</v>
          </cell>
          <cell r="Q8241" t="str">
            <v>速度传感器</v>
          </cell>
        </row>
        <row r="8242">
          <cell r="O8242" t="str">
            <v>SC9621VB</v>
          </cell>
          <cell r="P8242" t="str">
            <v>STC9910C</v>
          </cell>
          <cell r="Q8242" t="str">
            <v>速度传感器</v>
          </cell>
        </row>
        <row r="8243">
          <cell r="O8243" t="str">
            <v>ATK-E512</v>
          </cell>
          <cell r="P8243" t="str">
            <v>STC4011B</v>
          </cell>
          <cell r="Q8243" t="str">
            <v>磁性位置传感器</v>
          </cell>
        </row>
        <row r="8244">
          <cell r="O8244" t="str">
            <v>ATK-E512</v>
          </cell>
          <cell r="P8244" t="str">
            <v>STC4011B</v>
          </cell>
          <cell r="Q8244" t="str">
            <v>磁性位置传感器</v>
          </cell>
        </row>
        <row r="8245">
          <cell r="O8245" t="str">
            <v>SC4011SO-N</v>
          </cell>
          <cell r="P8245" t="str">
            <v>STC4011B</v>
          </cell>
          <cell r="Q8245" t="str">
            <v>磁性位置传感器</v>
          </cell>
        </row>
        <row r="8246">
          <cell r="O8246" t="str">
            <v>SC4011SO-N</v>
          </cell>
          <cell r="P8246" t="str">
            <v>STC4011B</v>
          </cell>
          <cell r="Q8246" t="str">
            <v>磁性位置传感器</v>
          </cell>
        </row>
        <row r="8247">
          <cell r="O8247" t="str">
            <v>SC9621VB</v>
          </cell>
          <cell r="P8247" t="str">
            <v>STC9910C</v>
          </cell>
          <cell r="Q8247" t="str">
            <v>速度传感器</v>
          </cell>
        </row>
        <row r="8248">
          <cell r="O8248" t="str">
            <v>SC9625VB-L</v>
          </cell>
          <cell r="P8248" t="str">
            <v>STC9910E</v>
          </cell>
          <cell r="Q8248" t="str">
            <v>速度传感器</v>
          </cell>
        </row>
        <row r="8249">
          <cell r="O8249" t="str">
            <v>SC9621VB</v>
          </cell>
          <cell r="P8249" t="str">
            <v>STC9910C</v>
          </cell>
          <cell r="Q8249" t="str">
            <v>速度传感器</v>
          </cell>
        </row>
        <row r="8250">
          <cell r="O8250" t="str">
            <v>SC9621VB</v>
          </cell>
          <cell r="P8250" t="str">
            <v>STC9910C</v>
          </cell>
          <cell r="Q8250" t="str">
            <v>速度传感器</v>
          </cell>
        </row>
        <row r="8251">
          <cell r="O8251" t="str">
            <v>SC9621VB</v>
          </cell>
          <cell r="P8251" t="str">
            <v>STC9910C</v>
          </cell>
          <cell r="Q8251" t="str">
            <v>速度传感器</v>
          </cell>
        </row>
        <row r="8252">
          <cell r="O8252" t="str">
            <v>SC9625VB-L</v>
          </cell>
          <cell r="P8252" t="str">
            <v>STC9910E</v>
          </cell>
          <cell r="Q8252" t="str">
            <v>速度传感器</v>
          </cell>
        </row>
        <row r="8253">
          <cell r="O8253" t="str">
            <v>SC9625VB-L</v>
          </cell>
          <cell r="P8253" t="str">
            <v>STC9910E</v>
          </cell>
          <cell r="Q8253" t="str">
            <v>速度传感器</v>
          </cell>
        </row>
        <row r="8254">
          <cell r="O8254" t="str">
            <v>SC9625VB-L</v>
          </cell>
          <cell r="P8254" t="str">
            <v>STC9910E</v>
          </cell>
          <cell r="Q8254" t="str">
            <v>速度传感器</v>
          </cell>
        </row>
        <row r="8255">
          <cell r="O8255" t="str">
            <v>SC69401</v>
          </cell>
          <cell r="P8255" t="str">
            <v>STC9H002D</v>
          </cell>
          <cell r="Q8255" t="str">
            <v>角度传感器</v>
          </cell>
        </row>
        <row r="8256">
          <cell r="O8256" t="str">
            <v>SC69401D</v>
          </cell>
          <cell r="P8256" t="str">
            <v>STC9H002D</v>
          </cell>
          <cell r="Q8256" t="str">
            <v>角度传感器</v>
          </cell>
        </row>
        <row r="8257">
          <cell r="O8257" t="str">
            <v>SC69401D</v>
          </cell>
          <cell r="P8257" t="str">
            <v>STC9H002D</v>
          </cell>
          <cell r="Q8257" t="str">
            <v>角度传感器</v>
          </cell>
        </row>
        <row r="8258">
          <cell r="O8258" t="str">
            <v>SC9314UA</v>
          </cell>
          <cell r="P8258" t="str">
            <v>STC9901AF</v>
          </cell>
          <cell r="Q8258" t="str">
            <v>速度传感器</v>
          </cell>
        </row>
        <row r="8259">
          <cell r="O8259" t="str">
            <v>SC9675IM-P-HRF11</v>
          </cell>
          <cell r="P8259" t="str">
            <v>STC9A002B</v>
          </cell>
          <cell r="Q8259" t="str">
            <v>速度传感器</v>
          </cell>
        </row>
        <row r="8260">
          <cell r="O8260" t="str">
            <v>SC9675IM-P-HRF11</v>
          </cell>
          <cell r="P8260" t="str">
            <v>STC9A002B</v>
          </cell>
          <cell r="Q8260" t="str">
            <v>速度传感器</v>
          </cell>
        </row>
        <row r="8261">
          <cell r="O8261" t="str">
            <v>ZH6352</v>
          </cell>
          <cell r="P8261" t="str">
            <v>ZH6352</v>
          </cell>
          <cell r="Q8261" t="str">
            <v>电机驱动</v>
          </cell>
        </row>
        <row r="8262">
          <cell r="O8262" t="str">
            <v>SC2443SO</v>
          </cell>
          <cell r="P8262" t="str">
            <v>STC9906T</v>
          </cell>
          <cell r="Q8262" t="str">
            <v>磁性位置传感器</v>
          </cell>
        </row>
        <row r="8263">
          <cell r="O8263" t="str">
            <v>SC2443SO</v>
          </cell>
          <cell r="P8263" t="str">
            <v>STC9906T</v>
          </cell>
          <cell r="Q8263" t="str">
            <v>磁性位置传感器</v>
          </cell>
        </row>
        <row r="8264">
          <cell r="O8264" t="str">
            <v>SC2443SO</v>
          </cell>
          <cell r="P8264" t="str">
            <v>STC9906T</v>
          </cell>
          <cell r="Q8264" t="str">
            <v>磁性位置传感器</v>
          </cell>
        </row>
        <row r="8265">
          <cell r="O8265" t="str">
            <v>SC2443UA</v>
          </cell>
          <cell r="P8265" t="str">
            <v>STC9906W</v>
          </cell>
          <cell r="Q8265" t="str">
            <v>磁性位置传感器</v>
          </cell>
        </row>
        <row r="8266">
          <cell r="O8266" t="str">
            <v>SC2443UA</v>
          </cell>
          <cell r="P8266" t="str">
            <v>STC9906W</v>
          </cell>
          <cell r="Q8266" t="str">
            <v>磁性位置传感器</v>
          </cell>
        </row>
        <row r="8267">
          <cell r="O8267" t="str">
            <v>SC2443UA</v>
          </cell>
          <cell r="P8267" t="str">
            <v>STC9906W</v>
          </cell>
          <cell r="Q8267" t="str">
            <v>磁性位置传感器</v>
          </cell>
        </row>
        <row r="8268">
          <cell r="O8268" t="str">
            <v>SC2443UA</v>
          </cell>
          <cell r="P8268" t="str">
            <v>STC9906W</v>
          </cell>
          <cell r="Q8268" t="str">
            <v>磁性位置传感器</v>
          </cell>
        </row>
        <row r="8269">
          <cell r="O8269" t="str">
            <v>SC2443UA</v>
          </cell>
          <cell r="P8269" t="str">
            <v>STC9906W</v>
          </cell>
          <cell r="Q8269" t="str">
            <v>磁性位置传感器</v>
          </cell>
        </row>
        <row r="8270">
          <cell r="O8270" t="str">
            <v>SC2443UA</v>
          </cell>
          <cell r="P8270" t="str">
            <v>STC9906W</v>
          </cell>
          <cell r="Q8270" t="str">
            <v>磁性位置传感器</v>
          </cell>
        </row>
        <row r="8271">
          <cell r="O8271" t="str">
            <v>SC2443UA</v>
          </cell>
          <cell r="P8271" t="str">
            <v>STC9906G</v>
          </cell>
          <cell r="Q8271" t="str">
            <v>磁性位置传感器</v>
          </cell>
        </row>
        <row r="8272">
          <cell r="O8272" t="str">
            <v>SC1134UA</v>
          </cell>
          <cell r="P8272" t="str">
            <v>STC1898AI</v>
          </cell>
          <cell r="Q8272" t="str">
            <v>磁性位置传感器</v>
          </cell>
        </row>
        <row r="8273">
          <cell r="O8273" t="str">
            <v>SC9625VB-L</v>
          </cell>
          <cell r="P8273" t="str">
            <v>STC9910E</v>
          </cell>
          <cell r="Q8273" t="str">
            <v>速度传感器</v>
          </cell>
        </row>
        <row r="8274">
          <cell r="O8274" t="str">
            <v>SC9314UA</v>
          </cell>
          <cell r="P8274" t="str">
            <v>STC9901AF</v>
          </cell>
          <cell r="Q8274" t="str">
            <v>速度传感器</v>
          </cell>
        </row>
        <row r="8275">
          <cell r="O8275" t="str">
            <v>SC9314UA</v>
          </cell>
          <cell r="P8275" t="str">
            <v>STC9901AF</v>
          </cell>
          <cell r="Q8275" t="str">
            <v>速度传感器</v>
          </cell>
        </row>
        <row r="8276">
          <cell r="O8276" t="str">
            <v>SC60224-D-600</v>
          </cell>
          <cell r="P8276" t="str">
            <v>STC9D04C</v>
          </cell>
          <cell r="Q8276" t="str">
            <v>电机编码器</v>
          </cell>
        </row>
        <row r="8277">
          <cell r="O8277" t="str">
            <v>SC60224-D-1000</v>
          </cell>
          <cell r="P8277" t="str">
            <v>STC9D04C</v>
          </cell>
          <cell r="Q8277" t="str">
            <v>电机编码器</v>
          </cell>
        </row>
        <row r="8278">
          <cell r="O8278" t="str">
            <v>SC2438SO</v>
          </cell>
          <cell r="P8278" t="str">
            <v>STC9906I</v>
          </cell>
          <cell r="Q8278" t="str">
            <v>磁性位置传感器</v>
          </cell>
        </row>
        <row r="8279">
          <cell r="O8279" t="str">
            <v>SC1134SO-N</v>
          </cell>
          <cell r="P8279" t="str">
            <v>STC1898AI</v>
          </cell>
          <cell r="Q8279" t="str">
            <v>磁性位置传感器</v>
          </cell>
        </row>
        <row r="8280">
          <cell r="O8280" t="str">
            <v>SC2402SO-N</v>
          </cell>
          <cell r="P8280" t="str">
            <v>STC9902J</v>
          </cell>
          <cell r="Q8280" t="str">
            <v>磁性位置传感器</v>
          </cell>
        </row>
        <row r="8281">
          <cell r="O8281" t="str">
            <v>SC2202UA</v>
          </cell>
          <cell r="P8281" t="str">
            <v>STC9902E</v>
          </cell>
          <cell r="Q8281" t="str">
            <v>磁性位置传感器</v>
          </cell>
        </row>
        <row r="8282">
          <cell r="O8282" t="str">
            <v>SC2202SO-N</v>
          </cell>
          <cell r="P8282" t="str">
            <v>STC9902E</v>
          </cell>
          <cell r="Q8282" t="str">
            <v>磁性位置传感器</v>
          </cell>
        </row>
        <row r="8283">
          <cell r="O8283" t="str">
            <v>SC1134UA</v>
          </cell>
          <cell r="P8283" t="str">
            <v>STC1898AI</v>
          </cell>
          <cell r="Q8283" t="str">
            <v>磁性位置传感器</v>
          </cell>
        </row>
        <row r="8284">
          <cell r="O8284" t="str">
            <v>SC1134UA</v>
          </cell>
          <cell r="P8284" t="str">
            <v>STC1898AI</v>
          </cell>
          <cell r="Q8284" t="str">
            <v>磁性位置传感器</v>
          </cell>
        </row>
        <row r="8285">
          <cell r="O8285" t="str">
            <v>SC1134SO-N</v>
          </cell>
          <cell r="P8285" t="str">
            <v>STC1898AI</v>
          </cell>
          <cell r="Q8285" t="str">
            <v>磁性位置传感器</v>
          </cell>
        </row>
        <row r="8286">
          <cell r="O8286" t="str">
            <v>SC1134UA</v>
          </cell>
          <cell r="P8286" t="str">
            <v>STC1898AI</v>
          </cell>
          <cell r="Q8286" t="str">
            <v>磁性位置传感器</v>
          </cell>
        </row>
        <row r="8287">
          <cell r="O8287" t="str">
            <v>SC1245A1</v>
          </cell>
          <cell r="P8287" t="str">
            <v>STC1898AD</v>
          </cell>
          <cell r="Q8287" t="str">
            <v>磁性位置传感器</v>
          </cell>
        </row>
        <row r="8288">
          <cell r="O8288" t="str">
            <v>SC4001SE</v>
          </cell>
          <cell r="P8288" t="str">
            <v>STC4001AB</v>
          </cell>
          <cell r="Q8288" t="str">
            <v>磁性位置传感器</v>
          </cell>
        </row>
        <row r="8289">
          <cell r="O8289" t="str">
            <v>SC4001UA</v>
          </cell>
          <cell r="P8289" t="str">
            <v>STC4001AB</v>
          </cell>
          <cell r="Q8289" t="str">
            <v>磁性位置传感器</v>
          </cell>
        </row>
        <row r="8290">
          <cell r="O8290" t="str">
            <v>SC4005UA</v>
          </cell>
          <cell r="P8290" t="str">
            <v>STC4000AF</v>
          </cell>
          <cell r="Q8290" t="str">
            <v>磁性位置传感器</v>
          </cell>
        </row>
        <row r="8291">
          <cell r="O8291" t="str">
            <v>SC4003UA</v>
          </cell>
          <cell r="P8291" t="str">
            <v>STC4000AC</v>
          </cell>
          <cell r="Q8291" t="str">
            <v>磁性位置传感器</v>
          </cell>
        </row>
        <row r="8292">
          <cell r="O8292" t="str">
            <v>SC4002UA</v>
          </cell>
          <cell r="P8292" t="str">
            <v>STC4000AA</v>
          </cell>
          <cell r="Q8292" t="str">
            <v>磁性位置传感器</v>
          </cell>
        </row>
        <row r="8293">
          <cell r="O8293" t="str">
            <v>SC2442SO</v>
          </cell>
          <cell r="P8293" t="str">
            <v>STC9906R</v>
          </cell>
          <cell r="Q8293" t="str">
            <v>磁性位置传感器</v>
          </cell>
        </row>
        <row r="8294">
          <cell r="O8294" t="str">
            <v>SC2442SO</v>
          </cell>
          <cell r="P8294" t="str">
            <v>STC9906R</v>
          </cell>
          <cell r="Q8294" t="str">
            <v>磁性位置传感器</v>
          </cell>
        </row>
        <row r="8295">
          <cell r="O8295" t="str">
            <v>SC2242UA</v>
          </cell>
          <cell r="P8295" t="str">
            <v>STC9906H</v>
          </cell>
          <cell r="Q8295" t="str">
            <v>磁性位置传感器</v>
          </cell>
        </row>
        <row r="8296">
          <cell r="O8296" t="str">
            <v>SC2242SO</v>
          </cell>
          <cell r="P8296" t="str">
            <v>STC9906H</v>
          </cell>
          <cell r="Q8296" t="str">
            <v>磁性位置传感器</v>
          </cell>
        </row>
        <row r="8297">
          <cell r="O8297" t="str">
            <v>SC2442SO-N</v>
          </cell>
          <cell r="P8297" t="str">
            <v>STC9906P</v>
          </cell>
          <cell r="Q8297" t="str">
            <v>磁性位置传感器</v>
          </cell>
        </row>
        <row r="8298">
          <cell r="O8298" t="str">
            <v>SC2442UA</v>
          </cell>
          <cell r="P8298" t="str">
            <v>STC9906P</v>
          </cell>
          <cell r="Q8298" t="str">
            <v>磁性位置传感器</v>
          </cell>
        </row>
        <row r="8299">
          <cell r="O8299" t="str">
            <v>SC2442UA</v>
          </cell>
          <cell r="P8299" t="str">
            <v>STC9906P</v>
          </cell>
          <cell r="Q8299" t="str">
            <v>磁性位置传感器</v>
          </cell>
        </row>
        <row r="8300">
          <cell r="O8300" t="str">
            <v>SC2462SO</v>
          </cell>
          <cell r="P8300" t="str">
            <v>STC9906J</v>
          </cell>
          <cell r="Q8300" t="str">
            <v>磁性位置传感器</v>
          </cell>
        </row>
        <row r="8301">
          <cell r="O8301" t="str">
            <v>SC2464UA</v>
          </cell>
          <cell r="P8301" t="str">
            <v>STC9906J</v>
          </cell>
          <cell r="Q8301" t="str">
            <v>磁性位置传感器</v>
          </cell>
        </row>
        <row r="8302">
          <cell r="O8302" t="str">
            <v>SC2464SO</v>
          </cell>
          <cell r="P8302" t="str">
            <v>STC9906J</v>
          </cell>
          <cell r="Q8302" t="str">
            <v>磁性位置传感器</v>
          </cell>
        </row>
        <row r="8303">
          <cell r="O8303" t="str">
            <v>SC9642TS</v>
          </cell>
          <cell r="P8303" t="str">
            <v>STC9A001D</v>
          </cell>
          <cell r="Q8303" t="str">
            <v>速度传感器</v>
          </cell>
        </row>
        <row r="8304">
          <cell r="O8304" t="str">
            <v>SC60224-U-P4-1024</v>
          </cell>
          <cell r="P8304" t="str">
            <v>STC9D04C</v>
          </cell>
          <cell r="Q8304" t="str">
            <v>电机编码器</v>
          </cell>
        </row>
        <row r="8305">
          <cell r="O8305" t="str">
            <v>SC60228DC</v>
          </cell>
          <cell r="P8305" t="str">
            <v>STC9D04C</v>
          </cell>
          <cell r="Q8305" t="str">
            <v>电机编码器</v>
          </cell>
        </row>
        <row r="8306">
          <cell r="O8306" t="str">
            <v>SC4688SA</v>
          </cell>
          <cell r="P8306" t="str">
            <v>STC9D01C</v>
          </cell>
          <cell r="Q8306" t="str">
            <v>角度传感器</v>
          </cell>
        </row>
        <row r="8307">
          <cell r="O8307" t="str">
            <v>SC9641TS</v>
          </cell>
          <cell r="P8307" t="str">
            <v>STC9910BN</v>
          </cell>
          <cell r="Q8307" t="str">
            <v>速度传感器</v>
          </cell>
        </row>
        <row r="8308">
          <cell r="O8308" t="str">
            <v>SC4011SO-N</v>
          </cell>
          <cell r="P8308" t="str">
            <v>STC4011B</v>
          </cell>
          <cell r="Q8308" t="str">
            <v>磁性位置传感器</v>
          </cell>
        </row>
        <row r="8309">
          <cell r="O8309" t="str">
            <v>SC4688编程板</v>
          </cell>
          <cell r="P8309" t="str">
            <v xml:space="preserve"> </v>
          </cell>
          <cell r="Q8309" t="str">
            <v>角度传感器</v>
          </cell>
        </row>
        <row r="8310">
          <cell r="O8310" t="str">
            <v>SC2443UA</v>
          </cell>
          <cell r="P8310" t="str">
            <v>STC9906G</v>
          </cell>
          <cell r="Q8310" t="str">
            <v>磁性位置传感器</v>
          </cell>
        </row>
        <row r="8311">
          <cell r="O8311" t="str">
            <v>SC9641TS</v>
          </cell>
          <cell r="P8311" t="str">
            <v>STC9910BN</v>
          </cell>
          <cell r="Q8311" t="str">
            <v>速度传感器</v>
          </cell>
        </row>
        <row r="8312">
          <cell r="O8312" t="str">
            <v>SC9641TS</v>
          </cell>
          <cell r="P8312" t="str">
            <v>STC9910BN</v>
          </cell>
          <cell r="Q8312" t="str">
            <v>速度传感器</v>
          </cell>
        </row>
        <row r="8313">
          <cell r="O8313" t="str">
            <v>SC2442SO-N</v>
          </cell>
          <cell r="P8313" t="str">
            <v>STC9906P</v>
          </cell>
          <cell r="Q8313" t="str">
            <v>磁性位置传感器</v>
          </cell>
        </row>
        <row r="8314">
          <cell r="O8314" t="str">
            <v>SC2442SO-N</v>
          </cell>
          <cell r="P8314" t="str">
            <v>STC9906P</v>
          </cell>
          <cell r="Q8314" t="str">
            <v>磁性位置传感器</v>
          </cell>
        </row>
        <row r="8315">
          <cell r="O8315" t="str">
            <v>SC1445A1</v>
          </cell>
          <cell r="P8315" t="str">
            <v>STC2899AB</v>
          </cell>
          <cell r="Q8315" t="str">
            <v>磁性位置传感器</v>
          </cell>
        </row>
        <row r="8316">
          <cell r="O8316" t="str">
            <v>SC1445A1</v>
          </cell>
          <cell r="P8316" t="str">
            <v>STC2899AB</v>
          </cell>
          <cell r="Q8316" t="str">
            <v>磁性位置传感器</v>
          </cell>
        </row>
        <row r="8317">
          <cell r="O8317" t="str">
            <v>SC2434SO-N</v>
          </cell>
          <cell r="P8317" t="str">
            <v>STC9906I</v>
          </cell>
          <cell r="Q8317" t="str">
            <v>磁性位置传感器</v>
          </cell>
        </row>
        <row r="8318">
          <cell r="O8318" t="str">
            <v>SC9641TS-PC</v>
          </cell>
          <cell r="P8318" t="str">
            <v>STC9A001I</v>
          </cell>
          <cell r="Q8318" t="str">
            <v>速度传感器</v>
          </cell>
        </row>
        <row r="8319">
          <cell r="O8319" t="str">
            <v>SC9641TS-PC</v>
          </cell>
          <cell r="P8319" t="str">
            <v>STC9A001I</v>
          </cell>
          <cell r="Q8319" t="str">
            <v>速度传感器</v>
          </cell>
        </row>
        <row r="8320">
          <cell r="O8320" t="str">
            <v>SC9641TS-PC</v>
          </cell>
          <cell r="P8320" t="str">
            <v>STC9A001I</v>
          </cell>
          <cell r="Q8320" t="str">
            <v>速度传感器</v>
          </cell>
        </row>
        <row r="8321">
          <cell r="O8321" t="str">
            <v>SC9641TS-PC</v>
          </cell>
          <cell r="P8321" t="str">
            <v>STC9A001I</v>
          </cell>
          <cell r="Q8321" t="str">
            <v>速度传感器</v>
          </cell>
        </row>
        <row r="8322">
          <cell r="O8322" t="str">
            <v>SC9641TS-PC</v>
          </cell>
          <cell r="P8322" t="str">
            <v>STC9A001I</v>
          </cell>
          <cell r="Q8322" t="str">
            <v>速度传感器</v>
          </cell>
        </row>
        <row r="8323">
          <cell r="O8323" t="str">
            <v>ATK-E512</v>
          </cell>
          <cell r="P8323" t="str">
            <v>STC4011B</v>
          </cell>
          <cell r="Q8323" t="str">
            <v>磁性位置传感器</v>
          </cell>
        </row>
        <row r="8324">
          <cell r="O8324" t="str">
            <v>SC2442SO-N</v>
          </cell>
          <cell r="P8324" t="str">
            <v>STC9906P</v>
          </cell>
          <cell r="Q8324" t="str">
            <v>磁性位置传感器</v>
          </cell>
        </row>
        <row r="8325">
          <cell r="O8325" t="str">
            <v>SC2442SO-N</v>
          </cell>
          <cell r="P8325" t="str">
            <v>STC9906P</v>
          </cell>
          <cell r="Q8325" t="str">
            <v>磁性位置传感器</v>
          </cell>
        </row>
        <row r="8326">
          <cell r="O8326" t="str">
            <v>SC2442SO-N</v>
          </cell>
          <cell r="P8326" t="str">
            <v>STC9906P</v>
          </cell>
          <cell r="Q8326" t="str">
            <v>磁性位置传感器</v>
          </cell>
        </row>
        <row r="8327">
          <cell r="O8327" t="str">
            <v>SC2442SO-N</v>
          </cell>
          <cell r="P8327" t="str">
            <v>STC9906P</v>
          </cell>
          <cell r="Q8327" t="str">
            <v>磁性位置传感器</v>
          </cell>
        </row>
        <row r="8328">
          <cell r="O8328" t="str">
            <v>SC2442SO-N</v>
          </cell>
          <cell r="P8328" t="str">
            <v>STC9906P</v>
          </cell>
          <cell r="Q8328" t="str">
            <v>磁性位置传感器</v>
          </cell>
        </row>
        <row r="8329">
          <cell r="O8329" t="str">
            <v>SC2442SO-N</v>
          </cell>
          <cell r="P8329" t="str">
            <v>STC9906P</v>
          </cell>
          <cell r="Q8329" t="str">
            <v>磁性位置传感器</v>
          </cell>
        </row>
        <row r="8330">
          <cell r="O8330" t="str">
            <v>SC2442SO-N</v>
          </cell>
          <cell r="P8330" t="str">
            <v>STC9906P</v>
          </cell>
          <cell r="Q8330" t="str">
            <v>磁性位置传感器</v>
          </cell>
        </row>
        <row r="8331">
          <cell r="O8331" t="str">
            <v>SC2442SO-N</v>
          </cell>
          <cell r="P8331" t="str">
            <v>STC9906P</v>
          </cell>
          <cell r="Q8331" t="str">
            <v>磁性位置传感器</v>
          </cell>
        </row>
        <row r="8332">
          <cell r="O8332" t="str">
            <v>SC2442SO-N</v>
          </cell>
          <cell r="P8332" t="str">
            <v>STC9906P</v>
          </cell>
          <cell r="Q8332" t="str">
            <v>磁性位置传感器</v>
          </cell>
        </row>
        <row r="8333">
          <cell r="O8333" t="str">
            <v>SC2442SO-N</v>
          </cell>
          <cell r="P8333" t="str">
            <v>STC9906P</v>
          </cell>
          <cell r="Q8333" t="str">
            <v>磁性位置传感器</v>
          </cell>
        </row>
        <row r="8334">
          <cell r="O8334" t="str">
            <v>SC2402SO-N-G</v>
          </cell>
          <cell r="P8334" t="str">
            <v>STC9G002A</v>
          </cell>
          <cell r="Q8334" t="str">
            <v>磁性位置传感器</v>
          </cell>
        </row>
        <row r="8335">
          <cell r="O8335" t="str">
            <v>SC2402SO-N-G</v>
          </cell>
          <cell r="P8335" t="str">
            <v>STC9G002A</v>
          </cell>
          <cell r="Q8335" t="str">
            <v>磁性位置传感器</v>
          </cell>
        </row>
        <row r="8336">
          <cell r="O8336" t="str">
            <v>SC2402SO-N-G</v>
          </cell>
          <cell r="P8336" t="str">
            <v>STC9G002A</v>
          </cell>
          <cell r="Q8336" t="str">
            <v>磁性位置传感器</v>
          </cell>
        </row>
        <row r="8337">
          <cell r="O8337" t="str">
            <v>SC2402SO-N-G</v>
          </cell>
          <cell r="P8337" t="str">
            <v>STC9G002A</v>
          </cell>
          <cell r="Q8337" t="str">
            <v>磁性位置传感器</v>
          </cell>
        </row>
        <row r="8338">
          <cell r="O8338" t="str">
            <v>SC60224-D-500</v>
          </cell>
          <cell r="P8338" t="str">
            <v>STC9D04C</v>
          </cell>
          <cell r="Q8338" t="str">
            <v>电机编码器</v>
          </cell>
        </row>
        <row r="8339">
          <cell r="O8339" t="str">
            <v>SC9633VB</v>
          </cell>
          <cell r="P8339" t="str">
            <v>STC9905F</v>
          </cell>
          <cell r="Q8339" t="str">
            <v>速度传感器</v>
          </cell>
        </row>
        <row r="8340">
          <cell r="O8340" t="str">
            <v>VE8600A5R</v>
          </cell>
          <cell r="P8340" t="str">
            <v xml:space="preserve"> </v>
          </cell>
          <cell r="Q8340" t="str">
            <v>电源管理</v>
          </cell>
        </row>
        <row r="8341">
          <cell r="O8341" t="str">
            <v>SC9641TS-P</v>
          </cell>
          <cell r="P8341" t="str">
            <v>STC9A001I</v>
          </cell>
          <cell r="Q8341" t="str">
            <v>速度传感器</v>
          </cell>
        </row>
        <row r="8342">
          <cell r="O8342" t="str">
            <v>SC9641TS-P</v>
          </cell>
          <cell r="P8342" t="str">
            <v>STC9A001I</v>
          </cell>
          <cell r="Q8342" t="str">
            <v>速度传感器</v>
          </cell>
        </row>
        <row r="8343">
          <cell r="O8343" t="str">
            <v>SC9641TS-P</v>
          </cell>
          <cell r="P8343" t="str">
            <v>STC9A001I</v>
          </cell>
          <cell r="Q8343" t="str">
            <v>速度传感器</v>
          </cell>
        </row>
        <row r="8344">
          <cell r="O8344" t="str">
            <v>SC9641TS-P</v>
          </cell>
          <cell r="P8344" t="str">
            <v>STC9A001I</v>
          </cell>
          <cell r="Q8344" t="str">
            <v>速度传感器</v>
          </cell>
        </row>
        <row r="8345">
          <cell r="O8345" t="str">
            <v>SC9642TS-EC</v>
          </cell>
          <cell r="P8345" t="str">
            <v>STC9A001H</v>
          </cell>
          <cell r="Q8345" t="str">
            <v>速度传感器</v>
          </cell>
        </row>
        <row r="8346">
          <cell r="O8346" t="str">
            <v>ZH6352-Mask</v>
          </cell>
          <cell r="P8346" t="str">
            <v xml:space="preserve"> </v>
          </cell>
          <cell r="Q8346" t="str">
            <v>电机驱动</v>
          </cell>
        </row>
        <row r="8347">
          <cell r="O8347" t="str">
            <v>ZH6252B</v>
          </cell>
          <cell r="P8347" t="str">
            <v>ZH6252B</v>
          </cell>
          <cell r="Q8347" t="str">
            <v>电机驱动</v>
          </cell>
        </row>
        <row r="8348">
          <cell r="O8348" t="str">
            <v>SC2402UA-G</v>
          </cell>
          <cell r="P8348" t="str">
            <v>STC9G002B</v>
          </cell>
          <cell r="Q8348" t="str">
            <v>磁性位置传感器</v>
          </cell>
        </row>
        <row r="8349">
          <cell r="O8349" t="str">
            <v>SC4643VB</v>
          </cell>
          <cell r="P8349" t="str">
            <v>STC9D03E</v>
          </cell>
          <cell r="Q8349" t="str">
            <v>电流传感器</v>
          </cell>
        </row>
        <row r="8350">
          <cell r="O8350" t="str">
            <v>SC2498CUA-N</v>
          </cell>
          <cell r="P8350" t="str">
            <v>SC9915C</v>
          </cell>
          <cell r="Q8350" t="str">
            <v>磁性位置传感器</v>
          </cell>
        </row>
        <row r="8351">
          <cell r="O8351" t="str">
            <v>SC2498CUA-N</v>
          </cell>
          <cell r="P8351" t="str">
            <v>SC9915C</v>
          </cell>
          <cell r="Q8351" t="str">
            <v>磁性位置传感器</v>
          </cell>
        </row>
        <row r="8352">
          <cell r="O8352" t="str">
            <v>SC2498CUA-N</v>
          </cell>
          <cell r="P8352" t="str">
            <v>SC9915C</v>
          </cell>
          <cell r="Q8352" t="str">
            <v>磁性位置传感器</v>
          </cell>
        </row>
        <row r="8353">
          <cell r="O8353" t="str">
            <v>SC2498CUA-N</v>
          </cell>
          <cell r="P8353" t="str">
            <v>SC9915C</v>
          </cell>
          <cell r="Q8353" t="str">
            <v>磁性位置传感器</v>
          </cell>
        </row>
        <row r="8354">
          <cell r="O8354" t="str">
            <v>SC9641TS-PC</v>
          </cell>
          <cell r="P8354" t="str">
            <v>STC9A001I</v>
          </cell>
          <cell r="Q8354" t="str">
            <v>速度传感器</v>
          </cell>
        </row>
        <row r="8355">
          <cell r="O8355" t="str">
            <v>SC9641TS-PC</v>
          </cell>
          <cell r="P8355" t="str">
            <v>STC9A001I</v>
          </cell>
          <cell r="Q8355" t="str">
            <v>速度传感器</v>
          </cell>
        </row>
        <row r="8356">
          <cell r="O8356" t="str">
            <v>SC9648TS-P</v>
          </cell>
          <cell r="P8356" t="str">
            <v>STC9A001I</v>
          </cell>
          <cell r="Q8356" t="str">
            <v>速度传感器</v>
          </cell>
        </row>
        <row r="8357">
          <cell r="O8357" t="str">
            <v>SC4688编程板</v>
          </cell>
          <cell r="P8357" t="str">
            <v xml:space="preserve"> </v>
          </cell>
          <cell r="Q8357" t="str">
            <v>角度传感器</v>
          </cell>
        </row>
        <row r="8358">
          <cell r="O8358" t="str">
            <v>SC4011SO-N</v>
          </cell>
          <cell r="P8358" t="str">
            <v>STC4011B</v>
          </cell>
          <cell r="Q8358" t="str">
            <v>磁性位置传感器</v>
          </cell>
        </row>
        <row r="8359">
          <cell r="O8359" t="str">
            <v>SC2462UA</v>
          </cell>
          <cell r="P8359" t="str">
            <v>STC9906J</v>
          </cell>
          <cell r="Q8359" t="str">
            <v>磁性位置传感器</v>
          </cell>
        </row>
        <row r="8360">
          <cell r="O8360" t="str">
            <v>SYLMV324BPD2R</v>
          </cell>
          <cell r="P8360" t="str">
            <v>STC9G003B</v>
          </cell>
          <cell r="Q8360" t="str">
            <v>其他数模混合</v>
          </cell>
        </row>
        <row r="8361">
          <cell r="O8361" t="str">
            <v>ATK-E512</v>
          </cell>
          <cell r="P8361" t="str">
            <v>STC4011B</v>
          </cell>
          <cell r="Q8361" t="str">
            <v>磁性位置传感器</v>
          </cell>
        </row>
        <row r="8362">
          <cell r="O8362" t="str">
            <v>ATK-E512</v>
          </cell>
          <cell r="P8362" t="str">
            <v>STC4011B</v>
          </cell>
          <cell r="Q8362" t="str">
            <v>磁性位置传感器</v>
          </cell>
        </row>
        <row r="8363">
          <cell r="O8363" t="str">
            <v>ATK-E512</v>
          </cell>
          <cell r="P8363" t="str">
            <v>STC4011B</v>
          </cell>
          <cell r="Q8363" t="str">
            <v>磁性位置传感器</v>
          </cell>
        </row>
        <row r="8364">
          <cell r="O8364" t="str">
            <v>ATK-E512</v>
          </cell>
          <cell r="P8364" t="str">
            <v>STC4011B</v>
          </cell>
          <cell r="Q8364" t="str">
            <v>磁性位置传感器</v>
          </cell>
        </row>
        <row r="8365">
          <cell r="O8365" t="str">
            <v>SC9634VB</v>
          </cell>
          <cell r="P8365" t="str">
            <v>STC9905G</v>
          </cell>
          <cell r="Q8365" t="str">
            <v>速度传感器</v>
          </cell>
        </row>
        <row r="8366">
          <cell r="O8366" t="str">
            <v>SC9634VB</v>
          </cell>
          <cell r="P8366" t="str">
            <v>STC9905G</v>
          </cell>
          <cell r="Q8366" t="str">
            <v>速度传感器</v>
          </cell>
        </row>
        <row r="8367">
          <cell r="O8367" t="str">
            <v>SC2442SO-N</v>
          </cell>
          <cell r="P8367" t="str">
            <v>STC9906P</v>
          </cell>
          <cell r="Q8367" t="str">
            <v>磁性位置传感器</v>
          </cell>
        </row>
        <row r="8368">
          <cell r="O8368" t="str">
            <v>SC2442SO-N</v>
          </cell>
          <cell r="P8368" t="str">
            <v>STC9906P</v>
          </cell>
          <cell r="Q8368" t="str">
            <v>磁性位置传感器</v>
          </cell>
        </row>
        <row r="8369">
          <cell r="O8369" t="str">
            <v>SC2442SO-N</v>
          </cell>
          <cell r="P8369" t="str">
            <v>STC9906P</v>
          </cell>
          <cell r="Q8369" t="str">
            <v>磁性位置传感器</v>
          </cell>
        </row>
        <row r="8370">
          <cell r="O8370" t="str">
            <v>SC2442SO-N</v>
          </cell>
          <cell r="P8370" t="str">
            <v>STC9906P</v>
          </cell>
          <cell r="Q8370" t="str">
            <v>磁性位置传感器</v>
          </cell>
        </row>
        <row r="8371">
          <cell r="O8371" t="str">
            <v>SC2442SO-N</v>
          </cell>
          <cell r="P8371" t="str">
            <v>STC9906P</v>
          </cell>
          <cell r="Q8371" t="str">
            <v>磁性位置传感器</v>
          </cell>
        </row>
        <row r="8372">
          <cell r="O8372" t="str">
            <v>SC2462UA</v>
          </cell>
          <cell r="P8372" t="str">
            <v>STC9906J</v>
          </cell>
          <cell r="Q8372" t="str">
            <v>磁性位置传感器</v>
          </cell>
        </row>
        <row r="8373">
          <cell r="O8373" t="str">
            <v>G01</v>
          </cell>
          <cell r="P8373" t="str">
            <v>STC4011B</v>
          </cell>
          <cell r="Q8373" t="str">
            <v>磁性位置传感器</v>
          </cell>
        </row>
        <row r="8374">
          <cell r="O8374" t="str">
            <v>SC4643VB</v>
          </cell>
          <cell r="P8374" t="str">
            <v>STC9D03E</v>
          </cell>
          <cell r="Q8374" t="str">
            <v>电流传感器</v>
          </cell>
        </row>
        <row r="8375">
          <cell r="O8375" t="str">
            <v>SC2498UA-N</v>
          </cell>
          <cell r="P8375" t="str">
            <v>SC9915C</v>
          </cell>
          <cell r="Q8375" t="str">
            <v>磁性位置传感器</v>
          </cell>
        </row>
        <row r="8376">
          <cell r="O8376" t="str">
            <v>SC2498UA-N</v>
          </cell>
          <cell r="P8376" t="str">
            <v>SC9915C</v>
          </cell>
          <cell r="Q8376" t="str">
            <v>磁性位置传感器</v>
          </cell>
        </row>
        <row r="8377">
          <cell r="O8377" t="str">
            <v>SC9641TS</v>
          </cell>
          <cell r="P8377" t="str">
            <v>STC9910BN</v>
          </cell>
          <cell r="Q8377" t="str">
            <v>速度传感器</v>
          </cell>
        </row>
        <row r="8378">
          <cell r="O8378" t="str">
            <v>SC4695DC</v>
          </cell>
          <cell r="P8378" t="str">
            <v>STC9D01C</v>
          </cell>
          <cell r="Q8378" t="str">
            <v>角度传感器</v>
          </cell>
        </row>
        <row r="8379">
          <cell r="O8379" t="str">
            <v>SC4695DC</v>
          </cell>
          <cell r="P8379" t="str">
            <v>STC9D01C</v>
          </cell>
          <cell r="Q8379" t="str">
            <v>角度传感器</v>
          </cell>
        </row>
        <row r="8380">
          <cell r="O8380" t="str">
            <v>SC4695DC</v>
          </cell>
          <cell r="P8380" t="str">
            <v>STC9D01C</v>
          </cell>
          <cell r="Q8380" t="str">
            <v>角度传感器</v>
          </cell>
        </row>
        <row r="8381">
          <cell r="O8381" t="str">
            <v>SC4695DC</v>
          </cell>
          <cell r="P8381" t="str">
            <v>STC9D01C</v>
          </cell>
          <cell r="Q8381" t="str">
            <v>角度传感器</v>
          </cell>
        </row>
        <row r="8382">
          <cell r="O8382" t="str">
            <v>SC9641TS</v>
          </cell>
          <cell r="P8382" t="str">
            <v>STC9910BN</v>
          </cell>
          <cell r="Q8382" t="str">
            <v>速度传感器</v>
          </cell>
        </row>
        <row r="8383">
          <cell r="O8383" t="str">
            <v>SC9641TS</v>
          </cell>
          <cell r="P8383" t="str">
            <v>STC9910BN</v>
          </cell>
          <cell r="Q8383" t="str">
            <v>速度传感器</v>
          </cell>
        </row>
        <row r="8384">
          <cell r="O8384" t="str">
            <v>SC2442SO-N</v>
          </cell>
          <cell r="P8384" t="str">
            <v>STC9906P</v>
          </cell>
          <cell r="Q8384" t="str">
            <v>磁性位置传感器</v>
          </cell>
        </row>
        <row r="8385">
          <cell r="O8385" t="str">
            <v>SC2442SO-N</v>
          </cell>
          <cell r="P8385" t="str">
            <v>STC9906P</v>
          </cell>
          <cell r="Q8385" t="str">
            <v>磁性位置传感器</v>
          </cell>
        </row>
        <row r="8386">
          <cell r="O8386" t="str">
            <v>SC1134SO-N</v>
          </cell>
          <cell r="P8386" t="str">
            <v>STC1898AI</v>
          </cell>
          <cell r="Q8386" t="str">
            <v>磁性位置传感器</v>
          </cell>
        </row>
        <row r="8387">
          <cell r="O8387" t="str">
            <v>SC1134SO-N</v>
          </cell>
          <cell r="P8387" t="str">
            <v>STC1898AI</v>
          </cell>
          <cell r="Q8387" t="str">
            <v>磁性位置传感器</v>
          </cell>
        </row>
        <row r="8388">
          <cell r="O8388" t="str">
            <v>SC9634VB</v>
          </cell>
          <cell r="P8388" t="str">
            <v>STC9905G</v>
          </cell>
          <cell r="Q8388" t="str">
            <v>速度传感器</v>
          </cell>
        </row>
        <row r="8389">
          <cell r="O8389" t="str">
            <v>SC9634VB</v>
          </cell>
          <cell r="P8389" t="str">
            <v>STC9905G</v>
          </cell>
          <cell r="Q8389" t="str">
            <v>速度传感器</v>
          </cell>
        </row>
        <row r="8390">
          <cell r="O8390" t="str">
            <v>SC60224-D-1024</v>
          </cell>
          <cell r="P8390" t="str">
            <v>STC9D04C</v>
          </cell>
          <cell r="Q8390" t="str">
            <v>电机编码器</v>
          </cell>
        </row>
        <row r="8391">
          <cell r="O8391" t="str">
            <v>SC1445A1</v>
          </cell>
          <cell r="P8391" t="str">
            <v>STC2899AB</v>
          </cell>
          <cell r="Q8391" t="str">
            <v>磁性位置传感器</v>
          </cell>
        </row>
        <row r="8392">
          <cell r="O8392" t="str">
            <v>SC1445A1</v>
          </cell>
          <cell r="P8392" t="str">
            <v>STC2899AB</v>
          </cell>
          <cell r="Q8392" t="str">
            <v>磁性位置传感器</v>
          </cell>
        </row>
        <row r="8393">
          <cell r="O8393" t="str">
            <v>SC2438SO</v>
          </cell>
          <cell r="P8393" t="str">
            <v>STC9906I</v>
          </cell>
          <cell r="Q8393" t="str">
            <v>磁性位置传感器</v>
          </cell>
        </row>
        <row r="8394">
          <cell r="O8394" t="str">
            <v>ATK-E512</v>
          </cell>
          <cell r="P8394" t="str">
            <v>STC4011B</v>
          </cell>
          <cell r="Q8394" t="str">
            <v>磁性位置传感器</v>
          </cell>
        </row>
        <row r="8395">
          <cell r="O8395" t="str">
            <v>G01</v>
          </cell>
          <cell r="P8395" t="str">
            <v>STC4011B</v>
          </cell>
          <cell r="Q8395" t="str">
            <v>磁性位置传感器</v>
          </cell>
        </row>
        <row r="8396">
          <cell r="O8396" t="str">
            <v>G01</v>
          </cell>
          <cell r="P8396" t="str">
            <v>STC4011B</v>
          </cell>
          <cell r="Q8396" t="str">
            <v>磁性位置传感器</v>
          </cell>
        </row>
        <row r="8397">
          <cell r="O8397" t="str">
            <v>G01</v>
          </cell>
          <cell r="P8397" t="str">
            <v>STC4011B</v>
          </cell>
          <cell r="Q8397" t="str">
            <v>磁性位置传感器</v>
          </cell>
        </row>
        <row r="8398">
          <cell r="O8398" t="str">
            <v>G01</v>
          </cell>
          <cell r="P8398" t="str">
            <v>STC4011B</v>
          </cell>
          <cell r="Q8398" t="str">
            <v>磁性位置传感器</v>
          </cell>
        </row>
        <row r="8399">
          <cell r="O8399" t="str">
            <v>G01</v>
          </cell>
          <cell r="P8399" t="str">
            <v>STC4011B</v>
          </cell>
          <cell r="Q8399" t="str">
            <v>磁性位置传感器</v>
          </cell>
        </row>
        <row r="8400">
          <cell r="O8400" t="str">
            <v>G01</v>
          </cell>
          <cell r="P8400" t="str">
            <v>STC4011B</v>
          </cell>
          <cell r="Q8400" t="str">
            <v>磁性位置传感器</v>
          </cell>
        </row>
        <row r="8401">
          <cell r="O8401" t="str">
            <v>G01</v>
          </cell>
          <cell r="P8401" t="str">
            <v>STC4011B</v>
          </cell>
          <cell r="Q8401" t="str">
            <v>磁性位置传感器</v>
          </cell>
        </row>
        <row r="8402">
          <cell r="O8402" t="str">
            <v>G01</v>
          </cell>
          <cell r="P8402" t="str">
            <v>STC4011B</v>
          </cell>
          <cell r="Q8402" t="str">
            <v>磁性位置传感器</v>
          </cell>
        </row>
        <row r="8403">
          <cell r="O8403" t="str">
            <v>G01</v>
          </cell>
          <cell r="P8403" t="str">
            <v>STC4011B</v>
          </cell>
          <cell r="Q8403" t="str">
            <v>磁性位置传感器</v>
          </cell>
        </row>
        <row r="8404">
          <cell r="O8404" t="str">
            <v>G01</v>
          </cell>
          <cell r="P8404" t="str">
            <v>STC4011B</v>
          </cell>
          <cell r="Q8404" t="str">
            <v>磁性位置传感器</v>
          </cell>
        </row>
        <row r="8405">
          <cell r="O8405" t="str">
            <v>G01</v>
          </cell>
          <cell r="P8405" t="str">
            <v>STC4011B</v>
          </cell>
          <cell r="Q8405" t="str">
            <v>磁性位置传感器</v>
          </cell>
        </row>
        <row r="8406">
          <cell r="O8406" t="str">
            <v>G01</v>
          </cell>
          <cell r="P8406" t="str">
            <v>STC4011B</v>
          </cell>
          <cell r="Q8406" t="str">
            <v>磁性位置传感器</v>
          </cell>
        </row>
        <row r="8407">
          <cell r="O8407" t="str">
            <v>ATK-E512</v>
          </cell>
          <cell r="P8407" t="str">
            <v>STC4011B</v>
          </cell>
          <cell r="Q8407" t="str">
            <v>磁性位置传感器</v>
          </cell>
        </row>
        <row r="8408">
          <cell r="O8408" t="str">
            <v>G01</v>
          </cell>
          <cell r="P8408" t="str">
            <v>STC4011B</v>
          </cell>
          <cell r="Q8408" t="str">
            <v>磁性位置传感器</v>
          </cell>
        </row>
        <row r="8409">
          <cell r="O8409" t="str">
            <v>G01</v>
          </cell>
          <cell r="P8409" t="str">
            <v>STC4011B</v>
          </cell>
          <cell r="Q8409" t="str">
            <v>磁性位置传感器</v>
          </cell>
        </row>
        <row r="8410">
          <cell r="O8410" t="str">
            <v>G01</v>
          </cell>
          <cell r="P8410" t="str">
            <v>STC4011B</v>
          </cell>
          <cell r="Q8410" t="str">
            <v>磁性位置传感器</v>
          </cell>
        </row>
        <row r="8411">
          <cell r="O8411" t="str">
            <v>SC9641TS</v>
          </cell>
          <cell r="P8411" t="str">
            <v>STC9910BN</v>
          </cell>
          <cell r="Q8411" t="str">
            <v>速度传感器</v>
          </cell>
        </row>
        <row r="8412">
          <cell r="O8412" t="str">
            <v>SC9641TS</v>
          </cell>
          <cell r="P8412" t="str">
            <v>STC9910BN</v>
          </cell>
          <cell r="Q8412" t="str">
            <v>速度传感器</v>
          </cell>
        </row>
        <row r="8413">
          <cell r="O8413" t="str">
            <v>SC9641TS</v>
          </cell>
          <cell r="P8413" t="str">
            <v>STC9910BN</v>
          </cell>
          <cell r="Q8413" t="str">
            <v>速度传感器</v>
          </cell>
        </row>
        <row r="8414">
          <cell r="O8414" t="str">
            <v>SC9641TS</v>
          </cell>
          <cell r="P8414" t="str">
            <v>STC9910BN</v>
          </cell>
          <cell r="Q8414" t="str">
            <v>速度传感器</v>
          </cell>
        </row>
        <row r="8415">
          <cell r="O8415" t="str">
            <v>SC60340</v>
          </cell>
          <cell r="P8415" t="str">
            <v>STC9D05C</v>
          </cell>
          <cell r="Q8415" t="str">
            <v>电机编码器</v>
          </cell>
        </row>
        <row r="8416">
          <cell r="O8416" t="str">
            <v>SC2430UA</v>
          </cell>
          <cell r="P8416" t="str">
            <v>STC9906I</v>
          </cell>
          <cell r="Q8416" t="str">
            <v>磁性位置传感器</v>
          </cell>
        </row>
        <row r="8417">
          <cell r="O8417" t="str">
            <v>SC2430UA</v>
          </cell>
          <cell r="P8417" t="str">
            <v>STC9906I</v>
          </cell>
          <cell r="Q8417" t="str">
            <v>磁性位置传感器</v>
          </cell>
        </row>
        <row r="8418">
          <cell r="O8418" t="str">
            <v>SC2438SO</v>
          </cell>
          <cell r="P8418" t="str">
            <v>STC9906I</v>
          </cell>
          <cell r="Q8418" t="str">
            <v>磁性位置传感器</v>
          </cell>
        </row>
        <row r="8419">
          <cell r="O8419" t="str">
            <v>SC2402SO-N-H</v>
          </cell>
          <cell r="P8419" t="str">
            <v>STC9H001A</v>
          </cell>
          <cell r="Q8419" t="str">
            <v>磁性位置传感器</v>
          </cell>
        </row>
        <row r="8420">
          <cell r="O8420" t="str">
            <v>SC2402SO-N-H</v>
          </cell>
          <cell r="P8420" t="str">
            <v>STC9H001A</v>
          </cell>
          <cell r="Q8420" t="str">
            <v>磁性位置传感器</v>
          </cell>
        </row>
        <row r="8421">
          <cell r="O8421" t="str">
            <v>SC2402SO-N-H</v>
          </cell>
          <cell r="P8421" t="str">
            <v>STC9H001A</v>
          </cell>
          <cell r="Q8421" t="str">
            <v>磁性位置传感器</v>
          </cell>
        </row>
        <row r="8422">
          <cell r="O8422" t="str">
            <v>G01</v>
          </cell>
          <cell r="P8422" t="str">
            <v>STC4011B</v>
          </cell>
          <cell r="Q8422" t="str">
            <v>磁性位置传感器</v>
          </cell>
        </row>
        <row r="8423">
          <cell r="O8423" t="str">
            <v>G01</v>
          </cell>
          <cell r="P8423" t="str">
            <v>STC4011B</v>
          </cell>
          <cell r="Q8423" t="str">
            <v>磁性位置传感器</v>
          </cell>
        </row>
        <row r="8424">
          <cell r="O8424" t="str">
            <v>G01</v>
          </cell>
          <cell r="P8424" t="str">
            <v>STC4011B</v>
          </cell>
          <cell r="Q8424" t="str">
            <v>磁性位置传感器</v>
          </cell>
        </row>
        <row r="8425">
          <cell r="O8425" t="str">
            <v>G01</v>
          </cell>
          <cell r="P8425" t="str">
            <v>STC4011B</v>
          </cell>
          <cell r="Q8425" t="str">
            <v>磁性位置传感器</v>
          </cell>
        </row>
        <row r="8426">
          <cell r="O8426" t="str">
            <v>G01</v>
          </cell>
          <cell r="P8426" t="str">
            <v>STC4011B</v>
          </cell>
          <cell r="Q8426" t="str">
            <v>磁性位置传感器</v>
          </cell>
        </row>
        <row r="8427">
          <cell r="O8427" t="str">
            <v>G01</v>
          </cell>
          <cell r="P8427" t="str">
            <v>STC4011B</v>
          </cell>
          <cell r="Q8427" t="str">
            <v>磁性位置传感器</v>
          </cell>
        </row>
        <row r="8428">
          <cell r="O8428" t="str">
            <v>G01</v>
          </cell>
          <cell r="P8428" t="str">
            <v>STC4011B</v>
          </cell>
          <cell r="Q8428" t="str">
            <v>磁性位置传感器</v>
          </cell>
        </row>
        <row r="8429">
          <cell r="O8429" t="str">
            <v>G01</v>
          </cell>
          <cell r="P8429" t="str">
            <v>STC4011B</v>
          </cell>
          <cell r="Q8429" t="str">
            <v>磁性位置传感器</v>
          </cell>
        </row>
        <row r="8430">
          <cell r="O8430" t="str">
            <v>G01</v>
          </cell>
          <cell r="P8430" t="str">
            <v>STC4011B</v>
          </cell>
          <cell r="Q8430" t="str">
            <v>磁性位置传感器</v>
          </cell>
        </row>
        <row r="8431">
          <cell r="O8431" t="str">
            <v>G01</v>
          </cell>
          <cell r="P8431" t="str">
            <v>STC4011B</v>
          </cell>
          <cell r="Q8431" t="str">
            <v>磁性位置传感器</v>
          </cell>
        </row>
        <row r="8432">
          <cell r="O8432" t="str">
            <v>G01</v>
          </cell>
          <cell r="P8432" t="str">
            <v>STC4011B</v>
          </cell>
          <cell r="Q8432" t="str">
            <v>磁性位置传感器</v>
          </cell>
        </row>
        <row r="8433">
          <cell r="O8433" t="str">
            <v>G01</v>
          </cell>
          <cell r="P8433" t="str">
            <v>STC4011B</v>
          </cell>
          <cell r="Q8433" t="str">
            <v>磁性位置传感器</v>
          </cell>
        </row>
        <row r="8434">
          <cell r="O8434" t="str">
            <v>SC2402SO-N-G</v>
          </cell>
          <cell r="P8434" t="str">
            <v>STC9G002A</v>
          </cell>
          <cell r="Q8434" t="str">
            <v>磁性位置传感器</v>
          </cell>
        </row>
        <row r="8435">
          <cell r="O8435" t="str">
            <v>SC4689SA</v>
          </cell>
          <cell r="P8435" t="str">
            <v>STC9D01F</v>
          </cell>
          <cell r="Q8435" t="str">
            <v>角度传感器</v>
          </cell>
        </row>
        <row r="8436">
          <cell r="O8436" t="str">
            <v>SC9625VB</v>
          </cell>
          <cell r="P8436" t="str">
            <v>STC9910B</v>
          </cell>
          <cell r="Q8436" t="str">
            <v>速度传感器</v>
          </cell>
        </row>
        <row r="8437">
          <cell r="O8437" t="str">
            <v>SC9648TS-P</v>
          </cell>
          <cell r="P8437" t="str">
            <v>STC9A001I</v>
          </cell>
          <cell r="Q8437" t="str">
            <v>速度传感器</v>
          </cell>
        </row>
        <row r="8438">
          <cell r="O8438" t="str">
            <v>SC9641TS-P</v>
          </cell>
          <cell r="P8438" t="str">
            <v>STC9A001I</v>
          </cell>
          <cell r="Q8438" t="str">
            <v>速度传感器</v>
          </cell>
        </row>
        <row r="8439">
          <cell r="O8439" t="str">
            <v>SC9641TS-P</v>
          </cell>
          <cell r="P8439" t="str">
            <v>STC9A001I</v>
          </cell>
          <cell r="Q8439" t="str">
            <v>速度传感器</v>
          </cell>
        </row>
        <row r="8440">
          <cell r="O8440" t="str">
            <v>SC9648TS-P</v>
          </cell>
          <cell r="P8440" t="str">
            <v>STC9A001I</v>
          </cell>
          <cell r="Q8440" t="str">
            <v>速度传感器</v>
          </cell>
        </row>
        <row r="8441">
          <cell r="O8441" t="str">
            <v>SC9648TS-P</v>
          </cell>
          <cell r="P8441" t="str">
            <v>STC9A001I</v>
          </cell>
          <cell r="Q8441" t="str">
            <v>速度传感器</v>
          </cell>
        </row>
        <row r="8442">
          <cell r="O8442" t="str">
            <v>SC9641TS-PC</v>
          </cell>
          <cell r="P8442" t="str">
            <v>STC9A001I</v>
          </cell>
          <cell r="Q8442" t="str">
            <v>速度传感器</v>
          </cell>
        </row>
        <row r="8443">
          <cell r="O8443" t="str">
            <v>SC9641TS-PC</v>
          </cell>
          <cell r="P8443" t="str">
            <v>STC9A001I</v>
          </cell>
          <cell r="Q8443" t="str">
            <v>速度传感器</v>
          </cell>
        </row>
        <row r="8444">
          <cell r="O8444" t="str">
            <v>SC4643SA-A</v>
          </cell>
          <cell r="P8444" t="str">
            <v>STC9D03E</v>
          </cell>
          <cell r="Q8444" t="str">
            <v>电流传感器</v>
          </cell>
        </row>
        <row r="8445">
          <cell r="O8445" t="str">
            <v>SC9632VB</v>
          </cell>
          <cell r="P8445" t="str">
            <v>STC9905E</v>
          </cell>
          <cell r="Q8445" t="str">
            <v>速度传感器</v>
          </cell>
        </row>
        <row r="8446">
          <cell r="O8446" t="str">
            <v>SC9632VB</v>
          </cell>
          <cell r="P8446" t="str">
            <v>STC9905E</v>
          </cell>
          <cell r="Q8446" t="str">
            <v>速度传感器</v>
          </cell>
        </row>
        <row r="8447">
          <cell r="O8447" t="str">
            <v>SC9632VB</v>
          </cell>
          <cell r="P8447" t="str">
            <v>STC9905E</v>
          </cell>
          <cell r="Q8447" t="str">
            <v>速度传感器</v>
          </cell>
        </row>
        <row r="8448">
          <cell r="O8448" t="str">
            <v>SC9632VB</v>
          </cell>
          <cell r="P8448" t="str">
            <v>STC9905E</v>
          </cell>
          <cell r="Q8448" t="str">
            <v>速度传感器</v>
          </cell>
        </row>
        <row r="8449">
          <cell r="O8449" t="str">
            <v>SC9633VB</v>
          </cell>
          <cell r="P8449" t="str">
            <v>STC9905F</v>
          </cell>
          <cell r="Q8449" t="str">
            <v>速度传感器</v>
          </cell>
        </row>
        <row r="8450">
          <cell r="O8450" t="str">
            <v>SC9633VB</v>
          </cell>
          <cell r="P8450" t="str">
            <v>STC9905F</v>
          </cell>
          <cell r="Q8450" t="str">
            <v>速度传感器</v>
          </cell>
        </row>
        <row r="8451">
          <cell r="O8451" t="str">
            <v>SC4002UA</v>
          </cell>
          <cell r="P8451" t="str">
            <v>STC4000AA</v>
          </cell>
          <cell r="Q8451" t="str">
            <v>磁性位置传感器</v>
          </cell>
        </row>
        <row r="8452">
          <cell r="O8452" t="str">
            <v>SC4002UA</v>
          </cell>
          <cell r="P8452" t="str">
            <v>STC4000AA</v>
          </cell>
          <cell r="Q8452" t="str">
            <v>磁性位置传感器</v>
          </cell>
        </row>
        <row r="8453">
          <cell r="O8453" t="str">
            <v>SC4645VB</v>
          </cell>
          <cell r="P8453" t="str">
            <v>STC9D06F</v>
          </cell>
          <cell r="Q8453" t="str">
            <v>电流传感器</v>
          </cell>
        </row>
        <row r="8454">
          <cell r="O8454" t="str">
            <v>SC2432SO-N</v>
          </cell>
          <cell r="P8454" t="str">
            <v>STC9906I</v>
          </cell>
          <cell r="Q8454" t="str">
            <v>磁性位置传感器</v>
          </cell>
        </row>
        <row r="8455">
          <cell r="O8455" t="str">
            <v>SC1134UA</v>
          </cell>
          <cell r="P8455" t="str">
            <v>STC1898AI</v>
          </cell>
          <cell r="Q8455" t="str">
            <v>磁性位置传感器</v>
          </cell>
        </row>
        <row r="8456">
          <cell r="O8456" t="str">
            <v>SC1134UA</v>
          </cell>
          <cell r="P8456" t="str">
            <v>STC1898AI</v>
          </cell>
          <cell r="Q8456" t="str">
            <v>磁性位置传感器</v>
          </cell>
        </row>
        <row r="8457">
          <cell r="O8457" t="str">
            <v>SC4001UA</v>
          </cell>
          <cell r="P8457" t="str">
            <v>STC4001AB</v>
          </cell>
          <cell r="Q8457" t="str">
            <v>磁性位置传感器</v>
          </cell>
        </row>
        <row r="8458">
          <cell r="O8458" t="str">
            <v>SC2064SO</v>
          </cell>
          <cell r="P8458" t="str">
            <v>STC9G001C</v>
          </cell>
          <cell r="Q8458" t="str">
            <v>磁性位置传感器</v>
          </cell>
        </row>
        <row r="8459">
          <cell r="O8459" t="str">
            <v>2100</v>
          </cell>
          <cell r="P8459" t="str">
            <v>STC9D03D</v>
          </cell>
          <cell r="Q8459" t="str">
            <v>电流传感器</v>
          </cell>
        </row>
        <row r="8460">
          <cell r="O8460" t="str">
            <v>2100</v>
          </cell>
          <cell r="P8460" t="str">
            <v>STC9D03D</v>
          </cell>
          <cell r="Q8460" t="str">
            <v>电流传感器</v>
          </cell>
        </row>
        <row r="8461">
          <cell r="O8461" t="str">
            <v>2100</v>
          </cell>
          <cell r="P8461" t="str">
            <v>STC9D03D</v>
          </cell>
          <cell r="Q8461" t="str">
            <v>电流传感器</v>
          </cell>
        </row>
        <row r="8462">
          <cell r="O8462" t="str">
            <v>SC4643VB</v>
          </cell>
          <cell r="P8462" t="str">
            <v>STC9D03E</v>
          </cell>
          <cell r="Q8462" t="str">
            <v>电流传感器</v>
          </cell>
        </row>
        <row r="8463">
          <cell r="O8463" t="str">
            <v>SC4643VB</v>
          </cell>
          <cell r="P8463" t="str">
            <v>STC9D03E</v>
          </cell>
          <cell r="Q8463" t="str">
            <v>电流传感器</v>
          </cell>
        </row>
        <row r="8464">
          <cell r="O8464" t="str">
            <v>SC4643VB</v>
          </cell>
          <cell r="P8464" t="str">
            <v>STC9D03E</v>
          </cell>
          <cell r="Q8464" t="str">
            <v>电流传感器</v>
          </cell>
        </row>
        <row r="8465">
          <cell r="O8465" t="str">
            <v>SC2498UA-N</v>
          </cell>
          <cell r="P8465" t="str">
            <v>SC9915C</v>
          </cell>
          <cell r="Q8465" t="str">
            <v>磁性位置传感器</v>
          </cell>
        </row>
        <row r="8466">
          <cell r="O8466" t="str">
            <v>G01</v>
          </cell>
          <cell r="P8466" t="str">
            <v>STC4011B</v>
          </cell>
          <cell r="Q8466" t="str">
            <v>磁性位置传感器</v>
          </cell>
        </row>
        <row r="8467">
          <cell r="O8467" t="str">
            <v>G01</v>
          </cell>
          <cell r="P8467" t="str">
            <v>STC4011B</v>
          </cell>
          <cell r="Q8467" t="str">
            <v>磁性位置传感器</v>
          </cell>
        </row>
        <row r="8468">
          <cell r="O8468" t="str">
            <v>G01</v>
          </cell>
          <cell r="P8468" t="str">
            <v>STC4011B</v>
          </cell>
          <cell r="Q8468" t="str">
            <v>磁性位置传感器</v>
          </cell>
        </row>
        <row r="8469">
          <cell r="O8469" t="str">
            <v>G01</v>
          </cell>
          <cell r="P8469" t="str">
            <v>STC4011B</v>
          </cell>
          <cell r="Q8469" t="str">
            <v>磁性位置传感器</v>
          </cell>
        </row>
        <row r="8470">
          <cell r="O8470" t="str">
            <v>G01</v>
          </cell>
          <cell r="P8470" t="str">
            <v>STC4011B</v>
          </cell>
          <cell r="Q8470" t="str">
            <v>磁性位置传感器</v>
          </cell>
        </row>
        <row r="8471">
          <cell r="O8471" t="str">
            <v>G01</v>
          </cell>
          <cell r="P8471" t="str">
            <v>STC4011B</v>
          </cell>
          <cell r="Q8471" t="str">
            <v>磁性位置传感器</v>
          </cell>
        </row>
        <row r="8472">
          <cell r="O8472" t="str">
            <v>G01</v>
          </cell>
          <cell r="P8472" t="str">
            <v>STC4011B</v>
          </cell>
          <cell r="Q8472" t="str">
            <v>磁性位置传感器</v>
          </cell>
        </row>
        <row r="8473">
          <cell r="O8473" t="str">
            <v>G01</v>
          </cell>
          <cell r="P8473" t="str">
            <v>STC4011B</v>
          </cell>
          <cell r="Q8473" t="str">
            <v>磁性位置传感器</v>
          </cell>
        </row>
        <row r="8474">
          <cell r="O8474" t="str">
            <v>SC2462UA</v>
          </cell>
          <cell r="P8474" t="str">
            <v>STC9906J</v>
          </cell>
          <cell r="Q8474" t="str">
            <v>磁性位置传感器</v>
          </cell>
        </row>
        <row r="8475">
          <cell r="O8475" t="str">
            <v>SC9642TS-E</v>
          </cell>
          <cell r="P8475" t="str">
            <v>STC9A001H</v>
          </cell>
          <cell r="Q8475" t="str">
            <v>速度传感器</v>
          </cell>
        </row>
        <row r="8476">
          <cell r="O8476" t="str">
            <v>SC60370</v>
          </cell>
          <cell r="P8476" t="str">
            <v>STC9D05B</v>
          </cell>
          <cell r="Q8476" t="str">
            <v>电机编码器</v>
          </cell>
        </row>
        <row r="8477">
          <cell r="O8477" t="str">
            <v>SC2443UA</v>
          </cell>
          <cell r="P8477" t="str">
            <v>STC9906W</v>
          </cell>
          <cell r="Q8477" t="str">
            <v>磁性位置传感器</v>
          </cell>
        </row>
        <row r="8478">
          <cell r="O8478" t="str">
            <v>SC2443UA</v>
          </cell>
          <cell r="P8478" t="str">
            <v>STC9906W</v>
          </cell>
          <cell r="Q8478" t="str">
            <v>磁性位置传感器</v>
          </cell>
        </row>
        <row r="8479">
          <cell r="O8479" t="str">
            <v>SC2443UA</v>
          </cell>
          <cell r="P8479" t="str">
            <v>STC9906W</v>
          </cell>
          <cell r="Q8479" t="str">
            <v>磁性位置传感器</v>
          </cell>
        </row>
        <row r="8480">
          <cell r="O8480" t="str">
            <v>SC2443UA</v>
          </cell>
          <cell r="P8480" t="str">
            <v>STC9906W</v>
          </cell>
          <cell r="Q8480" t="str">
            <v>磁性位置传感器</v>
          </cell>
        </row>
        <row r="8481">
          <cell r="O8481" t="str">
            <v>SC2443UA</v>
          </cell>
          <cell r="P8481" t="str">
            <v>STC9906W</v>
          </cell>
          <cell r="Q8481" t="str">
            <v>磁性位置传感器</v>
          </cell>
        </row>
        <row r="8482">
          <cell r="O8482" t="str">
            <v>SC2443UA</v>
          </cell>
          <cell r="P8482" t="str">
            <v>STC9906W</v>
          </cell>
          <cell r="Q8482" t="str">
            <v>磁性位置传感器</v>
          </cell>
        </row>
        <row r="8483">
          <cell r="O8483" t="str">
            <v>SC2443SO</v>
          </cell>
          <cell r="P8483" t="str">
            <v>STC9906T</v>
          </cell>
          <cell r="Q8483" t="str">
            <v>磁性位置传感器</v>
          </cell>
        </row>
        <row r="8484">
          <cell r="O8484" t="str">
            <v>SC2448UA-N</v>
          </cell>
          <cell r="P8484" t="str">
            <v>STC9906S</v>
          </cell>
          <cell r="Q8484" t="str">
            <v>磁性位置传感器</v>
          </cell>
        </row>
        <row r="8485">
          <cell r="O8485" t="str">
            <v>SC60340</v>
          </cell>
          <cell r="P8485" t="str">
            <v>STC9D05C</v>
          </cell>
          <cell r="Q8485" t="str">
            <v>电机编码器</v>
          </cell>
        </row>
        <row r="8486">
          <cell r="O8486" t="str">
            <v>SC60228DC</v>
          </cell>
          <cell r="P8486" t="str">
            <v>STC9D04C</v>
          </cell>
          <cell r="Q8486" t="str">
            <v>电机编码器</v>
          </cell>
        </row>
        <row r="8487">
          <cell r="O8487" t="str">
            <v>SC60228DC</v>
          </cell>
          <cell r="P8487" t="str">
            <v>STC9D04C</v>
          </cell>
          <cell r="Q8487" t="str">
            <v>电机编码器</v>
          </cell>
        </row>
        <row r="8488">
          <cell r="O8488" t="str">
            <v>SC4002BU</v>
          </cell>
          <cell r="P8488" t="str">
            <v>STC4000AA</v>
          </cell>
          <cell r="Q8488" t="str">
            <v>磁性位置传感器</v>
          </cell>
        </row>
        <row r="8489">
          <cell r="O8489" t="str">
            <v>SC4002BU</v>
          </cell>
          <cell r="P8489" t="str">
            <v>STC4000AA</v>
          </cell>
          <cell r="Q8489" t="str">
            <v>磁性位置传感器</v>
          </cell>
        </row>
        <row r="8490">
          <cell r="O8490" t="str">
            <v>SC4002BU</v>
          </cell>
          <cell r="P8490" t="str">
            <v>STC4000AA</v>
          </cell>
          <cell r="Q8490" t="str">
            <v>磁性位置传感器</v>
          </cell>
        </row>
        <row r="8491">
          <cell r="O8491" t="str">
            <v>SC4002UA</v>
          </cell>
          <cell r="P8491" t="str">
            <v>STC4000AA</v>
          </cell>
          <cell r="Q8491" t="str">
            <v>磁性位置传感器</v>
          </cell>
        </row>
        <row r="8492">
          <cell r="O8492" t="str">
            <v>SC4011SO-N</v>
          </cell>
          <cell r="P8492" t="str">
            <v>STC4011B</v>
          </cell>
          <cell r="Q8492" t="str">
            <v>磁性位置传感器</v>
          </cell>
        </row>
        <row r="8493">
          <cell r="O8493" t="str">
            <v>SC4011SO-N</v>
          </cell>
          <cell r="P8493" t="str">
            <v>STC4011B</v>
          </cell>
          <cell r="Q8493" t="str">
            <v>磁性位置传感器</v>
          </cell>
        </row>
        <row r="8494">
          <cell r="O8494" t="str">
            <v>SC4011SO-N</v>
          </cell>
          <cell r="P8494" t="str">
            <v>STC4011B</v>
          </cell>
          <cell r="Q8494" t="str">
            <v>磁性位置传感器</v>
          </cell>
        </row>
        <row r="8495">
          <cell r="O8495" t="str">
            <v>SYLMV324BPD2R</v>
          </cell>
          <cell r="P8495" t="str">
            <v>STC9G003B</v>
          </cell>
          <cell r="Q8495" t="str">
            <v>其他数模混合</v>
          </cell>
        </row>
        <row r="8496">
          <cell r="O8496" t="str">
            <v>SYLMV324BPD2R</v>
          </cell>
          <cell r="P8496" t="str">
            <v>STC9G003B</v>
          </cell>
          <cell r="Q8496" t="str">
            <v>其他数模混合</v>
          </cell>
        </row>
        <row r="8497">
          <cell r="O8497" t="str">
            <v>SC2436SO</v>
          </cell>
          <cell r="P8497" t="str">
            <v>STC9906I</v>
          </cell>
          <cell r="Q8497" t="str">
            <v>磁性位置传感器</v>
          </cell>
        </row>
        <row r="8498">
          <cell r="O8498" t="str">
            <v>SC2432SO</v>
          </cell>
          <cell r="P8498" t="str">
            <v>STC9906I</v>
          </cell>
          <cell r="Q8498" t="str">
            <v>磁性位置传感器</v>
          </cell>
        </row>
        <row r="8499">
          <cell r="O8499" t="str">
            <v>SC2402SO-N</v>
          </cell>
          <cell r="P8499" t="str">
            <v>STC9902J</v>
          </cell>
          <cell r="Q8499" t="str">
            <v>磁性位置传感器</v>
          </cell>
        </row>
        <row r="8500">
          <cell r="O8500" t="str">
            <v>SC2402SO-N</v>
          </cell>
          <cell r="P8500" t="str">
            <v>STC9902J</v>
          </cell>
          <cell r="Q8500" t="str">
            <v>磁性位置传感器</v>
          </cell>
        </row>
        <row r="8501">
          <cell r="O8501" t="str">
            <v>SC2402SO-N</v>
          </cell>
          <cell r="P8501" t="str">
            <v>STC9902J</v>
          </cell>
          <cell r="Q8501" t="str">
            <v>磁性位置传感器</v>
          </cell>
        </row>
        <row r="8502">
          <cell r="O8502" t="str">
            <v>SC2402SO-N-H</v>
          </cell>
          <cell r="P8502" t="str">
            <v>STC9H001A</v>
          </cell>
          <cell r="Q8502" t="str">
            <v>磁性位置传感器</v>
          </cell>
        </row>
        <row r="8503">
          <cell r="O8503" t="str">
            <v>SC2402SO-N-H</v>
          </cell>
          <cell r="P8503" t="str">
            <v>STC9H001A</v>
          </cell>
          <cell r="Q8503" t="str">
            <v>磁性位置传感器</v>
          </cell>
        </row>
        <row r="8504">
          <cell r="O8504" t="str">
            <v>SC1134UA</v>
          </cell>
          <cell r="P8504" t="str">
            <v>STC1898AI</v>
          </cell>
          <cell r="Q8504" t="str">
            <v>磁性位置传感器</v>
          </cell>
        </row>
        <row r="8505">
          <cell r="O8505" t="str">
            <v>SC1134SO-N</v>
          </cell>
          <cell r="P8505" t="str">
            <v>STC1002AF</v>
          </cell>
          <cell r="Q8505" t="str">
            <v>磁性位置传感器</v>
          </cell>
        </row>
        <row r="8506">
          <cell r="O8506" t="str">
            <v>SC1134SO-N</v>
          </cell>
          <cell r="P8506" t="str">
            <v>STC1002AF</v>
          </cell>
          <cell r="Q8506" t="str">
            <v>磁性位置传感器</v>
          </cell>
        </row>
        <row r="8507">
          <cell r="O8507" t="str">
            <v>SC1134SO-N</v>
          </cell>
          <cell r="P8507" t="str">
            <v>STC1002AF</v>
          </cell>
          <cell r="Q8507" t="str">
            <v>磁性位置传感器</v>
          </cell>
        </row>
        <row r="8508">
          <cell r="O8508" t="str">
            <v>SC1134SO-N</v>
          </cell>
          <cell r="P8508" t="str">
            <v>STC1002AF</v>
          </cell>
          <cell r="Q8508" t="str">
            <v>磁性位置传感器</v>
          </cell>
        </row>
        <row r="8509">
          <cell r="O8509" t="str">
            <v>G01</v>
          </cell>
          <cell r="P8509" t="str">
            <v>STC4011B</v>
          </cell>
          <cell r="Q8509" t="str">
            <v>磁性位置传感器</v>
          </cell>
        </row>
        <row r="8510">
          <cell r="O8510" t="str">
            <v>G01</v>
          </cell>
          <cell r="P8510" t="str">
            <v>STC4011B</v>
          </cell>
          <cell r="Q8510" t="str">
            <v>磁性位置传感器</v>
          </cell>
        </row>
        <row r="8511">
          <cell r="O8511" t="str">
            <v>G01</v>
          </cell>
          <cell r="P8511" t="str">
            <v>STC4011B</v>
          </cell>
          <cell r="Q8511" t="str">
            <v>磁性位置传感器</v>
          </cell>
        </row>
        <row r="8512">
          <cell r="O8512" t="str">
            <v>G01</v>
          </cell>
          <cell r="P8512" t="str">
            <v>STC4011B</v>
          </cell>
          <cell r="Q8512" t="str">
            <v>磁性位置传感器</v>
          </cell>
        </row>
        <row r="8513">
          <cell r="O8513" t="str">
            <v>G01</v>
          </cell>
          <cell r="P8513" t="str">
            <v>STC4011B</v>
          </cell>
          <cell r="Q8513" t="str">
            <v>磁性位置传感器</v>
          </cell>
        </row>
        <row r="8514">
          <cell r="O8514" t="str">
            <v>SC9625VB-L</v>
          </cell>
          <cell r="P8514" t="str">
            <v>STC9910E</v>
          </cell>
          <cell r="Q8514" t="str">
            <v>速度传感器</v>
          </cell>
        </row>
        <row r="8515">
          <cell r="O8515" t="str">
            <v>SC9625VB-L</v>
          </cell>
          <cell r="P8515" t="str">
            <v>STC9910E</v>
          </cell>
          <cell r="Q8515" t="str">
            <v>速度传感器</v>
          </cell>
        </row>
        <row r="8516">
          <cell r="O8516" t="str">
            <v>SC9625VB-L</v>
          </cell>
          <cell r="P8516" t="str">
            <v>STC9910E</v>
          </cell>
          <cell r="Q8516" t="str">
            <v>速度传感器</v>
          </cell>
        </row>
        <row r="8517">
          <cell r="O8517" t="str">
            <v>SC9641TS-P</v>
          </cell>
          <cell r="P8517" t="str">
            <v>STC9A001I</v>
          </cell>
          <cell r="Q8517" t="str">
            <v>速度传感器</v>
          </cell>
        </row>
        <row r="8518">
          <cell r="O8518" t="str">
            <v>SC9641TS-P</v>
          </cell>
          <cell r="P8518" t="str">
            <v>STC9A001I</v>
          </cell>
          <cell r="Q8518" t="str">
            <v>速度传感器</v>
          </cell>
        </row>
        <row r="8519">
          <cell r="O8519" t="str">
            <v>SC9641TS-P</v>
          </cell>
          <cell r="P8519" t="str">
            <v>STC9A001I</v>
          </cell>
          <cell r="Q8519" t="str">
            <v>速度传感器</v>
          </cell>
        </row>
        <row r="8520">
          <cell r="O8520" t="str">
            <v>SC9641TS-P</v>
          </cell>
          <cell r="P8520" t="str">
            <v>STC9A001I</v>
          </cell>
          <cell r="Q8520" t="str">
            <v>速度传感器</v>
          </cell>
        </row>
        <row r="8521">
          <cell r="O8521" t="str">
            <v>SC9641TS-PC</v>
          </cell>
          <cell r="P8521" t="str">
            <v>STC9A001I</v>
          </cell>
          <cell r="Q8521" t="str">
            <v>速度传感器</v>
          </cell>
        </row>
        <row r="8522">
          <cell r="O8522" t="str">
            <v>SC9641TS-PC</v>
          </cell>
          <cell r="P8522" t="str">
            <v>STC9A001I</v>
          </cell>
          <cell r="Q8522" t="str">
            <v>速度传感器</v>
          </cell>
        </row>
        <row r="8523">
          <cell r="O8523" t="str">
            <v>SC9641TS-PC</v>
          </cell>
          <cell r="P8523" t="str">
            <v>STC9A001I</v>
          </cell>
          <cell r="Q8523" t="str">
            <v>速度传感器</v>
          </cell>
        </row>
        <row r="8524">
          <cell r="O8524" t="str">
            <v>SC9642TS-EC</v>
          </cell>
          <cell r="P8524" t="str">
            <v>STC9A001H</v>
          </cell>
          <cell r="Q8524" t="str">
            <v>速度传感器</v>
          </cell>
        </row>
        <row r="8525">
          <cell r="O8525" t="str">
            <v>SC9642TS-EC</v>
          </cell>
          <cell r="P8525" t="str">
            <v>STC9A001H</v>
          </cell>
          <cell r="Q8525" t="str">
            <v>速度传感器</v>
          </cell>
        </row>
        <row r="8526">
          <cell r="O8526" t="str">
            <v>SC4616UA-10.2NF</v>
          </cell>
          <cell r="P8526" t="str">
            <v>STC9907D</v>
          </cell>
          <cell r="Q8526" t="str">
            <v>电流传感器</v>
          </cell>
        </row>
        <row r="8527">
          <cell r="O8527" t="str">
            <v>SC4616UA-10.2NF</v>
          </cell>
          <cell r="P8527" t="str">
            <v>STC9907D</v>
          </cell>
          <cell r="Q8527" t="str">
            <v>电流传感器</v>
          </cell>
        </row>
        <row r="8528">
          <cell r="O8528" t="str">
            <v>SC2442SO</v>
          </cell>
          <cell r="P8528" t="str">
            <v>STC9906R</v>
          </cell>
          <cell r="Q8528" t="str">
            <v>磁性位置传感器</v>
          </cell>
        </row>
        <row r="8529">
          <cell r="O8529" t="str">
            <v>SC2442SO</v>
          </cell>
          <cell r="P8529" t="str">
            <v>STC9906R</v>
          </cell>
          <cell r="Q8529" t="str">
            <v>磁性位置传感器</v>
          </cell>
        </row>
        <row r="8530">
          <cell r="O8530" t="str">
            <v>SC2498CUA-N</v>
          </cell>
          <cell r="P8530" t="str">
            <v>SC9915C</v>
          </cell>
          <cell r="Q8530" t="str">
            <v>磁性位置传感器</v>
          </cell>
        </row>
        <row r="8531">
          <cell r="O8531" t="str">
            <v>SC2498CUA-N</v>
          </cell>
          <cell r="P8531" t="str">
            <v>SC9915C</v>
          </cell>
          <cell r="Q8531" t="str">
            <v>磁性位置传感器</v>
          </cell>
        </row>
        <row r="8532">
          <cell r="O8532" t="str">
            <v>SC2498CUA-N</v>
          </cell>
          <cell r="P8532" t="str">
            <v>SC9915C</v>
          </cell>
          <cell r="Q8532" t="str">
            <v>磁性位置传感器</v>
          </cell>
        </row>
        <row r="8533">
          <cell r="O8533" t="str">
            <v>SC9648TS-P</v>
          </cell>
          <cell r="P8533" t="str">
            <v>STC9A001I</v>
          </cell>
          <cell r="Q8533" t="str">
            <v>速度传感器</v>
          </cell>
        </row>
        <row r="8534">
          <cell r="O8534" t="str">
            <v>SC9641TS-PC</v>
          </cell>
          <cell r="P8534" t="str">
            <v>STC9A001I</v>
          </cell>
          <cell r="Q8534" t="str">
            <v>速度传感器</v>
          </cell>
        </row>
        <row r="8535">
          <cell r="O8535" t="str">
            <v>SC9648TS-P</v>
          </cell>
          <cell r="P8535" t="str">
            <v>STC9A001I</v>
          </cell>
          <cell r="Q8535" t="str">
            <v>速度传感器</v>
          </cell>
        </row>
        <row r="8536">
          <cell r="O8536" t="str">
            <v>SC9641TS-PC</v>
          </cell>
          <cell r="P8536" t="str">
            <v>STC9A001I</v>
          </cell>
          <cell r="Q8536" t="str">
            <v>速度传感器</v>
          </cell>
        </row>
        <row r="8537">
          <cell r="O8537" t="str">
            <v>SC9625VB</v>
          </cell>
          <cell r="P8537" t="str">
            <v>STC9910B</v>
          </cell>
          <cell r="Q8537" t="str">
            <v>速度传感器</v>
          </cell>
        </row>
        <row r="8538">
          <cell r="O8538" t="str">
            <v>SC9641TS</v>
          </cell>
          <cell r="P8538" t="str">
            <v>STC9910BN</v>
          </cell>
          <cell r="Q8538" t="str">
            <v>速度传感器</v>
          </cell>
        </row>
        <row r="8539">
          <cell r="O8539" t="str">
            <v>SC9641TS</v>
          </cell>
          <cell r="P8539" t="str">
            <v>STC9910BN</v>
          </cell>
          <cell r="Q8539" t="str">
            <v>速度传感器</v>
          </cell>
        </row>
        <row r="8540">
          <cell r="O8540" t="str">
            <v>SC9641TS</v>
          </cell>
          <cell r="P8540" t="str">
            <v>STC9910BN</v>
          </cell>
          <cell r="Q8540" t="str">
            <v>速度传感器</v>
          </cell>
        </row>
        <row r="8541">
          <cell r="O8541" t="str">
            <v>SC9641TS</v>
          </cell>
          <cell r="P8541" t="str">
            <v>STC9910BN</v>
          </cell>
          <cell r="Q8541" t="str">
            <v>速度传感器</v>
          </cell>
        </row>
        <row r="8542">
          <cell r="O8542" t="str">
            <v>SC1945NB1</v>
          </cell>
          <cell r="P8542" t="str">
            <v>STC2899AM</v>
          </cell>
          <cell r="Q8542" t="str">
            <v>磁性位置传感器</v>
          </cell>
        </row>
        <row r="8543">
          <cell r="O8543" t="str">
            <v>SC1945NB1</v>
          </cell>
          <cell r="P8543" t="str">
            <v>STC2899AM</v>
          </cell>
          <cell r="Q8543" t="str">
            <v>磁性位置传感器</v>
          </cell>
        </row>
        <row r="8544">
          <cell r="O8544" t="str">
            <v>SC1945NB1</v>
          </cell>
          <cell r="P8544" t="str">
            <v>STC2899AM</v>
          </cell>
          <cell r="Q8544" t="str">
            <v>磁性位置传感器</v>
          </cell>
        </row>
        <row r="8545">
          <cell r="O8545" t="str">
            <v>SC1945NB1</v>
          </cell>
          <cell r="P8545" t="str">
            <v>STC2899AM</v>
          </cell>
          <cell r="Q8545" t="str">
            <v>磁性位置传感器</v>
          </cell>
        </row>
        <row r="8546">
          <cell r="O8546" t="str">
            <v>SC1945NB1</v>
          </cell>
          <cell r="P8546" t="str">
            <v>STC2899AM</v>
          </cell>
          <cell r="Q8546" t="str">
            <v>磁性位置传感器</v>
          </cell>
        </row>
        <row r="8547">
          <cell r="O8547" t="str">
            <v>SC1945NB1</v>
          </cell>
          <cell r="P8547" t="str">
            <v>STC2899AM</v>
          </cell>
          <cell r="Q8547" t="str">
            <v>磁性位置传感器</v>
          </cell>
        </row>
        <row r="8548">
          <cell r="O8548" t="str">
            <v>SC60228DC</v>
          </cell>
          <cell r="P8548" t="str">
            <v>STC9D04C</v>
          </cell>
          <cell r="Q8548" t="str">
            <v>电机编码器</v>
          </cell>
        </row>
        <row r="8549">
          <cell r="O8549" t="str">
            <v>SC4624SP50B5</v>
          </cell>
          <cell r="P8549" t="str">
            <v>STC9D06F</v>
          </cell>
          <cell r="Q8549" t="str">
            <v>电流传感器</v>
          </cell>
        </row>
        <row r="8550">
          <cell r="O8550" t="str">
            <v>SC9641TS</v>
          </cell>
          <cell r="P8550" t="str">
            <v>STC9910BN</v>
          </cell>
          <cell r="Q8550" t="str">
            <v>速度传感器</v>
          </cell>
        </row>
        <row r="8551">
          <cell r="O8551" t="str">
            <v>SC9641TS</v>
          </cell>
          <cell r="P8551" t="str">
            <v>STC9910BN</v>
          </cell>
          <cell r="Q8551" t="str">
            <v>速度传感器</v>
          </cell>
        </row>
        <row r="8552">
          <cell r="O8552" t="str">
            <v>SC9641TS</v>
          </cell>
          <cell r="P8552" t="str">
            <v>STC9910BN</v>
          </cell>
          <cell r="Q8552" t="str">
            <v>速度传感器</v>
          </cell>
        </row>
        <row r="8553">
          <cell r="O8553" t="str">
            <v>SC9641TS</v>
          </cell>
          <cell r="P8553" t="str">
            <v>STC9910BN</v>
          </cell>
          <cell r="Q8553" t="str">
            <v>速度传感器</v>
          </cell>
        </row>
        <row r="8554">
          <cell r="O8554" t="str">
            <v>SC9641TS-P</v>
          </cell>
          <cell r="P8554" t="str">
            <v>STC9A001F</v>
          </cell>
          <cell r="Q8554" t="str">
            <v>速度传感器</v>
          </cell>
        </row>
        <row r="8555">
          <cell r="O8555" t="str">
            <v>SC9641TS</v>
          </cell>
          <cell r="P8555" t="str">
            <v>STC9910BN</v>
          </cell>
          <cell r="Q8555" t="str">
            <v>速度传感器</v>
          </cell>
        </row>
        <row r="8556">
          <cell r="O8556" t="str">
            <v>SC9641TS</v>
          </cell>
          <cell r="P8556" t="str">
            <v>STC9910BN</v>
          </cell>
          <cell r="Q8556" t="str">
            <v>速度传感器</v>
          </cell>
        </row>
        <row r="8557">
          <cell r="O8557" t="str">
            <v>SC9641TS</v>
          </cell>
          <cell r="P8557" t="str">
            <v>STC9910BN</v>
          </cell>
          <cell r="Q8557" t="str">
            <v>速度传感器</v>
          </cell>
        </row>
        <row r="8558">
          <cell r="O8558" t="str">
            <v>SC2442SO</v>
          </cell>
          <cell r="P8558" t="str">
            <v>STC9906R</v>
          </cell>
          <cell r="Q8558" t="str">
            <v>磁性位置传感器</v>
          </cell>
        </row>
        <row r="8559">
          <cell r="O8559" t="str">
            <v>SC2432SO-N</v>
          </cell>
          <cell r="P8559" t="str">
            <v>STC9906I</v>
          </cell>
          <cell r="Q8559" t="str">
            <v>磁性位置传感器</v>
          </cell>
        </row>
        <row r="8560">
          <cell r="O8560" t="str">
            <v>SC2443SO</v>
          </cell>
          <cell r="P8560" t="str">
            <v>STC9906T</v>
          </cell>
          <cell r="Q8560" t="str">
            <v>磁性位置传感器</v>
          </cell>
        </row>
        <row r="8561">
          <cell r="O8561" t="str">
            <v>SC2443SO</v>
          </cell>
          <cell r="P8561" t="str">
            <v>STC9906T</v>
          </cell>
          <cell r="Q8561" t="str">
            <v>磁性位置传感器</v>
          </cell>
        </row>
        <row r="8562">
          <cell r="O8562" t="str">
            <v>SC2242SO</v>
          </cell>
          <cell r="P8562" t="str">
            <v>STC9906H</v>
          </cell>
          <cell r="Q8562" t="str">
            <v>磁性位置传感器</v>
          </cell>
        </row>
        <row r="8563">
          <cell r="O8563" t="str">
            <v>SC1134SO-N</v>
          </cell>
          <cell r="P8563" t="str">
            <v>STC1898AI</v>
          </cell>
          <cell r="Q8563" t="str">
            <v>磁性位置传感器</v>
          </cell>
        </row>
        <row r="8564">
          <cell r="O8564" t="str">
            <v>SC1245SO-N</v>
          </cell>
          <cell r="P8564" t="str">
            <v>STC1898AD</v>
          </cell>
          <cell r="Q8564" t="str">
            <v>磁性位置传感器</v>
          </cell>
        </row>
        <row r="8565">
          <cell r="O8565" t="str">
            <v>SC9632VB</v>
          </cell>
          <cell r="P8565" t="str">
            <v>STC9905E</v>
          </cell>
          <cell r="Q8565" t="str">
            <v>速度传感器</v>
          </cell>
        </row>
        <row r="8566">
          <cell r="O8566" t="str">
            <v>SC9633VB</v>
          </cell>
          <cell r="P8566" t="str">
            <v>STC9905F</v>
          </cell>
          <cell r="Q8566" t="str">
            <v>速度传感器</v>
          </cell>
        </row>
        <row r="8567">
          <cell r="O8567" t="str">
            <v>SC9632VB</v>
          </cell>
          <cell r="P8567" t="str">
            <v>STC9905E</v>
          </cell>
          <cell r="Q8567" t="str">
            <v>速度传感器</v>
          </cell>
        </row>
        <row r="8568">
          <cell r="O8568" t="str">
            <v>SC9642TS-E</v>
          </cell>
          <cell r="P8568" t="str">
            <v>STC9A001H</v>
          </cell>
          <cell r="Q8568" t="str">
            <v>速度传感器</v>
          </cell>
        </row>
        <row r="8569">
          <cell r="O8569" t="str">
            <v>2100S</v>
          </cell>
          <cell r="P8569" t="str">
            <v>STC9D03E</v>
          </cell>
          <cell r="Q8569" t="str">
            <v>电流传感器</v>
          </cell>
        </row>
        <row r="8570">
          <cell r="O8570" t="str">
            <v>2100S</v>
          </cell>
          <cell r="P8570" t="str">
            <v>STC9D03E</v>
          </cell>
          <cell r="Q8570" t="str">
            <v>电流传感器</v>
          </cell>
        </row>
        <row r="8571">
          <cell r="O8571" t="str">
            <v>G01</v>
          </cell>
          <cell r="P8571" t="str">
            <v>STC4011B</v>
          </cell>
          <cell r="Q8571" t="str">
            <v>磁性位置传感器</v>
          </cell>
        </row>
        <row r="8572">
          <cell r="O8572" t="str">
            <v>G01</v>
          </cell>
          <cell r="P8572" t="str">
            <v>STC4011B</v>
          </cell>
          <cell r="Q8572" t="str">
            <v>磁性位置传感器</v>
          </cell>
        </row>
        <row r="8573">
          <cell r="O8573" t="str">
            <v>G01</v>
          </cell>
          <cell r="P8573" t="str">
            <v>STC4011B</v>
          </cell>
          <cell r="Q8573" t="str">
            <v>磁性位置传感器</v>
          </cell>
        </row>
        <row r="8574">
          <cell r="O8574" t="str">
            <v>G01</v>
          </cell>
          <cell r="P8574" t="str">
            <v>STC4011B</v>
          </cell>
          <cell r="Q8574" t="str">
            <v>磁性位置传感器</v>
          </cell>
        </row>
        <row r="8575">
          <cell r="O8575" t="str">
            <v>G01</v>
          </cell>
          <cell r="P8575" t="str">
            <v>STC4011B</v>
          </cell>
          <cell r="Q8575" t="str">
            <v>磁性位置传感器</v>
          </cell>
        </row>
        <row r="8576">
          <cell r="O8576" t="str">
            <v>G01</v>
          </cell>
          <cell r="P8576" t="str">
            <v>STC4011B</v>
          </cell>
          <cell r="Q8576" t="str">
            <v>磁性位置传感器</v>
          </cell>
        </row>
        <row r="8577">
          <cell r="O8577" t="str">
            <v>STC11201B-DS</v>
          </cell>
          <cell r="P8577" t="str">
            <v>STC11201B</v>
          </cell>
          <cell r="Q8577" t="str">
            <v>磁性位置传感器</v>
          </cell>
        </row>
        <row r="8578">
          <cell r="O8578" t="str">
            <v>SC4011SO-N</v>
          </cell>
          <cell r="P8578" t="str">
            <v>STC4011B</v>
          </cell>
          <cell r="Q8578" t="str">
            <v>磁性位置传感器</v>
          </cell>
        </row>
        <row r="8579">
          <cell r="O8579" t="str">
            <v>SC1134UA</v>
          </cell>
          <cell r="P8579" t="str">
            <v>STC1898AI</v>
          </cell>
          <cell r="Q8579" t="str">
            <v>磁性位置传感器</v>
          </cell>
        </row>
        <row r="8580">
          <cell r="O8580" t="str">
            <v>SC1134UA</v>
          </cell>
          <cell r="P8580" t="str">
            <v>STC1898AI</v>
          </cell>
          <cell r="Q8580" t="str">
            <v>磁性位置传感器</v>
          </cell>
        </row>
        <row r="8581">
          <cell r="O8581" t="str">
            <v>SC1134UA</v>
          </cell>
          <cell r="P8581" t="str">
            <v>STC1898AI</v>
          </cell>
          <cell r="Q8581" t="str">
            <v>磁性位置传感器</v>
          </cell>
        </row>
        <row r="8582">
          <cell r="O8582" t="str">
            <v>SC9314UA</v>
          </cell>
          <cell r="P8582" t="str">
            <v>STC9901AF</v>
          </cell>
          <cell r="Q8582" t="str">
            <v>速度传感器</v>
          </cell>
        </row>
        <row r="8583">
          <cell r="O8583" t="str">
            <v>3100</v>
          </cell>
          <cell r="P8583" t="str">
            <v>STC9D06G</v>
          </cell>
          <cell r="Q8583" t="str">
            <v>电流传感器</v>
          </cell>
        </row>
        <row r="8584">
          <cell r="O8584" t="str">
            <v>SC2442SO</v>
          </cell>
          <cell r="P8584" t="str">
            <v>STC9906R</v>
          </cell>
          <cell r="Q8584" t="str">
            <v>磁性位置传感器</v>
          </cell>
        </row>
        <row r="8585">
          <cell r="O8585" t="str">
            <v>SC2402UA-G</v>
          </cell>
          <cell r="P8585" t="str">
            <v>STC9G002B</v>
          </cell>
          <cell r="Q8585" t="str">
            <v>磁性位置传感器</v>
          </cell>
        </row>
        <row r="8586">
          <cell r="O8586" t="str">
            <v>SC2432SO-N</v>
          </cell>
          <cell r="P8586" t="str">
            <v>STC9906I</v>
          </cell>
          <cell r="Q8586" t="str">
            <v>磁性位置传感器</v>
          </cell>
        </row>
        <row r="8587">
          <cell r="O8587" t="str">
            <v>SC1134UA</v>
          </cell>
          <cell r="P8587" t="str">
            <v>STC1898AI</v>
          </cell>
          <cell r="Q8587" t="str">
            <v>磁性位置传感器</v>
          </cell>
        </row>
        <row r="8588">
          <cell r="O8588" t="str">
            <v>SC2448UA-N</v>
          </cell>
          <cell r="P8588" t="str">
            <v>STC9906S</v>
          </cell>
          <cell r="Q8588" t="str">
            <v>磁性位置传感器</v>
          </cell>
        </row>
        <row r="8589">
          <cell r="O8589" t="str">
            <v>SC2448UA-N</v>
          </cell>
          <cell r="P8589" t="str">
            <v>STC9906S</v>
          </cell>
          <cell r="Q8589" t="str">
            <v>磁性位置传感器</v>
          </cell>
        </row>
        <row r="8590">
          <cell r="O8590" t="str">
            <v>SC4643编程板</v>
          </cell>
          <cell r="P8590" t="str">
            <v xml:space="preserve"> </v>
          </cell>
          <cell r="Q8590" t="str">
            <v>电流传感器</v>
          </cell>
        </row>
        <row r="8591">
          <cell r="O8591" t="str">
            <v>SC2242SO</v>
          </cell>
          <cell r="P8591" t="str">
            <v>STC9906H</v>
          </cell>
          <cell r="Q8591" t="str">
            <v>磁性位置传感器</v>
          </cell>
        </row>
        <row r="8592">
          <cell r="O8592" t="str">
            <v>SC2442SO</v>
          </cell>
          <cell r="P8592" t="str">
            <v>STC9906R</v>
          </cell>
          <cell r="Q8592" t="str">
            <v>磁性位置传感器</v>
          </cell>
        </row>
        <row r="8593">
          <cell r="O8593" t="str">
            <v>SC9641TS</v>
          </cell>
          <cell r="P8593" t="str">
            <v>STC9910BN</v>
          </cell>
          <cell r="Q8593" t="str">
            <v>速度传感器</v>
          </cell>
        </row>
        <row r="8594">
          <cell r="O8594" t="str">
            <v>SC9641TS</v>
          </cell>
          <cell r="P8594" t="str">
            <v>STC9910BN</v>
          </cell>
          <cell r="Q8594" t="str">
            <v>速度传感器</v>
          </cell>
        </row>
        <row r="8595">
          <cell r="O8595" t="str">
            <v>SC9641TS</v>
          </cell>
          <cell r="P8595" t="str">
            <v>STC9910BN</v>
          </cell>
          <cell r="Q8595" t="str">
            <v>速度传感器</v>
          </cell>
        </row>
        <row r="8596">
          <cell r="O8596" t="str">
            <v>SC2438SO</v>
          </cell>
          <cell r="P8596" t="str">
            <v>STC9906I</v>
          </cell>
          <cell r="Q8596" t="str">
            <v>磁性位置传感器</v>
          </cell>
        </row>
        <row r="8597">
          <cell r="O8597" t="str">
            <v>SC2438SO</v>
          </cell>
          <cell r="P8597" t="str">
            <v>STC9906I</v>
          </cell>
          <cell r="Q8597" t="str">
            <v>磁性位置传感器</v>
          </cell>
        </row>
        <row r="8598">
          <cell r="O8598" t="str">
            <v>SC2438SO</v>
          </cell>
          <cell r="P8598" t="str">
            <v>STC9906I</v>
          </cell>
          <cell r="Q8598" t="str">
            <v>磁性位置传感器</v>
          </cell>
        </row>
        <row r="8599">
          <cell r="O8599" t="str">
            <v>SC2438SO</v>
          </cell>
          <cell r="P8599" t="str">
            <v>STC9906I</v>
          </cell>
          <cell r="Q8599" t="str">
            <v>磁性位置传感器</v>
          </cell>
        </row>
        <row r="8600">
          <cell r="O8600" t="str">
            <v>SC2438SO</v>
          </cell>
          <cell r="P8600" t="str">
            <v>STC9906I</v>
          </cell>
          <cell r="Q8600" t="str">
            <v>磁性位置传感器</v>
          </cell>
        </row>
        <row r="8601">
          <cell r="O8601" t="str">
            <v>SC2438SO</v>
          </cell>
          <cell r="P8601" t="str">
            <v>STC9906I</v>
          </cell>
          <cell r="Q8601" t="str">
            <v>磁性位置传感器</v>
          </cell>
        </row>
        <row r="8602">
          <cell r="O8602" t="str">
            <v>SC2438SO</v>
          </cell>
          <cell r="P8602" t="str">
            <v>STC9906I</v>
          </cell>
          <cell r="Q8602" t="str">
            <v>磁性位置传感器</v>
          </cell>
        </row>
        <row r="8603">
          <cell r="O8603" t="str">
            <v>SC9641TS-PC</v>
          </cell>
          <cell r="P8603" t="str">
            <v>STC9A001I</v>
          </cell>
          <cell r="Q8603" t="str">
            <v>速度传感器</v>
          </cell>
        </row>
        <row r="8604">
          <cell r="O8604" t="str">
            <v>SC9641TS-PC</v>
          </cell>
          <cell r="P8604" t="str">
            <v>STC9A001I</v>
          </cell>
          <cell r="Q8604" t="str">
            <v>速度传感器</v>
          </cell>
        </row>
        <row r="8605">
          <cell r="O8605" t="str">
            <v>SC9641TS-PC</v>
          </cell>
          <cell r="P8605" t="str">
            <v>STC9A001I</v>
          </cell>
          <cell r="Q8605" t="str">
            <v>速度传感器</v>
          </cell>
        </row>
        <row r="8606">
          <cell r="O8606" t="str">
            <v>SC9642TS</v>
          </cell>
          <cell r="P8606" t="str">
            <v>STC9A001G</v>
          </cell>
          <cell r="Q8606" t="str">
            <v>速度传感器</v>
          </cell>
        </row>
        <row r="8607">
          <cell r="O8607" t="str">
            <v>SC2242SO</v>
          </cell>
          <cell r="P8607" t="str">
            <v>STC9906H</v>
          </cell>
          <cell r="Q8607" t="str">
            <v>磁性位置传感器</v>
          </cell>
        </row>
        <row r="8608">
          <cell r="O8608" t="str">
            <v>SC2064SO</v>
          </cell>
          <cell r="P8608" t="str">
            <v>STC9G001C</v>
          </cell>
          <cell r="Q8608" t="str">
            <v>磁性位置传感器</v>
          </cell>
        </row>
        <row r="8609">
          <cell r="O8609" t="str">
            <v>SC2063SO</v>
          </cell>
          <cell r="P8609" t="str">
            <v>STC9G001C</v>
          </cell>
          <cell r="Q8609" t="str">
            <v>磁性位置传感器</v>
          </cell>
        </row>
        <row r="8610">
          <cell r="O8610" t="str">
            <v>SC1134SO-N</v>
          </cell>
          <cell r="P8610" t="str">
            <v>STC1898AI</v>
          </cell>
          <cell r="Q8610" t="str">
            <v>磁性位置传感器</v>
          </cell>
        </row>
        <row r="8611">
          <cell r="O8611" t="str">
            <v>SC1134SO-N</v>
          </cell>
          <cell r="P8611" t="str">
            <v>STC1898AI</v>
          </cell>
          <cell r="Q8611" t="str">
            <v>磁性位置传感器</v>
          </cell>
        </row>
        <row r="8612">
          <cell r="O8612" t="str">
            <v>SC1445A1</v>
          </cell>
          <cell r="P8612" t="str">
            <v>STC2899AB</v>
          </cell>
          <cell r="Q8612" t="str">
            <v>磁性位置传感器</v>
          </cell>
        </row>
        <row r="8613">
          <cell r="O8613" t="str">
            <v>SC1445A1</v>
          </cell>
          <cell r="P8613" t="str">
            <v>STC2899AB</v>
          </cell>
          <cell r="Q8613" t="str">
            <v>磁性位置传感器</v>
          </cell>
        </row>
        <row r="8614">
          <cell r="O8614" t="str">
            <v>SC9633VB</v>
          </cell>
          <cell r="P8614" t="str">
            <v>STC9905F</v>
          </cell>
          <cell r="Q8614" t="str">
            <v>速度传感器</v>
          </cell>
        </row>
        <row r="8615">
          <cell r="O8615" t="str">
            <v>SC1134SO-N</v>
          </cell>
          <cell r="P8615" t="str">
            <v>STC1898AI</v>
          </cell>
          <cell r="Q8615" t="str">
            <v>磁性位置传感器</v>
          </cell>
        </row>
        <row r="8616">
          <cell r="O8616" t="str">
            <v>SC2442SO</v>
          </cell>
          <cell r="P8616" t="str">
            <v>STC9906R</v>
          </cell>
          <cell r="Q8616" t="str">
            <v>磁性位置传感器</v>
          </cell>
        </row>
        <row r="8617">
          <cell r="O8617" t="str">
            <v>SC2442SO</v>
          </cell>
          <cell r="P8617" t="str">
            <v>STC9906R</v>
          </cell>
          <cell r="Q8617" t="str">
            <v>磁性位置传感器</v>
          </cell>
        </row>
        <row r="8618">
          <cell r="O8618" t="str">
            <v>SC9648TS-P</v>
          </cell>
          <cell r="P8618" t="str">
            <v>STC9A001I</v>
          </cell>
          <cell r="Q8618" t="str">
            <v>速度传感器</v>
          </cell>
        </row>
        <row r="8619">
          <cell r="O8619" t="str">
            <v>SC9641TS-P</v>
          </cell>
          <cell r="P8619" t="str">
            <v>STC9A001I</v>
          </cell>
          <cell r="Q8619" t="str">
            <v>速度传感器</v>
          </cell>
        </row>
        <row r="8620">
          <cell r="O8620" t="str">
            <v>SC9648TS-P</v>
          </cell>
          <cell r="P8620" t="str">
            <v>STC9A001I</v>
          </cell>
          <cell r="Q8620" t="str">
            <v>速度传感器</v>
          </cell>
        </row>
        <row r="8621">
          <cell r="O8621" t="str">
            <v>SC9641TS-P</v>
          </cell>
          <cell r="P8621" t="str">
            <v>STC9A001I</v>
          </cell>
          <cell r="Q8621" t="str">
            <v>速度传感器</v>
          </cell>
        </row>
        <row r="8622">
          <cell r="O8622" t="str">
            <v>SC9648TS-P</v>
          </cell>
          <cell r="P8622" t="str">
            <v>STC9A001I</v>
          </cell>
          <cell r="Q8622" t="str">
            <v>速度传感器</v>
          </cell>
        </row>
        <row r="8623">
          <cell r="O8623" t="str">
            <v>SC1134SO-N</v>
          </cell>
          <cell r="P8623" t="str">
            <v>STC1898AI</v>
          </cell>
          <cell r="Q8623" t="str">
            <v>磁性位置传感器</v>
          </cell>
        </row>
        <row r="8624">
          <cell r="O8624" t="str">
            <v>SC1134SO-N</v>
          </cell>
          <cell r="P8624" t="str">
            <v>STC1898AI</v>
          </cell>
          <cell r="Q8624" t="str">
            <v>磁性位置传感器</v>
          </cell>
        </row>
        <row r="8625">
          <cell r="O8625" t="str">
            <v>SC2436UA</v>
          </cell>
          <cell r="P8625" t="str">
            <v>STC9906I</v>
          </cell>
          <cell r="Q8625" t="str">
            <v>磁性位置传感器</v>
          </cell>
        </row>
        <row r="8626">
          <cell r="O8626" t="str">
            <v>SC9641TS-PC</v>
          </cell>
          <cell r="P8626" t="str">
            <v>STC9A001I</v>
          </cell>
          <cell r="Q8626" t="str">
            <v>速度传感器</v>
          </cell>
        </row>
        <row r="8627">
          <cell r="O8627" t="str">
            <v>SC2443UA</v>
          </cell>
          <cell r="P8627" t="str">
            <v>STC9906G</v>
          </cell>
          <cell r="Q8627" t="str">
            <v>磁性位置传感器</v>
          </cell>
        </row>
        <row r="8628">
          <cell r="O8628" t="str">
            <v>SC1245SO-N</v>
          </cell>
          <cell r="P8628" t="str">
            <v>STC1898AD</v>
          </cell>
          <cell r="Q8628" t="str">
            <v>磁性位置传感器</v>
          </cell>
        </row>
        <row r="8629">
          <cell r="O8629" t="str">
            <v>SC1245SO-N</v>
          </cell>
          <cell r="P8629" t="str">
            <v>STC1898AD</v>
          </cell>
          <cell r="Q8629" t="str">
            <v>磁性位置传感器</v>
          </cell>
        </row>
        <row r="8630">
          <cell r="O8630" t="str">
            <v>SC2432SO-N</v>
          </cell>
          <cell r="P8630" t="str">
            <v>STC9906I</v>
          </cell>
          <cell r="Q8630" t="str">
            <v>磁性位置传感器</v>
          </cell>
        </row>
        <row r="8631">
          <cell r="O8631" t="str">
            <v>SC4002UA</v>
          </cell>
          <cell r="P8631" t="str">
            <v>STC4000AA</v>
          </cell>
          <cell r="Q8631" t="str">
            <v>磁性位置传感器</v>
          </cell>
        </row>
        <row r="8632">
          <cell r="O8632" t="str">
            <v>SC2402SO-N-H</v>
          </cell>
          <cell r="P8632" t="str">
            <v>STC9H001A</v>
          </cell>
          <cell r="Q8632" t="str">
            <v>磁性位置传感器</v>
          </cell>
        </row>
        <row r="8633">
          <cell r="O8633" t="str">
            <v>SC2402SO-N-H</v>
          </cell>
          <cell r="P8633" t="str">
            <v>STC9H001A</v>
          </cell>
          <cell r="Q8633" t="str">
            <v>磁性位置传感器</v>
          </cell>
        </row>
        <row r="8634">
          <cell r="O8634" t="str">
            <v>G01</v>
          </cell>
          <cell r="P8634" t="str">
            <v>STC4011B</v>
          </cell>
          <cell r="Q8634" t="str">
            <v>磁性位置传感器</v>
          </cell>
        </row>
        <row r="8635">
          <cell r="O8635" t="str">
            <v>SC2402SO-N-G</v>
          </cell>
          <cell r="P8635" t="str">
            <v>STC9G002A</v>
          </cell>
          <cell r="Q8635" t="str">
            <v>磁性位置传感器</v>
          </cell>
        </row>
        <row r="8636">
          <cell r="O8636" t="str">
            <v>SC2434UA</v>
          </cell>
          <cell r="P8636" t="str">
            <v>STC9906I</v>
          </cell>
          <cell r="Q8636" t="str">
            <v>磁性位置传感器</v>
          </cell>
        </row>
        <row r="8637">
          <cell r="O8637" t="str">
            <v>SC9641TS-P</v>
          </cell>
          <cell r="P8637" t="str">
            <v>STC9A001I</v>
          </cell>
          <cell r="Q8637" t="str">
            <v>速度传感器</v>
          </cell>
        </row>
        <row r="8638">
          <cell r="O8638" t="str">
            <v>SC9648TS-P</v>
          </cell>
          <cell r="P8638" t="str">
            <v>STC9A001I</v>
          </cell>
          <cell r="Q8638" t="str">
            <v>速度传感器</v>
          </cell>
        </row>
        <row r="8639">
          <cell r="O8639" t="str">
            <v>SC9648TS-P</v>
          </cell>
          <cell r="P8639" t="str">
            <v>STC9A001I</v>
          </cell>
          <cell r="Q8639" t="str">
            <v>速度传感器</v>
          </cell>
        </row>
        <row r="8640">
          <cell r="O8640" t="str">
            <v>SC9648TS-P</v>
          </cell>
          <cell r="P8640" t="str">
            <v>STC9A001I</v>
          </cell>
          <cell r="Q8640" t="str">
            <v>速度传感器</v>
          </cell>
        </row>
        <row r="8641">
          <cell r="O8641" t="str">
            <v>SC9648TS-P</v>
          </cell>
          <cell r="P8641" t="str">
            <v>STC9A001I</v>
          </cell>
          <cell r="Q8641" t="str">
            <v>速度传感器</v>
          </cell>
        </row>
        <row r="8642">
          <cell r="O8642" t="str">
            <v>SC2436SO</v>
          </cell>
          <cell r="P8642" t="str">
            <v>STC9906I</v>
          </cell>
          <cell r="Q8642" t="str">
            <v>磁性位置传感器</v>
          </cell>
        </row>
        <row r="8643">
          <cell r="O8643" t="str">
            <v>SC2436SO</v>
          </cell>
          <cell r="P8643" t="str">
            <v>STC9906I</v>
          </cell>
          <cell r="Q8643" t="str">
            <v>磁性位置传感器</v>
          </cell>
        </row>
        <row r="8644">
          <cell r="O8644" t="str">
            <v>SC9648TS-P</v>
          </cell>
          <cell r="P8644" t="str">
            <v>STC9A001I</v>
          </cell>
          <cell r="Q8644" t="str">
            <v>速度传感器</v>
          </cell>
        </row>
        <row r="8645">
          <cell r="O8645" t="str">
            <v>SC9648TS-P</v>
          </cell>
          <cell r="P8645" t="str">
            <v>STC9A001I</v>
          </cell>
          <cell r="Q8645" t="str">
            <v>速度传感器</v>
          </cell>
        </row>
        <row r="8646">
          <cell r="O8646" t="str">
            <v>SC9648TS-P</v>
          </cell>
          <cell r="P8646" t="str">
            <v>STC9A001I</v>
          </cell>
          <cell r="Q8646" t="str">
            <v>速度传感器</v>
          </cell>
        </row>
        <row r="8647">
          <cell r="O8647" t="str">
            <v>SC9641TS-PC</v>
          </cell>
          <cell r="P8647" t="str">
            <v>STC9A001I</v>
          </cell>
          <cell r="Q8647" t="str">
            <v>速度传感器</v>
          </cell>
        </row>
        <row r="8648">
          <cell r="O8648" t="str">
            <v>SC9641TS-PC</v>
          </cell>
          <cell r="P8648" t="str">
            <v>STC9A001I</v>
          </cell>
          <cell r="Q8648" t="str">
            <v>速度传感器</v>
          </cell>
        </row>
        <row r="8649">
          <cell r="O8649" t="str">
            <v>SC9641TS-PC</v>
          </cell>
          <cell r="P8649" t="str">
            <v>STC9A001I</v>
          </cell>
          <cell r="Q8649" t="str">
            <v>速度传感器</v>
          </cell>
        </row>
        <row r="8650">
          <cell r="O8650" t="str">
            <v>SC9641TS-PC</v>
          </cell>
          <cell r="P8650" t="str">
            <v>STC9A001I</v>
          </cell>
          <cell r="Q8650" t="str">
            <v>速度传感器</v>
          </cell>
        </row>
        <row r="8651">
          <cell r="O8651" t="str">
            <v>SD477S</v>
          </cell>
          <cell r="P8651" t="str">
            <v>STC22304B</v>
          </cell>
          <cell r="Q8651" t="str">
            <v>电机驱动</v>
          </cell>
        </row>
        <row r="8652">
          <cell r="O8652" t="str">
            <v>SC2402SO-N</v>
          </cell>
          <cell r="P8652" t="str">
            <v>STC9902J</v>
          </cell>
          <cell r="Q8652" t="str">
            <v>磁性位置传感器</v>
          </cell>
        </row>
        <row r="8653">
          <cell r="O8653" t="str">
            <v>SC4688SA</v>
          </cell>
          <cell r="P8653" t="str">
            <v>STC9D01C</v>
          </cell>
          <cell r="Q8653" t="str">
            <v>角度传感器</v>
          </cell>
        </row>
        <row r="8654">
          <cell r="O8654" t="str">
            <v>SC4688SA</v>
          </cell>
          <cell r="P8654" t="str">
            <v>STC9D01C</v>
          </cell>
          <cell r="Q8654" t="str">
            <v>角度传感器</v>
          </cell>
        </row>
        <row r="8655">
          <cell r="O8655" t="str">
            <v>SC4688SA</v>
          </cell>
          <cell r="P8655" t="str">
            <v>STC9D01C</v>
          </cell>
          <cell r="Q8655" t="str">
            <v>角度传感器</v>
          </cell>
        </row>
        <row r="8656">
          <cell r="O8656" t="str">
            <v>SC60370</v>
          </cell>
          <cell r="P8656" t="str">
            <v>STC9D05B</v>
          </cell>
          <cell r="Q8656" t="str">
            <v>电机编码器</v>
          </cell>
        </row>
        <row r="8657">
          <cell r="O8657" t="str">
            <v>SC60340</v>
          </cell>
          <cell r="P8657" t="str">
            <v>STC9D05C</v>
          </cell>
          <cell r="Q8657" t="str">
            <v>电机编码器</v>
          </cell>
        </row>
        <row r="8658">
          <cell r="O8658" t="str">
            <v>SC243XSO-118113</v>
          </cell>
          <cell r="P8658" t="str">
            <v>STC9906M</v>
          </cell>
          <cell r="Q8658" t="str">
            <v>磁性位置传感器</v>
          </cell>
        </row>
        <row r="8659">
          <cell r="O8659" t="str">
            <v>SC243XSO-118113</v>
          </cell>
          <cell r="P8659" t="str">
            <v>STC9906M</v>
          </cell>
          <cell r="Q8659" t="str">
            <v>磁性位置传感器</v>
          </cell>
        </row>
        <row r="8660">
          <cell r="O8660" t="str">
            <v>SC243XSO-118113</v>
          </cell>
          <cell r="P8660" t="str">
            <v>STC9906M</v>
          </cell>
          <cell r="Q8660" t="str">
            <v>磁性位置传感器</v>
          </cell>
        </row>
        <row r="8661">
          <cell r="O8661" t="str">
            <v>SC243XSO-100095</v>
          </cell>
          <cell r="P8661" t="str">
            <v>STC9906M</v>
          </cell>
          <cell r="Q8661" t="str">
            <v>磁性位置传感器</v>
          </cell>
        </row>
        <row r="8662">
          <cell r="O8662" t="str">
            <v>SC9641TS-PC</v>
          </cell>
          <cell r="P8662" t="str">
            <v>STC9A001I</v>
          </cell>
          <cell r="Q8662" t="str">
            <v>速度传感器</v>
          </cell>
        </row>
        <row r="8663">
          <cell r="O8663" t="str">
            <v>SC9648TS-P</v>
          </cell>
          <cell r="P8663" t="str">
            <v>STC9A001I</v>
          </cell>
          <cell r="Q8663" t="str">
            <v>速度传感器</v>
          </cell>
        </row>
        <row r="8664">
          <cell r="O8664" t="str">
            <v>SC9641TS-P</v>
          </cell>
          <cell r="P8664" t="str">
            <v>STC9A001I</v>
          </cell>
          <cell r="Q8664" t="str">
            <v>速度传感器</v>
          </cell>
        </row>
        <row r="8665">
          <cell r="O8665" t="str">
            <v>SC9641TS-PC</v>
          </cell>
          <cell r="P8665" t="str">
            <v>STC9A001I</v>
          </cell>
          <cell r="Q8665" t="str">
            <v>速度传感器</v>
          </cell>
        </row>
        <row r="8666">
          <cell r="O8666" t="str">
            <v>SC9641TS-PC</v>
          </cell>
          <cell r="P8666" t="str">
            <v>STC9A001I</v>
          </cell>
          <cell r="Q8666" t="str">
            <v>速度传感器</v>
          </cell>
        </row>
        <row r="8667">
          <cell r="O8667" t="str">
            <v>SC4011SO-N</v>
          </cell>
          <cell r="P8667" t="str">
            <v>STC4011B</v>
          </cell>
          <cell r="Q8667" t="str">
            <v>磁性位置传感器</v>
          </cell>
        </row>
        <row r="8668">
          <cell r="O8668" t="str">
            <v>SC4688DA</v>
          </cell>
          <cell r="P8668" t="str">
            <v>STC9D01C</v>
          </cell>
          <cell r="Q8668" t="str">
            <v>角度传感器</v>
          </cell>
        </row>
        <row r="8669">
          <cell r="O8669" t="str">
            <v>SC60224-D-1024</v>
          </cell>
          <cell r="P8669" t="str">
            <v>STC9D04C</v>
          </cell>
          <cell r="Q8669" t="str">
            <v>电机编码器</v>
          </cell>
        </row>
        <row r="8670">
          <cell r="O8670" t="str">
            <v>SC60224-D-1024</v>
          </cell>
          <cell r="P8670" t="str">
            <v>STC9D04C</v>
          </cell>
          <cell r="Q8670" t="str">
            <v>电机编码器</v>
          </cell>
        </row>
        <row r="8671">
          <cell r="O8671" t="str">
            <v>SC60228DC</v>
          </cell>
          <cell r="P8671" t="str">
            <v>STC9D04C</v>
          </cell>
          <cell r="Q8671" t="str">
            <v>电机编码器</v>
          </cell>
        </row>
        <row r="8672">
          <cell r="O8672" t="str">
            <v>SC1445A1</v>
          </cell>
          <cell r="P8672" t="str">
            <v>STC2899AB</v>
          </cell>
          <cell r="Q8672" t="str">
            <v>磁性位置传感器</v>
          </cell>
        </row>
        <row r="8673">
          <cell r="O8673" t="str">
            <v>SC4011SO-N</v>
          </cell>
          <cell r="P8673" t="str">
            <v>STC4011B</v>
          </cell>
          <cell r="Q8673" t="str">
            <v>磁性位置传感器</v>
          </cell>
        </row>
        <row r="8674">
          <cell r="O8674" t="str">
            <v>ATK-E512</v>
          </cell>
          <cell r="P8674" t="str">
            <v>STC4011B</v>
          </cell>
          <cell r="Q8674" t="str">
            <v>磁性位置传感器</v>
          </cell>
        </row>
        <row r="8675">
          <cell r="O8675" t="str">
            <v>SC9314UA</v>
          </cell>
          <cell r="P8675" t="str">
            <v>STC9901AF</v>
          </cell>
          <cell r="Q8675" t="str">
            <v>速度传感器</v>
          </cell>
        </row>
        <row r="8676">
          <cell r="O8676" t="str">
            <v>G01</v>
          </cell>
          <cell r="P8676" t="str">
            <v>STC4011B</v>
          </cell>
          <cell r="Q8676" t="str">
            <v>磁性位置传感器</v>
          </cell>
        </row>
        <row r="8677">
          <cell r="O8677" t="str">
            <v>G01</v>
          </cell>
          <cell r="P8677" t="str">
            <v>STC4011B</v>
          </cell>
          <cell r="Q8677" t="str">
            <v>磁性位置传感器</v>
          </cell>
        </row>
        <row r="8678">
          <cell r="O8678" t="str">
            <v>G01</v>
          </cell>
          <cell r="P8678" t="str">
            <v>STC4011B</v>
          </cell>
          <cell r="Q8678" t="str">
            <v>磁性位置传感器</v>
          </cell>
        </row>
        <row r="8679">
          <cell r="O8679" t="str">
            <v>G01</v>
          </cell>
          <cell r="P8679" t="str">
            <v>STC4011B</v>
          </cell>
          <cell r="Q8679" t="str">
            <v>磁性位置传感器</v>
          </cell>
        </row>
        <row r="8680">
          <cell r="O8680" t="str">
            <v>2100</v>
          </cell>
          <cell r="P8680" t="str">
            <v>STC9D03E</v>
          </cell>
          <cell r="Q8680" t="str">
            <v>电流传感器</v>
          </cell>
        </row>
        <row r="8681">
          <cell r="O8681" t="str">
            <v>2100</v>
          </cell>
          <cell r="P8681" t="str">
            <v>STC9D03E</v>
          </cell>
          <cell r="Q8681" t="str">
            <v>电流传感器</v>
          </cell>
        </row>
        <row r="8682">
          <cell r="O8682" t="str">
            <v>2100</v>
          </cell>
          <cell r="P8682" t="str">
            <v>STC9D03E</v>
          </cell>
          <cell r="Q8682" t="str">
            <v>电流传感器</v>
          </cell>
        </row>
        <row r="8683">
          <cell r="O8683" t="str">
            <v>2100</v>
          </cell>
          <cell r="P8683" t="str">
            <v>STC9D03E</v>
          </cell>
          <cell r="Q8683" t="str">
            <v>电流传感器</v>
          </cell>
        </row>
        <row r="8684">
          <cell r="O8684" t="str">
            <v>2100</v>
          </cell>
          <cell r="P8684" t="str">
            <v>STC9D03E</v>
          </cell>
          <cell r="Q8684" t="str">
            <v>电流传感器</v>
          </cell>
        </row>
        <row r="8685">
          <cell r="O8685" t="str">
            <v>2100</v>
          </cell>
          <cell r="P8685" t="str">
            <v>STC9D03E</v>
          </cell>
          <cell r="Q8685" t="str">
            <v>电流传感器</v>
          </cell>
        </row>
        <row r="8686">
          <cell r="O8686" t="str">
            <v>2100</v>
          </cell>
          <cell r="P8686" t="str">
            <v>STC9D03E</v>
          </cell>
          <cell r="Q8686" t="str">
            <v>电流传感器</v>
          </cell>
        </row>
        <row r="8687">
          <cell r="O8687" t="str">
            <v>2100</v>
          </cell>
          <cell r="P8687" t="str">
            <v>STC9D03E</v>
          </cell>
          <cell r="Q8687" t="str">
            <v>电流传感器</v>
          </cell>
        </row>
        <row r="8688">
          <cell r="O8688" t="str">
            <v>2100</v>
          </cell>
          <cell r="P8688" t="str">
            <v>STC9D03E</v>
          </cell>
          <cell r="Q8688" t="str">
            <v>电流传感器</v>
          </cell>
        </row>
        <row r="8689">
          <cell r="O8689" t="str">
            <v>2100</v>
          </cell>
          <cell r="P8689" t="str">
            <v>STC9D03E</v>
          </cell>
          <cell r="Q8689" t="str">
            <v>电流传感器</v>
          </cell>
        </row>
        <row r="8690">
          <cell r="O8690" t="str">
            <v>2100</v>
          </cell>
          <cell r="P8690" t="str">
            <v>STC9D03E</v>
          </cell>
          <cell r="Q8690" t="str">
            <v>电流传感器</v>
          </cell>
        </row>
        <row r="8691">
          <cell r="O8691" t="str">
            <v>2100</v>
          </cell>
          <cell r="P8691" t="str">
            <v>STC9D03E</v>
          </cell>
          <cell r="Q8691" t="str">
            <v>电流传感器</v>
          </cell>
        </row>
        <row r="8692">
          <cell r="O8692" t="str">
            <v>2100</v>
          </cell>
          <cell r="P8692" t="str">
            <v>STC9D03E</v>
          </cell>
          <cell r="Q8692" t="str">
            <v>电流传感器</v>
          </cell>
        </row>
        <row r="8693">
          <cell r="O8693" t="str">
            <v>2100</v>
          </cell>
          <cell r="P8693" t="str">
            <v>STC9D03E</v>
          </cell>
          <cell r="Q8693" t="str">
            <v>电流传感器</v>
          </cell>
        </row>
        <row r="8694">
          <cell r="O8694" t="str">
            <v>SC2242UA</v>
          </cell>
          <cell r="P8694" t="str">
            <v>STC9906H</v>
          </cell>
          <cell r="Q8694" t="str">
            <v>磁性位置传感器</v>
          </cell>
        </row>
        <row r="8695">
          <cell r="O8695" t="str">
            <v>SC2402SO-N-G</v>
          </cell>
          <cell r="P8695" t="str">
            <v>STC9G002A</v>
          </cell>
          <cell r="Q8695" t="str">
            <v>磁性位置传感器</v>
          </cell>
        </row>
        <row r="8696">
          <cell r="O8696" t="str">
            <v>SC9625VB-L</v>
          </cell>
          <cell r="P8696" t="str">
            <v>STC9910E</v>
          </cell>
          <cell r="Q8696" t="str">
            <v>速度传感器</v>
          </cell>
        </row>
        <row r="8697">
          <cell r="O8697" t="str">
            <v>SC9625VB-L</v>
          </cell>
          <cell r="P8697" t="str">
            <v>STC9910E</v>
          </cell>
          <cell r="Q8697" t="str">
            <v>速度传感器</v>
          </cell>
        </row>
        <row r="8698">
          <cell r="O8698" t="str">
            <v>SC9625VB-L</v>
          </cell>
          <cell r="P8698" t="str">
            <v>STC9910E</v>
          </cell>
          <cell r="Q8698" t="str">
            <v>速度传感器</v>
          </cell>
        </row>
        <row r="8699">
          <cell r="O8699" t="str">
            <v>SC9625VB-L</v>
          </cell>
          <cell r="P8699" t="str">
            <v>STC9910E</v>
          </cell>
          <cell r="Q8699" t="str">
            <v>速度传感器</v>
          </cell>
        </row>
        <row r="8700">
          <cell r="O8700" t="str">
            <v>ZH619A0</v>
          </cell>
          <cell r="P8700" t="str">
            <v>STC22303</v>
          </cell>
          <cell r="Q8700" t="str">
            <v>电机驱动</v>
          </cell>
        </row>
        <row r="8701">
          <cell r="O8701" t="str">
            <v>ZH619A0</v>
          </cell>
          <cell r="P8701" t="str">
            <v>STC22303</v>
          </cell>
          <cell r="Q8701" t="str">
            <v>电机驱动</v>
          </cell>
        </row>
        <row r="8702">
          <cell r="O8702" t="str">
            <v>SC4688DC</v>
          </cell>
          <cell r="P8702" t="str">
            <v>STC9D01C</v>
          </cell>
          <cell r="Q8702" t="str">
            <v>角度传感器</v>
          </cell>
        </row>
        <row r="8703">
          <cell r="O8703" t="str">
            <v>SC4688DC</v>
          </cell>
          <cell r="P8703" t="str">
            <v>STC9D01C</v>
          </cell>
          <cell r="Q8703" t="str">
            <v>角度传感器</v>
          </cell>
        </row>
        <row r="8704">
          <cell r="O8704" t="str">
            <v>SC9625VB-L</v>
          </cell>
          <cell r="P8704" t="str">
            <v>STC9910E</v>
          </cell>
          <cell r="Q8704" t="str">
            <v>速度传感器</v>
          </cell>
        </row>
        <row r="8705">
          <cell r="O8705" t="str">
            <v>SC4688编程板</v>
          </cell>
          <cell r="P8705" t="str">
            <v xml:space="preserve"> </v>
          </cell>
          <cell r="Q8705" t="str">
            <v>角度传感器</v>
          </cell>
        </row>
        <row r="8706">
          <cell r="O8706" t="str">
            <v>ATK-E512</v>
          </cell>
          <cell r="P8706" t="str">
            <v>STC4011B</v>
          </cell>
          <cell r="Q8706" t="str">
            <v>磁性位置传感器</v>
          </cell>
        </row>
        <row r="8707">
          <cell r="O8707" t="str">
            <v>ATK-E512</v>
          </cell>
          <cell r="P8707" t="str">
            <v>STC4011B</v>
          </cell>
          <cell r="Q8707" t="str">
            <v>磁性位置传感器</v>
          </cell>
        </row>
        <row r="8708">
          <cell r="O8708" t="str">
            <v>ATK-E512</v>
          </cell>
          <cell r="P8708" t="str">
            <v>STC4011B</v>
          </cell>
          <cell r="Q8708" t="str">
            <v>磁性位置传感器</v>
          </cell>
        </row>
        <row r="8709">
          <cell r="O8709" t="str">
            <v>G01</v>
          </cell>
          <cell r="P8709" t="str">
            <v>STC4011B</v>
          </cell>
          <cell r="Q8709" t="str">
            <v>磁性位置传感器</v>
          </cell>
        </row>
        <row r="8710">
          <cell r="O8710" t="str">
            <v>G01</v>
          </cell>
          <cell r="P8710" t="str">
            <v>STC4011B</v>
          </cell>
          <cell r="Q8710" t="str">
            <v>磁性位置传感器</v>
          </cell>
        </row>
        <row r="8711">
          <cell r="O8711" t="str">
            <v>G01</v>
          </cell>
          <cell r="P8711" t="str">
            <v>STC4011B</v>
          </cell>
          <cell r="Q8711" t="str">
            <v>磁性位置传感器</v>
          </cell>
        </row>
        <row r="8712">
          <cell r="O8712" t="str">
            <v>G01</v>
          </cell>
          <cell r="P8712" t="str">
            <v>STC4011B</v>
          </cell>
          <cell r="Q8712" t="str">
            <v>磁性位置传感器</v>
          </cell>
        </row>
        <row r="8713">
          <cell r="O8713" t="str">
            <v>G01</v>
          </cell>
          <cell r="P8713" t="str">
            <v>STC4011B</v>
          </cell>
          <cell r="Q8713" t="str">
            <v>磁性位置传感器</v>
          </cell>
        </row>
        <row r="8714">
          <cell r="O8714" t="str">
            <v>G01</v>
          </cell>
          <cell r="P8714" t="str">
            <v>STC4011B</v>
          </cell>
          <cell r="Q8714" t="str">
            <v>磁性位置传感器</v>
          </cell>
        </row>
        <row r="8715">
          <cell r="O8715" t="str">
            <v>G01</v>
          </cell>
          <cell r="P8715" t="str">
            <v>STC4011B</v>
          </cell>
          <cell r="Q8715" t="str">
            <v>磁性位置传感器</v>
          </cell>
        </row>
        <row r="8716">
          <cell r="O8716" t="str">
            <v>SC2242SO</v>
          </cell>
          <cell r="P8716" t="str">
            <v>STC9906H</v>
          </cell>
          <cell r="Q8716" t="str">
            <v>磁性位置传感器</v>
          </cell>
        </row>
        <row r="8717">
          <cell r="O8717" t="str">
            <v>SC2242SO</v>
          </cell>
          <cell r="P8717" t="str">
            <v>STC9906H</v>
          </cell>
          <cell r="Q8717" t="str">
            <v>磁性位置传感器</v>
          </cell>
        </row>
        <row r="8718">
          <cell r="O8718" t="str">
            <v>SI485E</v>
          </cell>
          <cell r="P8718" t="str">
            <v>STC42302A</v>
          </cell>
          <cell r="Q8718" t="str">
            <v>其他数模混合</v>
          </cell>
        </row>
        <row r="8719">
          <cell r="O8719" t="str">
            <v>SI485E</v>
          </cell>
          <cell r="P8719" t="str">
            <v>STC42302A</v>
          </cell>
          <cell r="Q8719" t="str">
            <v>其他数模混合</v>
          </cell>
        </row>
        <row r="8720">
          <cell r="O8720" t="str">
            <v>SI485E</v>
          </cell>
          <cell r="P8720" t="str">
            <v>STC42302A</v>
          </cell>
          <cell r="Q8720" t="str">
            <v>其他数模混合</v>
          </cell>
        </row>
        <row r="8721">
          <cell r="O8721" t="str">
            <v>SC1138SO-N</v>
          </cell>
          <cell r="P8721" t="str">
            <v>STC1898AC</v>
          </cell>
          <cell r="Q8721" t="str">
            <v>磁性位置传感器</v>
          </cell>
        </row>
        <row r="8722">
          <cell r="O8722" t="str">
            <v>SC1138SO-N</v>
          </cell>
          <cell r="P8722" t="str">
            <v>STC1898AC</v>
          </cell>
          <cell r="Q8722" t="str">
            <v>磁性位置传感器</v>
          </cell>
        </row>
        <row r="8723">
          <cell r="O8723" t="str">
            <v>SC2063UA</v>
          </cell>
          <cell r="P8723" t="str">
            <v>STC9G001C</v>
          </cell>
          <cell r="Q8723" t="str">
            <v>磁性位置传感器</v>
          </cell>
        </row>
        <row r="8724">
          <cell r="O8724" t="str">
            <v>G01</v>
          </cell>
          <cell r="P8724" t="str">
            <v>STC4011B</v>
          </cell>
          <cell r="Q8724" t="str">
            <v>磁性位置传感器</v>
          </cell>
        </row>
        <row r="8725">
          <cell r="O8725" t="str">
            <v>G01</v>
          </cell>
          <cell r="P8725" t="str">
            <v>STC4011B</v>
          </cell>
          <cell r="Q8725" t="str">
            <v>磁性位置传感器</v>
          </cell>
        </row>
        <row r="8726">
          <cell r="O8726" t="str">
            <v>SC4688DC</v>
          </cell>
          <cell r="P8726" t="str">
            <v>STC9D01C</v>
          </cell>
          <cell r="Q8726" t="str">
            <v>角度传感器</v>
          </cell>
        </row>
        <row r="8727">
          <cell r="O8727" t="str">
            <v>SC4688DC</v>
          </cell>
          <cell r="P8727" t="str">
            <v>STC9D01C</v>
          </cell>
          <cell r="Q8727" t="str">
            <v>角度传感器</v>
          </cell>
        </row>
        <row r="8728">
          <cell r="O8728" t="str">
            <v>SC2498UA-N</v>
          </cell>
          <cell r="P8728" t="str">
            <v>SC9915C</v>
          </cell>
          <cell r="Q8728" t="str">
            <v>磁性位置传感器</v>
          </cell>
        </row>
        <row r="8729">
          <cell r="O8729" t="str">
            <v>SC2448UA-N</v>
          </cell>
          <cell r="P8729" t="str">
            <v>STC9906S</v>
          </cell>
          <cell r="Q8729" t="str">
            <v>磁性位置传感器</v>
          </cell>
        </row>
        <row r="8730">
          <cell r="O8730" t="str">
            <v>SC2448UA-N</v>
          </cell>
          <cell r="P8730" t="str">
            <v>STC9906S</v>
          </cell>
          <cell r="Q8730" t="str">
            <v>磁性位置传感器</v>
          </cell>
        </row>
        <row r="8731">
          <cell r="O8731" t="str">
            <v>SC2448UA-N</v>
          </cell>
          <cell r="P8731" t="str">
            <v>STC9906S</v>
          </cell>
          <cell r="Q8731" t="str">
            <v>磁性位置传感器</v>
          </cell>
        </row>
        <row r="8732">
          <cell r="O8732" t="str">
            <v>SC2443UA</v>
          </cell>
          <cell r="P8732" t="str">
            <v>STC9906G</v>
          </cell>
          <cell r="Q8732" t="str">
            <v>磁性位置传感器</v>
          </cell>
        </row>
        <row r="8733">
          <cell r="O8733" t="str">
            <v>SC1138SO-N</v>
          </cell>
          <cell r="P8733" t="str">
            <v>STC1898AC</v>
          </cell>
          <cell r="Q8733" t="str">
            <v>磁性位置传感器</v>
          </cell>
        </row>
        <row r="8734">
          <cell r="O8734" t="str">
            <v>SC1138SO-N</v>
          </cell>
          <cell r="P8734" t="str">
            <v>STC1898AC</v>
          </cell>
          <cell r="Q8734" t="str">
            <v>磁性位置传感器</v>
          </cell>
        </row>
        <row r="8735">
          <cell r="O8735" t="str">
            <v>SC1134SO-N</v>
          </cell>
          <cell r="P8735" t="str">
            <v>STC1898AI</v>
          </cell>
          <cell r="Q8735" t="str">
            <v>磁性位置传感器</v>
          </cell>
        </row>
        <row r="8736">
          <cell r="O8736" t="str">
            <v>SC1134SO-N</v>
          </cell>
          <cell r="P8736" t="str">
            <v>STC1898AI</v>
          </cell>
          <cell r="Q8736" t="str">
            <v>磁性位置传感器</v>
          </cell>
        </row>
        <row r="8737">
          <cell r="O8737" t="str">
            <v>SC9641TS</v>
          </cell>
          <cell r="P8737" t="str">
            <v>STC9910BN</v>
          </cell>
          <cell r="Q8737" t="str">
            <v>速度传感器</v>
          </cell>
        </row>
        <row r="8738">
          <cell r="O8738" t="str">
            <v>SC9641TS</v>
          </cell>
          <cell r="P8738" t="str">
            <v>STC9910BN</v>
          </cell>
          <cell r="Q8738" t="str">
            <v>速度传感器</v>
          </cell>
        </row>
        <row r="8739">
          <cell r="O8739" t="str">
            <v>SC4688DC</v>
          </cell>
          <cell r="P8739" t="str">
            <v>STC9D01C</v>
          </cell>
          <cell r="Q8739" t="str">
            <v>角度传感器</v>
          </cell>
        </row>
        <row r="8740">
          <cell r="O8740" t="str">
            <v>SC4688DC</v>
          </cell>
          <cell r="P8740" t="str">
            <v>STC9D01C</v>
          </cell>
          <cell r="Q8740" t="str">
            <v>角度传感器</v>
          </cell>
        </row>
        <row r="8741">
          <cell r="O8741" t="str">
            <v>SC4688DA</v>
          </cell>
          <cell r="P8741" t="str">
            <v>STC9D01C</v>
          </cell>
          <cell r="Q8741" t="str">
            <v>角度传感器</v>
          </cell>
        </row>
        <row r="8742">
          <cell r="O8742" t="str">
            <v>SC4688DC</v>
          </cell>
          <cell r="P8742" t="str">
            <v>STC9D01C</v>
          </cell>
          <cell r="Q8742" t="str">
            <v>角度传感器</v>
          </cell>
        </row>
        <row r="8743">
          <cell r="O8743" t="str">
            <v>SC60224-D-1024</v>
          </cell>
          <cell r="P8743" t="str">
            <v>STC9D04C</v>
          </cell>
          <cell r="Q8743" t="str">
            <v>电机编码器</v>
          </cell>
        </row>
        <row r="8744">
          <cell r="O8744" t="str">
            <v>SD2276</v>
          </cell>
          <cell r="P8744" t="str">
            <v>FD1014A</v>
          </cell>
          <cell r="Q8744" t="str">
            <v>电机驱动</v>
          </cell>
        </row>
        <row r="8745">
          <cell r="O8745" t="str">
            <v>SD2276</v>
          </cell>
          <cell r="P8745" t="str">
            <v>FD1014A</v>
          </cell>
          <cell r="Q8745" t="str">
            <v>电机驱动</v>
          </cell>
        </row>
        <row r="8746">
          <cell r="O8746" t="str">
            <v>SD2276</v>
          </cell>
          <cell r="P8746" t="str">
            <v>FD1014A</v>
          </cell>
          <cell r="Q8746" t="str">
            <v>电机驱动</v>
          </cell>
        </row>
        <row r="8747">
          <cell r="O8747" t="str">
            <v>SD2276</v>
          </cell>
          <cell r="P8747" t="str">
            <v>FD1014A</v>
          </cell>
          <cell r="Q8747" t="str">
            <v>电机驱动</v>
          </cell>
        </row>
        <row r="8748">
          <cell r="O8748" t="str">
            <v>SD2276</v>
          </cell>
          <cell r="P8748" t="str">
            <v>FD1014A</v>
          </cell>
          <cell r="Q8748" t="str">
            <v>电机驱动</v>
          </cell>
        </row>
        <row r="8749">
          <cell r="O8749" t="str">
            <v>SD2276</v>
          </cell>
          <cell r="P8749" t="str">
            <v>FD1014A</v>
          </cell>
          <cell r="Q8749" t="str">
            <v>电机驱动</v>
          </cell>
        </row>
        <row r="8750">
          <cell r="O8750" t="str">
            <v>SD211VB</v>
          </cell>
          <cell r="P8750" t="str">
            <v>FD1016A</v>
          </cell>
          <cell r="Q8750" t="str">
            <v>电机驱动</v>
          </cell>
        </row>
        <row r="8751">
          <cell r="O8751" t="str">
            <v>SD211VB</v>
          </cell>
          <cell r="P8751" t="str">
            <v>FD1016A</v>
          </cell>
          <cell r="Q8751" t="str">
            <v>电机驱动</v>
          </cell>
        </row>
        <row r="8752">
          <cell r="O8752" t="str">
            <v>SD211VB</v>
          </cell>
          <cell r="P8752" t="str">
            <v>FD1016A</v>
          </cell>
          <cell r="Q8752" t="str">
            <v>电机驱动</v>
          </cell>
        </row>
        <row r="8753">
          <cell r="O8753" t="str">
            <v>SD211VB</v>
          </cell>
          <cell r="P8753" t="str">
            <v>FD1016A</v>
          </cell>
          <cell r="Q8753" t="str">
            <v>电机驱动</v>
          </cell>
        </row>
        <row r="8754">
          <cell r="O8754" t="str">
            <v>SD211VB</v>
          </cell>
          <cell r="P8754" t="str">
            <v>FD1016A</v>
          </cell>
          <cell r="Q8754" t="str">
            <v>电机驱动</v>
          </cell>
        </row>
        <row r="8755">
          <cell r="O8755" t="str">
            <v>SD211VB</v>
          </cell>
          <cell r="P8755" t="str">
            <v>FD1016A</v>
          </cell>
          <cell r="Q8755" t="str">
            <v>电机驱动</v>
          </cell>
        </row>
        <row r="8756">
          <cell r="O8756" t="str">
            <v>SD211VB</v>
          </cell>
          <cell r="P8756" t="str">
            <v>FD1016A</v>
          </cell>
          <cell r="Q8756" t="str">
            <v>电机驱动</v>
          </cell>
        </row>
        <row r="8757">
          <cell r="O8757" t="str">
            <v>SD211VB</v>
          </cell>
          <cell r="P8757" t="str">
            <v>FD1016A</v>
          </cell>
          <cell r="Q8757" t="str">
            <v>电机驱动</v>
          </cell>
        </row>
        <row r="8758">
          <cell r="O8758" t="str">
            <v>SD211VB</v>
          </cell>
          <cell r="P8758" t="str">
            <v>FD1016A</v>
          </cell>
          <cell r="Q8758" t="str">
            <v>电机驱动</v>
          </cell>
        </row>
        <row r="8759">
          <cell r="O8759" t="str">
            <v>SD211VB</v>
          </cell>
          <cell r="P8759" t="str">
            <v>FD1016A</v>
          </cell>
          <cell r="Q8759" t="str">
            <v>电机驱动</v>
          </cell>
        </row>
        <row r="8760">
          <cell r="O8760" t="str">
            <v>SD211VB</v>
          </cell>
          <cell r="P8760" t="str">
            <v>FD1016A</v>
          </cell>
          <cell r="Q8760" t="str">
            <v>电机驱动</v>
          </cell>
        </row>
        <row r="8761">
          <cell r="O8761" t="str">
            <v>SC9632VB</v>
          </cell>
          <cell r="P8761" t="str">
            <v>STC9905E</v>
          </cell>
          <cell r="Q8761" t="str">
            <v>速度传感器</v>
          </cell>
        </row>
        <row r="8762">
          <cell r="O8762" t="str">
            <v>SC9641TS-PC</v>
          </cell>
          <cell r="P8762" t="str">
            <v>STC9A001I</v>
          </cell>
          <cell r="Q8762" t="str">
            <v>速度传感器</v>
          </cell>
        </row>
        <row r="8763">
          <cell r="O8763" t="str">
            <v>ATK-E512</v>
          </cell>
          <cell r="P8763" t="str">
            <v>STC4011B</v>
          </cell>
          <cell r="Q8763" t="str">
            <v>磁性位置传感器</v>
          </cell>
        </row>
        <row r="8764">
          <cell r="O8764" t="str">
            <v>SC2462SO</v>
          </cell>
          <cell r="P8764" t="str">
            <v>STC9906J</v>
          </cell>
          <cell r="Q8764" t="str">
            <v>磁性位置传感器</v>
          </cell>
        </row>
        <row r="8765">
          <cell r="O8765" t="str">
            <v>SC2462SO</v>
          </cell>
          <cell r="P8765" t="str">
            <v>STC9906J</v>
          </cell>
          <cell r="Q8765" t="str">
            <v>磁性位置传感器</v>
          </cell>
        </row>
        <row r="8766">
          <cell r="O8766" t="str">
            <v>SC2462SO</v>
          </cell>
          <cell r="P8766" t="str">
            <v>STC9906J</v>
          </cell>
          <cell r="Q8766" t="str">
            <v>磁性位置传感器</v>
          </cell>
        </row>
        <row r="8767">
          <cell r="O8767" t="str">
            <v>SC2442UA</v>
          </cell>
          <cell r="P8767" t="str">
            <v>STC9906P</v>
          </cell>
          <cell r="Q8767" t="str">
            <v>磁性位置传感器</v>
          </cell>
        </row>
        <row r="8768">
          <cell r="O8768" t="str">
            <v>G01</v>
          </cell>
          <cell r="P8768" t="str">
            <v>STC4011B</v>
          </cell>
          <cell r="Q8768" t="str">
            <v>磁性位置传感器</v>
          </cell>
        </row>
        <row r="8769">
          <cell r="O8769" t="str">
            <v>G01</v>
          </cell>
          <cell r="P8769" t="str">
            <v>STC4011B</v>
          </cell>
          <cell r="Q8769" t="str">
            <v>磁性位置传感器</v>
          </cell>
        </row>
        <row r="8770">
          <cell r="O8770" t="str">
            <v>G01</v>
          </cell>
          <cell r="P8770" t="str">
            <v>STC4011B</v>
          </cell>
          <cell r="Q8770" t="str">
            <v>磁性位置传感器</v>
          </cell>
        </row>
        <row r="8771">
          <cell r="O8771" t="str">
            <v>SC9641TS-PC</v>
          </cell>
          <cell r="P8771" t="str">
            <v>STC9A001I</v>
          </cell>
          <cell r="Q8771" t="str">
            <v>速度传感器</v>
          </cell>
        </row>
        <row r="8772">
          <cell r="O8772" t="str">
            <v>SC9641TS-PC</v>
          </cell>
          <cell r="P8772" t="str">
            <v>STC9A001I</v>
          </cell>
          <cell r="Q8772" t="str">
            <v>速度传感器</v>
          </cell>
        </row>
        <row r="8773">
          <cell r="O8773" t="str">
            <v>SC9648TS-P</v>
          </cell>
          <cell r="P8773" t="str">
            <v>STC9A001I</v>
          </cell>
          <cell r="Q8773" t="str">
            <v>速度传感器</v>
          </cell>
        </row>
        <row r="8774">
          <cell r="O8774" t="str">
            <v>SC919H</v>
          </cell>
          <cell r="P8774" t="str">
            <v>STC9909B</v>
          </cell>
          <cell r="Q8774" t="str">
            <v>磁性位置传感器</v>
          </cell>
        </row>
        <row r="8775">
          <cell r="O8775" t="str">
            <v>SC919H</v>
          </cell>
          <cell r="P8775" t="str">
            <v>STC9909B</v>
          </cell>
          <cell r="Q8775" t="str">
            <v>磁性位置传感器</v>
          </cell>
        </row>
        <row r="8776">
          <cell r="O8776" t="str">
            <v>SC919H</v>
          </cell>
          <cell r="P8776" t="str">
            <v>STC9909B</v>
          </cell>
          <cell r="Q8776" t="str">
            <v>磁性位置传感器</v>
          </cell>
        </row>
        <row r="8777">
          <cell r="O8777" t="str">
            <v>SC919H</v>
          </cell>
          <cell r="P8777" t="str">
            <v>STC9909B</v>
          </cell>
          <cell r="Q8777" t="str">
            <v>磁性位置传感器</v>
          </cell>
        </row>
        <row r="8778">
          <cell r="O8778" t="str">
            <v>SC919H</v>
          </cell>
          <cell r="P8778" t="str">
            <v>STC9909B</v>
          </cell>
          <cell r="Q8778" t="str">
            <v>磁性位置传感器</v>
          </cell>
        </row>
        <row r="8779">
          <cell r="O8779" t="str">
            <v>SC919H</v>
          </cell>
          <cell r="P8779" t="str">
            <v>STC9909B</v>
          </cell>
          <cell r="Q8779" t="str">
            <v>磁性位置传感器</v>
          </cell>
        </row>
        <row r="8780">
          <cell r="O8780" t="str">
            <v>SC9648TS-P</v>
          </cell>
          <cell r="P8780" t="str">
            <v>STC9A001I</v>
          </cell>
          <cell r="Q8780" t="str">
            <v>速度传感器</v>
          </cell>
        </row>
        <row r="8781">
          <cell r="O8781" t="str">
            <v>ATK-E512</v>
          </cell>
          <cell r="P8781" t="str">
            <v>STC4011B</v>
          </cell>
          <cell r="Q8781" t="str">
            <v>磁性位置传感器</v>
          </cell>
        </row>
        <row r="8782">
          <cell r="O8782" t="str">
            <v>SC2402SO-N-H</v>
          </cell>
          <cell r="P8782" t="str">
            <v>STC9H001A</v>
          </cell>
          <cell r="Q8782" t="str">
            <v>磁性位置传感器</v>
          </cell>
        </row>
        <row r="8783">
          <cell r="O8783" t="str">
            <v>G01</v>
          </cell>
          <cell r="P8783" t="str">
            <v>STC4011B</v>
          </cell>
          <cell r="Q8783" t="str">
            <v>磁性位置传感器</v>
          </cell>
        </row>
        <row r="8784">
          <cell r="O8784" t="str">
            <v>G01</v>
          </cell>
          <cell r="P8784" t="str">
            <v>STC4011B</v>
          </cell>
          <cell r="Q8784" t="str">
            <v>磁性位置传感器</v>
          </cell>
        </row>
        <row r="8785">
          <cell r="O8785" t="str">
            <v>G01</v>
          </cell>
          <cell r="P8785" t="str">
            <v>STC4011B</v>
          </cell>
          <cell r="Q8785" t="str">
            <v>磁性位置传感器</v>
          </cell>
        </row>
        <row r="8786">
          <cell r="O8786" t="str">
            <v>G01</v>
          </cell>
          <cell r="P8786" t="str">
            <v>STC4011B</v>
          </cell>
          <cell r="Q8786" t="str">
            <v>磁性位置传感器</v>
          </cell>
        </row>
        <row r="8787">
          <cell r="O8787" t="str">
            <v>G01</v>
          </cell>
          <cell r="P8787" t="str">
            <v>STC4011B</v>
          </cell>
          <cell r="Q8787" t="str">
            <v>磁性位置传感器</v>
          </cell>
        </row>
        <row r="8788">
          <cell r="O8788" t="str">
            <v>SC9642TS-E</v>
          </cell>
          <cell r="P8788" t="str">
            <v>STC9A001H</v>
          </cell>
          <cell r="Q8788" t="str">
            <v>速度传感器</v>
          </cell>
        </row>
        <row r="8789">
          <cell r="O8789" t="str">
            <v>SC9642TS-E</v>
          </cell>
          <cell r="P8789" t="str">
            <v>STC9A001H</v>
          </cell>
          <cell r="Q8789" t="str">
            <v>速度传感器</v>
          </cell>
        </row>
        <row r="8790">
          <cell r="O8790" t="str">
            <v>SC9648TS-P</v>
          </cell>
          <cell r="P8790" t="str">
            <v>STC9A001I</v>
          </cell>
          <cell r="Q8790" t="str">
            <v>速度传感器</v>
          </cell>
        </row>
        <row r="8791">
          <cell r="O8791" t="str">
            <v>SC9648TS-P</v>
          </cell>
          <cell r="P8791" t="str">
            <v>STC9A001I</v>
          </cell>
          <cell r="Q8791" t="str">
            <v>速度传感器</v>
          </cell>
        </row>
        <row r="8792">
          <cell r="O8792" t="str">
            <v>SC4688编程板</v>
          </cell>
          <cell r="P8792" t="str">
            <v xml:space="preserve"> </v>
          </cell>
          <cell r="Q8792" t="str">
            <v>角度传感器</v>
          </cell>
        </row>
        <row r="8793">
          <cell r="O8793" t="str">
            <v>SC4688SA-A</v>
          </cell>
          <cell r="P8793" t="str">
            <v>STC9D01C</v>
          </cell>
          <cell r="Q8793" t="str">
            <v>角度传感器</v>
          </cell>
        </row>
        <row r="8794">
          <cell r="O8794" t="str">
            <v>SC1138SO-N</v>
          </cell>
          <cell r="P8794" t="str">
            <v>STC1898AC</v>
          </cell>
          <cell r="Q8794" t="str">
            <v>磁性位置传感器</v>
          </cell>
        </row>
        <row r="8795">
          <cell r="O8795" t="str">
            <v>ATK-E512</v>
          </cell>
          <cell r="P8795" t="str">
            <v>STC4011B</v>
          </cell>
          <cell r="Q8795" t="str">
            <v>磁性位置传感器</v>
          </cell>
        </row>
        <row r="8796">
          <cell r="O8796" t="str">
            <v>SC9632VB</v>
          </cell>
          <cell r="P8796" t="str">
            <v>STC9905E</v>
          </cell>
          <cell r="Q8796" t="str">
            <v>速度传感器</v>
          </cell>
        </row>
        <row r="8797">
          <cell r="O8797" t="str">
            <v>SC9632VB</v>
          </cell>
          <cell r="P8797" t="str">
            <v>STC9905E</v>
          </cell>
          <cell r="Q8797" t="str">
            <v>速度传感器</v>
          </cell>
        </row>
        <row r="8798">
          <cell r="O8798" t="str">
            <v>G01</v>
          </cell>
          <cell r="P8798" t="str">
            <v>STC4011B</v>
          </cell>
          <cell r="Q8798" t="str">
            <v>磁性位置传感器</v>
          </cell>
        </row>
        <row r="8799">
          <cell r="O8799" t="str">
            <v>G01</v>
          </cell>
          <cell r="P8799" t="str">
            <v>STC4011B</v>
          </cell>
          <cell r="Q8799" t="str">
            <v>磁性位置传感器</v>
          </cell>
        </row>
        <row r="8800">
          <cell r="O8800" t="str">
            <v>SC4011SO-N</v>
          </cell>
          <cell r="P8800" t="str">
            <v>STC4011B</v>
          </cell>
          <cell r="Q8800" t="str">
            <v>磁性位置传感器</v>
          </cell>
        </row>
        <row r="8801">
          <cell r="O8801" t="str">
            <v>G01</v>
          </cell>
          <cell r="P8801" t="str">
            <v>STC4011B</v>
          </cell>
          <cell r="Q8801" t="str">
            <v>磁性位置传感器</v>
          </cell>
        </row>
        <row r="8802">
          <cell r="O8802" t="str">
            <v>SC4011SO-N</v>
          </cell>
          <cell r="P8802" t="str">
            <v>STC4011B</v>
          </cell>
          <cell r="Q8802" t="str">
            <v>磁性位置传感器</v>
          </cell>
        </row>
        <row r="8803">
          <cell r="O8803" t="str">
            <v>G01</v>
          </cell>
          <cell r="P8803" t="str">
            <v>STC4011B</v>
          </cell>
          <cell r="Q8803" t="str">
            <v>磁性位置传感器</v>
          </cell>
        </row>
        <row r="8804">
          <cell r="O8804" t="str">
            <v>G01</v>
          </cell>
          <cell r="P8804" t="str">
            <v>STC4011B</v>
          </cell>
          <cell r="Q8804" t="str">
            <v>磁性位置传感器</v>
          </cell>
        </row>
        <row r="8805">
          <cell r="O8805" t="str">
            <v>SYLMV321BSOR</v>
          </cell>
          <cell r="P8805" t="str">
            <v>STC9G003B</v>
          </cell>
          <cell r="Q8805" t="str">
            <v>其他数模混合</v>
          </cell>
        </row>
        <row r="8806">
          <cell r="O8806" t="str">
            <v>SC9625VB-L</v>
          </cell>
          <cell r="P8806" t="str">
            <v>STC9910E</v>
          </cell>
          <cell r="Q8806" t="str">
            <v>速度传感器</v>
          </cell>
        </row>
        <row r="8807">
          <cell r="O8807" t="str">
            <v>SC9641TS</v>
          </cell>
          <cell r="P8807" t="str">
            <v>STC9910BN</v>
          </cell>
          <cell r="Q8807" t="str">
            <v>速度传感器</v>
          </cell>
        </row>
        <row r="8808">
          <cell r="O8808" t="str">
            <v>SC9641TS</v>
          </cell>
          <cell r="P8808" t="str">
            <v>STC9910BN</v>
          </cell>
          <cell r="Q8808" t="str">
            <v>速度传感器</v>
          </cell>
        </row>
        <row r="8809">
          <cell r="O8809" t="str">
            <v>SC9641TS</v>
          </cell>
          <cell r="P8809" t="str">
            <v>STC9910BN</v>
          </cell>
          <cell r="Q8809" t="str">
            <v>速度传感器</v>
          </cell>
        </row>
        <row r="8810">
          <cell r="O8810" t="str">
            <v>SC9641TS</v>
          </cell>
          <cell r="P8810" t="str">
            <v>STC9910BN</v>
          </cell>
          <cell r="Q8810" t="str">
            <v>速度传感器</v>
          </cell>
        </row>
        <row r="8811">
          <cell r="O8811" t="str">
            <v>SC9641TS</v>
          </cell>
          <cell r="P8811" t="str">
            <v>STC9910BN</v>
          </cell>
          <cell r="Q8811" t="str">
            <v>速度传感器</v>
          </cell>
        </row>
        <row r="8812">
          <cell r="O8812" t="str">
            <v>SC9625VB-L</v>
          </cell>
          <cell r="P8812" t="str">
            <v>STC9910E</v>
          </cell>
          <cell r="Q8812" t="str">
            <v>速度传感器</v>
          </cell>
        </row>
        <row r="8813">
          <cell r="O8813" t="str">
            <v>SC9625VB-L</v>
          </cell>
          <cell r="P8813" t="str">
            <v>STC9910E</v>
          </cell>
          <cell r="Q8813" t="str">
            <v>速度传感器</v>
          </cell>
        </row>
        <row r="8814">
          <cell r="O8814" t="str">
            <v>SC4688SA</v>
          </cell>
          <cell r="P8814" t="str">
            <v>STC9D01C</v>
          </cell>
          <cell r="Q8814" t="str">
            <v>角度传感器</v>
          </cell>
        </row>
        <row r="8815">
          <cell r="O8815" t="str">
            <v>SC2443SO</v>
          </cell>
          <cell r="P8815" t="str">
            <v>STC9906T</v>
          </cell>
          <cell r="Q8815" t="str">
            <v>磁性位置传感器</v>
          </cell>
        </row>
        <row r="8816">
          <cell r="O8816" t="str">
            <v>SC2443SO</v>
          </cell>
          <cell r="P8816" t="str">
            <v>STC9906T</v>
          </cell>
          <cell r="Q8816" t="str">
            <v>磁性位置传感器</v>
          </cell>
        </row>
        <row r="8817">
          <cell r="O8817" t="str">
            <v>ATK-E512</v>
          </cell>
          <cell r="P8817" t="str">
            <v>STC4011B</v>
          </cell>
          <cell r="Q8817" t="str">
            <v>磁性位置传感器</v>
          </cell>
        </row>
        <row r="8818">
          <cell r="O8818" t="str">
            <v>SC2442SO-N</v>
          </cell>
          <cell r="P8818" t="str">
            <v>STC9906P</v>
          </cell>
          <cell r="Q8818" t="str">
            <v>磁性位置传感器</v>
          </cell>
        </row>
        <row r="8819">
          <cell r="O8819" t="str">
            <v>SC2402UA-G</v>
          </cell>
          <cell r="P8819" t="str">
            <v>STC9G002B</v>
          </cell>
          <cell r="Q8819" t="str">
            <v>磁性位置传感器</v>
          </cell>
        </row>
        <row r="8820">
          <cell r="O8820" t="str">
            <v>SC9642TS-EC</v>
          </cell>
          <cell r="P8820" t="str">
            <v>STC9A001H</v>
          </cell>
          <cell r="Q8820" t="str">
            <v>速度传感器</v>
          </cell>
        </row>
        <row r="8821">
          <cell r="O8821" t="str">
            <v>G01</v>
          </cell>
          <cell r="P8821" t="str">
            <v>STC4011B</v>
          </cell>
          <cell r="Q8821" t="str">
            <v>磁性位置传感器</v>
          </cell>
        </row>
        <row r="8822">
          <cell r="O8822" t="str">
            <v>G01</v>
          </cell>
          <cell r="P8822" t="str">
            <v>STC4011B</v>
          </cell>
          <cell r="Q8822" t="str">
            <v>磁性位置传感器</v>
          </cell>
        </row>
        <row r="8823">
          <cell r="O8823" t="str">
            <v>G01</v>
          </cell>
          <cell r="P8823" t="str">
            <v>STC4011B</v>
          </cell>
          <cell r="Q8823" t="str">
            <v>磁性位置传感器</v>
          </cell>
        </row>
        <row r="8824">
          <cell r="O8824" t="str">
            <v>SC4011SO-N</v>
          </cell>
          <cell r="P8824" t="str">
            <v>STC4011B</v>
          </cell>
          <cell r="Q8824" t="str">
            <v>磁性位置传感器</v>
          </cell>
        </row>
        <row r="8825">
          <cell r="O8825" t="str">
            <v>SC9641TS-P</v>
          </cell>
          <cell r="P8825" t="str">
            <v>STC9A001I</v>
          </cell>
          <cell r="Q8825" t="str">
            <v>速度传感器</v>
          </cell>
        </row>
        <row r="8826">
          <cell r="O8826" t="str">
            <v>SC4688SA-A</v>
          </cell>
          <cell r="P8826" t="str">
            <v>STC9D01C</v>
          </cell>
          <cell r="Q8826" t="str">
            <v>角度传感器</v>
          </cell>
        </row>
        <row r="8827">
          <cell r="O8827" t="str">
            <v>SC9641TS-P</v>
          </cell>
          <cell r="P8827" t="str">
            <v>STC9A001I</v>
          </cell>
          <cell r="Q8827" t="str">
            <v>速度传感器</v>
          </cell>
        </row>
        <row r="8828">
          <cell r="O8828" t="str">
            <v>SC9641TS-P</v>
          </cell>
          <cell r="P8828" t="str">
            <v>STC9A001I</v>
          </cell>
          <cell r="Q8828" t="str">
            <v>速度传感器</v>
          </cell>
        </row>
        <row r="8829">
          <cell r="O8829" t="str">
            <v>SC9641TS-P</v>
          </cell>
          <cell r="P8829" t="str">
            <v>STC9A001I</v>
          </cell>
          <cell r="Q8829" t="str">
            <v>速度传感器</v>
          </cell>
        </row>
        <row r="8830">
          <cell r="O8830" t="str">
            <v>SC9648TS-P</v>
          </cell>
          <cell r="P8830" t="str">
            <v>STC9A001I</v>
          </cell>
          <cell r="Q8830" t="str">
            <v>速度传感器</v>
          </cell>
        </row>
        <row r="8831">
          <cell r="O8831" t="str">
            <v>SC9648TS-P</v>
          </cell>
          <cell r="P8831" t="str">
            <v>STC9A001I</v>
          </cell>
          <cell r="Q8831" t="str">
            <v>速度传感器</v>
          </cell>
        </row>
        <row r="8832">
          <cell r="O8832" t="str">
            <v>SC9648TS-P</v>
          </cell>
          <cell r="P8832" t="str">
            <v>STC9A001I</v>
          </cell>
          <cell r="Q8832" t="str">
            <v>速度传感器</v>
          </cell>
        </row>
        <row r="8833">
          <cell r="O8833" t="str">
            <v>SC9648TS-P</v>
          </cell>
          <cell r="P8833" t="str">
            <v>STC9A001I</v>
          </cell>
          <cell r="Q8833" t="str">
            <v>速度传感器</v>
          </cell>
        </row>
        <row r="8834">
          <cell r="O8834" t="str">
            <v>SC9648TS-P</v>
          </cell>
          <cell r="P8834" t="str">
            <v>STC9A001I</v>
          </cell>
          <cell r="Q8834" t="str">
            <v>速度传感器</v>
          </cell>
        </row>
        <row r="8835">
          <cell r="O8835" t="str">
            <v>SC9648TS-P</v>
          </cell>
          <cell r="P8835" t="str">
            <v>STC9A001I</v>
          </cell>
          <cell r="Q8835" t="str">
            <v>速度传感器</v>
          </cell>
        </row>
        <row r="8836">
          <cell r="O8836" t="str">
            <v>SC9648TS-P</v>
          </cell>
          <cell r="P8836" t="str">
            <v>STC9A001I</v>
          </cell>
          <cell r="Q8836" t="str">
            <v>速度传感器</v>
          </cell>
        </row>
        <row r="8837">
          <cell r="O8837" t="str">
            <v>SC9648TS-P</v>
          </cell>
          <cell r="P8837" t="str">
            <v>STC9A001I</v>
          </cell>
          <cell r="Q8837" t="str">
            <v>速度传感器</v>
          </cell>
        </row>
        <row r="8838">
          <cell r="O8838" t="str">
            <v>SC9641TS-PC</v>
          </cell>
          <cell r="P8838" t="str">
            <v>STC9A001I</v>
          </cell>
          <cell r="Q8838" t="str">
            <v>速度传感器</v>
          </cell>
        </row>
        <row r="8839">
          <cell r="O8839" t="str">
            <v>SC9641TS-PC</v>
          </cell>
          <cell r="P8839" t="str">
            <v>STC9A001I</v>
          </cell>
          <cell r="Q8839" t="str">
            <v>速度传感器</v>
          </cell>
        </row>
        <row r="8840">
          <cell r="O8840" t="str">
            <v>SC9641TS-PC</v>
          </cell>
          <cell r="P8840" t="str">
            <v>STC9A001I</v>
          </cell>
          <cell r="Q8840" t="str">
            <v>速度传感器</v>
          </cell>
        </row>
        <row r="8841">
          <cell r="O8841" t="str">
            <v>SC9641TS-PC</v>
          </cell>
          <cell r="P8841" t="str">
            <v>STC9A001I</v>
          </cell>
          <cell r="Q8841" t="str">
            <v>速度传感器</v>
          </cell>
        </row>
        <row r="8842">
          <cell r="O8842" t="str">
            <v>SC9641TS-PC</v>
          </cell>
          <cell r="P8842" t="str">
            <v>STC9A001I</v>
          </cell>
          <cell r="Q8842" t="str">
            <v>速度传感器</v>
          </cell>
        </row>
        <row r="8843">
          <cell r="O8843" t="str">
            <v>SC9641TS-PC</v>
          </cell>
          <cell r="P8843" t="str">
            <v>STC9A001I</v>
          </cell>
          <cell r="Q8843" t="str">
            <v>速度传感器</v>
          </cell>
        </row>
        <row r="8844">
          <cell r="O8844" t="str">
            <v>SC9641TS-PC</v>
          </cell>
          <cell r="P8844" t="str">
            <v>STC9A001I</v>
          </cell>
          <cell r="Q8844" t="str">
            <v>速度传感器</v>
          </cell>
        </row>
        <row r="8845">
          <cell r="O8845" t="str">
            <v>SC9648TS-P</v>
          </cell>
          <cell r="P8845" t="str">
            <v>STC9A001I</v>
          </cell>
          <cell r="Q8845" t="str">
            <v>速度传感器</v>
          </cell>
        </row>
        <row r="8846">
          <cell r="O8846" t="str">
            <v>SC9641TS-P</v>
          </cell>
          <cell r="P8846" t="str">
            <v>STC9A001I</v>
          </cell>
          <cell r="Q8846" t="str">
            <v>速度传感器</v>
          </cell>
        </row>
        <row r="8847">
          <cell r="O8847" t="str">
            <v>SC9641TS-PC</v>
          </cell>
          <cell r="P8847" t="str">
            <v>STC9A001I</v>
          </cell>
          <cell r="Q8847" t="str">
            <v>速度传感器</v>
          </cell>
        </row>
        <row r="8848">
          <cell r="O8848" t="str">
            <v>SC9641TS-PC</v>
          </cell>
          <cell r="P8848" t="str">
            <v>STC9A001I</v>
          </cell>
          <cell r="Q8848" t="str">
            <v>速度传感器</v>
          </cell>
        </row>
        <row r="8849">
          <cell r="O8849" t="str">
            <v>SC9641TS-PC</v>
          </cell>
          <cell r="P8849" t="str">
            <v>STC9A001I</v>
          </cell>
          <cell r="Q8849" t="str">
            <v>速度传感器</v>
          </cell>
        </row>
        <row r="8850">
          <cell r="O8850" t="str">
            <v>SC4002BU</v>
          </cell>
          <cell r="P8850" t="str">
            <v>STC4000AA</v>
          </cell>
          <cell r="Q8850" t="str">
            <v>磁性位置传感器</v>
          </cell>
        </row>
        <row r="8851">
          <cell r="O8851" t="str">
            <v>SC2402SO-N-H</v>
          </cell>
          <cell r="P8851" t="str">
            <v>STC9H001A</v>
          </cell>
          <cell r="Q8851" t="str">
            <v>磁性位置传感器</v>
          </cell>
        </row>
        <row r="8852">
          <cell r="O8852" t="str">
            <v>ATK-E512</v>
          </cell>
          <cell r="P8852" t="str">
            <v>STC4011B</v>
          </cell>
          <cell r="Q8852" t="str">
            <v>磁性位置传感器</v>
          </cell>
        </row>
        <row r="8853">
          <cell r="O8853" t="str">
            <v>ATK-E512</v>
          </cell>
          <cell r="P8853" t="str">
            <v>STC4011B</v>
          </cell>
          <cell r="Q8853" t="str">
            <v>磁性位置传感器</v>
          </cell>
        </row>
        <row r="8854">
          <cell r="O8854" t="str">
            <v>ATK-E512</v>
          </cell>
          <cell r="P8854" t="str">
            <v>STC4011B</v>
          </cell>
          <cell r="Q8854" t="str">
            <v>磁性位置传感器</v>
          </cell>
        </row>
        <row r="8855">
          <cell r="O8855" t="str">
            <v>SC4011SO-N</v>
          </cell>
          <cell r="P8855" t="str">
            <v>STC4011B</v>
          </cell>
          <cell r="Q8855" t="str">
            <v>磁性位置传感器</v>
          </cell>
        </row>
        <row r="8856">
          <cell r="O8856" t="str">
            <v>SC4011SO-N</v>
          </cell>
          <cell r="P8856" t="str">
            <v>STC4011B</v>
          </cell>
          <cell r="Q8856" t="str">
            <v>磁性位置传感器</v>
          </cell>
        </row>
        <row r="8857">
          <cell r="O8857" t="str">
            <v>SC4011SO-N</v>
          </cell>
          <cell r="P8857" t="str">
            <v>STC4011B</v>
          </cell>
          <cell r="Q8857" t="str">
            <v>磁性位置传感器</v>
          </cell>
        </row>
        <row r="8858">
          <cell r="O8858" t="str">
            <v>SC2443SO</v>
          </cell>
          <cell r="P8858" t="str">
            <v>STC9906T</v>
          </cell>
          <cell r="Q8858" t="str">
            <v>磁性位置传感器</v>
          </cell>
        </row>
        <row r="8859">
          <cell r="O8859" t="str">
            <v>SC4688SA-A</v>
          </cell>
          <cell r="P8859" t="str">
            <v>STC9D01C</v>
          </cell>
          <cell r="Q8859" t="str">
            <v>角度传感器</v>
          </cell>
        </row>
        <row r="8860">
          <cell r="O8860" t="str">
            <v>SC2432SO</v>
          </cell>
          <cell r="P8860" t="str">
            <v>STC9906I</v>
          </cell>
          <cell r="Q8860" t="str">
            <v>磁性位置传感器</v>
          </cell>
        </row>
        <row r="8861">
          <cell r="O8861" t="str">
            <v>STC1009C</v>
          </cell>
          <cell r="P8861" t="str">
            <v>STC1009C</v>
          </cell>
          <cell r="Q8861" t="str">
            <v>磁性位置传感器</v>
          </cell>
        </row>
        <row r="8862">
          <cell r="O8862" t="str">
            <v>SC9648TS-P</v>
          </cell>
          <cell r="P8862" t="str">
            <v>STC9A001I</v>
          </cell>
          <cell r="Q8862" t="str">
            <v>速度传感器</v>
          </cell>
        </row>
        <row r="8863">
          <cell r="O8863" t="str">
            <v>SC9648TS-P</v>
          </cell>
          <cell r="P8863" t="str">
            <v>STC9A001I</v>
          </cell>
          <cell r="Q8863" t="str">
            <v>速度传感器</v>
          </cell>
        </row>
        <row r="8864">
          <cell r="O8864" t="str">
            <v>SC2063SO</v>
          </cell>
          <cell r="P8864" t="str">
            <v>STC9G001C</v>
          </cell>
          <cell r="Q8864" t="str">
            <v>磁性位置传感器</v>
          </cell>
        </row>
        <row r="8865">
          <cell r="O8865" t="str">
            <v>SC4689SA</v>
          </cell>
          <cell r="P8865" t="str">
            <v>STC9D01F</v>
          </cell>
          <cell r="Q8865" t="str">
            <v>角度传感器</v>
          </cell>
        </row>
        <row r="8866">
          <cell r="O8866" t="str">
            <v>SC4689SA</v>
          </cell>
          <cell r="P8866" t="str">
            <v>STC9D01F</v>
          </cell>
          <cell r="Q8866" t="str">
            <v>角度传感器</v>
          </cell>
        </row>
        <row r="8867">
          <cell r="O8867" t="str">
            <v>SC2432SO</v>
          </cell>
          <cell r="P8867" t="str">
            <v>STC9906I</v>
          </cell>
          <cell r="Q8867" t="str">
            <v>磁性位置传感器</v>
          </cell>
        </row>
        <row r="8868">
          <cell r="O8868" t="str">
            <v>SC4011SO-N</v>
          </cell>
          <cell r="P8868" t="str">
            <v>STC4011B</v>
          </cell>
          <cell r="Q8868" t="str">
            <v>磁性位置传感器</v>
          </cell>
        </row>
        <row r="8869">
          <cell r="O8869" t="str">
            <v>SC4011SO-N</v>
          </cell>
          <cell r="P8869" t="str">
            <v>STC4011B</v>
          </cell>
          <cell r="Q8869" t="str">
            <v>磁性位置传感器</v>
          </cell>
        </row>
        <row r="8870">
          <cell r="O8870" t="str">
            <v>SC4011SO-N</v>
          </cell>
          <cell r="P8870" t="str">
            <v>STC4011B</v>
          </cell>
          <cell r="Q8870" t="str">
            <v>磁性位置传感器</v>
          </cell>
        </row>
        <row r="8871">
          <cell r="O8871" t="str">
            <v>SC4011SO-N</v>
          </cell>
          <cell r="P8871" t="str">
            <v>STC4011B</v>
          </cell>
          <cell r="Q8871" t="str">
            <v>磁性位置传感器</v>
          </cell>
        </row>
        <row r="8872">
          <cell r="O8872" t="str">
            <v>SC4011SO-N</v>
          </cell>
          <cell r="P8872" t="str">
            <v>STC4011B</v>
          </cell>
          <cell r="Q8872" t="str">
            <v>磁性位置传感器</v>
          </cell>
        </row>
        <row r="8873">
          <cell r="O8873" t="str">
            <v>SC2443SO</v>
          </cell>
          <cell r="P8873" t="str">
            <v>STC9906T</v>
          </cell>
          <cell r="Q8873" t="str">
            <v>磁性位置传感器</v>
          </cell>
        </row>
        <row r="8874">
          <cell r="O8874" t="str">
            <v>SC2443UA</v>
          </cell>
          <cell r="P8874" t="str">
            <v>STC9906W</v>
          </cell>
          <cell r="Q8874" t="str">
            <v>磁性位置传感器</v>
          </cell>
        </row>
        <row r="8875">
          <cell r="O8875" t="str">
            <v>SC2443UA</v>
          </cell>
          <cell r="P8875" t="str">
            <v>STC9906W</v>
          </cell>
          <cell r="Q8875" t="str">
            <v>磁性位置传感器</v>
          </cell>
        </row>
        <row r="8876">
          <cell r="O8876" t="str">
            <v>SC2443UA</v>
          </cell>
          <cell r="P8876" t="str">
            <v>STC9906W</v>
          </cell>
          <cell r="Q8876" t="str">
            <v>磁性位置传感器</v>
          </cell>
        </row>
        <row r="8877">
          <cell r="O8877" t="str">
            <v>SC2443UA</v>
          </cell>
          <cell r="P8877" t="str">
            <v>STC9906W</v>
          </cell>
          <cell r="Q8877" t="str">
            <v>磁性位置传感器</v>
          </cell>
        </row>
        <row r="8878">
          <cell r="O8878" t="str">
            <v>SC2443UA</v>
          </cell>
          <cell r="P8878" t="str">
            <v>STC9906W</v>
          </cell>
          <cell r="Q8878" t="str">
            <v>磁性位置传感器</v>
          </cell>
        </row>
        <row r="8879">
          <cell r="O8879" t="str">
            <v>SC2448UA-N</v>
          </cell>
          <cell r="P8879" t="str">
            <v>STC9906S</v>
          </cell>
          <cell r="Q8879" t="str">
            <v>磁性位置传感器</v>
          </cell>
        </row>
        <row r="8880">
          <cell r="O8880" t="str">
            <v>SC2448UA-N</v>
          </cell>
          <cell r="P8880" t="str">
            <v>STC9906S</v>
          </cell>
          <cell r="Q8880" t="str">
            <v>磁性位置传感器</v>
          </cell>
        </row>
        <row r="8881">
          <cell r="O8881" t="str">
            <v>SC9641TS</v>
          </cell>
          <cell r="P8881" t="str">
            <v>STC9910BN</v>
          </cell>
          <cell r="Q8881" t="str">
            <v>速度传感器</v>
          </cell>
        </row>
        <row r="8882">
          <cell r="O8882" t="str">
            <v>SC9675IM-P-LRF01</v>
          </cell>
          <cell r="P8882" t="str">
            <v>STC9A002B</v>
          </cell>
          <cell r="Q8882" t="str">
            <v>速度传感器</v>
          </cell>
        </row>
        <row r="8883">
          <cell r="O8883" t="str">
            <v>SC9634VB</v>
          </cell>
          <cell r="P8883" t="str">
            <v>STC9905G</v>
          </cell>
          <cell r="Q8883" t="str">
            <v>速度传感器</v>
          </cell>
        </row>
        <row r="8884">
          <cell r="O8884" t="str">
            <v>SC9634VB</v>
          </cell>
          <cell r="P8884" t="str">
            <v>STC9905G</v>
          </cell>
          <cell r="Q8884" t="str">
            <v>速度传感器</v>
          </cell>
        </row>
        <row r="8885">
          <cell r="O8885" t="str">
            <v>SC9634VB</v>
          </cell>
          <cell r="P8885" t="str">
            <v>STC9905G</v>
          </cell>
          <cell r="Q8885" t="str">
            <v>速度传感器</v>
          </cell>
        </row>
        <row r="8886">
          <cell r="O8886" t="str">
            <v>SC9633VB</v>
          </cell>
          <cell r="P8886" t="str">
            <v>STC9905F</v>
          </cell>
          <cell r="Q8886" t="str">
            <v>速度传感器</v>
          </cell>
        </row>
        <row r="8887">
          <cell r="O8887" t="str">
            <v>SC9633VB</v>
          </cell>
          <cell r="P8887" t="str">
            <v>STC9905F</v>
          </cell>
          <cell r="Q8887" t="str">
            <v>速度传感器</v>
          </cell>
        </row>
        <row r="8888">
          <cell r="O8888" t="str">
            <v>SC2442SO</v>
          </cell>
          <cell r="P8888" t="str">
            <v>STC9906R</v>
          </cell>
          <cell r="Q8888" t="str">
            <v>磁性位置传感器</v>
          </cell>
        </row>
        <row r="8889">
          <cell r="O8889" t="str">
            <v>SC2442SO</v>
          </cell>
          <cell r="P8889" t="str">
            <v>STC9906R</v>
          </cell>
          <cell r="Q8889" t="str">
            <v>磁性位置传感器</v>
          </cell>
        </row>
        <row r="8890">
          <cell r="O8890" t="str">
            <v>SC1134SO-N</v>
          </cell>
          <cell r="P8890" t="str">
            <v>STC1002AF</v>
          </cell>
          <cell r="Q8890" t="str">
            <v>磁性位置传感器</v>
          </cell>
        </row>
        <row r="8891">
          <cell r="O8891" t="str">
            <v>SC2526VB</v>
          </cell>
          <cell r="P8891" t="str">
            <v>STC9904C</v>
          </cell>
          <cell r="Q8891" t="str">
            <v>磁性位置传感器</v>
          </cell>
        </row>
        <row r="8892">
          <cell r="O8892" t="str">
            <v>SC4011SO-N</v>
          </cell>
          <cell r="P8892" t="str">
            <v>STC4011B</v>
          </cell>
          <cell r="Q8892" t="str">
            <v>磁性位置传感器</v>
          </cell>
        </row>
        <row r="8893">
          <cell r="O8893" t="str">
            <v>SC4011SO-N</v>
          </cell>
          <cell r="P8893" t="str">
            <v>STC4011B</v>
          </cell>
          <cell r="Q8893" t="str">
            <v>磁性位置传感器</v>
          </cell>
        </row>
        <row r="8894">
          <cell r="O8894" t="str">
            <v>SC4011SO-N</v>
          </cell>
          <cell r="P8894" t="str">
            <v>STC4011B</v>
          </cell>
          <cell r="Q8894" t="str">
            <v>磁性位置传感器</v>
          </cell>
        </row>
        <row r="8895">
          <cell r="O8895" t="str">
            <v>SC2434UA</v>
          </cell>
          <cell r="P8895" t="str">
            <v>STC9906I</v>
          </cell>
          <cell r="Q8895" t="str">
            <v>磁性位置传感器</v>
          </cell>
        </row>
        <row r="8896">
          <cell r="O8896" t="str">
            <v>SC4688SA</v>
          </cell>
          <cell r="P8896" t="str">
            <v>STC9D01C</v>
          </cell>
          <cell r="Q8896" t="str">
            <v>角度传感器</v>
          </cell>
        </row>
        <row r="8897">
          <cell r="O8897" t="str">
            <v>SC9625VB-L</v>
          </cell>
          <cell r="P8897" t="str">
            <v>STC9910E</v>
          </cell>
          <cell r="Q8897" t="str">
            <v>速度传感器</v>
          </cell>
        </row>
        <row r="8898">
          <cell r="O8898" t="str">
            <v>SC9625VB-L</v>
          </cell>
          <cell r="P8898" t="str">
            <v>STC9910E</v>
          </cell>
          <cell r="Q8898" t="str">
            <v>速度传感器</v>
          </cell>
        </row>
        <row r="8899">
          <cell r="O8899" t="str">
            <v>SC4689SA</v>
          </cell>
          <cell r="P8899" t="str">
            <v>STC9D01F</v>
          </cell>
          <cell r="Q8899" t="str">
            <v>角度传感器</v>
          </cell>
        </row>
        <row r="8900">
          <cell r="O8900" t="str">
            <v>SC9625VB-L</v>
          </cell>
          <cell r="P8900" t="str">
            <v>STC9910E</v>
          </cell>
          <cell r="Q8900" t="str">
            <v>速度传感器</v>
          </cell>
        </row>
        <row r="8901">
          <cell r="O8901" t="str">
            <v>SC9625VB-L</v>
          </cell>
          <cell r="P8901" t="str">
            <v>STC9910E</v>
          </cell>
          <cell r="Q8901" t="str">
            <v>速度传感器</v>
          </cell>
        </row>
        <row r="8902">
          <cell r="O8902" t="str">
            <v>SC9625VB-L</v>
          </cell>
          <cell r="P8902" t="str">
            <v>STC9910E</v>
          </cell>
          <cell r="Q8902" t="str">
            <v>速度传感器</v>
          </cell>
        </row>
        <row r="8903">
          <cell r="O8903" t="str">
            <v>SC9641TS-P</v>
          </cell>
          <cell r="P8903" t="str">
            <v>STC9A001I</v>
          </cell>
          <cell r="Q8903" t="str">
            <v>速度传感器</v>
          </cell>
        </row>
        <row r="8904">
          <cell r="O8904" t="str">
            <v>SC9625VB-L</v>
          </cell>
          <cell r="P8904" t="str">
            <v>STC9910E</v>
          </cell>
          <cell r="Q8904" t="str">
            <v>速度传感器</v>
          </cell>
        </row>
        <row r="8905">
          <cell r="O8905" t="str">
            <v>SC9675IM-P-HRF11</v>
          </cell>
          <cell r="P8905" t="str">
            <v>STC9A002B</v>
          </cell>
          <cell r="Q8905" t="str">
            <v>速度传感器</v>
          </cell>
        </row>
        <row r="8906">
          <cell r="O8906" t="str">
            <v>SC9675IM-P-HRF11</v>
          </cell>
          <cell r="P8906" t="str">
            <v>STC9A002B</v>
          </cell>
          <cell r="Q8906" t="str">
            <v>速度传感器</v>
          </cell>
        </row>
        <row r="8907">
          <cell r="O8907" t="str">
            <v>SC9675IM-P-HRF11</v>
          </cell>
          <cell r="P8907" t="str">
            <v>STC9A002B</v>
          </cell>
          <cell r="Q8907" t="str">
            <v>速度传感器</v>
          </cell>
        </row>
        <row r="8908">
          <cell r="O8908" t="str">
            <v>SC2442SO</v>
          </cell>
          <cell r="P8908" t="str">
            <v>STC9906R</v>
          </cell>
          <cell r="Q8908" t="str">
            <v>磁性位置传感器</v>
          </cell>
        </row>
        <row r="8909">
          <cell r="O8909" t="str">
            <v>SC9641TS-PC</v>
          </cell>
          <cell r="P8909" t="str">
            <v>STC9A001I</v>
          </cell>
          <cell r="Q8909" t="str">
            <v>速度传感器</v>
          </cell>
        </row>
        <row r="8910">
          <cell r="O8910" t="str">
            <v>SC4643VB</v>
          </cell>
          <cell r="P8910" t="str">
            <v>STC9D03E</v>
          </cell>
          <cell r="Q8910" t="str">
            <v>电流传感器</v>
          </cell>
        </row>
        <row r="8911">
          <cell r="O8911" t="str">
            <v>SC4002BU</v>
          </cell>
          <cell r="P8911" t="str">
            <v>STC4000AA</v>
          </cell>
          <cell r="Q8911" t="str">
            <v>磁性位置传感器</v>
          </cell>
        </row>
        <row r="8912">
          <cell r="O8912" t="str">
            <v>SC2442SO</v>
          </cell>
          <cell r="P8912" t="str">
            <v>STC9906R</v>
          </cell>
          <cell r="Q8912" t="str">
            <v>磁性位置传感器</v>
          </cell>
        </row>
        <row r="8913">
          <cell r="O8913" t="str">
            <v>SC9641TS-PC</v>
          </cell>
          <cell r="P8913" t="str">
            <v>STC9A001I</v>
          </cell>
          <cell r="Q8913" t="str">
            <v>速度传感器</v>
          </cell>
        </row>
        <row r="8914">
          <cell r="O8914" t="str">
            <v>SC9641TS-PC</v>
          </cell>
          <cell r="P8914" t="str">
            <v>STC9A001I</v>
          </cell>
          <cell r="Q8914" t="str">
            <v>速度传感器</v>
          </cell>
        </row>
        <row r="8915">
          <cell r="O8915" t="str">
            <v>SC9641TS-P</v>
          </cell>
          <cell r="P8915" t="str">
            <v>STC9A001I</v>
          </cell>
          <cell r="Q8915" t="str">
            <v>速度传感器</v>
          </cell>
        </row>
        <row r="8916">
          <cell r="O8916" t="str">
            <v>SC9625VB-L</v>
          </cell>
          <cell r="P8916" t="str">
            <v>STC9910E</v>
          </cell>
          <cell r="Q8916" t="str">
            <v>速度传感器</v>
          </cell>
        </row>
        <row r="8917">
          <cell r="O8917" t="str">
            <v>SC9648TS-P</v>
          </cell>
          <cell r="P8917" t="str">
            <v>STC9A001I</v>
          </cell>
          <cell r="Q8917" t="str">
            <v>速度传感器</v>
          </cell>
        </row>
        <row r="8918">
          <cell r="O8918" t="str">
            <v>SC4616UA-10NV</v>
          </cell>
          <cell r="P8918" t="str">
            <v>STC9907D</v>
          </cell>
          <cell r="Q8918" t="str">
            <v>电流传感器</v>
          </cell>
        </row>
        <row r="8919">
          <cell r="O8919" t="str">
            <v>SC4616UA-10NV</v>
          </cell>
          <cell r="P8919" t="str">
            <v>STC9907D</v>
          </cell>
          <cell r="Q8919" t="str">
            <v>电流传感器</v>
          </cell>
        </row>
        <row r="8920">
          <cell r="O8920" t="str">
            <v>SC69401D</v>
          </cell>
          <cell r="P8920" t="str">
            <v>STC9H002D</v>
          </cell>
          <cell r="Q8920" t="str">
            <v>角度传感器</v>
          </cell>
        </row>
        <row r="8921">
          <cell r="O8921" t="str">
            <v>SC919H</v>
          </cell>
          <cell r="P8921" t="str">
            <v>STC9909B</v>
          </cell>
          <cell r="Q8921" t="str">
            <v>磁性位置传感器</v>
          </cell>
        </row>
        <row r="8922">
          <cell r="O8922" t="str">
            <v>SC1445A1</v>
          </cell>
          <cell r="P8922" t="str">
            <v>STC2899AB</v>
          </cell>
          <cell r="Q8922" t="str">
            <v>磁性位置传感器</v>
          </cell>
        </row>
        <row r="8923">
          <cell r="O8923" t="str">
            <v>SC4011SO-N</v>
          </cell>
          <cell r="P8923" t="str">
            <v>STC4011B</v>
          </cell>
          <cell r="Q8923" t="str">
            <v>磁性位置传感器</v>
          </cell>
        </row>
        <row r="8924">
          <cell r="O8924" t="str">
            <v>SC4011SO-N</v>
          </cell>
          <cell r="P8924" t="str">
            <v>STC4011B</v>
          </cell>
          <cell r="Q8924" t="str">
            <v>磁性位置传感器</v>
          </cell>
        </row>
        <row r="8925">
          <cell r="O8925" t="str">
            <v>SC4011SO-N</v>
          </cell>
          <cell r="P8925" t="str">
            <v>STC4011B</v>
          </cell>
          <cell r="Q8925" t="str">
            <v>磁性位置传感器</v>
          </cell>
        </row>
        <row r="8926">
          <cell r="O8926" t="str">
            <v>SC4011SO-N</v>
          </cell>
          <cell r="P8926" t="str">
            <v>STC4011B</v>
          </cell>
          <cell r="Q8926" t="str">
            <v>磁性位置传感器</v>
          </cell>
        </row>
        <row r="8927">
          <cell r="O8927" t="str">
            <v>ATK-E512</v>
          </cell>
          <cell r="P8927" t="str">
            <v>STC4011B</v>
          </cell>
          <cell r="Q8927" t="str">
            <v>磁性位置传感器</v>
          </cell>
        </row>
        <row r="8928">
          <cell r="O8928" t="str">
            <v>SC2442SO-N</v>
          </cell>
          <cell r="P8928" t="str">
            <v>STC9906P</v>
          </cell>
          <cell r="Q8928" t="str">
            <v>磁性位置传感器</v>
          </cell>
        </row>
        <row r="8929">
          <cell r="O8929" t="str">
            <v>SC2442SO-N</v>
          </cell>
          <cell r="P8929" t="str">
            <v>STC9906P</v>
          </cell>
          <cell r="Q8929" t="str">
            <v>磁性位置传感器</v>
          </cell>
        </row>
        <row r="8930">
          <cell r="O8930" t="str">
            <v>SC2442SO-N</v>
          </cell>
          <cell r="P8930" t="str">
            <v>STC9906P</v>
          </cell>
          <cell r="Q8930" t="str">
            <v>磁性位置传感器</v>
          </cell>
        </row>
        <row r="8931">
          <cell r="O8931" t="str">
            <v>SC2442SO-N</v>
          </cell>
          <cell r="P8931" t="str">
            <v>STC9906P</v>
          </cell>
          <cell r="Q8931" t="str">
            <v>磁性位置传感器</v>
          </cell>
        </row>
        <row r="8932">
          <cell r="O8932" t="str">
            <v>SC2442SO-N</v>
          </cell>
          <cell r="P8932" t="str">
            <v>STC9906P</v>
          </cell>
          <cell r="Q8932" t="str">
            <v>磁性位置传感器</v>
          </cell>
        </row>
        <row r="8933">
          <cell r="O8933" t="str">
            <v>SC2442SO-N</v>
          </cell>
          <cell r="P8933" t="str">
            <v>STC9906P</v>
          </cell>
          <cell r="Q8933" t="str">
            <v>磁性位置传感器</v>
          </cell>
        </row>
        <row r="8934">
          <cell r="O8934" t="str">
            <v>SC4002UA</v>
          </cell>
          <cell r="P8934" t="str">
            <v>STC4000AA</v>
          </cell>
          <cell r="Q8934" t="str">
            <v>磁性位置传感器</v>
          </cell>
        </row>
        <row r="8935">
          <cell r="O8935" t="str">
            <v>SC2402SO-N</v>
          </cell>
          <cell r="P8935" t="str">
            <v>STC9902J</v>
          </cell>
          <cell r="Q8935" t="str">
            <v>磁性位置传感器</v>
          </cell>
        </row>
        <row r="8936">
          <cell r="O8936" t="str">
            <v>SC2402SO-N</v>
          </cell>
          <cell r="P8936" t="str">
            <v>STC9902J</v>
          </cell>
          <cell r="Q8936" t="str">
            <v>磁性位置传感器</v>
          </cell>
        </row>
        <row r="8937">
          <cell r="O8937" t="str">
            <v>SC1134SO-N</v>
          </cell>
          <cell r="P8937" t="str">
            <v>STC1002AF</v>
          </cell>
          <cell r="Q8937" t="str">
            <v>磁性位置传感器</v>
          </cell>
        </row>
        <row r="8938">
          <cell r="O8938" t="str">
            <v>SC4011SO-N</v>
          </cell>
          <cell r="P8938" t="str">
            <v>STC4011B</v>
          </cell>
          <cell r="Q8938" t="str">
            <v>磁性位置传感器</v>
          </cell>
        </row>
        <row r="8939">
          <cell r="O8939" t="str">
            <v>SC4011SO-N</v>
          </cell>
          <cell r="P8939" t="str">
            <v>STC4011B</v>
          </cell>
          <cell r="Q8939" t="str">
            <v>磁性位置传感器</v>
          </cell>
        </row>
        <row r="8940">
          <cell r="O8940" t="str">
            <v>SC4011SO-N</v>
          </cell>
          <cell r="P8940" t="str">
            <v>STC4011B</v>
          </cell>
          <cell r="Q8940" t="str">
            <v>磁性位置传感器</v>
          </cell>
        </row>
        <row r="8941">
          <cell r="O8941" t="str">
            <v>SC4011SO-N</v>
          </cell>
          <cell r="P8941" t="str">
            <v>STC4011B</v>
          </cell>
          <cell r="Q8941" t="str">
            <v>磁性位置传感器</v>
          </cell>
        </row>
        <row r="8942">
          <cell r="O8942" t="str">
            <v>SC2442UA</v>
          </cell>
          <cell r="P8942" t="str">
            <v>STC9906P</v>
          </cell>
          <cell r="Q8942" t="str">
            <v>磁性位置传感器</v>
          </cell>
        </row>
        <row r="8943">
          <cell r="O8943" t="str">
            <v>SC2442UA</v>
          </cell>
          <cell r="P8943" t="str">
            <v>STC9906P</v>
          </cell>
          <cell r="Q8943" t="str">
            <v>磁性位置传感器</v>
          </cell>
        </row>
        <row r="8944">
          <cell r="O8944" t="str">
            <v>SC9641TS-P</v>
          </cell>
          <cell r="P8944" t="str">
            <v>STC9A001I</v>
          </cell>
          <cell r="Q8944" t="str">
            <v>速度传感器</v>
          </cell>
        </row>
        <row r="8945">
          <cell r="O8945" t="str">
            <v>SC9642TS-E</v>
          </cell>
          <cell r="P8945" t="str">
            <v>STC9A001H</v>
          </cell>
          <cell r="Q8945" t="str">
            <v>速度传感器</v>
          </cell>
        </row>
        <row r="8946">
          <cell r="O8946" t="str">
            <v>SC9641TS-PC</v>
          </cell>
          <cell r="P8946" t="str">
            <v>STC9A001I</v>
          </cell>
          <cell r="Q8946" t="str">
            <v>速度传感器</v>
          </cell>
        </row>
        <row r="8947">
          <cell r="O8947" t="str">
            <v>SC9641TS-PC</v>
          </cell>
          <cell r="P8947" t="str">
            <v>STC9A001I</v>
          </cell>
          <cell r="Q8947" t="str">
            <v>速度传感器</v>
          </cell>
        </row>
        <row r="8948">
          <cell r="O8948" t="str">
            <v>SC9641TS-PC</v>
          </cell>
          <cell r="P8948" t="str">
            <v>STC9A001I</v>
          </cell>
          <cell r="Q8948" t="str">
            <v>速度传感器</v>
          </cell>
        </row>
        <row r="8949">
          <cell r="O8949" t="str">
            <v>PSTC1002AF</v>
          </cell>
          <cell r="P8949" t="str">
            <v>STC1002AF</v>
          </cell>
          <cell r="Q8949" t="str">
            <v>磁性位置传感器</v>
          </cell>
        </row>
        <row r="8950">
          <cell r="O8950" t="str">
            <v>SC1245UA</v>
          </cell>
          <cell r="P8950" t="str">
            <v>STC1898AD</v>
          </cell>
          <cell r="Q8950" t="str">
            <v>磁性位置传感器</v>
          </cell>
        </row>
        <row r="8951">
          <cell r="O8951" t="str">
            <v>SC1245UA</v>
          </cell>
          <cell r="P8951" t="str">
            <v>STC1898AD</v>
          </cell>
          <cell r="Q8951" t="str">
            <v>磁性位置传感器</v>
          </cell>
        </row>
        <row r="8952">
          <cell r="O8952" t="str">
            <v>SC1245UA</v>
          </cell>
          <cell r="P8952" t="str">
            <v>STC1898AD</v>
          </cell>
          <cell r="Q8952" t="str">
            <v>磁性位置传感器</v>
          </cell>
        </row>
        <row r="8953">
          <cell r="O8953" t="str">
            <v>SC2498CUA-N</v>
          </cell>
          <cell r="P8953" t="str">
            <v>SC9915C</v>
          </cell>
          <cell r="Q8953" t="str">
            <v>磁性位置传感器</v>
          </cell>
        </row>
        <row r="8954">
          <cell r="O8954" t="str">
            <v>SC2498CUA-N</v>
          </cell>
          <cell r="P8954" t="str">
            <v>SC9915C</v>
          </cell>
          <cell r="Q8954" t="str">
            <v>磁性位置传感器</v>
          </cell>
        </row>
        <row r="8955">
          <cell r="O8955" t="str">
            <v>SC2443UA</v>
          </cell>
          <cell r="P8955" t="str">
            <v>STC9906G</v>
          </cell>
          <cell r="Q8955" t="str">
            <v>磁性位置传感器</v>
          </cell>
        </row>
        <row r="8956">
          <cell r="O8956" t="str">
            <v>SC2443UA</v>
          </cell>
          <cell r="P8956" t="str">
            <v>STC9906G</v>
          </cell>
          <cell r="Q8956" t="str">
            <v>磁性位置传感器</v>
          </cell>
        </row>
        <row r="8957">
          <cell r="O8957" t="str">
            <v>SC9641TS-PC</v>
          </cell>
          <cell r="P8957" t="str">
            <v>STC9A001I</v>
          </cell>
          <cell r="Q8957" t="str">
            <v>速度传感器</v>
          </cell>
        </row>
        <row r="8958">
          <cell r="O8958" t="str">
            <v>SC9641TS-PC</v>
          </cell>
          <cell r="P8958" t="str">
            <v>STC9A001I</v>
          </cell>
          <cell r="Q8958" t="str">
            <v>速度传感器</v>
          </cell>
        </row>
        <row r="8959">
          <cell r="O8959" t="str">
            <v>SC919H</v>
          </cell>
          <cell r="P8959" t="str">
            <v>STC9909B</v>
          </cell>
          <cell r="Q8959" t="str">
            <v>磁性位置传感器</v>
          </cell>
        </row>
        <row r="8960">
          <cell r="O8960" t="str">
            <v>SC2462SO</v>
          </cell>
          <cell r="P8960" t="str">
            <v>STC9906J</v>
          </cell>
          <cell r="Q8960" t="str">
            <v>磁性位置传感器</v>
          </cell>
        </row>
        <row r="8961">
          <cell r="O8961" t="str">
            <v>SC2462SO</v>
          </cell>
          <cell r="P8961" t="str">
            <v>STC9906J</v>
          </cell>
          <cell r="Q8961" t="str">
            <v>磁性位置传感器</v>
          </cell>
        </row>
        <row r="8962">
          <cell r="O8962" t="str">
            <v>SC2402SO-N-H</v>
          </cell>
          <cell r="P8962" t="str">
            <v>STC9H001A</v>
          </cell>
          <cell r="Q8962" t="str">
            <v>磁性位置传感器</v>
          </cell>
        </row>
        <row r="8963">
          <cell r="O8963" t="str">
            <v>SC2402SO-N-H</v>
          </cell>
          <cell r="P8963" t="str">
            <v>STC9H001A</v>
          </cell>
          <cell r="Q8963" t="str">
            <v>磁性位置传感器</v>
          </cell>
        </row>
        <row r="8964">
          <cell r="O8964" t="str">
            <v>SC2063UA</v>
          </cell>
          <cell r="P8964" t="str">
            <v>STC9G001C</v>
          </cell>
          <cell r="Q8964" t="str">
            <v>磁性位置传感器</v>
          </cell>
        </row>
        <row r="8965">
          <cell r="O8965" t="str">
            <v>SC2402UA</v>
          </cell>
          <cell r="P8965" t="str">
            <v>STC9902J</v>
          </cell>
          <cell r="Q8965" t="str">
            <v>磁性位置传感器</v>
          </cell>
        </row>
        <row r="8966">
          <cell r="O8966" t="str">
            <v>SC2402UA</v>
          </cell>
          <cell r="P8966" t="str">
            <v>STC9902J</v>
          </cell>
          <cell r="Q8966" t="str">
            <v>磁性位置传感器</v>
          </cell>
        </row>
        <row r="8967">
          <cell r="O8967" t="str">
            <v>SC4688SA-A</v>
          </cell>
          <cell r="P8967" t="str">
            <v>STC9D01C</v>
          </cell>
          <cell r="Q8967" t="str">
            <v>角度传感器</v>
          </cell>
        </row>
        <row r="8968">
          <cell r="O8968" t="str">
            <v>SC4688SA-A</v>
          </cell>
          <cell r="P8968" t="str">
            <v>STC9D01C</v>
          </cell>
          <cell r="Q8968" t="str">
            <v>角度传感器</v>
          </cell>
        </row>
        <row r="8969">
          <cell r="O8969" t="str">
            <v>SC4688SA</v>
          </cell>
          <cell r="P8969" t="str">
            <v>STC9D01C</v>
          </cell>
          <cell r="Q8969" t="str">
            <v>角度传感器</v>
          </cell>
        </row>
        <row r="8970">
          <cell r="O8970" t="str">
            <v>SC2063UA</v>
          </cell>
          <cell r="P8970" t="str">
            <v>STC9G001C</v>
          </cell>
          <cell r="Q8970" t="str">
            <v>磁性位置传感器</v>
          </cell>
        </row>
        <row r="8971">
          <cell r="O8971" t="str">
            <v>ATK-E512</v>
          </cell>
          <cell r="P8971" t="str">
            <v>STC4011B</v>
          </cell>
          <cell r="Q8971" t="str">
            <v>磁性位置传感器</v>
          </cell>
        </row>
        <row r="8972">
          <cell r="O8972" t="str">
            <v>SC9634VB</v>
          </cell>
          <cell r="P8972" t="str">
            <v>STC9905G</v>
          </cell>
          <cell r="Q8972" t="str">
            <v>速度传感器</v>
          </cell>
        </row>
        <row r="8973">
          <cell r="O8973" t="str">
            <v>SC9634VB</v>
          </cell>
          <cell r="P8973" t="str">
            <v>STC9905G</v>
          </cell>
          <cell r="Q8973" t="str">
            <v>速度传感器</v>
          </cell>
        </row>
        <row r="8974">
          <cell r="O8974" t="str">
            <v>SC9634VB</v>
          </cell>
          <cell r="P8974" t="str">
            <v>STC9905G</v>
          </cell>
          <cell r="Q8974" t="str">
            <v>速度传感器</v>
          </cell>
        </row>
        <row r="8975">
          <cell r="O8975" t="str">
            <v>SC9634VB</v>
          </cell>
          <cell r="P8975" t="str">
            <v>STC9905G</v>
          </cell>
          <cell r="Q8975" t="str">
            <v>速度传感器</v>
          </cell>
        </row>
        <row r="8976">
          <cell r="O8976" t="str">
            <v>SC2442SO</v>
          </cell>
          <cell r="P8976" t="str">
            <v>STC9906R</v>
          </cell>
          <cell r="Q8976" t="str">
            <v>磁性位置传感器</v>
          </cell>
        </row>
        <row r="8977">
          <cell r="O8977" t="str">
            <v>SC1134SO-N</v>
          </cell>
          <cell r="P8977" t="str">
            <v>STC1002AF</v>
          </cell>
          <cell r="Q8977" t="str">
            <v>磁性位置传感器</v>
          </cell>
        </row>
        <row r="8978">
          <cell r="O8978" t="str">
            <v>SC2442UA</v>
          </cell>
          <cell r="P8978" t="str">
            <v>STC9906P</v>
          </cell>
          <cell r="Q8978" t="str">
            <v>磁性位置传感器</v>
          </cell>
        </row>
        <row r="8979">
          <cell r="O8979" t="str">
            <v>SC4011SO-N</v>
          </cell>
          <cell r="P8979" t="str">
            <v>STC4011B</v>
          </cell>
          <cell r="Q8979" t="str">
            <v>磁性位置传感器</v>
          </cell>
        </row>
        <row r="8980">
          <cell r="O8980" t="str">
            <v>SC4689SA</v>
          </cell>
          <cell r="P8980" t="str">
            <v>STC9D01F</v>
          </cell>
          <cell r="Q8980" t="str">
            <v>角度传感器</v>
          </cell>
        </row>
        <row r="8981">
          <cell r="O8981" t="str">
            <v>SC9314UA</v>
          </cell>
          <cell r="P8981" t="str">
            <v>STC9901AF</v>
          </cell>
          <cell r="Q8981" t="str">
            <v>速度传感器</v>
          </cell>
        </row>
        <row r="8982">
          <cell r="O8982" t="str">
            <v>SC2442UA</v>
          </cell>
          <cell r="P8982" t="str">
            <v>STC9906P</v>
          </cell>
          <cell r="Q8982" t="str">
            <v>磁性位置传感器</v>
          </cell>
        </row>
        <row r="8983">
          <cell r="O8983" t="str">
            <v>SC9314UA</v>
          </cell>
          <cell r="P8983" t="str">
            <v>STC9901AF</v>
          </cell>
          <cell r="Q8983" t="str">
            <v>速度传感器</v>
          </cell>
        </row>
        <row r="8984">
          <cell r="O8984" t="str">
            <v>SC9648TS-P</v>
          </cell>
          <cell r="P8984" t="str">
            <v>STC9A001I</v>
          </cell>
          <cell r="Q8984" t="str">
            <v>速度传感器</v>
          </cell>
        </row>
        <row r="8985">
          <cell r="O8985" t="str">
            <v>SC1445A1</v>
          </cell>
          <cell r="P8985" t="str">
            <v>STC2899AB</v>
          </cell>
          <cell r="Q8985" t="str">
            <v>磁性位置传感器</v>
          </cell>
        </row>
        <row r="8986">
          <cell r="O8986" t="str">
            <v>SC2402UA-G</v>
          </cell>
          <cell r="P8986" t="str">
            <v>STC9G002B</v>
          </cell>
          <cell r="Q8986" t="str">
            <v>磁性位置传感器</v>
          </cell>
        </row>
        <row r="8987">
          <cell r="O8987" t="str">
            <v>SC2434SO</v>
          </cell>
          <cell r="P8987" t="str">
            <v>STC9906I</v>
          </cell>
          <cell r="Q8987" t="str">
            <v>磁性位置传感器</v>
          </cell>
        </row>
        <row r="8988">
          <cell r="O8988" t="str">
            <v>S41H-A2</v>
          </cell>
          <cell r="P8988" t="str">
            <v>STC2899AI</v>
          </cell>
          <cell r="Q8988" t="str">
            <v>磁性位置传感器</v>
          </cell>
        </row>
        <row r="8989">
          <cell r="O8989" t="str">
            <v>S41H-A2</v>
          </cell>
          <cell r="P8989" t="str">
            <v>STC2899AI</v>
          </cell>
          <cell r="Q8989" t="str">
            <v>磁性位置传感器</v>
          </cell>
        </row>
        <row r="8990">
          <cell r="O8990" t="str">
            <v>S41H-A2</v>
          </cell>
          <cell r="P8990" t="str">
            <v>STC2899AI</v>
          </cell>
          <cell r="Q8990" t="str">
            <v>磁性位置传感器</v>
          </cell>
        </row>
        <row r="8991">
          <cell r="O8991" t="str">
            <v>S41H-A2</v>
          </cell>
          <cell r="P8991" t="str">
            <v>STC2899AI</v>
          </cell>
          <cell r="Q8991" t="str">
            <v>磁性位置传感器</v>
          </cell>
        </row>
        <row r="8992">
          <cell r="O8992" t="str">
            <v>S41H-A2</v>
          </cell>
          <cell r="P8992" t="str">
            <v>STC2899AI</v>
          </cell>
          <cell r="Q8992" t="str">
            <v>磁性位置传感器</v>
          </cell>
        </row>
        <row r="8993">
          <cell r="O8993" t="str">
            <v>S41H-A2</v>
          </cell>
          <cell r="P8993" t="str">
            <v>STC2899AI</v>
          </cell>
          <cell r="Q8993" t="str">
            <v>磁性位置传感器</v>
          </cell>
        </row>
        <row r="8994">
          <cell r="O8994" t="str">
            <v>S41H-A2</v>
          </cell>
          <cell r="P8994" t="str">
            <v>STC2899AI</v>
          </cell>
          <cell r="Q8994" t="str">
            <v>磁性位置传感器</v>
          </cell>
        </row>
        <row r="8995">
          <cell r="O8995" t="str">
            <v>S41H-A2</v>
          </cell>
          <cell r="P8995" t="str">
            <v>STC2899AI</v>
          </cell>
          <cell r="Q8995" t="str">
            <v>磁性位置传感器</v>
          </cell>
        </row>
        <row r="8996">
          <cell r="O8996" t="str">
            <v>SC2498TSO</v>
          </cell>
          <cell r="P8996" t="str">
            <v>STC11300C</v>
          </cell>
          <cell r="Q8996" t="str">
            <v>磁性位置传感器</v>
          </cell>
        </row>
        <row r="8997">
          <cell r="O8997" t="str">
            <v>SC4643SA-A</v>
          </cell>
          <cell r="P8997" t="str">
            <v>STC9D03E</v>
          </cell>
          <cell r="Q8997" t="str">
            <v>电流传感器</v>
          </cell>
        </row>
        <row r="8998">
          <cell r="O8998" t="str">
            <v>SC2432UA</v>
          </cell>
          <cell r="P8998" t="str">
            <v>STC9906I</v>
          </cell>
          <cell r="Q8998" t="str">
            <v>磁性位置传感器</v>
          </cell>
        </row>
        <row r="8999">
          <cell r="O8999" t="str">
            <v>SC919H</v>
          </cell>
          <cell r="P8999" t="str">
            <v>STC9909B</v>
          </cell>
          <cell r="Q8999" t="str">
            <v>磁性位置传感器</v>
          </cell>
        </row>
        <row r="9000">
          <cell r="O9000" t="str">
            <v>SC919H</v>
          </cell>
          <cell r="P9000" t="str">
            <v>STC9913D</v>
          </cell>
          <cell r="Q9000" t="str">
            <v>磁性位置传感器</v>
          </cell>
        </row>
        <row r="9001">
          <cell r="O9001" t="str">
            <v>SC1445A1</v>
          </cell>
          <cell r="P9001" t="str">
            <v>STC2899AB</v>
          </cell>
          <cell r="Q9001" t="str">
            <v>磁性位置传感器</v>
          </cell>
        </row>
        <row r="9002">
          <cell r="O9002" t="str">
            <v>SC1445A1</v>
          </cell>
          <cell r="P9002" t="str">
            <v>STC2899AB</v>
          </cell>
          <cell r="Q9002" t="str">
            <v>磁性位置传感器</v>
          </cell>
        </row>
        <row r="9003">
          <cell r="O9003" t="str">
            <v>SC2442UA</v>
          </cell>
          <cell r="P9003" t="str">
            <v>STC9906P</v>
          </cell>
          <cell r="Q9003" t="str">
            <v>磁性位置传感器</v>
          </cell>
        </row>
        <row r="9004">
          <cell r="O9004" t="str">
            <v>SC2442UA</v>
          </cell>
          <cell r="P9004" t="str">
            <v>STC9906P</v>
          </cell>
          <cell r="Q9004" t="str">
            <v>磁性位置传感器</v>
          </cell>
        </row>
        <row r="9005">
          <cell r="O9005" t="str">
            <v>SC2462UA</v>
          </cell>
          <cell r="P9005" t="str">
            <v>STC9906J</v>
          </cell>
          <cell r="Q9005" t="str">
            <v>磁性位置传感器</v>
          </cell>
        </row>
        <row r="9006">
          <cell r="O9006" t="str">
            <v>SC2402UA</v>
          </cell>
          <cell r="P9006" t="str">
            <v>STC9902J</v>
          </cell>
          <cell r="Q9006" t="str">
            <v>磁性位置传感器</v>
          </cell>
        </row>
        <row r="9007">
          <cell r="O9007" t="str">
            <v>SC9648TS-P</v>
          </cell>
          <cell r="P9007" t="str">
            <v>STC9A001I</v>
          </cell>
          <cell r="Q9007" t="str">
            <v>速度传感器</v>
          </cell>
        </row>
        <row r="9008">
          <cell r="O9008" t="str">
            <v>SC1134SO-N</v>
          </cell>
          <cell r="P9008" t="str">
            <v>STC1898AI</v>
          </cell>
          <cell r="Q9008" t="str">
            <v>磁性位置传感器</v>
          </cell>
        </row>
        <row r="9009">
          <cell r="O9009" t="str">
            <v>SC2442UA</v>
          </cell>
          <cell r="P9009" t="str">
            <v>STC9906P</v>
          </cell>
          <cell r="Q9009" t="str">
            <v>磁性位置传感器</v>
          </cell>
        </row>
        <row r="9010">
          <cell r="O9010" t="str">
            <v>SC2434SO-N</v>
          </cell>
          <cell r="P9010" t="str">
            <v>STC9906I</v>
          </cell>
          <cell r="Q9010" t="str">
            <v>磁性位置传感器</v>
          </cell>
        </row>
        <row r="9011">
          <cell r="O9011" t="str">
            <v>SC2434SO-N</v>
          </cell>
          <cell r="P9011" t="str">
            <v>STC9906I</v>
          </cell>
          <cell r="Q9011" t="str">
            <v>磁性位置传感器</v>
          </cell>
        </row>
        <row r="9012">
          <cell r="O9012" t="str">
            <v>SC2434SO-N</v>
          </cell>
          <cell r="P9012" t="str">
            <v>STC9906I</v>
          </cell>
          <cell r="Q9012" t="str">
            <v>磁性位置传感器</v>
          </cell>
        </row>
        <row r="9013">
          <cell r="O9013" t="str">
            <v>SC9632VB</v>
          </cell>
          <cell r="P9013" t="str">
            <v>STC9905E</v>
          </cell>
          <cell r="Q9013" t="str">
            <v>速度传感器</v>
          </cell>
        </row>
        <row r="9014">
          <cell r="O9014" t="str">
            <v>SC2402SO-N-G</v>
          </cell>
          <cell r="P9014" t="str">
            <v>STC9G002B</v>
          </cell>
          <cell r="Q9014" t="str">
            <v>磁性位置传感器</v>
          </cell>
        </row>
        <row r="9015">
          <cell r="O9015" t="str">
            <v>SC2402SO-N-G</v>
          </cell>
          <cell r="P9015" t="str">
            <v>STC9G002A</v>
          </cell>
          <cell r="Q9015" t="str">
            <v>磁性位置传感器</v>
          </cell>
        </row>
        <row r="9016">
          <cell r="O9016" t="str">
            <v>SC2402SO-N-G</v>
          </cell>
          <cell r="P9016" t="str">
            <v>STC9G002A</v>
          </cell>
          <cell r="Q9016" t="str">
            <v>磁性位置传感器</v>
          </cell>
        </row>
        <row r="9017">
          <cell r="O9017" t="str">
            <v>SC4011DN</v>
          </cell>
          <cell r="P9017" t="str">
            <v>STC4011B</v>
          </cell>
          <cell r="Q9017" t="str">
            <v>磁性位置传感器</v>
          </cell>
        </row>
        <row r="9018">
          <cell r="O9018" t="str">
            <v>SC4011SO-N</v>
          </cell>
          <cell r="P9018" t="str">
            <v>STC4011B</v>
          </cell>
          <cell r="Q9018" t="str">
            <v>磁性位置传感器</v>
          </cell>
        </row>
        <row r="9019">
          <cell r="O9019" t="str">
            <v>SC4011SO-N</v>
          </cell>
          <cell r="P9019" t="str">
            <v>STC4011B</v>
          </cell>
          <cell r="Q9019" t="str">
            <v>磁性位置传感器</v>
          </cell>
        </row>
        <row r="9020">
          <cell r="O9020" t="str">
            <v>SC4011SO-N</v>
          </cell>
          <cell r="P9020" t="str">
            <v>STC4011B</v>
          </cell>
          <cell r="Q9020" t="str">
            <v>磁性位置传感器</v>
          </cell>
        </row>
        <row r="9021">
          <cell r="O9021" t="str">
            <v>2100</v>
          </cell>
          <cell r="P9021" t="str">
            <v>STC9D03E</v>
          </cell>
          <cell r="Q9021" t="str">
            <v>电流传感器</v>
          </cell>
        </row>
        <row r="9022">
          <cell r="O9022" t="str">
            <v>2100</v>
          </cell>
          <cell r="P9022" t="str">
            <v>STC9D03E</v>
          </cell>
          <cell r="Q9022" t="str">
            <v>电流传感器</v>
          </cell>
        </row>
        <row r="9023">
          <cell r="O9023" t="str">
            <v>2100</v>
          </cell>
          <cell r="P9023" t="str">
            <v>STC9D03E</v>
          </cell>
          <cell r="Q9023" t="str">
            <v>电流传感器</v>
          </cell>
        </row>
        <row r="9024">
          <cell r="O9024" t="str">
            <v>SC60228DC</v>
          </cell>
          <cell r="P9024" t="str">
            <v>STC9D04C</v>
          </cell>
          <cell r="Q9024" t="str">
            <v>电机编码器</v>
          </cell>
        </row>
        <row r="9025">
          <cell r="O9025" t="str">
            <v>SC2462SO</v>
          </cell>
          <cell r="P9025" t="str">
            <v>STC9906J</v>
          </cell>
          <cell r="Q9025" t="str">
            <v>磁性位置传感器</v>
          </cell>
        </row>
        <row r="9026">
          <cell r="O9026" t="str">
            <v>SC2442SO</v>
          </cell>
          <cell r="P9026" t="str">
            <v>STC9906R</v>
          </cell>
          <cell r="Q9026" t="str">
            <v>磁性位置传感器</v>
          </cell>
        </row>
        <row r="9027">
          <cell r="O9027" t="str">
            <v>SC2442UA</v>
          </cell>
          <cell r="P9027" t="str">
            <v>STC9906P</v>
          </cell>
          <cell r="Q9027" t="str">
            <v>磁性位置传感器</v>
          </cell>
        </row>
        <row r="9028">
          <cell r="O9028" t="str">
            <v>SC2442SO-N</v>
          </cell>
          <cell r="P9028" t="str">
            <v>STC9906P</v>
          </cell>
          <cell r="Q9028" t="str">
            <v>磁性位置传感器</v>
          </cell>
        </row>
        <row r="9029">
          <cell r="O9029" t="str">
            <v>SC2442SO-N</v>
          </cell>
          <cell r="P9029" t="str">
            <v>STC9906P</v>
          </cell>
          <cell r="Q9029" t="str">
            <v>磁性位置传感器</v>
          </cell>
        </row>
        <row r="9030">
          <cell r="O9030" t="str">
            <v>SC2242SO</v>
          </cell>
          <cell r="P9030" t="str">
            <v>STC9906H</v>
          </cell>
          <cell r="Q9030" t="str">
            <v>磁性位置传感器</v>
          </cell>
        </row>
        <row r="9031">
          <cell r="O9031" t="str">
            <v>SC2242UA</v>
          </cell>
          <cell r="P9031" t="str">
            <v>STC9906H</v>
          </cell>
          <cell r="Q9031" t="str">
            <v>磁性位置传感器</v>
          </cell>
        </row>
        <row r="9032">
          <cell r="O9032" t="str">
            <v>SC4643编程板</v>
          </cell>
          <cell r="P9032" t="str">
            <v xml:space="preserve"> </v>
          </cell>
          <cell r="Q9032" t="str">
            <v>电流传感器</v>
          </cell>
        </row>
        <row r="9033">
          <cell r="O9033" t="str">
            <v>SC2402SO-N</v>
          </cell>
          <cell r="P9033" t="str">
            <v>STC9902J</v>
          </cell>
          <cell r="Q9033" t="str">
            <v>磁性位置传感器</v>
          </cell>
        </row>
        <row r="9034">
          <cell r="O9034" t="str">
            <v>SC2402SO-N-G</v>
          </cell>
          <cell r="P9034" t="str">
            <v>STC9G002A</v>
          </cell>
          <cell r="Q9034" t="str">
            <v>磁性位置传感器</v>
          </cell>
        </row>
        <row r="9035">
          <cell r="O9035" t="str">
            <v>SC2402SO-N-G</v>
          </cell>
          <cell r="P9035" t="str">
            <v>STC9G002A</v>
          </cell>
          <cell r="Q9035" t="str">
            <v>磁性位置传感器</v>
          </cell>
        </row>
        <row r="9036">
          <cell r="O9036" t="str">
            <v>SC9314UA</v>
          </cell>
          <cell r="P9036" t="str">
            <v>STC9901AF</v>
          </cell>
          <cell r="Q9036" t="str">
            <v>速度传感器</v>
          </cell>
        </row>
        <row r="9037">
          <cell r="O9037" t="str">
            <v>SC9641TS-PC</v>
          </cell>
          <cell r="P9037" t="str">
            <v>STC9A001I</v>
          </cell>
          <cell r="Q9037" t="str">
            <v>速度传感器</v>
          </cell>
        </row>
        <row r="9038">
          <cell r="O9038" t="str">
            <v>3100</v>
          </cell>
          <cell r="P9038" t="str">
            <v>STC9D06G</v>
          </cell>
          <cell r="Q9038" t="str">
            <v>电流传感器</v>
          </cell>
        </row>
        <row r="9039">
          <cell r="O9039" t="str">
            <v>3100</v>
          </cell>
          <cell r="P9039" t="str">
            <v>STC9D06G</v>
          </cell>
          <cell r="Q9039" t="str">
            <v>电流传感器</v>
          </cell>
        </row>
        <row r="9040">
          <cell r="O9040" t="str">
            <v>SC9641TS-PC</v>
          </cell>
          <cell r="P9040" t="str">
            <v>STC9A001I</v>
          </cell>
          <cell r="Q9040" t="str">
            <v>速度传感器</v>
          </cell>
        </row>
        <row r="9041">
          <cell r="O9041" t="str">
            <v>SC9641TS-PC</v>
          </cell>
          <cell r="P9041" t="str">
            <v>STC9A001I</v>
          </cell>
          <cell r="Q9041" t="str">
            <v>速度传感器</v>
          </cell>
        </row>
        <row r="9042">
          <cell r="O9042" t="str">
            <v>SC9641TS-PC</v>
          </cell>
          <cell r="P9042" t="str">
            <v>STC9A001I</v>
          </cell>
          <cell r="Q9042" t="str">
            <v>速度传感器</v>
          </cell>
        </row>
        <row r="9043">
          <cell r="O9043" t="str">
            <v>SC9641TS-PC</v>
          </cell>
          <cell r="P9043" t="str">
            <v>STC9A001I</v>
          </cell>
          <cell r="Q9043" t="str">
            <v>速度传感器</v>
          </cell>
        </row>
        <row r="9044">
          <cell r="O9044" t="str">
            <v>SC2498CUA-N</v>
          </cell>
          <cell r="P9044" t="str">
            <v>SC9915C</v>
          </cell>
          <cell r="Q9044" t="str">
            <v>磁性位置传感器</v>
          </cell>
        </row>
        <row r="9045">
          <cell r="O9045" t="str">
            <v>SC2442SO</v>
          </cell>
          <cell r="P9045" t="str">
            <v>STC9906R</v>
          </cell>
          <cell r="Q9045" t="str">
            <v>磁性位置传感器</v>
          </cell>
        </row>
        <row r="9046">
          <cell r="O9046" t="str">
            <v>PSTC9902J</v>
          </cell>
          <cell r="P9046" t="str">
            <v>STC9902J</v>
          </cell>
          <cell r="Q9046" t="str">
            <v>磁性位置传感器</v>
          </cell>
        </row>
        <row r="9047">
          <cell r="O9047" t="str">
            <v>SC9648TS-P</v>
          </cell>
          <cell r="P9047" t="str">
            <v>STC9A001I</v>
          </cell>
          <cell r="Q9047" t="str">
            <v>速度传感器</v>
          </cell>
        </row>
        <row r="9048">
          <cell r="O9048" t="str">
            <v>SC9675IM-P-LRF01</v>
          </cell>
          <cell r="P9048" t="str">
            <v>STC9A002B</v>
          </cell>
          <cell r="Q9048" t="str">
            <v>速度传感器</v>
          </cell>
        </row>
        <row r="9049">
          <cell r="O9049" t="str">
            <v>SC9675IM-P-LRF01</v>
          </cell>
          <cell r="P9049" t="str">
            <v>STC9A002B</v>
          </cell>
          <cell r="Q9049" t="str">
            <v>速度传感器</v>
          </cell>
        </row>
        <row r="9050">
          <cell r="O9050" t="str">
            <v>SC4688SA-A</v>
          </cell>
          <cell r="P9050" t="str">
            <v>STC9D01C</v>
          </cell>
          <cell r="Q9050" t="str">
            <v>角度传感器</v>
          </cell>
        </row>
        <row r="9051">
          <cell r="O9051" t="str">
            <v>SC4643SA-A</v>
          </cell>
          <cell r="P9051" t="str">
            <v>STC9D03E</v>
          </cell>
          <cell r="Q9051" t="str">
            <v>电流传感器</v>
          </cell>
        </row>
        <row r="9052">
          <cell r="O9052" t="str">
            <v>SC1002B2</v>
          </cell>
          <cell r="P9052" t="str">
            <v>STC1002AG</v>
          </cell>
          <cell r="Q9052" t="str">
            <v>磁性位置传感器</v>
          </cell>
        </row>
        <row r="9053">
          <cell r="O9053" t="str">
            <v>SC1002B2</v>
          </cell>
          <cell r="P9053" t="str">
            <v>STC1002AG</v>
          </cell>
          <cell r="Q9053" t="str">
            <v>磁性位置传感器</v>
          </cell>
        </row>
        <row r="9054">
          <cell r="O9054" t="str">
            <v>SC9633VB</v>
          </cell>
          <cell r="P9054" t="str">
            <v>STC9905F</v>
          </cell>
          <cell r="Q9054" t="str">
            <v>速度传感器</v>
          </cell>
        </row>
        <row r="9055">
          <cell r="O9055" t="str">
            <v>SC9633VB</v>
          </cell>
          <cell r="P9055" t="str">
            <v>STC9905F</v>
          </cell>
          <cell r="Q9055" t="str">
            <v>速度传感器</v>
          </cell>
        </row>
        <row r="9056">
          <cell r="O9056" t="str">
            <v>SC2413SO-N</v>
          </cell>
          <cell r="P9056" t="str">
            <v>STC9902D</v>
          </cell>
          <cell r="Q9056" t="str">
            <v>磁性位置传感器</v>
          </cell>
        </row>
        <row r="9057">
          <cell r="O9057" t="str">
            <v>SC2448SO</v>
          </cell>
          <cell r="P9057" t="str">
            <v>STC9906S</v>
          </cell>
          <cell r="Q9057" t="str">
            <v>磁性位置传感器</v>
          </cell>
        </row>
        <row r="9058">
          <cell r="O9058" t="str">
            <v>SC2448SO</v>
          </cell>
          <cell r="P9058" t="str">
            <v>STC9906S</v>
          </cell>
          <cell r="Q9058" t="str">
            <v>磁性位置传感器</v>
          </cell>
        </row>
        <row r="9059">
          <cell r="O9059" t="str">
            <v>SC2448SO</v>
          </cell>
          <cell r="P9059" t="str">
            <v>STC9906S</v>
          </cell>
          <cell r="Q9059" t="str">
            <v>磁性位置传感器</v>
          </cell>
        </row>
        <row r="9060">
          <cell r="O9060" t="str">
            <v>SC2448SO</v>
          </cell>
          <cell r="P9060" t="str">
            <v>STC9906S</v>
          </cell>
          <cell r="Q9060" t="str">
            <v>磁性位置传感器</v>
          </cell>
        </row>
        <row r="9061">
          <cell r="O9061" t="str">
            <v>SC2448SO</v>
          </cell>
          <cell r="P9061" t="str">
            <v>STC9906S</v>
          </cell>
          <cell r="Q9061" t="str">
            <v>磁性位置传感器</v>
          </cell>
        </row>
        <row r="9062">
          <cell r="O9062" t="str">
            <v>SC2448SO</v>
          </cell>
          <cell r="P9062" t="str">
            <v>STC9906S</v>
          </cell>
          <cell r="Q9062" t="str">
            <v>磁性位置传感器</v>
          </cell>
        </row>
        <row r="9063">
          <cell r="O9063" t="str">
            <v>SC2448SO</v>
          </cell>
          <cell r="P9063" t="str">
            <v>STC9906S</v>
          </cell>
          <cell r="Q9063" t="str">
            <v>磁性位置传感器</v>
          </cell>
        </row>
        <row r="9064">
          <cell r="O9064" t="str">
            <v>SC1245A1</v>
          </cell>
          <cell r="P9064" t="str">
            <v>STC1898AD</v>
          </cell>
          <cell r="Q9064" t="str">
            <v>磁性位置传感器</v>
          </cell>
        </row>
        <row r="9065">
          <cell r="O9065" t="str">
            <v>SC1245A1</v>
          </cell>
          <cell r="P9065" t="str">
            <v>STC1898AD</v>
          </cell>
          <cell r="Q9065" t="str">
            <v>磁性位置传感器</v>
          </cell>
        </row>
        <row r="9066">
          <cell r="O9066" t="str">
            <v>SC1245A1</v>
          </cell>
          <cell r="P9066" t="str">
            <v>STC1898AD</v>
          </cell>
          <cell r="Q9066" t="str">
            <v>磁性位置传感器</v>
          </cell>
        </row>
        <row r="9067">
          <cell r="O9067" t="str">
            <v>SC1245A1</v>
          </cell>
          <cell r="P9067" t="str">
            <v>STC1898AD</v>
          </cell>
          <cell r="Q9067" t="str">
            <v>磁性位置传感器</v>
          </cell>
        </row>
        <row r="9068">
          <cell r="O9068" t="str">
            <v>SC1645B1</v>
          </cell>
          <cell r="P9068" t="str">
            <v>STC2899AE</v>
          </cell>
          <cell r="Q9068" t="str">
            <v>磁性位置传感器</v>
          </cell>
        </row>
        <row r="9069">
          <cell r="O9069" t="str">
            <v>SC1645B1</v>
          </cell>
          <cell r="P9069" t="str">
            <v>STC2899AE</v>
          </cell>
          <cell r="Q9069" t="str">
            <v>磁性位置传感器</v>
          </cell>
        </row>
        <row r="9070">
          <cell r="O9070" t="str">
            <v>SC1645B1</v>
          </cell>
          <cell r="P9070" t="str">
            <v>STC2899AE</v>
          </cell>
          <cell r="Q9070" t="str">
            <v>磁性位置传感器</v>
          </cell>
        </row>
        <row r="9071">
          <cell r="O9071" t="str">
            <v>SC1645A1</v>
          </cell>
          <cell r="P9071" t="str">
            <v>STC2899AE</v>
          </cell>
          <cell r="Q9071" t="str">
            <v>磁性位置传感器</v>
          </cell>
        </row>
        <row r="9072">
          <cell r="O9072" t="str">
            <v>SC1645A1</v>
          </cell>
          <cell r="P9072" t="str">
            <v>STC2899AE</v>
          </cell>
          <cell r="Q9072" t="str">
            <v>磁性位置传感器</v>
          </cell>
        </row>
        <row r="9073">
          <cell r="O9073" t="str">
            <v>SC1645A1</v>
          </cell>
          <cell r="P9073" t="str">
            <v>STC2899AE</v>
          </cell>
          <cell r="Q9073" t="str">
            <v>磁性位置传感器</v>
          </cell>
        </row>
        <row r="9074">
          <cell r="O9074" t="str">
            <v>SC2462SO</v>
          </cell>
          <cell r="P9074" t="str">
            <v>STC9906J</v>
          </cell>
          <cell r="Q9074" t="str">
            <v>磁性位置传感器</v>
          </cell>
        </row>
        <row r="9075">
          <cell r="O9075" t="str">
            <v>SC2462SO</v>
          </cell>
          <cell r="P9075" t="str">
            <v>STC9906J</v>
          </cell>
          <cell r="Q9075" t="str">
            <v>磁性位置传感器</v>
          </cell>
        </row>
        <row r="9076">
          <cell r="O9076" t="str">
            <v>SC2462SO</v>
          </cell>
          <cell r="P9076" t="str">
            <v>STC9906J</v>
          </cell>
          <cell r="Q9076" t="str">
            <v>磁性位置传感器</v>
          </cell>
        </row>
        <row r="9077">
          <cell r="O9077" t="str">
            <v>SC2442SO-N</v>
          </cell>
          <cell r="P9077" t="str">
            <v>STC9906P</v>
          </cell>
          <cell r="Q9077" t="str">
            <v>磁性位置传感器</v>
          </cell>
        </row>
        <row r="9078">
          <cell r="O9078" t="str">
            <v>SC2442SO-N</v>
          </cell>
          <cell r="P9078" t="str">
            <v>STC9906P</v>
          </cell>
          <cell r="Q9078" t="str">
            <v>磁性位置传感器</v>
          </cell>
        </row>
        <row r="9079">
          <cell r="O9079" t="str">
            <v>SC2442SO-N</v>
          </cell>
          <cell r="P9079" t="str">
            <v>STC9906P</v>
          </cell>
          <cell r="Q9079" t="str">
            <v>磁性位置传感器</v>
          </cell>
        </row>
        <row r="9080">
          <cell r="O9080" t="str">
            <v>SC2442SO-N</v>
          </cell>
          <cell r="P9080" t="str">
            <v>STC9906P</v>
          </cell>
          <cell r="Q9080" t="str">
            <v>磁性位置传感器</v>
          </cell>
        </row>
        <row r="9081">
          <cell r="O9081" t="str">
            <v>SC2442SO-N</v>
          </cell>
          <cell r="P9081" t="str">
            <v>STC9906P</v>
          </cell>
          <cell r="Q9081" t="str">
            <v>磁性位置传感器</v>
          </cell>
        </row>
        <row r="9082">
          <cell r="O9082" t="str">
            <v>SC1134UA</v>
          </cell>
          <cell r="P9082" t="str">
            <v>STC1898AI</v>
          </cell>
          <cell r="Q9082" t="str">
            <v>磁性位置传感器</v>
          </cell>
        </row>
        <row r="9083">
          <cell r="O9083" t="str">
            <v>SC2462SO</v>
          </cell>
          <cell r="P9083" t="str">
            <v>STC9906J</v>
          </cell>
          <cell r="Q9083" t="str">
            <v>磁性位置传感器</v>
          </cell>
        </row>
        <row r="9084">
          <cell r="O9084" t="str">
            <v>SC2462SO</v>
          </cell>
          <cell r="P9084" t="str">
            <v>STC9906J</v>
          </cell>
          <cell r="Q9084" t="str">
            <v>磁性位置传感器</v>
          </cell>
        </row>
        <row r="9085">
          <cell r="O9085" t="str">
            <v>SC2462SO</v>
          </cell>
          <cell r="P9085" t="str">
            <v>STC9906J</v>
          </cell>
          <cell r="Q9085" t="str">
            <v>磁性位置传感器</v>
          </cell>
        </row>
        <row r="9086">
          <cell r="O9086" t="str">
            <v>SC4011SO-N</v>
          </cell>
          <cell r="P9086" t="str">
            <v>STC4011B</v>
          </cell>
          <cell r="Q9086" t="str">
            <v>磁性位置传感器</v>
          </cell>
        </row>
        <row r="9087">
          <cell r="O9087" t="str">
            <v>SC4011SO-N</v>
          </cell>
          <cell r="P9087" t="str">
            <v>STC4011B</v>
          </cell>
          <cell r="Q9087" t="str">
            <v>磁性位置传感器</v>
          </cell>
        </row>
        <row r="9088">
          <cell r="O9088" t="str">
            <v>SC2462SO</v>
          </cell>
          <cell r="P9088" t="str">
            <v>STC9906J</v>
          </cell>
          <cell r="Q9088" t="str">
            <v>磁性位置传感器</v>
          </cell>
        </row>
        <row r="9089">
          <cell r="O9089" t="str">
            <v>SC9641TS-P</v>
          </cell>
          <cell r="P9089" t="str">
            <v>STC9A001I</v>
          </cell>
          <cell r="Q9089" t="str">
            <v>速度传感器</v>
          </cell>
        </row>
        <row r="9090">
          <cell r="O9090" t="str">
            <v>SC9641TS-P</v>
          </cell>
          <cell r="P9090" t="str">
            <v>STC9A001I</v>
          </cell>
          <cell r="Q9090" t="str">
            <v>速度传感器</v>
          </cell>
        </row>
        <row r="9091">
          <cell r="O9091" t="str">
            <v>SC69401D</v>
          </cell>
          <cell r="P9091" t="str">
            <v>STC9H002D</v>
          </cell>
          <cell r="Q9091" t="str">
            <v>角度传感器</v>
          </cell>
        </row>
        <row r="9092">
          <cell r="O9092" t="str">
            <v>SC69401</v>
          </cell>
          <cell r="P9092" t="str">
            <v>STC9H002D</v>
          </cell>
          <cell r="Q9092" t="str">
            <v>角度传感器</v>
          </cell>
        </row>
        <row r="9093">
          <cell r="O9093" t="str">
            <v>SC69401</v>
          </cell>
          <cell r="P9093" t="str">
            <v>STC9H002D</v>
          </cell>
          <cell r="Q9093" t="str">
            <v>角度传感器</v>
          </cell>
        </row>
        <row r="9094">
          <cell r="O9094" t="str">
            <v>SC9314UA</v>
          </cell>
          <cell r="P9094" t="str">
            <v>STC9901AF</v>
          </cell>
          <cell r="Q9094" t="str">
            <v>速度传感器</v>
          </cell>
        </row>
        <row r="9095">
          <cell r="O9095" t="str">
            <v>SC9314UA</v>
          </cell>
          <cell r="P9095" t="str">
            <v>STC9901AF</v>
          </cell>
          <cell r="Q9095" t="str">
            <v>速度传感器</v>
          </cell>
        </row>
        <row r="9096">
          <cell r="O9096" t="str">
            <v>SC9675IM-P-HRF11</v>
          </cell>
          <cell r="P9096" t="str">
            <v>STC9A002B</v>
          </cell>
          <cell r="Q9096" t="str">
            <v>速度传感器</v>
          </cell>
        </row>
        <row r="9097">
          <cell r="O9097" t="str">
            <v>SC9675IM-P-HRF11</v>
          </cell>
          <cell r="P9097" t="str">
            <v>STC9A002B</v>
          </cell>
          <cell r="Q9097" t="str">
            <v>速度传感器</v>
          </cell>
        </row>
        <row r="9098">
          <cell r="O9098" t="str">
            <v>SC9641TS-PC</v>
          </cell>
          <cell r="P9098" t="str">
            <v>STC9A001I</v>
          </cell>
          <cell r="Q9098" t="str">
            <v>速度传感器</v>
          </cell>
        </row>
        <row r="9099">
          <cell r="O9099" t="str">
            <v>SC2462SO</v>
          </cell>
          <cell r="P9099" t="str">
            <v>STC9906J</v>
          </cell>
          <cell r="Q9099" t="str">
            <v>磁性位置传感器</v>
          </cell>
        </row>
        <row r="9100">
          <cell r="O9100" t="str">
            <v>SC4645编程板</v>
          </cell>
          <cell r="P9100" t="str">
            <v xml:space="preserve"> </v>
          </cell>
          <cell r="Q9100" t="str">
            <v>电流传感器</v>
          </cell>
        </row>
        <row r="9101">
          <cell r="O9101" t="str">
            <v>SC9641TS-P</v>
          </cell>
          <cell r="P9101" t="str">
            <v>STC9A001I</v>
          </cell>
          <cell r="Q9101" t="str">
            <v>速度传感器</v>
          </cell>
        </row>
        <row r="9102">
          <cell r="O9102" t="str">
            <v>SC9641TS-P</v>
          </cell>
          <cell r="P9102" t="str">
            <v>STC9A001I</v>
          </cell>
          <cell r="Q9102" t="str">
            <v>速度传感器</v>
          </cell>
        </row>
        <row r="9103">
          <cell r="O9103" t="str">
            <v>SC9641TS-P</v>
          </cell>
          <cell r="P9103" t="str">
            <v>STC9A001I</v>
          </cell>
          <cell r="Q9103" t="str">
            <v>速度传感器</v>
          </cell>
        </row>
        <row r="9104">
          <cell r="O9104" t="str">
            <v>SC2462SO</v>
          </cell>
          <cell r="P9104" t="str">
            <v>STC9906J</v>
          </cell>
          <cell r="Q9104" t="str">
            <v>磁性位置传感器</v>
          </cell>
        </row>
        <row r="9105">
          <cell r="O9105" t="str">
            <v>SC4011SO-N</v>
          </cell>
          <cell r="P9105" t="str">
            <v>STC4011B</v>
          </cell>
          <cell r="Q9105" t="str">
            <v>磁性位置传感器</v>
          </cell>
        </row>
        <row r="9106">
          <cell r="O9106" t="str">
            <v>SC4011SO-N</v>
          </cell>
          <cell r="P9106" t="str">
            <v>STC4011B</v>
          </cell>
          <cell r="Q9106" t="str">
            <v>磁性位置传感器</v>
          </cell>
        </row>
        <row r="9107">
          <cell r="O9107" t="str">
            <v>SC919H</v>
          </cell>
          <cell r="P9107" t="str">
            <v>STC9913D</v>
          </cell>
          <cell r="Q9107" t="str">
            <v>磁性位置传感器</v>
          </cell>
        </row>
        <row r="9108">
          <cell r="O9108" t="str">
            <v>SC919H</v>
          </cell>
          <cell r="P9108" t="str">
            <v>STC9913D</v>
          </cell>
          <cell r="Q9108" t="str">
            <v>磁性位置传感器</v>
          </cell>
        </row>
        <row r="9109">
          <cell r="O9109" t="str">
            <v>SC2402UA</v>
          </cell>
          <cell r="P9109" t="str">
            <v>STC9902J</v>
          </cell>
          <cell r="Q9109" t="str">
            <v>磁性位置传感器</v>
          </cell>
        </row>
        <row r="9110">
          <cell r="O9110" t="str">
            <v>SC2402UA</v>
          </cell>
          <cell r="P9110" t="str">
            <v>STC9902J</v>
          </cell>
          <cell r="Q9110" t="str">
            <v>磁性位置传感器</v>
          </cell>
        </row>
        <row r="9111">
          <cell r="O9111" t="str">
            <v>SC2402UA</v>
          </cell>
          <cell r="P9111" t="str">
            <v>STC9902J</v>
          </cell>
          <cell r="Q9111" t="str">
            <v>磁性位置传感器</v>
          </cell>
        </row>
        <row r="9112">
          <cell r="O9112" t="str">
            <v>SC9641TS-P</v>
          </cell>
          <cell r="P9112" t="str">
            <v>STC9A001I</v>
          </cell>
          <cell r="Q9112" t="str">
            <v>速度传感器</v>
          </cell>
        </row>
        <row r="9113">
          <cell r="O9113" t="str">
            <v>SC9641TS-P</v>
          </cell>
          <cell r="P9113" t="str">
            <v>STC9A001I</v>
          </cell>
          <cell r="Q9113" t="str">
            <v>速度传感器</v>
          </cell>
        </row>
        <row r="9114">
          <cell r="O9114" t="str">
            <v>SC1134SO-N</v>
          </cell>
          <cell r="P9114" t="str">
            <v>STC1898AI</v>
          </cell>
          <cell r="Q9114" t="str">
            <v>磁性位置传感器</v>
          </cell>
        </row>
        <row r="9115">
          <cell r="O9115" t="str">
            <v>SC1134SO-N</v>
          </cell>
          <cell r="P9115" t="str">
            <v>STC1898AI</v>
          </cell>
          <cell r="Q9115" t="str">
            <v>磁性位置传感器</v>
          </cell>
        </row>
        <row r="9116">
          <cell r="O9116" t="str">
            <v>SC1134SO-N</v>
          </cell>
          <cell r="P9116" t="str">
            <v>STC1898AI</v>
          </cell>
          <cell r="Q9116" t="str">
            <v>磁性位置传感器</v>
          </cell>
        </row>
        <row r="9117">
          <cell r="O9117" t="str">
            <v>SC1134SO-N</v>
          </cell>
          <cell r="P9117" t="str">
            <v>STC1898AI</v>
          </cell>
          <cell r="Q9117" t="str">
            <v>磁性位置传感器</v>
          </cell>
        </row>
        <row r="9118">
          <cell r="O9118" t="str">
            <v>SC1138SO-N</v>
          </cell>
          <cell r="P9118" t="str">
            <v>STC1898AC</v>
          </cell>
          <cell r="Q9118" t="str">
            <v>磁性位置传感器</v>
          </cell>
        </row>
        <row r="9119">
          <cell r="O9119" t="str">
            <v>SC4011SO-N</v>
          </cell>
          <cell r="P9119" t="str">
            <v>STC4011B</v>
          </cell>
          <cell r="Q9119" t="str">
            <v>磁性位置传感器</v>
          </cell>
        </row>
        <row r="9120">
          <cell r="O9120" t="str">
            <v>SC9641TS-P</v>
          </cell>
          <cell r="P9120" t="str">
            <v>STC9A001I</v>
          </cell>
          <cell r="Q9120" t="str">
            <v>速度传感器</v>
          </cell>
        </row>
        <row r="9121">
          <cell r="O9121" t="str">
            <v>SC9648TS-P</v>
          </cell>
          <cell r="P9121" t="str">
            <v>STC9A001I</v>
          </cell>
          <cell r="Q9121" t="str">
            <v>速度传感器</v>
          </cell>
        </row>
        <row r="9122">
          <cell r="O9122" t="str">
            <v>SC9648TS-P</v>
          </cell>
          <cell r="P9122" t="str">
            <v>STC9A001I</v>
          </cell>
          <cell r="Q9122" t="str">
            <v>速度传感器</v>
          </cell>
        </row>
        <row r="9123">
          <cell r="O9123" t="str">
            <v>SC9641TS-P</v>
          </cell>
          <cell r="P9123" t="str">
            <v>STC9A001I</v>
          </cell>
          <cell r="Q9123" t="str">
            <v>速度传感器</v>
          </cell>
        </row>
        <row r="9124">
          <cell r="O9124" t="str">
            <v>SC9648TS-P</v>
          </cell>
          <cell r="P9124" t="str">
            <v>STC9A001I</v>
          </cell>
          <cell r="Q9124" t="str">
            <v>速度传感器</v>
          </cell>
        </row>
        <row r="9125">
          <cell r="O9125" t="str">
            <v>SC9648TS-P</v>
          </cell>
          <cell r="P9125" t="str">
            <v>STC9A001I</v>
          </cell>
          <cell r="Q9125" t="str">
            <v>速度传感器</v>
          </cell>
        </row>
        <row r="9126">
          <cell r="O9126" t="str">
            <v>SC9648TS-P</v>
          </cell>
          <cell r="P9126" t="str">
            <v>STC9A001I</v>
          </cell>
          <cell r="Q9126" t="str">
            <v>速度传感器</v>
          </cell>
        </row>
        <row r="9127">
          <cell r="O9127" t="str">
            <v>SC2498CUA-A</v>
          </cell>
          <cell r="P9127" t="str">
            <v>SC9915C</v>
          </cell>
          <cell r="Q9127" t="str">
            <v>磁性位置传感器</v>
          </cell>
        </row>
        <row r="9128">
          <cell r="O9128" t="str">
            <v>SC2498CUA-N</v>
          </cell>
          <cell r="P9128" t="str">
            <v>SC9915C</v>
          </cell>
          <cell r="Q9128" t="str">
            <v>磁性位置传感器</v>
          </cell>
        </row>
        <row r="9129">
          <cell r="O9129" t="str">
            <v>SC9648TS-P</v>
          </cell>
          <cell r="P9129" t="str">
            <v>STC9A001I</v>
          </cell>
          <cell r="Q9129" t="str">
            <v>速度传感器</v>
          </cell>
        </row>
        <row r="9130">
          <cell r="O9130" t="str">
            <v>SC60228DC</v>
          </cell>
          <cell r="P9130" t="str">
            <v>STC9D04C</v>
          </cell>
          <cell r="Q9130" t="str">
            <v>电机编码器</v>
          </cell>
        </row>
        <row r="9131">
          <cell r="O9131" t="str">
            <v>SC919H</v>
          </cell>
          <cell r="P9131" t="str">
            <v>STC9913D</v>
          </cell>
          <cell r="Q9131" t="str">
            <v>磁性位置传感器</v>
          </cell>
        </row>
        <row r="9132">
          <cell r="O9132" t="str">
            <v>SC9621VB-A</v>
          </cell>
          <cell r="P9132" t="str">
            <v>STC9910NC-Q</v>
          </cell>
          <cell r="Q9132" t="str">
            <v>速度传感器</v>
          </cell>
        </row>
        <row r="9133">
          <cell r="O9133" t="str">
            <v>SC2413SO-N</v>
          </cell>
          <cell r="P9133" t="str">
            <v>STC9902D</v>
          </cell>
          <cell r="Q9133" t="str">
            <v>磁性位置传感器</v>
          </cell>
        </row>
        <row r="9134">
          <cell r="O9134" t="str">
            <v>SC2413SO-N</v>
          </cell>
          <cell r="P9134" t="str">
            <v>STC9902D</v>
          </cell>
          <cell r="Q9134" t="str">
            <v>磁性位置传感器</v>
          </cell>
        </row>
        <row r="9135">
          <cell r="O9135" t="str">
            <v>SC2438UA</v>
          </cell>
          <cell r="P9135" t="str">
            <v>STC9906I</v>
          </cell>
          <cell r="Q9135" t="str">
            <v>磁性位置传感器</v>
          </cell>
        </row>
        <row r="9136">
          <cell r="O9136" t="str">
            <v>SYLM358APA1R</v>
          </cell>
          <cell r="P9136" t="str">
            <v>STC9G005C</v>
          </cell>
          <cell r="Q9136" t="str">
            <v>其他数模混合</v>
          </cell>
        </row>
        <row r="9137">
          <cell r="O9137" t="str">
            <v>SC2438SO</v>
          </cell>
          <cell r="P9137" t="str">
            <v>STC9906I</v>
          </cell>
          <cell r="Q9137" t="str">
            <v>磁性位置传感器</v>
          </cell>
        </row>
        <row r="9138">
          <cell r="O9138" t="str">
            <v>SC4011SO-N</v>
          </cell>
          <cell r="P9138" t="str">
            <v>STC4011B</v>
          </cell>
          <cell r="Q9138" t="str">
            <v>磁性位置传感器</v>
          </cell>
        </row>
        <row r="9139">
          <cell r="O9139" t="str">
            <v>SC4643VB-A</v>
          </cell>
          <cell r="P9139" t="str">
            <v>STC9D03E</v>
          </cell>
          <cell r="Q9139" t="str">
            <v>电流传感器</v>
          </cell>
        </row>
        <row r="9140">
          <cell r="O9140" t="str">
            <v>SC4643VB-A</v>
          </cell>
          <cell r="P9140" t="str">
            <v>STC9D03E</v>
          </cell>
          <cell r="Q9140" t="str">
            <v>电流传感器</v>
          </cell>
        </row>
        <row r="9141">
          <cell r="O9141" t="str">
            <v>SC4643VB-A</v>
          </cell>
          <cell r="P9141" t="str">
            <v>STC9D03E</v>
          </cell>
          <cell r="Q9141" t="str">
            <v>电流传感器</v>
          </cell>
        </row>
        <row r="9142">
          <cell r="O9142" t="str">
            <v>SC4643VB-A</v>
          </cell>
          <cell r="P9142" t="str">
            <v>STC9D03E</v>
          </cell>
          <cell r="Q9142" t="str">
            <v>电流传感器</v>
          </cell>
        </row>
        <row r="9143">
          <cell r="O9143" t="str">
            <v>SC4643VB-A</v>
          </cell>
          <cell r="P9143" t="str">
            <v>STC9D03E</v>
          </cell>
          <cell r="Q9143" t="str">
            <v>电流传感器</v>
          </cell>
        </row>
        <row r="9144">
          <cell r="O9144" t="str">
            <v>SC4643VB-A</v>
          </cell>
          <cell r="P9144" t="str">
            <v>STC9D03E</v>
          </cell>
          <cell r="Q9144" t="str">
            <v>电流传感器</v>
          </cell>
        </row>
        <row r="9145">
          <cell r="O9145" t="str">
            <v>SC4643VB-A</v>
          </cell>
          <cell r="P9145" t="str">
            <v>STC9D03E</v>
          </cell>
          <cell r="Q9145" t="str">
            <v>电流传感器</v>
          </cell>
        </row>
        <row r="9146">
          <cell r="O9146" t="str">
            <v>SC4643VB-A</v>
          </cell>
          <cell r="P9146" t="str">
            <v>STC9D03E</v>
          </cell>
          <cell r="Q9146" t="str">
            <v>电流传感器</v>
          </cell>
        </row>
        <row r="9147">
          <cell r="O9147" t="str">
            <v>SC4643VB-A</v>
          </cell>
          <cell r="P9147" t="str">
            <v>STC9D03E</v>
          </cell>
          <cell r="Q9147" t="str">
            <v>电流传感器</v>
          </cell>
        </row>
        <row r="9148">
          <cell r="O9148" t="str">
            <v>SC4643VB-A</v>
          </cell>
          <cell r="P9148" t="str">
            <v>STC9D03E</v>
          </cell>
          <cell r="Q9148" t="str">
            <v>电流传感器</v>
          </cell>
        </row>
        <row r="9149">
          <cell r="O9149" t="str">
            <v>SC4643VB-A</v>
          </cell>
          <cell r="P9149" t="str">
            <v>STC9D03E</v>
          </cell>
          <cell r="Q9149" t="str">
            <v>电流传感器</v>
          </cell>
        </row>
        <row r="9150">
          <cell r="O9150" t="str">
            <v>SC4643VB-A</v>
          </cell>
          <cell r="P9150" t="str">
            <v>STC9D03E</v>
          </cell>
          <cell r="Q9150" t="str">
            <v>电流传感器</v>
          </cell>
        </row>
        <row r="9151">
          <cell r="O9151" t="str">
            <v>SC4643VB-A</v>
          </cell>
          <cell r="P9151" t="str">
            <v>STC9D03E</v>
          </cell>
          <cell r="Q9151" t="str">
            <v>电流传感器</v>
          </cell>
        </row>
        <row r="9152">
          <cell r="O9152" t="str">
            <v>SC2462UA</v>
          </cell>
          <cell r="P9152" t="str">
            <v>STC9906J</v>
          </cell>
          <cell r="Q9152" t="str">
            <v>磁性位置传感器</v>
          </cell>
        </row>
        <row r="9153">
          <cell r="O9153" t="str">
            <v>SC2498SO</v>
          </cell>
          <cell r="P9153" t="str">
            <v>SC9915C</v>
          </cell>
          <cell r="Q9153" t="str">
            <v>磁性位置传感器</v>
          </cell>
        </row>
        <row r="9154">
          <cell r="O9154" t="str">
            <v>SC4643VB</v>
          </cell>
          <cell r="P9154" t="str">
            <v>STC9D03E</v>
          </cell>
          <cell r="Q9154" t="str">
            <v>电流传感器</v>
          </cell>
        </row>
        <row r="9155">
          <cell r="O9155" t="str">
            <v>SC4643VB</v>
          </cell>
          <cell r="P9155" t="str">
            <v>STC9D03E</v>
          </cell>
          <cell r="Q9155" t="str">
            <v>电流传感器</v>
          </cell>
        </row>
        <row r="9156">
          <cell r="O9156" t="str">
            <v>SC1134SO-N</v>
          </cell>
          <cell r="P9156" t="str">
            <v>STC1898AI</v>
          </cell>
          <cell r="Q9156" t="str">
            <v>磁性位置传感器</v>
          </cell>
        </row>
        <row r="9157">
          <cell r="O9157" t="str">
            <v>SC1134SO-N</v>
          </cell>
          <cell r="P9157" t="str">
            <v>STC1898AI</v>
          </cell>
          <cell r="Q9157" t="str">
            <v>磁性位置传感器</v>
          </cell>
        </row>
        <row r="9158">
          <cell r="O9158" t="str">
            <v>SC2442SO-N</v>
          </cell>
          <cell r="P9158" t="str">
            <v>STC9906P</v>
          </cell>
          <cell r="Q9158" t="str">
            <v>磁性位置传感器</v>
          </cell>
        </row>
        <row r="9159">
          <cell r="O9159" t="str">
            <v>SC2442SO-N</v>
          </cell>
          <cell r="P9159" t="str">
            <v>STC9906P</v>
          </cell>
          <cell r="Q9159" t="str">
            <v>磁性位置传感器</v>
          </cell>
        </row>
        <row r="9160">
          <cell r="O9160" t="str">
            <v>3100</v>
          </cell>
          <cell r="P9160" t="str">
            <v>STC9D06G</v>
          </cell>
          <cell r="Q9160" t="str">
            <v>电流传感器</v>
          </cell>
        </row>
        <row r="9161">
          <cell r="O9161" t="str">
            <v>SC2443UA</v>
          </cell>
          <cell r="P9161" t="str">
            <v>STC9906G</v>
          </cell>
          <cell r="Q9161" t="str">
            <v>磁性位置传感器</v>
          </cell>
        </row>
        <row r="9162">
          <cell r="O9162" t="str">
            <v>SC4643VB-P-2.5S</v>
          </cell>
          <cell r="P9162" t="str">
            <v>STC9D03E</v>
          </cell>
          <cell r="Q9162" t="str">
            <v>电流传感器</v>
          </cell>
        </row>
        <row r="9163">
          <cell r="O9163" t="str">
            <v>SC60224-U-P4-1024</v>
          </cell>
          <cell r="P9163" t="str">
            <v>STC9D04C</v>
          </cell>
          <cell r="Q9163" t="str">
            <v>电机编码器</v>
          </cell>
        </row>
        <row r="9164">
          <cell r="O9164" t="str">
            <v>SC2432UA</v>
          </cell>
          <cell r="P9164" t="str">
            <v>STC9906I</v>
          </cell>
          <cell r="Q9164" t="str">
            <v>磁性位置传感器</v>
          </cell>
        </row>
        <row r="9165">
          <cell r="O9165" t="str">
            <v>SC9634VB</v>
          </cell>
          <cell r="P9165" t="str">
            <v>STC9905G</v>
          </cell>
          <cell r="Q9165" t="str">
            <v>速度传感器</v>
          </cell>
        </row>
        <row r="9166">
          <cell r="O9166" t="str">
            <v>SC60224-D-1024</v>
          </cell>
          <cell r="P9166" t="str">
            <v>STC9D04C</v>
          </cell>
          <cell r="Q9166" t="str">
            <v>电机编码器</v>
          </cell>
        </row>
        <row r="9167">
          <cell r="O9167" t="str">
            <v>SC60224-D-1024</v>
          </cell>
          <cell r="P9167" t="str">
            <v>STC9D04C</v>
          </cell>
          <cell r="Q9167" t="str">
            <v>电机编码器</v>
          </cell>
        </row>
        <row r="9168">
          <cell r="O9168" t="str">
            <v>SC60228DC</v>
          </cell>
          <cell r="P9168" t="str">
            <v>STC9D04C</v>
          </cell>
          <cell r="Q9168" t="str">
            <v>电机编码器</v>
          </cell>
        </row>
        <row r="9169">
          <cell r="O9169" t="str">
            <v>SC60224-U-P4-1024</v>
          </cell>
          <cell r="P9169" t="str">
            <v>STC9D04C</v>
          </cell>
          <cell r="Q9169" t="str">
            <v>电机编码器</v>
          </cell>
        </row>
        <row r="9170">
          <cell r="O9170" t="str">
            <v>SC2242SO</v>
          </cell>
          <cell r="P9170" t="str">
            <v>STC9906H</v>
          </cell>
          <cell r="Q9170" t="str">
            <v>磁性位置传感器</v>
          </cell>
        </row>
        <row r="9171">
          <cell r="O9171" t="str">
            <v>SC2442UA</v>
          </cell>
          <cell r="P9171" t="str">
            <v>STC9906P</v>
          </cell>
          <cell r="Q9171" t="str">
            <v>磁性位置传感器</v>
          </cell>
        </row>
        <row r="9172">
          <cell r="O9172" t="str">
            <v>SC2442UA</v>
          </cell>
          <cell r="P9172" t="str">
            <v>STC9906P</v>
          </cell>
          <cell r="Q9172" t="str">
            <v>磁性位置传感器</v>
          </cell>
        </row>
        <row r="9173">
          <cell r="O9173" t="str">
            <v>SC1134UA</v>
          </cell>
          <cell r="P9173" t="str">
            <v>STC1898AI</v>
          </cell>
          <cell r="Q9173" t="str">
            <v>磁性位置传感器</v>
          </cell>
        </row>
        <row r="9174">
          <cell r="O9174" t="str">
            <v>SC1134UA</v>
          </cell>
          <cell r="P9174" t="str">
            <v>STC1898AI</v>
          </cell>
          <cell r="Q9174" t="str">
            <v>磁性位置传感器</v>
          </cell>
        </row>
        <row r="9175">
          <cell r="O9175" t="str">
            <v>SC2443SO</v>
          </cell>
          <cell r="P9175" t="str">
            <v>STC9906T</v>
          </cell>
          <cell r="Q9175" t="str">
            <v>磁性位置传感器</v>
          </cell>
        </row>
        <row r="9176">
          <cell r="O9176" t="str">
            <v>SC2443SO</v>
          </cell>
          <cell r="P9176" t="str">
            <v>STC9906T</v>
          </cell>
          <cell r="Q9176" t="str">
            <v>磁性位置传感器</v>
          </cell>
        </row>
        <row r="9177">
          <cell r="O9177" t="str">
            <v>SC9633VB</v>
          </cell>
          <cell r="P9177" t="str">
            <v>STC9905F</v>
          </cell>
          <cell r="Q9177" t="str">
            <v>速度传感器</v>
          </cell>
        </row>
        <row r="9178">
          <cell r="O9178" t="str">
            <v>SC9633VB</v>
          </cell>
          <cell r="P9178" t="str">
            <v>STC9905F</v>
          </cell>
          <cell r="Q9178" t="str">
            <v>速度传感器</v>
          </cell>
        </row>
        <row r="9179">
          <cell r="O9179" t="str">
            <v>SC2033SO-N</v>
          </cell>
          <cell r="P9179" t="str">
            <v>STC9G001D</v>
          </cell>
          <cell r="Q9179" t="str">
            <v>磁性位置传感器</v>
          </cell>
        </row>
        <row r="9180">
          <cell r="O9180" t="str">
            <v>SC9621VB</v>
          </cell>
          <cell r="P9180" t="str">
            <v>STC9910C</v>
          </cell>
          <cell r="Q9180" t="str">
            <v>速度传感器</v>
          </cell>
        </row>
        <row r="9181">
          <cell r="O9181" t="str">
            <v>SC2402SO-N-G</v>
          </cell>
          <cell r="P9181" t="str">
            <v>STC9G002A</v>
          </cell>
          <cell r="Q9181" t="str">
            <v>磁性位置传感器</v>
          </cell>
        </row>
        <row r="9182">
          <cell r="O9182" t="str">
            <v>SC2402SO-N-G</v>
          </cell>
          <cell r="P9182" t="str">
            <v>STC9G002A</v>
          </cell>
          <cell r="Q9182" t="str">
            <v>磁性位置传感器</v>
          </cell>
        </row>
        <row r="9183">
          <cell r="O9183" t="str">
            <v>SC9625VB-L</v>
          </cell>
          <cell r="P9183" t="str">
            <v>STC9910E</v>
          </cell>
          <cell r="Q9183" t="str">
            <v>速度传感器</v>
          </cell>
        </row>
        <row r="9184">
          <cell r="O9184" t="str">
            <v>SC9641TS-P</v>
          </cell>
          <cell r="P9184" t="str">
            <v>STC9A001I</v>
          </cell>
          <cell r="Q9184" t="str">
            <v>速度传感器</v>
          </cell>
        </row>
        <row r="9185">
          <cell r="O9185" t="str">
            <v>SC9641TS-P</v>
          </cell>
          <cell r="P9185" t="str">
            <v>STC9A001I</v>
          </cell>
          <cell r="Q9185" t="str">
            <v>速度传感器</v>
          </cell>
        </row>
        <row r="9186">
          <cell r="O9186" t="str">
            <v>SC9642TS-EC</v>
          </cell>
          <cell r="P9186" t="str">
            <v>STC9A001H</v>
          </cell>
          <cell r="Q9186" t="str">
            <v>速度传感器</v>
          </cell>
        </row>
        <row r="9187">
          <cell r="O9187" t="str">
            <v>SC9642TS-EC</v>
          </cell>
          <cell r="P9187" t="str">
            <v>STC9A001H</v>
          </cell>
          <cell r="Q9187" t="str">
            <v>速度传感器</v>
          </cell>
        </row>
        <row r="9188">
          <cell r="O9188" t="str">
            <v>SC9642TS-EC</v>
          </cell>
          <cell r="P9188" t="str">
            <v>STC9A001H</v>
          </cell>
          <cell r="Q9188" t="str">
            <v>速度传感器</v>
          </cell>
        </row>
        <row r="9189">
          <cell r="O9189" t="str">
            <v>SC9642TS-EC</v>
          </cell>
          <cell r="P9189" t="str">
            <v>STC9A001H</v>
          </cell>
          <cell r="Q9189" t="str">
            <v>速度传感器</v>
          </cell>
        </row>
        <row r="9190">
          <cell r="O9190" t="str">
            <v>SC9641TS-P</v>
          </cell>
          <cell r="P9190" t="str">
            <v>STC9A001I</v>
          </cell>
          <cell r="Q9190" t="str">
            <v>速度传感器</v>
          </cell>
        </row>
        <row r="9191">
          <cell r="O9191" t="str">
            <v>SC9641TS-P</v>
          </cell>
          <cell r="P9191" t="str">
            <v>STC9A001I</v>
          </cell>
          <cell r="Q9191" t="str">
            <v>速度传感器</v>
          </cell>
        </row>
        <row r="9192">
          <cell r="O9192" t="str">
            <v>SC9641TS-P</v>
          </cell>
          <cell r="P9192" t="str">
            <v>STC9A001I</v>
          </cell>
          <cell r="Q9192" t="str">
            <v>速度传感器</v>
          </cell>
        </row>
        <row r="9193">
          <cell r="O9193" t="str">
            <v>SC9625VB-L</v>
          </cell>
          <cell r="P9193" t="str">
            <v>STC9910E</v>
          </cell>
          <cell r="Q9193" t="str">
            <v>速度传感器</v>
          </cell>
        </row>
        <row r="9194">
          <cell r="O9194" t="str">
            <v>SC9642TS-E</v>
          </cell>
          <cell r="P9194" t="str">
            <v>STC9A001H</v>
          </cell>
          <cell r="Q9194" t="str">
            <v>速度传感器</v>
          </cell>
        </row>
        <row r="9195">
          <cell r="O9195" t="str">
            <v>SC9642TS-E</v>
          </cell>
          <cell r="P9195" t="str">
            <v>STC9A001H</v>
          </cell>
          <cell r="Q9195" t="str">
            <v>速度传感器</v>
          </cell>
        </row>
        <row r="9196">
          <cell r="O9196" t="str">
            <v>SC9642TS-E</v>
          </cell>
          <cell r="P9196" t="str">
            <v>STC9A001H</v>
          </cell>
          <cell r="Q9196" t="str">
            <v>速度传感器</v>
          </cell>
        </row>
        <row r="9197">
          <cell r="O9197" t="str">
            <v>SC9642TS-E</v>
          </cell>
          <cell r="P9197" t="str">
            <v>STC9A001H</v>
          </cell>
          <cell r="Q9197" t="str">
            <v>速度传感器</v>
          </cell>
        </row>
        <row r="9198">
          <cell r="O9198" t="str">
            <v>SC9642TS-E</v>
          </cell>
          <cell r="P9198" t="str">
            <v>STC9A001H</v>
          </cell>
          <cell r="Q9198" t="str">
            <v>速度传感器</v>
          </cell>
        </row>
        <row r="9199">
          <cell r="O9199" t="str">
            <v>SC9642TS-E</v>
          </cell>
          <cell r="P9199" t="str">
            <v>STC9A001H</v>
          </cell>
          <cell r="Q9199" t="str">
            <v>速度传感器</v>
          </cell>
        </row>
        <row r="9200">
          <cell r="O9200" t="str">
            <v>SC919H</v>
          </cell>
          <cell r="P9200" t="str">
            <v>STC9913D</v>
          </cell>
          <cell r="Q9200" t="str">
            <v>磁性位置传感器</v>
          </cell>
        </row>
        <row r="9201">
          <cell r="O9201" t="str">
            <v>SC1134SO-N</v>
          </cell>
          <cell r="P9201" t="str">
            <v>STC1898AI</v>
          </cell>
          <cell r="Q9201" t="str">
            <v>磁性位置传感器</v>
          </cell>
        </row>
        <row r="9202">
          <cell r="O9202" t="str">
            <v>STC4011B-DS</v>
          </cell>
          <cell r="P9202" t="str">
            <v>STC4011B</v>
          </cell>
          <cell r="Q9202" t="str">
            <v>磁性位置传感器</v>
          </cell>
        </row>
        <row r="9203">
          <cell r="O9203" t="str">
            <v>SC69401工程编程器套装</v>
          </cell>
          <cell r="P9203" t="str">
            <v xml:space="preserve"> </v>
          </cell>
          <cell r="Q9203" t="str">
            <v>角度传感器</v>
          </cell>
        </row>
        <row r="9204">
          <cell r="O9204" t="str">
            <v>SC9648TS-P</v>
          </cell>
          <cell r="P9204" t="str">
            <v>STC9A001I</v>
          </cell>
          <cell r="Q9204" t="str">
            <v>速度传感器</v>
          </cell>
        </row>
        <row r="9205">
          <cell r="O9205" t="str">
            <v>SC9648TS-P</v>
          </cell>
          <cell r="P9205" t="str">
            <v>STC9A001I</v>
          </cell>
          <cell r="Q9205" t="str">
            <v>速度传感器</v>
          </cell>
        </row>
        <row r="9206">
          <cell r="O9206" t="str">
            <v>SC9648TS-P</v>
          </cell>
          <cell r="P9206" t="str">
            <v>STC9A001I</v>
          </cell>
          <cell r="Q9206" t="str">
            <v>速度传感器</v>
          </cell>
        </row>
        <row r="9207">
          <cell r="O9207" t="str">
            <v>SC9648TS-P</v>
          </cell>
          <cell r="P9207" t="str">
            <v>STC9A001I</v>
          </cell>
          <cell r="Q9207" t="str">
            <v>速度传感器</v>
          </cell>
        </row>
        <row r="9208">
          <cell r="O9208" t="str">
            <v>SC9648TS-P</v>
          </cell>
          <cell r="P9208" t="str">
            <v>STC9A001I</v>
          </cell>
          <cell r="Q9208" t="str">
            <v>速度传感器</v>
          </cell>
        </row>
        <row r="9209">
          <cell r="O9209" t="str">
            <v>SC9648TS-P</v>
          </cell>
          <cell r="P9209" t="str">
            <v>STC9A001I</v>
          </cell>
          <cell r="Q9209" t="str">
            <v>速度传感器</v>
          </cell>
        </row>
        <row r="9210">
          <cell r="O9210" t="str">
            <v>ZH6823B-Mask</v>
          </cell>
          <cell r="P9210" t="str">
            <v xml:space="preserve"> </v>
          </cell>
          <cell r="Q9210" t="str">
            <v>电机驱动</v>
          </cell>
        </row>
        <row r="9211">
          <cell r="O9211" t="str">
            <v>ZH6242-Mask</v>
          </cell>
          <cell r="P9211" t="str">
            <v xml:space="preserve"> </v>
          </cell>
          <cell r="Q9211" t="str">
            <v>电机驱动</v>
          </cell>
        </row>
        <row r="9212">
          <cell r="O9212" t="str">
            <v>3100</v>
          </cell>
          <cell r="P9212" t="str">
            <v>STC9D06G</v>
          </cell>
          <cell r="Q9212" t="str">
            <v>电流传感器</v>
          </cell>
        </row>
        <row r="9213">
          <cell r="O9213" t="str">
            <v>SC2434SO-N</v>
          </cell>
          <cell r="P9213" t="str">
            <v>STC9906I</v>
          </cell>
          <cell r="Q9213" t="str">
            <v>磁性位置传感器</v>
          </cell>
        </row>
        <row r="9214">
          <cell r="O9214" t="str">
            <v>SC2434SO-N</v>
          </cell>
          <cell r="P9214" t="str">
            <v>STC9906I</v>
          </cell>
          <cell r="Q9214" t="str">
            <v>磁性位置传感器</v>
          </cell>
        </row>
        <row r="9215">
          <cell r="O9215" t="str">
            <v>SC9648TS-P</v>
          </cell>
          <cell r="P9215" t="str">
            <v>STC9A001I</v>
          </cell>
          <cell r="Q9215" t="str">
            <v>速度传感器</v>
          </cell>
        </row>
        <row r="9216">
          <cell r="O9216" t="str">
            <v>SC9648TS-P</v>
          </cell>
          <cell r="P9216" t="str">
            <v>STC9A001I</v>
          </cell>
          <cell r="Q9216" t="str">
            <v>速度传感器</v>
          </cell>
        </row>
        <row r="9217">
          <cell r="O9217" t="str">
            <v>SC9648TS-P</v>
          </cell>
          <cell r="P9217" t="str">
            <v>STC9A001I</v>
          </cell>
          <cell r="Q9217" t="str">
            <v>速度传感器</v>
          </cell>
        </row>
        <row r="9218">
          <cell r="O9218" t="str">
            <v>SC9641TS</v>
          </cell>
          <cell r="P9218" t="str">
            <v>STC9910BN</v>
          </cell>
          <cell r="Q9218" t="str">
            <v>速度传感器</v>
          </cell>
        </row>
        <row r="9219">
          <cell r="O9219" t="str">
            <v>SC9641TS</v>
          </cell>
          <cell r="P9219" t="str">
            <v>STC9910BN</v>
          </cell>
          <cell r="Q9219" t="str">
            <v>速度传感器</v>
          </cell>
        </row>
        <row r="9220">
          <cell r="O9220" t="str">
            <v>SC9642TS</v>
          </cell>
          <cell r="P9220" t="str">
            <v>STC9A001G</v>
          </cell>
          <cell r="Q9220" t="str">
            <v>速度传感器</v>
          </cell>
        </row>
        <row r="9221">
          <cell r="O9221" t="str">
            <v>SC9642TS</v>
          </cell>
          <cell r="P9221" t="str">
            <v>STC9A001G</v>
          </cell>
          <cell r="Q9221" t="str">
            <v>速度传感器</v>
          </cell>
        </row>
        <row r="9222">
          <cell r="O9222" t="str">
            <v>SC9642TS</v>
          </cell>
          <cell r="P9222" t="str">
            <v>STC9A001G</v>
          </cell>
          <cell r="Q9222" t="str">
            <v>速度传感器</v>
          </cell>
        </row>
        <row r="9223">
          <cell r="O9223" t="str">
            <v>SC9642TS</v>
          </cell>
          <cell r="P9223" t="str">
            <v>STC9A001G</v>
          </cell>
          <cell r="Q9223" t="str">
            <v>速度传感器</v>
          </cell>
        </row>
        <row r="9224">
          <cell r="O9224" t="str">
            <v>SC9642TS</v>
          </cell>
          <cell r="P9224" t="str">
            <v>STC9A001G</v>
          </cell>
          <cell r="Q9224" t="str">
            <v>速度传感器</v>
          </cell>
        </row>
        <row r="9225">
          <cell r="O9225" t="str">
            <v>SC9642TS</v>
          </cell>
          <cell r="P9225" t="str">
            <v>STC9A001G</v>
          </cell>
          <cell r="Q9225" t="str">
            <v>速度传感器</v>
          </cell>
        </row>
        <row r="9226">
          <cell r="O9226" t="str">
            <v>SC60224-U-P1-1024</v>
          </cell>
          <cell r="P9226" t="str">
            <v>STC9D04C</v>
          </cell>
          <cell r="Q9226" t="str">
            <v>电机编码器</v>
          </cell>
        </row>
        <row r="9227">
          <cell r="O9227" t="str">
            <v>SC4001SE</v>
          </cell>
          <cell r="P9227" t="str">
            <v>STC4001AB</v>
          </cell>
          <cell r="Q9227" t="str">
            <v>磁性位置传感器</v>
          </cell>
        </row>
        <row r="9228">
          <cell r="O9228" t="str">
            <v>SC1445A1</v>
          </cell>
          <cell r="P9228" t="str">
            <v>STC2899AB</v>
          </cell>
          <cell r="Q9228" t="str">
            <v>磁性位置传感器</v>
          </cell>
        </row>
        <row r="9229">
          <cell r="O9229" t="str">
            <v>SC1134SO-N</v>
          </cell>
          <cell r="P9229" t="str">
            <v>STC1898AI</v>
          </cell>
          <cell r="Q9229" t="str">
            <v>磁性位置传感器</v>
          </cell>
        </row>
        <row r="9230">
          <cell r="O9230" t="str">
            <v>SC2442SO</v>
          </cell>
          <cell r="P9230" t="str">
            <v>STC9906R</v>
          </cell>
          <cell r="Q9230" t="str">
            <v>磁性位置传感器</v>
          </cell>
        </row>
        <row r="9231">
          <cell r="O9231" t="str">
            <v>SC2438UA</v>
          </cell>
          <cell r="P9231" t="str">
            <v>STC9906I</v>
          </cell>
          <cell r="Q9231" t="str">
            <v>磁性位置传感器</v>
          </cell>
        </row>
        <row r="9232">
          <cell r="O9232" t="str">
            <v>SC60221-D-256</v>
          </cell>
          <cell r="P9232" t="str">
            <v>STC9D04C</v>
          </cell>
          <cell r="Q9232" t="str">
            <v>电机编码器</v>
          </cell>
        </row>
        <row r="9233">
          <cell r="O9233" t="str">
            <v>SC9648TS-P</v>
          </cell>
          <cell r="P9233" t="str">
            <v>STC9A001I</v>
          </cell>
          <cell r="Q9233" t="str">
            <v>速度传感器</v>
          </cell>
        </row>
        <row r="9234">
          <cell r="O9234" t="str">
            <v>SC9648TS-P</v>
          </cell>
          <cell r="P9234" t="str">
            <v>STC9A001I</v>
          </cell>
          <cell r="Q9234" t="str">
            <v>速度传感器</v>
          </cell>
        </row>
        <row r="9235">
          <cell r="O9235" t="str">
            <v>SC9641TS-P</v>
          </cell>
          <cell r="P9235" t="str">
            <v>STC9A001I</v>
          </cell>
          <cell r="Q9235" t="str">
            <v>速度传感器</v>
          </cell>
        </row>
        <row r="9236">
          <cell r="O9236" t="str">
            <v>SC9641TS-P</v>
          </cell>
          <cell r="P9236" t="str">
            <v>STC9A001I</v>
          </cell>
          <cell r="Q9236" t="str">
            <v>速度传感器</v>
          </cell>
        </row>
        <row r="9237">
          <cell r="O9237" t="str">
            <v>SC9641TS-P</v>
          </cell>
          <cell r="P9237" t="str">
            <v>STC9A001I</v>
          </cell>
          <cell r="Q9237" t="str">
            <v>速度传感器</v>
          </cell>
        </row>
        <row r="9238">
          <cell r="O9238" t="str">
            <v>SC9648TS-P</v>
          </cell>
          <cell r="P9238" t="str">
            <v>STC9A001I</v>
          </cell>
          <cell r="Q9238" t="str">
            <v>速度传感器</v>
          </cell>
        </row>
        <row r="9239">
          <cell r="O9239" t="str">
            <v>SC9648TS-P</v>
          </cell>
          <cell r="P9239" t="str">
            <v>STC9A001I</v>
          </cell>
          <cell r="Q9239" t="str">
            <v>速度传感器</v>
          </cell>
        </row>
        <row r="9240">
          <cell r="O9240" t="str">
            <v>SC1134SO-N</v>
          </cell>
          <cell r="P9240" t="str">
            <v>STC1898AI</v>
          </cell>
          <cell r="Q9240" t="str">
            <v>磁性位置传感器</v>
          </cell>
        </row>
        <row r="9241">
          <cell r="O9241" t="str">
            <v>SC1134B1</v>
          </cell>
          <cell r="P9241" t="str">
            <v>STC1898AI</v>
          </cell>
          <cell r="Q9241" t="str">
            <v>磁性位置传感器</v>
          </cell>
        </row>
        <row r="9242">
          <cell r="O9242" t="str">
            <v>SC1445B2</v>
          </cell>
          <cell r="P9242" t="str">
            <v>STC2899AB</v>
          </cell>
          <cell r="Q9242" t="str">
            <v>磁性位置传感器</v>
          </cell>
        </row>
        <row r="9243">
          <cell r="O9243" t="str">
            <v>SC1445B2</v>
          </cell>
          <cell r="P9243" t="str">
            <v>STC2899AB</v>
          </cell>
          <cell r="Q9243" t="str">
            <v>磁性位置传感器</v>
          </cell>
        </row>
        <row r="9244">
          <cell r="O9244" t="str">
            <v>SC1445B2</v>
          </cell>
          <cell r="P9244" t="str">
            <v>STC2899AB</v>
          </cell>
          <cell r="Q9244" t="str">
            <v>磁性位置传感器</v>
          </cell>
        </row>
        <row r="9245">
          <cell r="O9245" t="str">
            <v>SC1445B2</v>
          </cell>
          <cell r="P9245" t="str">
            <v>STC2899AB</v>
          </cell>
          <cell r="Q9245" t="str">
            <v>磁性位置传感器</v>
          </cell>
        </row>
        <row r="9246">
          <cell r="O9246" t="str">
            <v>SC1445B2</v>
          </cell>
          <cell r="P9246" t="str">
            <v>STC2899AB</v>
          </cell>
          <cell r="Q9246" t="str">
            <v>磁性位置传感器</v>
          </cell>
        </row>
        <row r="9247">
          <cell r="O9247" t="str">
            <v>SC1445B2</v>
          </cell>
          <cell r="P9247" t="str">
            <v>STC2899AB</v>
          </cell>
          <cell r="Q9247" t="str">
            <v>磁性位置传感器</v>
          </cell>
        </row>
        <row r="9248">
          <cell r="O9248" t="str">
            <v>SC1445B2</v>
          </cell>
          <cell r="P9248" t="str">
            <v>STC2899AB</v>
          </cell>
          <cell r="Q9248" t="str">
            <v>磁性位置传感器</v>
          </cell>
        </row>
        <row r="9249">
          <cell r="O9249" t="str">
            <v>S41H-A2</v>
          </cell>
          <cell r="P9249" t="str">
            <v>STC2899AI</v>
          </cell>
          <cell r="Q9249" t="str">
            <v>磁性位置传感器</v>
          </cell>
        </row>
        <row r="9250">
          <cell r="O9250" t="str">
            <v>S41H-A2</v>
          </cell>
          <cell r="P9250" t="str">
            <v>STC2899AI</v>
          </cell>
          <cell r="Q9250" t="str">
            <v>磁性位置传感器</v>
          </cell>
        </row>
        <row r="9251">
          <cell r="O9251" t="str">
            <v>S41H-A2</v>
          </cell>
          <cell r="P9251" t="str">
            <v>STC2899AI</v>
          </cell>
          <cell r="Q9251" t="str">
            <v>磁性位置传感器</v>
          </cell>
        </row>
        <row r="9252">
          <cell r="O9252" t="str">
            <v>SC9648TS-P</v>
          </cell>
          <cell r="P9252" t="str">
            <v>STC9A001I</v>
          </cell>
          <cell r="Q9252" t="str">
            <v>速度传感器</v>
          </cell>
        </row>
        <row r="9253">
          <cell r="O9253" t="str">
            <v>SC9641TS</v>
          </cell>
          <cell r="P9253" t="str">
            <v>STC9910BN</v>
          </cell>
          <cell r="Q9253" t="str">
            <v>速度传感器</v>
          </cell>
        </row>
        <row r="9254">
          <cell r="O9254" t="str">
            <v>SC9641TS</v>
          </cell>
          <cell r="P9254" t="str">
            <v>STC9910BN</v>
          </cell>
          <cell r="Q9254" t="str">
            <v>速度传感器</v>
          </cell>
        </row>
        <row r="9255">
          <cell r="O9255" t="str">
            <v>SC9641TS-P</v>
          </cell>
          <cell r="P9255" t="str">
            <v>STC9A001I</v>
          </cell>
          <cell r="Q9255" t="str">
            <v>速度传感器</v>
          </cell>
        </row>
        <row r="9256">
          <cell r="O9256" t="str">
            <v>SC9642TS</v>
          </cell>
          <cell r="P9256" t="str">
            <v>STC9A001G</v>
          </cell>
          <cell r="Q9256" t="str">
            <v>速度传感器</v>
          </cell>
        </row>
        <row r="9257">
          <cell r="O9257" t="str">
            <v>SC9642TS</v>
          </cell>
          <cell r="P9257" t="str">
            <v>STC9A001G</v>
          </cell>
          <cell r="Q9257" t="str">
            <v>速度传感器</v>
          </cell>
        </row>
        <row r="9258">
          <cell r="O9258" t="str">
            <v>SC9642TS</v>
          </cell>
          <cell r="P9258" t="str">
            <v>STC9A001G</v>
          </cell>
          <cell r="Q9258" t="str">
            <v>速度传感器</v>
          </cell>
        </row>
        <row r="9259">
          <cell r="O9259" t="str">
            <v>SC9633VB</v>
          </cell>
          <cell r="P9259" t="str">
            <v>STC9905F</v>
          </cell>
          <cell r="Q9259" t="str">
            <v>速度传感器</v>
          </cell>
        </row>
        <row r="9260">
          <cell r="O9260" t="str">
            <v>SC9648TS-P</v>
          </cell>
          <cell r="P9260" t="str">
            <v>STC9A001I</v>
          </cell>
          <cell r="Q9260" t="str">
            <v>速度传感器</v>
          </cell>
        </row>
        <row r="9261">
          <cell r="O9261" t="str">
            <v>SC9648TS-P</v>
          </cell>
          <cell r="P9261" t="str">
            <v>STC9A001I</v>
          </cell>
          <cell r="Q9261" t="str">
            <v>速度传感器</v>
          </cell>
        </row>
        <row r="9262">
          <cell r="O9262" t="str">
            <v>SC9648TS-P</v>
          </cell>
          <cell r="P9262" t="str">
            <v>STC9A001I</v>
          </cell>
          <cell r="Q9262" t="str">
            <v>速度传感器</v>
          </cell>
        </row>
        <row r="9263">
          <cell r="O9263" t="str">
            <v>SC1138UA</v>
          </cell>
          <cell r="P9263" t="str">
            <v>STC1898AC</v>
          </cell>
          <cell r="Q9263" t="str">
            <v>磁性位置传感器</v>
          </cell>
        </row>
        <row r="9264">
          <cell r="O9264" t="str">
            <v>SC1245SO-N</v>
          </cell>
          <cell r="P9264" t="str">
            <v>STC1898AD</v>
          </cell>
          <cell r="Q9264" t="str">
            <v>磁性位置传感器</v>
          </cell>
        </row>
        <row r="9265">
          <cell r="O9265" t="str">
            <v>SC4011SO-N</v>
          </cell>
          <cell r="P9265" t="str">
            <v>STC4011B</v>
          </cell>
          <cell r="Q9265" t="str">
            <v>磁性位置传感器</v>
          </cell>
        </row>
        <row r="9266">
          <cell r="O9266" t="str">
            <v>SC4011SO-N</v>
          </cell>
          <cell r="P9266" t="str">
            <v>STC4011B</v>
          </cell>
          <cell r="Q9266" t="str">
            <v>磁性位置传感器</v>
          </cell>
        </row>
        <row r="9267">
          <cell r="O9267" t="str">
            <v>SC9641TS-P</v>
          </cell>
          <cell r="P9267" t="str">
            <v>STC9A001I</v>
          </cell>
          <cell r="Q9267" t="str">
            <v>速度传感器</v>
          </cell>
        </row>
        <row r="9268">
          <cell r="O9268" t="str">
            <v>SC9641TS-P</v>
          </cell>
          <cell r="P9268" t="str">
            <v>STC9A001I</v>
          </cell>
          <cell r="Q9268" t="str">
            <v>速度传感器</v>
          </cell>
        </row>
        <row r="9269">
          <cell r="O9269" t="str">
            <v>SC2442SO</v>
          </cell>
          <cell r="P9269" t="str">
            <v>STC9906R</v>
          </cell>
          <cell r="Q9269" t="str">
            <v>磁性位置传感器</v>
          </cell>
        </row>
        <row r="9270">
          <cell r="O9270" t="str">
            <v>SC2498CUA-N</v>
          </cell>
          <cell r="P9270" t="str">
            <v>SC9915C</v>
          </cell>
          <cell r="Q9270" t="str">
            <v>磁性位置传感器</v>
          </cell>
        </row>
        <row r="9271">
          <cell r="O9271" t="str">
            <v>SC4695DC</v>
          </cell>
          <cell r="P9271" t="str">
            <v>STC9D01C</v>
          </cell>
          <cell r="Q9271" t="str">
            <v>角度传感器</v>
          </cell>
        </row>
        <row r="9272">
          <cell r="O9272" t="str">
            <v>SC4695DC</v>
          </cell>
          <cell r="P9272" t="str">
            <v>STC9D01C</v>
          </cell>
          <cell r="Q9272" t="str">
            <v>角度传感器</v>
          </cell>
        </row>
        <row r="9273">
          <cell r="O9273" t="str">
            <v>SC4695DC</v>
          </cell>
          <cell r="P9273" t="str">
            <v>STC9D01C</v>
          </cell>
          <cell r="Q9273" t="str">
            <v>角度传感器</v>
          </cell>
        </row>
        <row r="9274">
          <cell r="O9274" t="str">
            <v>S41H</v>
          </cell>
          <cell r="P9274" t="str">
            <v>STC2899AI</v>
          </cell>
          <cell r="Q9274" t="str">
            <v>磁性位置传感器</v>
          </cell>
        </row>
        <row r="9275">
          <cell r="O9275" t="str">
            <v>S41H</v>
          </cell>
          <cell r="P9275" t="str">
            <v>STC2899AI</v>
          </cell>
          <cell r="Q9275" t="str">
            <v>磁性位置传感器</v>
          </cell>
        </row>
        <row r="9276">
          <cell r="O9276" t="str">
            <v>S41H</v>
          </cell>
          <cell r="P9276" t="str">
            <v>STC2899AI</v>
          </cell>
          <cell r="Q9276" t="str">
            <v>磁性位置传感器</v>
          </cell>
        </row>
        <row r="9277">
          <cell r="O9277" t="str">
            <v>S41H</v>
          </cell>
          <cell r="P9277" t="str">
            <v>STC2899AI</v>
          </cell>
          <cell r="Q9277" t="str">
            <v>磁性位置传感器</v>
          </cell>
        </row>
        <row r="9278">
          <cell r="O9278" t="str">
            <v>S41H</v>
          </cell>
          <cell r="P9278" t="str">
            <v>STC2899AI</v>
          </cell>
          <cell r="Q9278" t="str">
            <v>磁性位置传感器</v>
          </cell>
        </row>
        <row r="9279">
          <cell r="O9279" t="str">
            <v>S41H</v>
          </cell>
          <cell r="P9279" t="str">
            <v>STC2899AI</v>
          </cell>
          <cell r="Q9279" t="str">
            <v>磁性位置传感器</v>
          </cell>
        </row>
        <row r="9280">
          <cell r="O9280" t="str">
            <v>S41H</v>
          </cell>
          <cell r="P9280" t="str">
            <v>STC2899AI</v>
          </cell>
          <cell r="Q9280" t="str">
            <v>磁性位置传感器</v>
          </cell>
        </row>
        <row r="9281">
          <cell r="O9281" t="str">
            <v>S41H</v>
          </cell>
          <cell r="P9281" t="str">
            <v>STC2899AI</v>
          </cell>
          <cell r="Q9281" t="str">
            <v>磁性位置传感器</v>
          </cell>
        </row>
        <row r="9282">
          <cell r="O9282" t="str">
            <v>S41H</v>
          </cell>
          <cell r="P9282" t="str">
            <v>STC2899AI</v>
          </cell>
          <cell r="Q9282" t="str">
            <v>磁性位置传感器</v>
          </cell>
        </row>
        <row r="9283">
          <cell r="O9283" t="str">
            <v>S41H</v>
          </cell>
          <cell r="P9283" t="str">
            <v>STC2899AI</v>
          </cell>
          <cell r="Q9283" t="str">
            <v>磁性位置传感器</v>
          </cell>
        </row>
        <row r="9284">
          <cell r="O9284" t="str">
            <v>S41H</v>
          </cell>
          <cell r="P9284" t="str">
            <v>STC2899AI</v>
          </cell>
          <cell r="Q9284" t="str">
            <v>磁性位置传感器</v>
          </cell>
        </row>
        <row r="9285">
          <cell r="O9285" t="str">
            <v>S41H</v>
          </cell>
          <cell r="P9285" t="str">
            <v>STC2899AI</v>
          </cell>
          <cell r="Q9285" t="str">
            <v>磁性位置传感器</v>
          </cell>
        </row>
        <row r="9286">
          <cell r="O9286" t="str">
            <v>S41H</v>
          </cell>
          <cell r="P9286" t="str">
            <v>STC2899AI</v>
          </cell>
          <cell r="Q9286" t="str">
            <v>磁性位置传感器</v>
          </cell>
        </row>
        <row r="9287">
          <cell r="O9287" t="str">
            <v>S41H</v>
          </cell>
          <cell r="P9287" t="str">
            <v>STC2899AI</v>
          </cell>
          <cell r="Q9287" t="str">
            <v>磁性位置传感器</v>
          </cell>
        </row>
        <row r="9288">
          <cell r="O9288" t="str">
            <v>S41H</v>
          </cell>
          <cell r="P9288" t="str">
            <v>STC2899AI</v>
          </cell>
          <cell r="Q9288" t="str">
            <v>磁性位置传感器</v>
          </cell>
        </row>
        <row r="9289">
          <cell r="O9289" t="str">
            <v>SC9641TS-P</v>
          </cell>
          <cell r="P9289" t="str">
            <v>STC9A001I</v>
          </cell>
          <cell r="Q9289" t="str">
            <v>速度传感器</v>
          </cell>
        </row>
        <row r="9290">
          <cell r="O9290" t="str">
            <v>SC1645B1</v>
          </cell>
          <cell r="P9290" t="str">
            <v>STC2899AE</v>
          </cell>
          <cell r="Q9290" t="str">
            <v>磁性位置传感器</v>
          </cell>
        </row>
        <row r="9291">
          <cell r="O9291" t="str">
            <v>SC1645B1</v>
          </cell>
          <cell r="P9291" t="str">
            <v>STC2899AE</v>
          </cell>
          <cell r="Q9291" t="str">
            <v>磁性位置传感器</v>
          </cell>
        </row>
        <row r="9292">
          <cell r="O9292" t="str">
            <v>SC1645B1</v>
          </cell>
          <cell r="P9292" t="str">
            <v>STC2899AE</v>
          </cell>
          <cell r="Q9292" t="str">
            <v>磁性位置传感器</v>
          </cell>
        </row>
        <row r="9293">
          <cell r="O9293" t="str">
            <v>SC1645B1</v>
          </cell>
          <cell r="P9293" t="str">
            <v>STC2899AE</v>
          </cell>
          <cell r="Q9293" t="str">
            <v>磁性位置传感器</v>
          </cell>
        </row>
        <row r="9294">
          <cell r="O9294" t="str">
            <v>SC1645B1</v>
          </cell>
          <cell r="P9294" t="str">
            <v>STC2899AE</v>
          </cell>
          <cell r="Q9294" t="str">
            <v>磁性位置传感器</v>
          </cell>
        </row>
        <row r="9295">
          <cell r="O9295" t="str">
            <v>SC1645B1</v>
          </cell>
          <cell r="P9295" t="str">
            <v>STC2899AE</v>
          </cell>
          <cell r="Q9295" t="str">
            <v>磁性位置传感器</v>
          </cell>
        </row>
        <row r="9296">
          <cell r="O9296" t="str">
            <v>SC1645B1</v>
          </cell>
          <cell r="P9296" t="str">
            <v>STC2899AE</v>
          </cell>
          <cell r="Q9296" t="str">
            <v>磁性位置传感器</v>
          </cell>
        </row>
        <row r="9297">
          <cell r="O9297" t="str">
            <v>SC1645B1</v>
          </cell>
          <cell r="P9297" t="str">
            <v>STC2899AE</v>
          </cell>
          <cell r="Q9297" t="str">
            <v>磁性位置传感器</v>
          </cell>
        </row>
        <row r="9298">
          <cell r="O9298" t="str">
            <v>SC1645B1</v>
          </cell>
          <cell r="P9298" t="str">
            <v>STC2899AE</v>
          </cell>
          <cell r="Q9298" t="str">
            <v>磁性位置传感器</v>
          </cell>
        </row>
        <row r="9299">
          <cell r="O9299" t="str">
            <v>SC1645B1</v>
          </cell>
          <cell r="P9299" t="str">
            <v>STC2899AE</v>
          </cell>
          <cell r="Q9299" t="str">
            <v>磁性位置传感器</v>
          </cell>
        </row>
        <row r="9300">
          <cell r="O9300" t="str">
            <v>SC1645B1</v>
          </cell>
          <cell r="P9300" t="str">
            <v>STC2899AE</v>
          </cell>
          <cell r="Q9300" t="str">
            <v>磁性位置传感器</v>
          </cell>
        </row>
        <row r="9301">
          <cell r="O9301" t="str">
            <v>SC1645B1</v>
          </cell>
          <cell r="P9301" t="str">
            <v>STC2899AE</v>
          </cell>
          <cell r="Q9301" t="str">
            <v>磁性位置传感器</v>
          </cell>
        </row>
        <row r="9302">
          <cell r="O9302" t="str">
            <v>SC1645B1</v>
          </cell>
          <cell r="P9302" t="str">
            <v>STC2899AE</v>
          </cell>
          <cell r="Q9302" t="str">
            <v>磁性位置传感器</v>
          </cell>
        </row>
        <row r="9303">
          <cell r="O9303" t="str">
            <v>SC1645B1</v>
          </cell>
          <cell r="P9303" t="str">
            <v>STC2899AE</v>
          </cell>
          <cell r="Q9303" t="str">
            <v>磁性位置传感器</v>
          </cell>
        </row>
        <row r="9304">
          <cell r="O9304" t="str">
            <v>SC60221-D-100</v>
          </cell>
          <cell r="P9304" t="str">
            <v>STC9D04C</v>
          </cell>
          <cell r="Q9304" t="str">
            <v>电机编码器</v>
          </cell>
        </row>
        <row r="9305">
          <cell r="O9305" t="str">
            <v>SC1645A1</v>
          </cell>
          <cell r="P9305" t="str">
            <v>STC2899AE</v>
          </cell>
          <cell r="Q9305" t="str">
            <v>磁性位置传感器</v>
          </cell>
        </row>
        <row r="9306">
          <cell r="O9306" t="str">
            <v>SC1445A1</v>
          </cell>
          <cell r="P9306" t="str">
            <v>STC2899AB</v>
          </cell>
          <cell r="Q9306" t="str">
            <v>磁性位置传感器</v>
          </cell>
        </row>
        <row r="9307">
          <cell r="O9307" t="str">
            <v>SC2464UA</v>
          </cell>
          <cell r="P9307" t="str">
            <v>STC9906J</v>
          </cell>
          <cell r="Q9307" t="str">
            <v>磁性位置传感器</v>
          </cell>
        </row>
        <row r="9308">
          <cell r="O9308" t="str">
            <v>SC2402SO-N-G</v>
          </cell>
          <cell r="P9308" t="str">
            <v>STC9G002A</v>
          </cell>
          <cell r="Q9308" t="str">
            <v>磁性位置传感器</v>
          </cell>
        </row>
        <row r="9309">
          <cell r="O9309" t="str">
            <v>SC1133UA</v>
          </cell>
          <cell r="P9309" t="str">
            <v>STC1898AJ</v>
          </cell>
          <cell r="Q9309" t="str">
            <v>磁性位置传感器</v>
          </cell>
        </row>
        <row r="9310">
          <cell r="O9310" t="str">
            <v>SC2436SO</v>
          </cell>
          <cell r="P9310" t="str">
            <v>STC9906I</v>
          </cell>
          <cell r="Q9310" t="str">
            <v>磁性位置传感器</v>
          </cell>
        </row>
        <row r="9311">
          <cell r="O9311" t="str">
            <v>SC9641TS-P</v>
          </cell>
          <cell r="P9311" t="str">
            <v>STC9A001I</v>
          </cell>
          <cell r="Q9311" t="str">
            <v>速度传感器</v>
          </cell>
        </row>
        <row r="9312">
          <cell r="O9312" t="str">
            <v>SC9641TS-P</v>
          </cell>
          <cell r="P9312" t="str">
            <v>STC9A001I</v>
          </cell>
          <cell r="Q9312" t="str">
            <v>速度传感器</v>
          </cell>
        </row>
        <row r="9313">
          <cell r="O9313" t="str">
            <v>SC9641TS-P</v>
          </cell>
          <cell r="P9313" t="str">
            <v>STC9A001I</v>
          </cell>
          <cell r="Q9313" t="str">
            <v>速度传感器</v>
          </cell>
        </row>
        <row r="9314">
          <cell r="O9314" t="str">
            <v>ZH6823B</v>
          </cell>
          <cell r="P9314" t="str">
            <v>ZH6823B</v>
          </cell>
          <cell r="Q9314" t="str">
            <v>电机驱动</v>
          </cell>
        </row>
        <row r="9315">
          <cell r="O9315" t="str">
            <v>SC2443UA</v>
          </cell>
          <cell r="P9315" t="str">
            <v>STC9906G</v>
          </cell>
          <cell r="Q9315" t="str">
            <v>磁性位置传感器</v>
          </cell>
        </row>
        <row r="9316">
          <cell r="O9316" t="str">
            <v>SC9641TS</v>
          </cell>
          <cell r="P9316" t="str">
            <v>STC9910BN</v>
          </cell>
          <cell r="Q9316" t="str">
            <v>速度传感器</v>
          </cell>
        </row>
        <row r="9317">
          <cell r="O9317" t="str">
            <v>SC9641TS</v>
          </cell>
          <cell r="P9317" t="str">
            <v>STC9910BN</v>
          </cell>
          <cell r="Q9317" t="str">
            <v>速度传感器</v>
          </cell>
        </row>
        <row r="9318">
          <cell r="O9318" t="str">
            <v>SC9641TS</v>
          </cell>
          <cell r="P9318" t="str">
            <v>STC9910BN</v>
          </cell>
          <cell r="Q9318" t="str">
            <v>速度传感器</v>
          </cell>
        </row>
        <row r="9319">
          <cell r="O9319" t="str">
            <v>SC9641TS</v>
          </cell>
          <cell r="P9319" t="str">
            <v>STC9910BN</v>
          </cell>
          <cell r="Q9319" t="str">
            <v>速度传感器</v>
          </cell>
        </row>
        <row r="9320">
          <cell r="O9320" t="str">
            <v>SC9641TS</v>
          </cell>
          <cell r="P9320" t="str">
            <v>STC9910BN</v>
          </cell>
          <cell r="Q9320" t="str">
            <v>速度传感器</v>
          </cell>
        </row>
        <row r="9321">
          <cell r="O9321" t="str">
            <v>SC9641TS-P</v>
          </cell>
          <cell r="P9321" t="str">
            <v>STC9A001I</v>
          </cell>
          <cell r="Q9321" t="str">
            <v>速度传感器</v>
          </cell>
        </row>
        <row r="9322">
          <cell r="O9322" t="str">
            <v>SC9641TS-P</v>
          </cell>
          <cell r="P9322" t="str">
            <v>STC9A001I</v>
          </cell>
          <cell r="Q9322" t="str">
            <v>速度传感器</v>
          </cell>
        </row>
        <row r="9323">
          <cell r="O9323" t="str">
            <v>SC243X编程器</v>
          </cell>
          <cell r="P9323" t="str">
            <v xml:space="preserve"> </v>
          </cell>
          <cell r="Q9323" t="str">
            <v>磁性位置传感器</v>
          </cell>
        </row>
        <row r="9324">
          <cell r="O9324" t="str">
            <v>SC1134UA</v>
          </cell>
          <cell r="P9324" t="str">
            <v>STC1898AI</v>
          </cell>
          <cell r="Q9324" t="str">
            <v>磁性位置传感器</v>
          </cell>
        </row>
        <row r="9325">
          <cell r="O9325" t="str">
            <v>SC1134UA</v>
          </cell>
          <cell r="P9325" t="str">
            <v>STC1898AI</v>
          </cell>
          <cell r="Q9325" t="str">
            <v>磁性位置传感器</v>
          </cell>
        </row>
        <row r="9326">
          <cell r="O9326" t="str">
            <v>SC1645B1</v>
          </cell>
          <cell r="P9326" t="str">
            <v>STC2899AE</v>
          </cell>
          <cell r="Q9326" t="str">
            <v>磁性位置传感器</v>
          </cell>
        </row>
        <row r="9327">
          <cell r="O9327" t="str">
            <v>SC1645B1</v>
          </cell>
          <cell r="P9327" t="str">
            <v>STC2899AE</v>
          </cell>
          <cell r="Q9327" t="str">
            <v>磁性位置传感器</v>
          </cell>
        </row>
        <row r="9328">
          <cell r="O9328" t="str">
            <v>SC1645B1</v>
          </cell>
          <cell r="P9328" t="str">
            <v>STC2899AE</v>
          </cell>
          <cell r="Q9328" t="str">
            <v>磁性位置传感器</v>
          </cell>
        </row>
        <row r="9329">
          <cell r="O9329" t="str">
            <v>SC1645B1</v>
          </cell>
          <cell r="P9329" t="str">
            <v>STC2899AE</v>
          </cell>
          <cell r="Q9329" t="str">
            <v>磁性位置传感器</v>
          </cell>
        </row>
        <row r="9330">
          <cell r="O9330" t="str">
            <v>SC2242UA</v>
          </cell>
          <cell r="P9330" t="str">
            <v>STC9906H</v>
          </cell>
          <cell r="Q9330" t="str">
            <v>磁性位置传感器</v>
          </cell>
        </row>
        <row r="9331">
          <cell r="O9331" t="str">
            <v>SC60228DC</v>
          </cell>
          <cell r="P9331" t="str">
            <v>STC9D04C</v>
          </cell>
          <cell r="Q9331" t="str">
            <v>电机编码器</v>
          </cell>
        </row>
        <row r="9332">
          <cell r="O9332" t="str">
            <v>SC2064SO</v>
          </cell>
          <cell r="P9332" t="str">
            <v>STC9G001C</v>
          </cell>
          <cell r="Q9332" t="str">
            <v>磁性位置传感器</v>
          </cell>
        </row>
        <row r="9333">
          <cell r="O9333" t="str">
            <v>SC1134UA</v>
          </cell>
          <cell r="P9333" t="str">
            <v>STC1898AI</v>
          </cell>
          <cell r="Q9333" t="str">
            <v>磁性位置传感器</v>
          </cell>
        </row>
        <row r="9334">
          <cell r="O9334" t="str">
            <v>SC2442UA</v>
          </cell>
          <cell r="P9334" t="str">
            <v>STC9906P</v>
          </cell>
          <cell r="Q9334" t="str">
            <v>磁性位置传感器</v>
          </cell>
        </row>
        <row r="9335">
          <cell r="O9335" t="str">
            <v>SC2064SO</v>
          </cell>
          <cell r="P9335" t="str">
            <v>STC9G001C</v>
          </cell>
          <cell r="Q9335" t="str">
            <v>磁性位置传感器</v>
          </cell>
        </row>
        <row r="9336">
          <cell r="O9336" t="str">
            <v>SC9632VB</v>
          </cell>
          <cell r="P9336" t="str">
            <v>STC9905E</v>
          </cell>
          <cell r="Q9336" t="str">
            <v>速度传感器</v>
          </cell>
        </row>
        <row r="9337">
          <cell r="O9337" t="str">
            <v>SC2402SO-N</v>
          </cell>
          <cell r="P9337" t="str">
            <v>STC9902J</v>
          </cell>
          <cell r="Q9337" t="str">
            <v>磁性位置传感器</v>
          </cell>
        </row>
        <row r="9338">
          <cell r="O9338" t="str">
            <v>SC2402SO-N</v>
          </cell>
          <cell r="P9338" t="str">
            <v>STC9902J</v>
          </cell>
          <cell r="Q9338" t="str">
            <v>磁性位置传感器</v>
          </cell>
        </row>
        <row r="9339">
          <cell r="O9339" t="str">
            <v>SC2442SO</v>
          </cell>
          <cell r="P9339" t="str">
            <v>STC9906R</v>
          </cell>
          <cell r="Q9339" t="str">
            <v>磁性位置传感器</v>
          </cell>
        </row>
        <row r="9340">
          <cell r="O9340" t="str">
            <v>V2303A</v>
          </cell>
          <cell r="P9340" t="str">
            <v>V2303A</v>
          </cell>
          <cell r="Q9340" t="str">
            <v>电源管理</v>
          </cell>
        </row>
        <row r="9341">
          <cell r="O9341" t="str">
            <v>ZH6338B</v>
          </cell>
          <cell r="P9341" t="str">
            <v>ZH6338B</v>
          </cell>
          <cell r="Q9341" t="str">
            <v>电机驱动</v>
          </cell>
        </row>
        <row r="9342">
          <cell r="O9342" t="str">
            <v>ZH6338B</v>
          </cell>
          <cell r="P9342" t="str">
            <v>ZH6338B</v>
          </cell>
          <cell r="Q9342" t="str">
            <v>电机驱动</v>
          </cell>
        </row>
        <row r="9343">
          <cell r="O9343" t="str">
            <v>ZH6338B</v>
          </cell>
          <cell r="P9343" t="str">
            <v>ZH6338B</v>
          </cell>
          <cell r="Q9343" t="str">
            <v>电机驱动</v>
          </cell>
        </row>
        <row r="9344">
          <cell r="O9344" t="str">
            <v>ZH6338B</v>
          </cell>
          <cell r="P9344" t="str">
            <v>ZH6338B</v>
          </cell>
          <cell r="Q9344" t="str">
            <v>电机驱动</v>
          </cell>
        </row>
        <row r="9345">
          <cell r="O9345" t="str">
            <v>3100</v>
          </cell>
          <cell r="P9345" t="str">
            <v>STC9D06G</v>
          </cell>
          <cell r="Q9345" t="str">
            <v>电流传感器</v>
          </cell>
        </row>
        <row r="9346">
          <cell r="O9346" t="str">
            <v>SC1245UA</v>
          </cell>
          <cell r="P9346" t="str">
            <v>STC1898AD</v>
          </cell>
          <cell r="Q9346" t="str">
            <v>磁性位置传感器</v>
          </cell>
        </row>
        <row r="9347">
          <cell r="O9347" t="str">
            <v>STC4011B</v>
          </cell>
          <cell r="P9347" t="str">
            <v>STC4011B</v>
          </cell>
          <cell r="Q9347" t="str">
            <v>磁性位置传感器</v>
          </cell>
        </row>
        <row r="9348">
          <cell r="O9348" t="str">
            <v>STC4011B</v>
          </cell>
          <cell r="P9348" t="str">
            <v>STC4011B</v>
          </cell>
          <cell r="Q9348" t="str">
            <v>磁性位置传感器</v>
          </cell>
        </row>
        <row r="9349">
          <cell r="O9349" t="str">
            <v>STC4011B</v>
          </cell>
          <cell r="P9349" t="str">
            <v>STC4011B</v>
          </cell>
          <cell r="Q9349" t="str">
            <v>磁性位置传感器</v>
          </cell>
        </row>
        <row r="9350">
          <cell r="O9350" t="str">
            <v>STC4011B</v>
          </cell>
          <cell r="P9350" t="str">
            <v>STC4011B</v>
          </cell>
          <cell r="Q9350" t="str">
            <v>磁性位置传感器</v>
          </cell>
        </row>
        <row r="9351">
          <cell r="O9351" t="str">
            <v>SC2064SO</v>
          </cell>
          <cell r="P9351" t="str">
            <v>STC9G001C</v>
          </cell>
          <cell r="Q9351" t="str">
            <v>磁性位置传感器</v>
          </cell>
        </row>
        <row r="9352">
          <cell r="O9352" t="str">
            <v>SC1134UA</v>
          </cell>
          <cell r="P9352" t="str">
            <v>STC1898AI</v>
          </cell>
          <cell r="Q9352" t="str">
            <v>磁性位置传感器</v>
          </cell>
        </row>
        <row r="9353">
          <cell r="O9353" t="str">
            <v>SC1134UA</v>
          </cell>
          <cell r="P9353" t="str">
            <v>STC1898AI</v>
          </cell>
          <cell r="Q9353" t="str">
            <v>磁性位置传感器</v>
          </cell>
        </row>
        <row r="9354">
          <cell r="O9354" t="str">
            <v>SC1134UA</v>
          </cell>
          <cell r="P9354" t="str">
            <v>STC1898AI</v>
          </cell>
          <cell r="Q9354" t="str">
            <v>磁性位置传感器</v>
          </cell>
        </row>
        <row r="9355">
          <cell r="O9355" t="str">
            <v>SC2442UA</v>
          </cell>
          <cell r="P9355" t="str">
            <v>STC9906P</v>
          </cell>
          <cell r="Q9355" t="str">
            <v>磁性位置传感器</v>
          </cell>
        </row>
        <row r="9356">
          <cell r="O9356" t="str">
            <v>SC2063UA</v>
          </cell>
          <cell r="P9356" t="str">
            <v>STC9G001C</v>
          </cell>
          <cell r="Q9356" t="str">
            <v>磁性位置传感器</v>
          </cell>
        </row>
        <row r="9357">
          <cell r="O9357" t="str">
            <v>SC9641TS-P</v>
          </cell>
          <cell r="P9357" t="str">
            <v>STC9A001I</v>
          </cell>
          <cell r="Q9357" t="str">
            <v>速度传感器</v>
          </cell>
        </row>
        <row r="9358">
          <cell r="O9358" t="str">
            <v>SC9641TS-P</v>
          </cell>
          <cell r="P9358" t="str">
            <v>STC9A001I</v>
          </cell>
          <cell r="Q9358" t="str">
            <v>速度传感器</v>
          </cell>
        </row>
        <row r="9359">
          <cell r="O9359" t="str">
            <v>SC9641TS-P</v>
          </cell>
          <cell r="P9359" t="str">
            <v>STC9A001I</v>
          </cell>
          <cell r="Q9359" t="str">
            <v>速度传感器</v>
          </cell>
        </row>
        <row r="9360">
          <cell r="O9360" t="str">
            <v>SC9641TS-P</v>
          </cell>
          <cell r="P9360" t="str">
            <v>STC9A001I</v>
          </cell>
          <cell r="Q9360" t="str">
            <v>速度传感器</v>
          </cell>
        </row>
        <row r="9361">
          <cell r="O9361" t="str">
            <v>SYLMV358BPA1R</v>
          </cell>
          <cell r="P9361" t="str">
            <v>STC9G003B</v>
          </cell>
          <cell r="Q9361" t="str">
            <v>其他数模混合</v>
          </cell>
        </row>
        <row r="9362">
          <cell r="O9362" t="str">
            <v>SC2466SO</v>
          </cell>
          <cell r="P9362" t="str">
            <v>STC9906O</v>
          </cell>
          <cell r="Q9362" t="str">
            <v>磁性位置传感器</v>
          </cell>
        </row>
        <row r="9363">
          <cell r="O9363" t="str">
            <v>SC9314UA</v>
          </cell>
          <cell r="P9363" t="str">
            <v>STC9901AF</v>
          </cell>
          <cell r="Q9363" t="str">
            <v>速度传感器</v>
          </cell>
        </row>
        <row r="9364">
          <cell r="O9364" t="str">
            <v>SC1134UA</v>
          </cell>
          <cell r="P9364" t="str">
            <v>STC1898AI</v>
          </cell>
          <cell r="Q9364" t="str">
            <v>磁性位置传感器</v>
          </cell>
        </row>
        <row r="9365">
          <cell r="O9365" t="str">
            <v>SC2402SO-N-G</v>
          </cell>
          <cell r="P9365" t="str">
            <v>STC9G002A</v>
          </cell>
          <cell r="Q9365" t="str">
            <v>磁性位置传感器</v>
          </cell>
        </row>
        <row r="9366">
          <cell r="O9366" t="str">
            <v>SC1138SO-N</v>
          </cell>
          <cell r="P9366" t="str">
            <v>STC1898AC</v>
          </cell>
          <cell r="Q9366" t="str">
            <v>磁性位置传感器</v>
          </cell>
        </row>
        <row r="9367">
          <cell r="O9367" t="str">
            <v>SC9648TS-P</v>
          </cell>
          <cell r="P9367" t="str">
            <v>STC9A001I</v>
          </cell>
          <cell r="Q9367" t="str">
            <v>速度传感器</v>
          </cell>
        </row>
        <row r="9368">
          <cell r="O9368" t="str">
            <v>SC9648TS-P</v>
          </cell>
          <cell r="P9368" t="str">
            <v>STC9A001I</v>
          </cell>
          <cell r="Q9368" t="str">
            <v>速度传感器</v>
          </cell>
        </row>
        <row r="9369">
          <cell r="O9369" t="str">
            <v>SC9625VB-L</v>
          </cell>
          <cell r="P9369" t="str">
            <v>STC9910E</v>
          </cell>
          <cell r="Q9369" t="str">
            <v>速度传感器</v>
          </cell>
        </row>
        <row r="9370">
          <cell r="O9370" t="str">
            <v>SC9625VB-L</v>
          </cell>
          <cell r="P9370" t="str">
            <v>STC9910E</v>
          </cell>
          <cell r="Q9370" t="str">
            <v>速度传感器</v>
          </cell>
        </row>
        <row r="9371">
          <cell r="O9371" t="str">
            <v>SC9648TS-P</v>
          </cell>
          <cell r="P9371" t="str">
            <v>STC9A001I</v>
          </cell>
          <cell r="Q9371" t="str">
            <v>速度传感器</v>
          </cell>
        </row>
        <row r="9372">
          <cell r="O9372" t="str">
            <v>SC9648TS-P</v>
          </cell>
          <cell r="P9372" t="str">
            <v>STC9A001I</v>
          </cell>
          <cell r="Q9372" t="str">
            <v>速度传感器</v>
          </cell>
        </row>
        <row r="9373">
          <cell r="O9373" t="str">
            <v>SC69401工程编程器套装</v>
          </cell>
          <cell r="P9373" t="str">
            <v xml:space="preserve"> </v>
          </cell>
          <cell r="Q9373" t="str">
            <v>角度传感器</v>
          </cell>
        </row>
        <row r="9374">
          <cell r="O9374" t="str">
            <v>ZH6242</v>
          </cell>
          <cell r="P9374" t="str">
            <v>ZH6242</v>
          </cell>
          <cell r="Q9374" t="str">
            <v>电机驱动</v>
          </cell>
        </row>
        <row r="9375">
          <cell r="O9375" t="str">
            <v>ZH6350B1</v>
          </cell>
          <cell r="P9375" t="str">
            <v>ZH6350B1</v>
          </cell>
          <cell r="Q9375" t="str">
            <v>电机驱动</v>
          </cell>
        </row>
        <row r="9376">
          <cell r="O9376" t="str">
            <v>SC2402SO-N</v>
          </cell>
          <cell r="P9376" t="str">
            <v>STC9902J</v>
          </cell>
          <cell r="Q9376" t="str">
            <v>磁性位置传感器</v>
          </cell>
        </row>
        <row r="9377">
          <cell r="O9377" t="str">
            <v>SC2448UA-N</v>
          </cell>
          <cell r="P9377" t="str">
            <v>STC9906S</v>
          </cell>
          <cell r="Q9377" t="str">
            <v>磁性位置传感器</v>
          </cell>
        </row>
        <row r="9378">
          <cell r="O9378" t="str">
            <v>SC1245UA</v>
          </cell>
          <cell r="P9378" t="str">
            <v>STC1898AD</v>
          </cell>
          <cell r="Q9378" t="str">
            <v>磁性位置传感器</v>
          </cell>
        </row>
        <row r="9379">
          <cell r="O9379" t="str">
            <v>SC2498CUA-N</v>
          </cell>
          <cell r="P9379" t="str">
            <v>SC9915C</v>
          </cell>
          <cell r="Q9379" t="str">
            <v>磁性位置传感器</v>
          </cell>
        </row>
        <row r="9380">
          <cell r="O9380" t="str">
            <v>SC1445A1</v>
          </cell>
          <cell r="P9380" t="str">
            <v>STC2899AB</v>
          </cell>
          <cell r="Q9380" t="str">
            <v>磁性位置传感器</v>
          </cell>
        </row>
        <row r="9381">
          <cell r="O9381" t="str">
            <v>SC9648TS-P</v>
          </cell>
          <cell r="P9381" t="str">
            <v>STC9A001I</v>
          </cell>
          <cell r="Q9381" t="str">
            <v>速度传感器</v>
          </cell>
        </row>
        <row r="9382">
          <cell r="O9382" t="str">
            <v>SC9648TS-P</v>
          </cell>
          <cell r="P9382" t="str">
            <v>STC9A001I</v>
          </cell>
          <cell r="Q9382" t="str">
            <v>速度传感器</v>
          </cell>
        </row>
        <row r="9383">
          <cell r="O9383" t="str">
            <v>SC9625VB</v>
          </cell>
          <cell r="P9383" t="str">
            <v>STC9910B</v>
          </cell>
          <cell r="Q9383" t="str">
            <v>速度传感器</v>
          </cell>
        </row>
        <row r="9384">
          <cell r="O9384" t="str">
            <v>SC9675IM-P-LRF01</v>
          </cell>
          <cell r="P9384" t="str">
            <v>STC9A002B</v>
          </cell>
          <cell r="Q9384" t="str">
            <v>速度传感器</v>
          </cell>
        </row>
        <row r="9385">
          <cell r="O9385" t="str">
            <v>SC2416SE</v>
          </cell>
          <cell r="P9385" t="str">
            <v>STC9902B</v>
          </cell>
          <cell r="Q9385" t="str">
            <v>磁性位置传感器</v>
          </cell>
        </row>
        <row r="9386">
          <cell r="O9386" t="str">
            <v>SC2416SE</v>
          </cell>
          <cell r="P9386" t="str">
            <v>STC9902B</v>
          </cell>
          <cell r="Q9386" t="str">
            <v>磁性位置传感器</v>
          </cell>
        </row>
        <row r="9387">
          <cell r="O9387" t="str">
            <v>SC4616UA-10NV</v>
          </cell>
          <cell r="P9387" t="str">
            <v>STC9907D</v>
          </cell>
          <cell r="Q9387" t="str">
            <v>电流传感器</v>
          </cell>
        </row>
        <row r="9388">
          <cell r="O9388" t="str">
            <v>SC4616UA-10NV</v>
          </cell>
          <cell r="P9388" t="str">
            <v>STC9907D</v>
          </cell>
          <cell r="Q9388" t="str">
            <v>电流传感器</v>
          </cell>
        </row>
        <row r="9389">
          <cell r="O9389" t="str">
            <v>SC4688SA-A</v>
          </cell>
          <cell r="P9389" t="str">
            <v>STC9D01C</v>
          </cell>
          <cell r="Q9389" t="str">
            <v>角度传感器</v>
          </cell>
        </row>
        <row r="9390">
          <cell r="O9390" t="str">
            <v>SC2242SO</v>
          </cell>
          <cell r="P9390" t="str">
            <v>STC9906H</v>
          </cell>
          <cell r="Q9390" t="str">
            <v>磁性位置传感器</v>
          </cell>
        </row>
        <row r="9391">
          <cell r="O9391" t="str">
            <v>SC2402UA</v>
          </cell>
          <cell r="P9391" t="str">
            <v>STC9902J</v>
          </cell>
          <cell r="Q9391" t="str">
            <v>磁性位置传感器</v>
          </cell>
        </row>
        <row r="9392">
          <cell r="O9392" t="str">
            <v>SC1645A1</v>
          </cell>
          <cell r="P9392" t="str">
            <v>STC2899AE</v>
          </cell>
          <cell r="Q9392" t="str">
            <v>磁性位置传感器</v>
          </cell>
        </row>
        <row r="9393">
          <cell r="O9393" t="str">
            <v>SC1645A1</v>
          </cell>
          <cell r="P9393" t="str">
            <v>STC2899AE</v>
          </cell>
          <cell r="Q9393" t="str">
            <v>磁性位置传感器</v>
          </cell>
        </row>
        <row r="9394">
          <cell r="O9394" t="str">
            <v>SC1645A1</v>
          </cell>
          <cell r="P9394" t="str">
            <v>STC2899AE</v>
          </cell>
          <cell r="Q9394" t="str">
            <v>磁性位置传感器</v>
          </cell>
        </row>
        <row r="9395">
          <cell r="O9395" t="str">
            <v>SC9641TS-P</v>
          </cell>
          <cell r="P9395" t="str">
            <v>STC9A001I</v>
          </cell>
          <cell r="Q9395" t="str">
            <v>速度传感器</v>
          </cell>
        </row>
        <row r="9396">
          <cell r="O9396" t="str">
            <v>SC1245SO-N</v>
          </cell>
          <cell r="P9396" t="str">
            <v>STC1898AD</v>
          </cell>
          <cell r="Q9396" t="str">
            <v>磁性位置传感器</v>
          </cell>
        </row>
        <row r="9397">
          <cell r="O9397" t="str">
            <v>SC2033SO-N</v>
          </cell>
          <cell r="P9397" t="str">
            <v>STC9G001D</v>
          </cell>
          <cell r="Q9397" t="str">
            <v>磁性位置传感器</v>
          </cell>
        </row>
        <row r="9398">
          <cell r="O9398" t="str">
            <v>SC60221-D-50</v>
          </cell>
          <cell r="P9398" t="str">
            <v>STC9D04C</v>
          </cell>
          <cell r="Q9398" t="str">
            <v>电机编码器</v>
          </cell>
        </row>
        <row r="9399">
          <cell r="O9399" t="str">
            <v>SC2443SO</v>
          </cell>
          <cell r="P9399" t="str">
            <v>STC9906T</v>
          </cell>
          <cell r="Q9399" t="str">
            <v>磁性位置传感器</v>
          </cell>
        </row>
        <row r="9400">
          <cell r="O9400" t="str">
            <v>SC9641TS-P</v>
          </cell>
          <cell r="P9400" t="str">
            <v>STC9A001I</v>
          </cell>
          <cell r="Q9400" t="str">
            <v>速度传感器</v>
          </cell>
        </row>
        <row r="9401">
          <cell r="O9401" t="str">
            <v>SC9641TS-P</v>
          </cell>
          <cell r="P9401" t="str">
            <v>STC9A001I</v>
          </cell>
          <cell r="Q9401" t="str">
            <v>速度传感器</v>
          </cell>
        </row>
        <row r="9402">
          <cell r="O9402" t="str">
            <v>PSTC9G003B</v>
          </cell>
          <cell r="P9402" t="str">
            <v>STC9G003B</v>
          </cell>
          <cell r="Q9402" t="str">
            <v>其他数模混合</v>
          </cell>
        </row>
        <row r="9403">
          <cell r="O9403" t="str">
            <v>STC9G005B</v>
          </cell>
          <cell r="P9403" t="str">
            <v>STC9G005B</v>
          </cell>
          <cell r="Q9403" t="str">
            <v>其他数模混合</v>
          </cell>
        </row>
        <row r="9404">
          <cell r="O9404" t="str">
            <v>SC2442SO</v>
          </cell>
          <cell r="P9404" t="str">
            <v>STC9906R</v>
          </cell>
          <cell r="Q9404" t="str">
            <v>磁性位置传感器</v>
          </cell>
        </row>
        <row r="9405">
          <cell r="O9405" t="str">
            <v>SC2442SO</v>
          </cell>
          <cell r="P9405" t="str">
            <v>STC9906R</v>
          </cell>
          <cell r="Q9405" t="str">
            <v>磁性位置传感器</v>
          </cell>
        </row>
        <row r="9406">
          <cell r="O9406" t="str">
            <v>SC4688DC-M3</v>
          </cell>
          <cell r="P9406" t="str">
            <v>STC9D01C</v>
          </cell>
          <cell r="Q9406" t="str">
            <v>角度传感器</v>
          </cell>
        </row>
        <row r="9407">
          <cell r="O9407" t="str">
            <v>SC4688DC</v>
          </cell>
          <cell r="P9407" t="str">
            <v>STC9D01C</v>
          </cell>
          <cell r="Q9407" t="str">
            <v>角度传感器</v>
          </cell>
        </row>
        <row r="9408">
          <cell r="O9408" t="str">
            <v>SC9641TS-P</v>
          </cell>
          <cell r="P9408" t="str">
            <v>STC9A001I</v>
          </cell>
          <cell r="Q9408" t="str">
            <v>速度传感器</v>
          </cell>
        </row>
        <row r="9409">
          <cell r="O9409" t="str">
            <v>PSTC11201B</v>
          </cell>
          <cell r="P9409" t="str">
            <v>STC11201B</v>
          </cell>
          <cell r="Q9409" t="str">
            <v>磁性位置传感器</v>
          </cell>
        </row>
        <row r="9410">
          <cell r="O9410" t="str">
            <v>STC4011B</v>
          </cell>
          <cell r="P9410" t="str">
            <v>STC4011B</v>
          </cell>
          <cell r="Q9410" t="str">
            <v>磁性位置传感器</v>
          </cell>
        </row>
        <row r="9411">
          <cell r="O9411" t="str">
            <v>SC4688SA</v>
          </cell>
          <cell r="P9411" t="str">
            <v>STC9D01C</v>
          </cell>
          <cell r="Q9411" t="str">
            <v>角度传感器</v>
          </cell>
        </row>
        <row r="9412">
          <cell r="O9412" t="str">
            <v>SC4688SA</v>
          </cell>
          <cell r="P9412" t="str">
            <v>STC9D01C</v>
          </cell>
          <cell r="Q9412" t="str">
            <v>角度传感器</v>
          </cell>
        </row>
        <row r="9413">
          <cell r="O9413" t="str">
            <v>SC4688SA</v>
          </cell>
          <cell r="P9413" t="str">
            <v>STC9D01C</v>
          </cell>
          <cell r="Q9413" t="str">
            <v>角度传感器</v>
          </cell>
        </row>
        <row r="9414">
          <cell r="O9414" t="str">
            <v>SC4688SA</v>
          </cell>
          <cell r="P9414" t="str">
            <v>STC9D01C</v>
          </cell>
          <cell r="Q9414" t="str">
            <v>角度传感器</v>
          </cell>
        </row>
        <row r="9415">
          <cell r="O9415" t="str">
            <v>SC2242SO</v>
          </cell>
          <cell r="P9415" t="str">
            <v>STC9906H</v>
          </cell>
          <cell r="Q9415" t="str">
            <v>磁性位置传感器</v>
          </cell>
        </row>
        <row r="9416">
          <cell r="O9416" t="str">
            <v>SC2242SO</v>
          </cell>
          <cell r="P9416" t="str">
            <v>STC9906H</v>
          </cell>
          <cell r="Q9416" t="str">
            <v>磁性位置传感器</v>
          </cell>
        </row>
        <row r="9417">
          <cell r="O9417" t="str">
            <v>VE1430Q1CA3R5</v>
          </cell>
          <cell r="P9417" t="str">
            <v xml:space="preserve"> </v>
          </cell>
          <cell r="Q9417" t="str">
            <v>电源管理</v>
          </cell>
        </row>
        <row r="9418">
          <cell r="O9418" t="str">
            <v>SC69401</v>
          </cell>
          <cell r="P9418" t="str">
            <v>STC9H002D</v>
          </cell>
          <cell r="Q9418" t="str">
            <v>角度传感器</v>
          </cell>
        </row>
        <row r="9419">
          <cell r="O9419" t="str">
            <v>SC2443UA</v>
          </cell>
          <cell r="P9419" t="str">
            <v>STC9906W</v>
          </cell>
          <cell r="Q9419" t="str">
            <v>磁性位置传感器</v>
          </cell>
        </row>
        <row r="9420">
          <cell r="O9420" t="str">
            <v>SC2443UA</v>
          </cell>
          <cell r="P9420" t="str">
            <v>STC9906W</v>
          </cell>
          <cell r="Q9420" t="str">
            <v>磁性位置传感器</v>
          </cell>
        </row>
        <row r="9421">
          <cell r="O9421" t="str">
            <v>SC2443SO</v>
          </cell>
          <cell r="P9421" t="str">
            <v>STC9906T</v>
          </cell>
          <cell r="Q9421" t="str">
            <v>磁性位置传感器</v>
          </cell>
        </row>
        <row r="9422">
          <cell r="O9422" t="str">
            <v>SC2443SO</v>
          </cell>
          <cell r="P9422" t="str">
            <v>STC9906T</v>
          </cell>
          <cell r="Q9422" t="str">
            <v>磁性位置传感器</v>
          </cell>
        </row>
        <row r="9423">
          <cell r="O9423" t="str">
            <v>SC2448UA-N</v>
          </cell>
          <cell r="P9423" t="str">
            <v>STC9906S</v>
          </cell>
          <cell r="Q9423" t="str">
            <v>磁性位置传感器</v>
          </cell>
        </row>
        <row r="9424">
          <cell r="O9424" t="str">
            <v>SC2448UA-N</v>
          </cell>
          <cell r="P9424" t="str">
            <v>STC9906S</v>
          </cell>
          <cell r="Q9424" t="str">
            <v>磁性位置传感器</v>
          </cell>
        </row>
        <row r="9425">
          <cell r="O9425" t="str">
            <v>SC9641TS-P</v>
          </cell>
          <cell r="P9425" t="str">
            <v>STC9A001I</v>
          </cell>
          <cell r="Q9425" t="str">
            <v>速度传感器</v>
          </cell>
        </row>
        <row r="9426">
          <cell r="O9426" t="str">
            <v>SC9641TS-P</v>
          </cell>
          <cell r="P9426" t="str">
            <v>STC9A001I</v>
          </cell>
          <cell r="Q9426" t="str">
            <v>速度传感器</v>
          </cell>
        </row>
        <row r="9427">
          <cell r="O9427" t="str">
            <v>SC2442UA</v>
          </cell>
          <cell r="P9427" t="str">
            <v>STC9906P</v>
          </cell>
          <cell r="Q9427" t="str">
            <v>磁性位置传感器</v>
          </cell>
        </row>
        <row r="9428">
          <cell r="O9428" t="str">
            <v>SC2402SO-N</v>
          </cell>
          <cell r="P9428" t="str">
            <v>STC9902J</v>
          </cell>
          <cell r="Q9428" t="str">
            <v>磁性位置传感器</v>
          </cell>
        </row>
        <row r="9429">
          <cell r="O9429" t="str">
            <v>SC2402SO-N</v>
          </cell>
          <cell r="P9429" t="str">
            <v>STC9902J</v>
          </cell>
          <cell r="Q9429" t="str">
            <v>磁性位置传感器</v>
          </cell>
        </row>
        <row r="9430">
          <cell r="O9430" t="str">
            <v>SC2242SO</v>
          </cell>
          <cell r="P9430" t="str">
            <v>STC9906H</v>
          </cell>
          <cell r="Q9430" t="str">
            <v>磁性位置传感器</v>
          </cell>
        </row>
        <row r="9431">
          <cell r="O9431" t="str">
            <v>SC2242SO</v>
          </cell>
          <cell r="P9431" t="str">
            <v>STC9906H</v>
          </cell>
          <cell r="Q9431" t="str">
            <v>磁性位置传感器</v>
          </cell>
        </row>
        <row r="9432">
          <cell r="O9432" t="str">
            <v>SC2242SO</v>
          </cell>
          <cell r="P9432" t="str">
            <v>STC9906H</v>
          </cell>
          <cell r="Q9432" t="str">
            <v>磁性位置传感器</v>
          </cell>
        </row>
        <row r="9433">
          <cell r="O9433" t="str">
            <v>SC2242SO</v>
          </cell>
          <cell r="P9433" t="str">
            <v>STC9906H</v>
          </cell>
          <cell r="Q9433" t="str">
            <v>磁性位置传感器</v>
          </cell>
        </row>
        <row r="9434">
          <cell r="O9434" t="str">
            <v>SC2442UA</v>
          </cell>
          <cell r="P9434" t="str">
            <v>STC9906P</v>
          </cell>
          <cell r="Q9434" t="str">
            <v>磁性位置传感器</v>
          </cell>
        </row>
        <row r="9435">
          <cell r="O9435" t="str">
            <v>SC1645A1R12</v>
          </cell>
          <cell r="P9435" t="str">
            <v>STC2899AE</v>
          </cell>
          <cell r="Q9435" t="str">
            <v>磁性位置传感器</v>
          </cell>
        </row>
        <row r="9436">
          <cell r="O9436" t="str">
            <v>SC1134BU</v>
          </cell>
          <cell r="P9436" t="str">
            <v>STC1898AI</v>
          </cell>
          <cell r="Q9436" t="str">
            <v>磁性位置传感器</v>
          </cell>
        </row>
        <row r="9437">
          <cell r="O9437" t="str">
            <v>SC2402SO-N</v>
          </cell>
          <cell r="P9437" t="str">
            <v>STC9902J</v>
          </cell>
          <cell r="Q9437" t="str">
            <v>磁性位置传感器</v>
          </cell>
        </row>
        <row r="9438">
          <cell r="O9438" t="str">
            <v>SC2242SO</v>
          </cell>
          <cell r="P9438" t="str">
            <v>STC9906H</v>
          </cell>
          <cell r="Q9438" t="str">
            <v>磁性位置传感器</v>
          </cell>
        </row>
        <row r="9439">
          <cell r="O9439" t="str">
            <v>SC2436SO</v>
          </cell>
          <cell r="P9439" t="str">
            <v>STC9906I</v>
          </cell>
          <cell r="Q9439" t="str">
            <v>磁性位置传感器</v>
          </cell>
        </row>
        <row r="9440">
          <cell r="O9440" t="str">
            <v>SC9641TS-P</v>
          </cell>
          <cell r="P9440" t="str">
            <v>STC9A001I</v>
          </cell>
          <cell r="Q9440" t="str">
            <v>速度传感器</v>
          </cell>
        </row>
        <row r="9441">
          <cell r="O9441" t="str">
            <v>SC9641TS-P</v>
          </cell>
          <cell r="P9441" t="str">
            <v>STC9A001I</v>
          </cell>
          <cell r="Q9441" t="str">
            <v>速度传感器</v>
          </cell>
        </row>
        <row r="9442">
          <cell r="O9442" t="str">
            <v>SC9641TS-PC</v>
          </cell>
          <cell r="P9442" t="str">
            <v>STC9A001I</v>
          </cell>
          <cell r="Q9442" t="str">
            <v>速度传感器</v>
          </cell>
        </row>
        <row r="9443">
          <cell r="O9443" t="str">
            <v>SC9641TS-PC</v>
          </cell>
          <cell r="P9443" t="str">
            <v>STC9A001I</v>
          </cell>
          <cell r="Q9443" t="str">
            <v>速度传感器</v>
          </cell>
        </row>
        <row r="9444">
          <cell r="O9444" t="str">
            <v>SC9641TS-PC</v>
          </cell>
          <cell r="P9444" t="str">
            <v>STC9A001I</v>
          </cell>
          <cell r="Q9444" t="str">
            <v>速度传感器</v>
          </cell>
        </row>
        <row r="9445">
          <cell r="O9445" t="str">
            <v>SC1138SO-N</v>
          </cell>
          <cell r="P9445" t="str">
            <v>STC1898AC</v>
          </cell>
          <cell r="Q9445" t="str">
            <v>磁性位置传感器</v>
          </cell>
        </row>
        <row r="9446">
          <cell r="O9446" t="str">
            <v>SC1138SO-N</v>
          </cell>
          <cell r="P9446" t="str">
            <v>STC1898AC</v>
          </cell>
          <cell r="Q9446" t="str">
            <v>磁性位置传感器</v>
          </cell>
        </row>
        <row r="9447">
          <cell r="O9447" t="str">
            <v>SC2442SO-N</v>
          </cell>
          <cell r="P9447" t="str">
            <v>STC9906P</v>
          </cell>
          <cell r="Q9447" t="str">
            <v>磁性位置传感器</v>
          </cell>
        </row>
        <row r="9448">
          <cell r="O9448" t="str">
            <v>SC2242SO</v>
          </cell>
          <cell r="P9448" t="str">
            <v>STC9906H</v>
          </cell>
          <cell r="Q9448" t="str">
            <v>磁性位置传感器</v>
          </cell>
        </row>
        <row r="9449">
          <cell r="O9449" t="str">
            <v>SC2662SO-N</v>
          </cell>
          <cell r="P9449" t="str">
            <v>STC9906P</v>
          </cell>
          <cell r="Q9449" t="str">
            <v>磁性位置传感器</v>
          </cell>
        </row>
        <row r="9450">
          <cell r="O9450" t="str">
            <v>SC2662SO-N</v>
          </cell>
          <cell r="P9450" t="str">
            <v>STC9906P</v>
          </cell>
          <cell r="Q9450" t="str">
            <v>磁性位置传感器</v>
          </cell>
        </row>
        <row r="9451">
          <cell r="O9451" t="str">
            <v>SC2662SO-N</v>
          </cell>
          <cell r="P9451" t="str">
            <v>STC9906P</v>
          </cell>
          <cell r="Q9451" t="str">
            <v>磁性位置传感器</v>
          </cell>
        </row>
        <row r="9452">
          <cell r="O9452" t="str">
            <v>SC2662SO-N</v>
          </cell>
          <cell r="P9452" t="str">
            <v>STC9906P</v>
          </cell>
          <cell r="Q9452" t="str">
            <v>磁性位置传感器</v>
          </cell>
        </row>
        <row r="9453">
          <cell r="O9453" t="str">
            <v>SC9641TS-PC</v>
          </cell>
          <cell r="P9453" t="str">
            <v>STC9A001I</v>
          </cell>
          <cell r="Q9453" t="str">
            <v>速度传感器</v>
          </cell>
        </row>
        <row r="9454">
          <cell r="O9454" t="str">
            <v>SC9641TS-PC</v>
          </cell>
          <cell r="P9454" t="str">
            <v>STC9A001I</v>
          </cell>
          <cell r="Q9454" t="str">
            <v>速度传感器</v>
          </cell>
        </row>
        <row r="9455">
          <cell r="O9455" t="str">
            <v>SC9314UA</v>
          </cell>
          <cell r="P9455" t="str">
            <v>STC9901AF</v>
          </cell>
          <cell r="Q9455" t="str">
            <v>速度传感器</v>
          </cell>
        </row>
        <row r="9456">
          <cell r="O9456" t="str">
            <v>SC1138SO-N</v>
          </cell>
          <cell r="P9456" t="str">
            <v>STC1898AC</v>
          </cell>
          <cell r="Q9456" t="str">
            <v>磁性位置传感器</v>
          </cell>
        </row>
        <row r="9457">
          <cell r="O9457" t="str">
            <v>SC9641TS-P</v>
          </cell>
          <cell r="P9457" t="str">
            <v>STC9A001I</v>
          </cell>
          <cell r="Q9457" t="str">
            <v>速度传感器</v>
          </cell>
        </row>
        <row r="9458">
          <cell r="O9458" t="str">
            <v>SC4688DC</v>
          </cell>
          <cell r="P9458" t="str">
            <v>STC9D01C</v>
          </cell>
          <cell r="Q9458" t="str">
            <v>角度传感器</v>
          </cell>
        </row>
        <row r="9459">
          <cell r="O9459" t="str">
            <v>SC4688DC</v>
          </cell>
          <cell r="P9459" t="str">
            <v>STC9D01C</v>
          </cell>
          <cell r="Q9459" t="str">
            <v>角度传感器</v>
          </cell>
        </row>
        <row r="9460">
          <cell r="O9460" t="str">
            <v>SC60224-U-P1-1024</v>
          </cell>
          <cell r="P9460" t="str">
            <v>STC9D04C</v>
          </cell>
          <cell r="Q9460" t="str">
            <v>电机编码器</v>
          </cell>
        </row>
        <row r="9461">
          <cell r="O9461" t="str">
            <v>SC9634VB</v>
          </cell>
          <cell r="P9461" t="str">
            <v>STC9905G</v>
          </cell>
          <cell r="Q9461" t="str">
            <v>速度传感器</v>
          </cell>
        </row>
        <row r="9462">
          <cell r="O9462" t="str">
            <v>SC9634VB</v>
          </cell>
          <cell r="P9462" t="str">
            <v>STC9905G</v>
          </cell>
          <cell r="Q9462" t="str">
            <v>速度传感器</v>
          </cell>
        </row>
        <row r="9463">
          <cell r="O9463" t="str">
            <v>SC2434SO</v>
          </cell>
          <cell r="P9463" t="str">
            <v>STC9906I</v>
          </cell>
          <cell r="Q9463" t="str">
            <v>磁性位置传感器</v>
          </cell>
        </row>
        <row r="9464">
          <cell r="O9464" t="str">
            <v>SC2434SO</v>
          </cell>
          <cell r="P9464" t="str">
            <v>STC9906I</v>
          </cell>
          <cell r="Q9464" t="str">
            <v>磁性位置传感器</v>
          </cell>
        </row>
        <row r="9465">
          <cell r="O9465" t="str">
            <v>SC2434SO</v>
          </cell>
          <cell r="P9465" t="str">
            <v>STC9906I</v>
          </cell>
          <cell r="Q9465" t="str">
            <v>磁性位置传感器</v>
          </cell>
        </row>
        <row r="9466">
          <cell r="O9466" t="str">
            <v>SC9625VB-L</v>
          </cell>
          <cell r="P9466" t="str">
            <v>STC9910E</v>
          </cell>
          <cell r="Q9466" t="str">
            <v>速度传感器</v>
          </cell>
        </row>
        <row r="9467">
          <cell r="O9467" t="str">
            <v>SC9625VB-L</v>
          </cell>
          <cell r="P9467" t="str">
            <v>STC9910E</v>
          </cell>
          <cell r="Q9467" t="str">
            <v>速度传感器</v>
          </cell>
        </row>
        <row r="9468">
          <cell r="O9468" t="str">
            <v>SC9642TS-E</v>
          </cell>
          <cell r="P9468" t="str">
            <v>STC9A001H</v>
          </cell>
          <cell r="Q9468" t="str">
            <v>速度传感器</v>
          </cell>
        </row>
        <row r="9469">
          <cell r="O9469" t="str">
            <v>SC9642TS-E</v>
          </cell>
          <cell r="P9469" t="str">
            <v>STC9A001H</v>
          </cell>
          <cell r="Q9469" t="str">
            <v>速度传感器</v>
          </cell>
        </row>
        <row r="9470">
          <cell r="O9470" t="str">
            <v>SC9625VB-L</v>
          </cell>
          <cell r="P9470" t="str">
            <v>STC9910E</v>
          </cell>
          <cell r="Q9470" t="str">
            <v>速度传感器</v>
          </cell>
        </row>
        <row r="9471">
          <cell r="O9471" t="str">
            <v>SC2448UA-N</v>
          </cell>
          <cell r="P9471" t="str">
            <v>STC9906S</v>
          </cell>
          <cell r="Q9471" t="str">
            <v>磁性位置传感器</v>
          </cell>
        </row>
        <row r="9472">
          <cell r="O9472" t="str">
            <v>STC4011B</v>
          </cell>
          <cell r="P9472" t="str">
            <v>STC4011B</v>
          </cell>
          <cell r="Q9472" t="str">
            <v>磁性位置传感器</v>
          </cell>
        </row>
        <row r="9473">
          <cell r="O9473" t="str">
            <v>PSTC9902J</v>
          </cell>
          <cell r="P9473" t="str">
            <v>STC9902J</v>
          </cell>
          <cell r="Q9473" t="str">
            <v>磁性位置传感器</v>
          </cell>
        </row>
        <row r="9474">
          <cell r="O9474" t="str">
            <v>SC9625VB-L</v>
          </cell>
          <cell r="P9474" t="str">
            <v>STC9910E</v>
          </cell>
          <cell r="Q9474" t="str">
            <v>速度传感器</v>
          </cell>
        </row>
        <row r="9475">
          <cell r="O9475" t="str">
            <v>SC9641TS</v>
          </cell>
          <cell r="P9475" t="str">
            <v>STC9910BN</v>
          </cell>
          <cell r="Q9475" t="str">
            <v>速度传感器</v>
          </cell>
        </row>
        <row r="9476">
          <cell r="O9476" t="str">
            <v>SC9634VB</v>
          </cell>
          <cell r="P9476" t="str">
            <v>STC9905G</v>
          </cell>
          <cell r="Q9476" t="str">
            <v>速度传感器</v>
          </cell>
        </row>
        <row r="9477">
          <cell r="O9477" t="str">
            <v>SC2064SO</v>
          </cell>
          <cell r="P9477" t="str">
            <v>STC9G001C</v>
          </cell>
          <cell r="Q9477" t="str">
            <v>磁性位置传感器</v>
          </cell>
        </row>
        <row r="9478">
          <cell r="O9478" t="str">
            <v>SC9632VB</v>
          </cell>
          <cell r="P9478" t="str">
            <v>STC9905E</v>
          </cell>
          <cell r="Q9478" t="str">
            <v>速度传感器</v>
          </cell>
        </row>
        <row r="9479">
          <cell r="O9479" t="str">
            <v>SC2064SO</v>
          </cell>
          <cell r="P9479" t="str">
            <v>STC9G001C</v>
          </cell>
          <cell r="Q9479" t="str">
            <v>磁性位置传感器</v>
          </cell>
        </row>
        <row r="9480">
          <cell r="O9480" t="str">
            <v>SC2064SO</v>
          </cell>
          <cell r="P9480" t="str">
            <v>STC9G001C</v>
          </cell>
          <cell r="Q9480" t="str">
            <v>磁性位置传感器</v>
          </cell>
        </row>
        <row r="9481">
          <cell r="O9481" t="str">
            <v>SC1134UA</v>
          </cell>
          <cell r="P9481" t="str">
            <v>STC1898AI</v>
          </cell>
          <cell r="Q9481" t="str">
            <v>磁性位置传感器</v>
          </cell>
        </row>
        <row r="9482">
          <cell r="O9482" t="str">
            <v>SC1134BU</v>
          </cell>
          <cell r="P9482" t="str">
            <v>STC1898AI</v>
          </cell>
          <cell r="Q9482" t="str">
            <v>磁性位置传感器</v>
          </cell>
        </row>
        <row r="9483">
          <cell r="O9483" t="str">
            <v>SC2448UA-N</v>
          </cell>
          <cell r="P9483" t="str">
            <v>STC9906S</v>
          </cell>
          <cell r="Q9483" t="str">
            <v>磁性位置传感器</v>
          </cell>
        </row>
        <row r="9484">
          <cell r="O9484" t="str">
            <v>SC2402SO-N-H</v>
          </cell>
          <cell r="P9484" t="str">
            <v>STC9H001A</v>
          </cell>
          <cell r="Q9484" t="str">
            <v>磁性位置传感器</v>
          </cell>
        </row>
        <row r="9485">
          <cell r="O9485" t="str">
            <v>SC9625VB</v>
          </cell>
          <cell r="P9485" t="str">
            <v>STC9910B</v>
          </cell>
          <cell r="Q9485" t="str">
            <v>速度传感器</v>
          </cell>
        </row>
        <row r="9486">
          <cell r="O9486" t="str">
            <v>SC69401</v>
          </cell>
          <cell r="P9486" t="str">
            <v>STC9H002D</v>
          </cell>
          <cell r="Q9486" t="str">
            <v>角度传感器</v>
          </cell>
        </row>
        <row r="9487">
          <cell r="O9487" t="str">
            <v>SC919H</v>
          </cell>
          <cell r="P9487" t="str">
            <v>STC9909B</v>
          </cell>
          <cell r="Q9487" t="str">
            <v>磁性位置传感器</v>
          </cell>
        </row>
        <row r="9488">
          <cell r="O9488" t="str">
            <v>SC2464SO</v>
          </cell>
          <cell r="P9488" t="str">
            <v>STC9906J</v>
          </cell>
          <cell r="Q9488" t="str">
            <v>磁性位置传感器</v>
          </cell>
        </row>
        <row r="9489">
          <cell r="O9489" t="str">
            <v>SC2464SO</v>
          </cell>
          <cell r="P9489" t="str">
            <v>STC9906J</v>
          </cell>
          <cell r="Q9489" t="str">
            <v>磁性位置传感器</v>
          </cell>
        </row>
        <row r="9490">
          <cell r="O9490" t="str">
            <v>SC2242SO</v>
          </cell>
          <cell r="P9490" t="str">
            <v>STC9906H</v>
          </cell>
          <cell r="Q9490" t="str">
            <v>磁性位置传感器</v>
          </cell>
        </row>
        <row r="9491">
          <cell r="O9491" t="str">
            <v>SC9642TS-E</v>
          </cell>
          <cell r="P9491" t="str">
            <v>STC9A001H</v>
          </cell>
          <cell r="Q9491" t="str">
            <v>速度传感器</v>
          </cell>
        </row>
        <row r="9492">
          <cell r="O9492" t="str">
            <v>SC9675IM-P-LRF00</v>
          </cell>
          <cell r="P9492" t="str">
            <v>STC9A002B</v>
          </cell>
          <cell r="Q9492" t="str">
            <v>速度传感器</v>
          </cell>
        </row>
        <row r="9493">
          <cell r="O9493" t="str">
            <v>SC2402SO-N</v>
          </cell>
          <cell r="P9493" t="str">
            <v>STC9902J</v>
          </cell>
          <cell r="Q9493" t="str">
            <v>磁性位置传感器</v>
          </cell>
        </row>
        <row r="9494">
          <cell r="O9494" t="str">
            <v>3100</v>
          </cell>
          <cell r="P9494" t="str">
            <v>STC9D06G</v>
          </cell>
          <cell r="Q9494" t="str">
            <v>电流传感器</v>
          </cell>
        </row>
        <row r="9495">
          <cell r="O9495" t="str">
            <v>SC2402UA-G</v>
          </cell>
          <cell r="P9495" t="str">
            <v>STC9G002B</v>
          </cell>
          <cell r="Q9495" t="str">
            <v>磁性位置传感器</v>
          </cell>
        </row>
        <row r="9496">
          <cell r="O9496" t="str">
            <v>SC9641TS-PC</v>
          </cell>
          <cell r="P9496" t="str">
            <v>STC9A001I</v>
          </cell>
          <cell r="Q9496" t="str">
            <v>速度传感器</v>
          </cell>
        </row>
        <row r="9497">
          <cell r="O9497" t="str">
            <v>SC9641TS-PC</v>
          </cell>
          <cell r="P9497" t="str">
            <v>STC9A001I</v>
          </cell>
          <cell r="Q9497" t="str">
            <v>速度传感器</v>
          </cell>
        </row>
        <row r="9498">
          <cell r="O9498" t="str">
            <v>SC2498CUA-N</v>
          </cell>
          <cell r="P9498" t="str">
            <v>SC9915C</v>
          </cell>
          <cell r="Q9498" t="str">
            <v>磁性位置传感器</v>
          </cell>
        </row>
        <row r="9499">
          <cell r="O9499" t="str">
            <v>SC9621VB</v>
          </cell>
          <cell r="P9499" t="str">
            <v>STC9910C</v>
          </cell>
          <cell r="Q9499" t="str">
            <v>速度传感器</v>
          </cell>
        </row>
        <row r="9500">
          <cell r="O9500" t="str">
            <v>SC9641TS-P</v>
          </cell>
          <cell r="P9500" t="str">
            <v>STC9A001F</v>
          </cell>
          <cell r="Q9500" t="str">
            <v>速度传感器</v>
          </cell>
        </row>
        <row r="9501">
          <cell r="O9501" t="str">
            <v>SC1645B1</v>
          </cell>
          <cell r="P9501" t="str">
            <v>STC2899AE</v>
          </cell>
          <cell r="Q9501" t="str">
            <v>磁性位置传感器</v>
          </cell>
        </row>
        <row r="9502">
          <cell r="O9502" t="str">
            <v>SC1645B1</v>
          </cell>
          <cell r="P9502" t="str">
            <v>STC2899AE</v>
          </cell>
          <cell r="Q9502" t="str">
            <v>磁性位置传感器</v>
          </cell>
        </row>
        <row r="9503">
          <cell r="O9503" t="str">
            <v>SC1645B1</v>
          </cell>
          <cell r="P9503" t="str">
            <v>STC2899AE</v>
          </cell>
          <cell r="Q9503" t="str">
            <v>磁性位置传感器</v>
          </cell>
        </row>
        <row r="9504">
          <cell r="O9504" t="str">
            <v>SC1645B1</v>
          </cell>
          <cell r="P9504" t="str">
            <v>STC2899AE</v>
          </cell>
          <cell r="Q9504" t="str">
            <v>磁性位置传感器</v>
          </cell>
        </row>
        <row r="9505">
          <cell r="O9505" t="str">
            <v>SC1134UA</v>
          </cell>
          <cell r="P9505" t="str">
            <v>STC1898AI</v>
          </cell>
          <cell r="Q9505" t="str">
            <v>磁性位置传感器</v>
          </cell>
        </row>
        <row r="9506">
          <cell r="O9506" t="str">
            <v>SC9634VB</v>
          </cell>
          <cell r="P9506" t="str">
            <v>STC9905G</v>
          </cell>
          <cell r="Q9506" t="str">
            <v>速度传感器</v>
          </cell>
        </row>
        <row r="9507">
          <cell r="O9507" t="str">
            <v>SC9634VB</v>
          </cell>
          <cell r="P9507" t="str">
            <v>STC9905G</v>
          </cell>
          <cell r="Q9507" t="str">
            <v>速度传感器</v>
          </cell>
        </row>
        <row r="9508">
          <cell r="O9508" t="str">
            <v>SC2242SO</v>
          </cell>
          <cell r="P9508" t="str">
            <v>STC9906H</v>
          </cell>
          <cell r="Q9508" t="str">
            <v>磁性位置传感器</v>
          </cell>
        </row>
        <row r="9509">
          <cell r="O9509" t="str">
            <v>SC2242SO</v>
          </cell>
          <cell r="P9509" t="str">
            <v>STC9906H</v>
          </cell>
          <cell r="Q9509" t="str">
            <v>磁性位置传感器</v>
          </cell>
        </row>
        <row r="9510">
          <cell r="O9510" t="str">
            <v>SC2242SO</v>
          </cell>
          <cell r="P9510" t="str">
            <v>STC9906H</v>
          </cell>
          <cell r="Q9510" t="str">
            <v>磁性位置传感器</v>
          </cell>
        </row>
        <row r="9511">
          <cell r="O9511" t="str">
            <v>SC2402SO-N</v>
          </cell>
          <cell r="P9511" t="str">
            <v>STC9902J</v>
          </cell>
          <cell r="Q9511" t="str">
            <v>磁性位置传感器</v>
          </cell>
        </row>
        <row r="9512">
          <cell r="O9512" t="str">
            <v>SC2402SO-N</v>
          </cell>
          <cell r="P9512" t="str">
            <v>STC9902J</v>
          </cell>
          <cell r="Q9512" t="str">
            <v>磁性位置传感器</v>
          </cell>
        </row>
        <row r="9513">
          <cell r="O9513" t="str">
            <v>SC2063SO</v>
          </cell>
          <cell r="P9513" t="str">
            <v>STC9G001C</v>
          </cell>
          <cell r="Q9513" t="str">
            <v>磁性位置传感器</v>
          </cell>
        </row>
        <row r="9514">
          <cell r="O9514" t="str">
            <v>SC2063SO</v>
          </cell>
          <cell r="P9514" t="str">
            <v>STC9G001C</v>
          </cell>
          <cell r="Q9514" t="str">
            <v>磁性位置传感器</v>
          </cell>
        </row>
        <row r="9515">
          <cell r="O9515" t="str">
            <v>SC2063SO</v>
          </cell>
          <cell r="P9515" t="str">
            <v>STC9G001C</v>
          </cell>
          <cell r="Q9515" t="str">
            <v>磁性位置传感器</v>
          </cell>
        </row>
        <row r="9516">
          <cell r="O9516" t="str">
            <v>SC9632VB</v>
          </cell>
          <cell r="P9516" t="str">
            <v>STC9905E</v>
          </cell>
          <cell r="Q9516" t="str">
            <v>速度传感器</v>
          </cell>
        </row>
        <row r="9517">
          <cell r="O9517" t="str">
            <v>SC9633VB</v>
          </cell>
          <cell r="P9517" t="str">
            <v>STC9905F</v>
          </cell>
          <cell r="Q9517" t="str">
            <v>速度传感器</v>
          </cell>
        </row>
        <row r="9518">
          <cell r="O9518" t="str">
            <v>SC9642TS-E</v>
          </cell>
          <cell r="P9518" t="str">
            <v>STC9A001H</v>
          </cell>
          <cell r="Q9518" t="str">
            <v>速度传感器</v>
          </cell>
        </row>
        <row r="9519">
          <cell r="O9519" t="str">
            <v>SC9642TS-E</v>
          </cell>
          <cell r="P9519" t="str">
            <v>STC9A001H</v>
          </cell>
          <cell r="Q9519" t="str">
            <v>速度传感器</v>
          </cell>
        </row>
        <row r="9520">
          <cell r="O9520" t="str">
            <v>SC9642TS-E</v>
          </cell>
          <cell r="P9520" t="str">
            <v>STC9A001H</v>
          </cell>
          <cell r="Q9520" t="str">
            <v>速度传感器</v>
          </cell>
        </row>
        <row r="9521">
          <cell r="O9521" t="str">
            <v>SC9642TS-E</v>
          </cell>
          <cell r="P9521" t="str">
            <v>STC9A001H</v>
          </cell>
          <cell r="Q9521" t="str">
            <v>速度传感器</v>
          </cell>
        </row>
        <row r="9522">
          <cell r="O9522" t="str">
            <v>SC9642TS-E</v>
          </cell>
          <cell r="P9522" t="str">
            <v>STC9A001H</v>
          </cell>
          <cell r="Q9522" t="str">
            <v>速度传感器</v>
          </cell>
        </row>
        <row r="9523">
          <cell r="O9523" t="str">
            <v>SC9641TS-P</v>
          </cell>
          <cell r="P9523" t="str">
            <v>STC9A001F</v>
          </cell>
          <cell r="Q9523" t="str">
            <v>速度传感器</v>
          </cell>
        </row>
        <row r="9524">
          <cell r="O9524" t="str">
            <v>SC9641TS-P</v>
          </cell>
          <cell r="P9524" t="str">
            <v>STC9A001I</v>
          </cell>
          <cell r="Q9524" t="str">
            <v>速度传感器</v>
          </cell>
        </row>
        <row r="9525">
          <cell r="O9525" t="str">
            <v>SC9641TS-P</v>
          </cell>
          <cell r="P9525" t="str">
            <v>STC9A001I</v>
          </cell>
          <cell r="Q9525" t="str">
            <v>速度传感器</v>
          </cell>
        </row>
        <row r="9526">
          <cell r="O9526" t="str">
            <v>SC9641TS-P</v>
          </cell>
          <cell r="P9526" t="str">
            <v>STC9A001F</v>
          </cell>
          <cell r="Q9526" t="str">
            <v>速度传感器</v>
          </cell>
        </row>
        <row r="9527">
          <cell r="O9527" t="str">
            <v>SC4643VB</v>
          </cell>
          <cell r="P9527" t="str">
            <v>STC9D03E</v>
          </cell>
          <cell r="Q9527" t="str">
            <v>电流传感器</v>
          </cell>
        </row>
        <row r="9528">
          <cell r="O9528" t="str">
            <v>SC2443SO</v>
          </cell>
          <cell r="P9528" t="str">
            <v>STC9906T</v>
          </cell>
          <cell r="Q9528" t="str">
            <v>磁性位置传感器</v>
          </cell>
        </row>
        <row r="9529">
          <cell r="O9529" t="str">
            <v>SC2443SO</v>
          </cell>
          <cell r="P9529" t="str">
            <v>STC9906T</v>
          </cell>
          <cell r="Q9529" t="str">
            <v>磁性位置传感器</v>
          </cell>
        </row>
        <row r="9530">
          <cell r="O9530" t="str">
            <v>SC2443SO</v>
          </cell>
          <cell r="P9530" t="str">
            <v>STC9906T</v>
          </cell>
          <cell r="Q9530" t="str">
            <v>磁性位置传感器</v>
          </cell>
        </row>
        <row r="9531">
          <cell r="O9531" t="str">
            <v>SC2443SO</v>
          </cell>
          <cell r="P9531" t="str">
            <v>STC9906T</v>
          </cell>
          <cell r="Q9531" t="str">
            <v>磁性位置传感器</v>
          </cell>
        </row>
        <row r="9532">
          <cell r="O9532" t="str">
            <v>SC2434SO-N</v>
          </cell>
          <cell r="P9532" t="str">
            <v>STC9906I</v>
          </cell>
          <cell r="Q9532" t="str">
            <v>磁性位置传感器</v>
          </cell>
        </row>
        <row r="9533">
          <cell r="O9533" t="str">
            <v>SC9641TS-PC</v>
          </cell>
          <cell r="P9533" t="str">
            <v>STC9A001I</v>
          </cell>
          <cell r="Q9533" t="str">
            <v>速度传感器</v>
          </cell>
        </row>
        <row r="9534">
          <cell r="O9534" t="str">
            <v>SC9641TS-PC</v>
          </cell>
          <cell r="P9534" t="str">
            <v>STC9A001I</v>
          </cell>
          <cell r="Q9534" t="str">
            <v>速度传感器</v>
          </cell>
        </row>
        <row r="9535">
          <cell r="O9535" t="str">
            <v>SC9642TS-E</v>
          </cell>
          <cell r="P9535" t="str">
            <v>STC9A001H</v>
          </cell>
          <cell r="Q9535" t="str">
            <v>速度传感器</v>
          </cell>
        </row>
        <row r="9536">
          <cell r="O9536" t="str">
            <v>SC2498UA-N</v>
          </cell>
          <cell r="P9536" t="str">
            <v>SC9915C</v>
          </cell>
          <cell r="Q9536" t="str">
            <v>磁性位置传感器</v>
          </cell>
        </row>
        <row r="9537">
          <cell r="O9537" t="str">
            <v>SC9641TS</v>
          </cell>
          <cell r="P9537" t="str">
            <v>STC9910BN</v>
          </cell>
          <cell r="Q9537" t="str">
            <v>速度传感器</v>
          </cell>
        </row>
        <row r="9538">
          <cell r="O9538" t="str">
            <v>SC9641TS</v>
          </cell>
          <cell r="P9538" t="str">
            <v>STC9910BN</v>
          </cell>
          <cell r="Q9538" t="str">
            <v>速度传感器</v>
          </cell>
        </row>
        <row r="9539">
          <cell r="O9539" t="str">
            <v>SC9641TS</v>
          </cell>
          <cell r="P9539" t="str">
            <v>STC9910BN</v>
          </cell>
          <cell r="Q9539" t="str">
            <v>速度传感器</v>
          </cell>
        </row>
        <row r="9540">
          <cell r="O9540" t="str">
            <v>SC9642TS-E</v>
          </cell>
          <cell r="P9540" t="str">
            <v>STC9A001H</v>
          </cell>
          <cell r="Q9540" t="str">
            <v>速度传感器</v>
          </cell>
        </row>
        <row r="9541">
          <cell r="O9541" t="str">
            <v>SC9642TS-E</v>
          </cell>
          <cell r="P9541" t="str">
            <v>STC9A001H</v>
          </cell>
          <cell r="Q9541" t="str">
            <v>速度传感器</v>
          </cell>
        </row>
        <row r="9542">
          <cell r="O9542" t="str">
            <v>SC9642TS-E</v>
          </cell>
          <cell r="P9542" t="str">
            <v>STC9A001H</v>
          </cell>
          <cell r="Q9542" t="str">
            <v>速度传感器</v>
          </cell>
        </row>
        <row r="9543">
          <cell r="O9543" t="str">
            <v>SC9642TS-E</v>
          </cell>
          <cell r="P9543" t="str">
            <v>STC9A001H</v>
          </cell>
          <cell r="Q9543" t="str">
            <v>速度传感器</v>
          </cell>
        </row>
        <row r="9544">
          <cell r="O9544" t="str">
            <v>SC9642TS-E</v>
          </cell>
          <cell r="P9544" t="str">
            <v>STC9A001H</v>
          </cell>
          <cell r="Q9544" t="str">
            <v>速度传感器</v>
          </cell>
        </row>
        <row r="9545">
          <cell r="O9545" t="str">
            <v>SC9642TS-E</v>
          </cell>
          <cell r="P9545" t="str">
            <v>STC9A001H</v>
          </cell>
          <cell r="Q9545" t="str">
            <v>速度传感器</v>
          </cell>
        </row>
        <row r="9546">
          <cell r="O9546" t="str">
            <v>SC9632VB</v>
          </cell>
          <cell r="P9546" t="str">
            <v>STC9905E</v>
          </cell>
          <cell r="Q9546" t="str">
            <v>速度传感器</v>
          </cell>
        </row>
        <row r="9547">
          <cell r="O9547" t="str">
            <v>SC60221-D-400</v>
          </cell>
          <cell r="P9547" t="str">
            <v>STC9D04C</v>
          </cell>
          <cell r="Q9547" t="str">
            <v>电机编码器</v>
          </cell>
        </row>
        <row r="9548">
          <cell r="O9548" t="str">
            <v>SC60221-D-400</v>
          </cell>
          <cell r="P9548" t="str">
            <v>STC9D04C</v>
          </cell>
          <cell r="Q9548" t="str">
            <v>电机编码器</v>
          </cell>
        </row>
        <row r="9549">
          <cell r="O9549" t="str">
            <v>SC60224-D-1024</v>
          </cell>
          <cell r="P9549" t="str">
            <v>STC9D04C</v>
          </cell>
          <cell r="Q9549" t="str">
            <v>电机编码器</v>
          </cell>
        </row>
        <row r="9550">
          <cell r="O9550" t="str">
            <v>SC60220</v>
          </cell>
          <cell r="P9550" t="str">
            <v>STC9D04C</v>
          </cell>
          <cell r="Q9550" t="str">
            <v>电机编码器</v>
          </cell>
        </row>
        <row r="9551">
          <cell r="O9551" t="str">
            <v>SC60220</v>
          </cell>
          <cell r="P9551" t="str">
            <v>STC9D04C</v>
          </cell>
          <cell r="Q9551" t="str">
            <v>电机编码器</v>
          </cell>
        </row>
        <row r="9552">
          <cell r="O9552" t="str">
            <v>SC4011SO-N</v>
          </cell>
          <cell r="P9552" t="str">
            <v>STC4011B</v>
          </cell>
          <cell r="Q9552" t="str">
            <v>磁性位置传感器</v>
          </cell>
        </row>
        <row r="9553">
          <cell r="O9553" t="str">
            <v>SC4011SO-N</v>
          </cell>
          <cell r="P9553" t="str">
            <v>STC4011B</v>
          </cell>
          <cell r="Q9553" t="str">
            <v>磁性位置传感器</v>
          </cell>
        </row>
        <row r="9554">
          <cell r="O9554" t="str">
            <v>SC4011SO-N</v>
          </cell>
          <cell r="P9554" t="str">
            <v>STC4011B</v>
          </cell>
          <cell r="Q9554" t="str">
            <v>磁性位置传感器</v>
          </cell>
        </row>
        <row r="9555">
          <cell r="O9555" t="str">
            <v>SC9642TS-E</v>
          </cell>
          <cell r="P9555" t="str">
            <v>STC9A001H</v>
          </cell>
          <cell r="Q9555" t="str">
            <v>速度传感器</v>
          </cell>
        </row>
        <row r="9556">
          <cell r="O9556" t="str">
            <v>SC2402SO-N-G</v>
          </cell>
          <cell r="P9556" t="str">
            <v>STC9G002A</v>
          </cell>
          <cell r="Q9556" t="str">
            <v>磁性位置传感器</v>
          </cell>
        </row>
        <row r="9557">
          <cell r="O9557" t="str">
            <v>SC2402SO-N-G</v>
          </cell>
          <cell r="P9557" t="str">
            <v>STC9G002A</v>
          </cell>
          <cell r="Q9557" t="str">
            <v>磁性位置传感器</v>
          </cell>
        </row>
        <row r="9558">
          <cell r="O9558" t="str">
            <v>SC2402SO-N-G</v>
          </cell>
          <cell r="P9558" t="str">
            <v>STC9G002A</v>
          </cell>
          <cell r="Q9558" t="str">
            <v>磁性位置传感器</v>
          </cell>
        </row>
        <row r="9559">
          <cell r="O9559" t="str">
            <v>SC2402SO-N-G</v>
          </cell>
          <cell r="P9559" t="str">
            <v>STC9G002A</v>
          </cell>
          <cell r="Q9559" t="str">
            <v>磁性位置传感器</v>
          </cell>
        </row>
        <row r="9560">
          <cell r="O9560" t="str">
            <v>SC2402SO-N-G</v>
          </cell>
          <cell r="P9560" t="str">
            <v>STC9G002A</v>
          </cell>
          <cell r="Q9560" t="str">
            <v>磁性位置传感器</v>
          </cell>
        </row>
        <row r="9561">
          <cell r="O9561" t="str">
            <v>SC4011SO-N</v>
          </cell>
          <cell r="P9561" t="str">
            <v>STC4011B</v>
          </cell>
          <cell r="Q9561" t="str">
            <v>磁性位置传感器</v>
          </cell>
        </row>
        <row r="9562">
          <cell r="O9562" t="str">
            <v>SC1134BU</v>
          </cell>
          <cell r="P9562" t="str">
            <v>STC1898AI</v>
          </cell>
          <cell r="Q9562" t="str">
            <v>磁性位置传感器</v>
          </cell>
        </row>
        <row r="9563">
          <cell r="O9563" t="str">
            <v>SC1134BU</v>
          </cell>
          <cell r="P9563" t="str">
            <v>STC1898AI</v>
          </cell>
          <cell r="Q9563" t="str">
            <v>磁性位置传感器</v>
          </cell>
        </row>
        <row r="9564">
          <cell r="O9564" t="str">
            <v>SC1134BU</v>
          </cell>
          <cell r="P9564" t="str">
            <v>STC1898AI</v>
          </cell>
          <cell r="Q9564" t="str">
            <v>磁性位置传感器</v>
          </cell>
        </row>
        <row r="9565">
          <cell r="O9565" t="str">
            <v>SC9633VB</v>
          </cell>
          <cell r="P9565" t="str">
            <v>STC9905F</v>
          </cell>
          <cell r="Q9565" t="str">
            <v>速度传感器</v>
          </cell>
        </row>
        <row r="9566">
          <cell r="O9566" t="str">
            <v>SC9633VB</v>
          </cell>
          <cell r="P9566" t="str">
            <v>STC9905F</v>
          </cell>
          <cell r="Q9566" t="str">
            <v>速度传感器</v>
          </cell>
        </row>
        <row r="9567">
          <cell r="O9567" t="str">
            <v>SC9633VB</v>
          </cell>
          <cell r="P9567" t="str">
            <v>STC9905F</v>
          </cell>
          <cell r="Q9567" t="str">
            <v>速度传感器</v>
          </cell>
        </row>
        <row r="9568">
          <cell r="O9568" t="str">
            <v>SC1945N1</v>
          </cell>
          <cell r="P9568" t="str">
            <v>STC2899AJ</v>
          </cell>
          <cell r="Q9568" t="str">
            <v>磁性位置传感器</v>
          </cell>
        </row>
        <row r="9569">
          <cell r="O9569" t="str">
            <v>SC1945N1</v>
          </cell>
          <cell r="P9569" t="str">
            <v>STC2899AJ</v>
          </cell>
          <cell r="Q9569" t="str">
            <v>磁性位置传感器</v>
          </cell>
        </row>
        <row r="9570">
          <cell r="O9570" t="str">
            <v>SC1945N1</v>
          </cell>
          <cell r="P9570" t="str">
            <v>STC2899AJ</v>
          </cell>
          <cell r="Q9570" t="str">
            <v>磁性位置传感器</v>
          </cell>
        </row>
        <row r="9571">
          <cell r="O9571" t="str">
            <v>SC1945N1</v>
          </cell>
          <cell r="P9571" t="str">
            <v>STC2899AJ</v>
          </cell>
          <cell r="Q9571" t="str">
            <v>磁性位置传感器</v>
          </cell>
        </row>
        <row r="9572">
          <cell r="O9572" t="str">
            <v>SC1945N1</v>
          </cell>
          <cell r="P9572" t="str">
            <v>STC2899AJ</v>
          </cell>
          <cell r="Q9572" t="str">
            <v>磁性位置传感器</v>
          </cell>
        </row>
        <row r="9573">
          <cell r="O9573" t="str">
            <v>SC1945N1</v>
          </cell>
          <cell r="P9573" t="str">
            <v>STC2899AJ</v>
          </cell>
          <cell r="Q9573" t="str">
            <v>磁性位置传感器</v>
          </cell>
        </row>
        <row r="9574">
          <cell r="O9574" t="str">
            <v>SC1945N1</v>
          </cell>
          <cell r="P9574" t="str">
            <v>STC2899AJ</v>
          </cell>
          <cell r="Q9574" t="str">
            <v>磁性位置传感器</v>
          </cell>
        </row>
        <row r="9575">
          <cell r="O9575" t="str">
            <v>SC1945N1</v>
          </cell>
          <cell r="P9575" t="str">
            <v>STC2899AJ</v>
          </cell>
          <cell r="Q9575" t="str">
            <v>磁性位置传感器</v>
          </cell>
        </row>
        <row r="9576">
          <cell r="O9576" t="str">
            <v>SC2402SO-N-H</v>
          </cell>
          <cell r="P9576" t="str">
            <v>STC9H001A</v>
          </cell>
          <cell r="Q9576" t="str">
            <v>磁性位置传感器</v>
          </cell>
        </row>
        <row r="9577">
          <cell r="O9577" t="str">
            <v>SC1134SO-N</v>
          </cell>
          <cell r="P9577" t="str">
            <v>STC1002AF</v>
          </cell>
          <cell r="Q9577" t="str">
            <v>磁性位置传感器</v>
          </cell>
        </row>
        <row r="9578">
          <cell r="O9578" t="str">
            <v>SC1134SO-N</v>
          </cell>
          <cell r="P9578" t="str">
            <v>STC1002AF</v>
          </cell>
          <cell r="Q9578" t="str">
            <v>磁性位置传感器</v>
          </cell>
        </row>
        <row r="9579">
          <cell r="O9579" t="str">
            <v>SC2462SO</v>
          </cell>
          <cell r="P9579" t="str">
            <v>STC9906J</v>
          </cell>
          <cell r="Q9579" t="str">
            <v>磁性位置传感器</v>
          </cell>
        </row>
        <row r="9580">
          <cell r="O9580" t="str">
            <v>SC2242SO</v>
          </cell>
          <cell r="P9580" t="str">
            <v>STC9906H</v>
          </cell>
          <cell r="Q9580" t="str">
            <v>磁性位置传感器</v>
          </cell>
        </row>
        <row r="9581">
          <cell r="O9581" t="str">
            <v>SC2462SO</v>
          </cell>
          <cell r="P9581" t="str">
            <v>STC9906J</v>
          </cell>
          <cell r="Q9581" t="str">
            <v>磁性位置传感器</v>
          </cell>
        </row>
        <row r="9582">
          <cell r="O9582" t="str">
            <v>SC2462SO</v>
          </cell>
          <cell r="P9582" t="str">
            <v>STC9906J</v>
          </cell>
          <cell r="Q9582" t="str">
            <v>磁性位置传感器</v>
          </cell>
        </row>
        <row r="9583">
          <cell r="O9583" t="str">
            <v>SC2462SO</v>
          </cell>
          <cell r="P9583" t="str">
            <v>STC9906J</v>
          </cell>
          <cell r="Q9583" t="str">
            <v>磁性位置传感器</v>
          </cell>
        </row>
        <row r="9584">
          <cell r="O9584" t="str">
            <v>SC2242SO</v>
          </cell>
          <cell r="P9584" t="str">
            <v>STC9906H</v>
          </cell>
          <cell r="Q9584" t="str">
            <v>磁性位置传感器</v>
          </cell>
        </row>
        <row r="9585">
          <cell r="O9585" t="str">
            <v>SC2242SO</v>
          </cell>
          <cell r="P9585" t="str">
            <v>STC9906H</v>
          </cell>
          <cell r="Q9585" t="str">
            <v>磁性位置传感器</v>
          </cell>
        </row>
        <row r="9586">
          <cell r="O9586" t="str">
            <v>SC2462SO</v>
          </cell>
          <cell r="P9586" t="str">
            <v>STC9906J</v>
          </cell>
          <cell r="Q9586" t="str">
            <v>磁性位置传感器</v>
          </cell>
        </row>
        <row r="9587">
          <cell r="O9587" t="str">
            <v>GL08</v>
          </cell>
          <cell r="P9587" t="str">
            <v>STC4011B</v>
          </cell>
          <cell r="Q9587" t="str">
            <v>磁性位置传感器</v>
          </cell>
        </row>
        <row r="9588">
          <cell r="O9588" t="str">
            <v>GL08</v>
          </cell>
          <cell r="P9588" t="str">
            <v>STC4011B</v>
          </cell>
          <cell r="Q9588" t="str">
            <v>磁性位置传感器</v>
          </cell>
        </row>
        <row r="9589">
          <cell r="O9589" t="str">
            <v>SC2242SO</v>
          </cell>
          <cell r="P9589" t="str">
            <v>STC9906H</v>
          </cell>
          <cell r="Q9589" t="str">
            <v>磁性位置传感器</v>
          </cell>
        </row>
        <row r="9590">
          <cell r="O9590" t="str">
            <v>SC2462SO</v>
          </cell>
          <cell r="P9590" t="str">
            <v>STC9906J</v>
          </cell>
          <cell r="Q9590" t="str">
            <v>磁性位置传感器</v>
          </cell>
        </row>
        <row r="9591">
          <cell r="O9591" t="str">
            <v>SC2462SO</v>
          </cell>
          <cell r="P9591" t="str">
            <v>STC9906J</v>
          </cell>
          <cell r="Q9591" t="str">
            <v>磁性位置传感器</v>
          </cell>
        </row>
        <row r="9592">
          <cell r="O9592" t="str">
            <v>SC9675IM-P-LRF00</v>
          </cell>
          <cell r="P9592" t="str">
            <v>STC9A002B</v>
          </cell>
          <cell r="Q9592" t="str">
            <v>速度传感器</v>
          </cell>
        </row>
        <row r="9593">
          <cell r="O9593" t="str">
            <v>SC9641TS-P</v>
          </cell>
          <cell r="P9593" t="str">
            <v>STC9A001I</v>
          </cell>
          <cell r="Q9593" t="str">
            <v>速度传感器</v>
          </cell>
        </row>
        <row r="9594">
          <cell r="O9594" t="str">
            <v>SC9641TS-P</v>
          </cell>
          <cell r="P9594" t="str">
            <v>STC9A001I</v>
          </cell>
          <cell r="Q9594" t="str">
            <v>速度传感器</v>
          </cell>
        </row>
        <row r="9595">
          <cell r="O9595" t="str">
            <v>ZH6531C-Mask</v>
          </cell>
          <cell r="P9595" t="str">
            <v xml:space="preserve"> </v>
          </cell>
          <cell r="Q9595" t="str">
            <v>电机驱动</v>
          </cell>
        </row>
        <row r="9596">
          <cell r="O9596" t="str">
            <v>ZH6252B-Mask</v>
          </cell>
          <cell r="P9596" t="str">
            <v xml:space="preserve"> </v>
          </cell>
          <cell r="Q9596" t="str">
            <v>电机驱动</v>
          </cell>
        </row>
        <row r="9597">
          <cell r="O9597" t="str">
            <v>ZH6252B</v>
          </cell>
          <cell r="P9597" t="str">
            <v>ZH6252B</v>
          </cell>
          <cell r="Q9597" t="str">
            <v>电机驱动</v>
          </cell>
        </row>
        <row r="9598">
          <cell r="O9598" t="str">
            <v>SC69401D</v>
          </cell>
          <cell r="P9598" t="str">
            <v>STC9H002D</v>
          </cell>
          <cell r="Q9598" t="str">
            <v>角度传感器</v>
          </cell>
        </row>
        <row r="9599">
          <cell r="O9599" t="str">
            <v>SC2242SO</v>
          </cell>
          <cell r="P9599" t="str">
            <v>STC9906H</v>
          </cell>
          <cell r="Q9599" t="str">
            <v>磁性位置传感器</v>
          </cell>
        </row>
        <row r="9600">
          <cell r="O9600" t="str">
            <v>SC9621VB</v>
          </cell>
          <cell r="P9600" t="str">
            <v>STC9910C</v>
          </cell>
          <cell r="Q9600" t="str">
            <v>速度传感器</v>
          </cell>
        </row>
        <row r="9601">
          <cell r="O9601" t="str">
            <v>SC60220</v>
          </cell>
          <cell r="P9601" t="str">
            <v>STC9D04C</v>
          </cell>
          <cell r="Q9601" t="str">
            <v>电机编码器</v>
          </cell>
        </row>
        <row r="9602">
          <cell r="O9602" t="str">
            <v>SC4002UA</v>
          </cell>
          <cell r="P9602" t="str">
            <v>STC4000AA</v>
          </cell>
          <cell r="Q9602" t="str">
            <v>磁性位置传感器</v>
          </cell>
        </row>
        <row r="9603">
          <cell r="O9603" t="str">
            <v>SC9621VB</v>
          </cell>
          <cell r="P9603" t="str">
            <v>STC9910C</v>
          </cell>
          <cell r="Q9603" t="str">
            <v>速度传感器</v>
          </cell>
        </row>
        <row r="9604">
          <cell r="O9604" t="str">
            <v>SC9632VB</v>
          </cell>
          <cell r="P9604" t="str">
            <v>STC9905E</v>
          </cell>
          <cell r="Q9604" t="str">
            <v>速度传感器</v>
          </cell>
        </row>
        <row r="9605">
          <cell r="O9605" t="str">
            <v>SD2276</v>
          </cell>
          <cell r="P9605" t="str">
            <v>FD1014A</v>
          </cell>
          <cell r="Q9605" t="str">
            <v>电机驱动</v>
          </cell>
        </row>
        <row r="9606">
          <cell r="O9606" t="str">
            <v>SD2276</v>
          </cell>
          <cell r="P9606" t="str">
            <v>FD1014A</v>
          </cell>
          <cell r="Q9606" t="str">
            <v>电机驱动</v>
          </cell>
        </row>
        <row r="9607">
          <cell r="O9607" t="str">
            <v>SD2276</v>
          </cell>
          <cell r="P9607" t="str">
            <v>FD1014A</v>
          </cell>
          <cell r="Q9607" t="str">
            <v>电机驱动</v>
          </cell>
        </row>
        <row r="9608">
          <cell r="O9608" t="str">
            <v>SD2276</v>
          </cell>
          <cell r="P9608" t="str">
            <v>FD1014A</v>
          </cell>
          <cell r="Q9608" t="str">
            <v>电机驱动</v>
          </cell>
        </row>
        <row r="9609">
          <cell r="O9609" t="str">
            <v>SD2276</v>
          </cell>
          <cell r="P9609" t="str">
            <v>FD1014A</v>
          </cell>
          <cell r="Q9609" t="str">
            <v>电机驱动</v>
          </cell>
        </row>
        <row r="9610">
          <cell r="O9610" t="str">
            <v>SD2276</v>
          </cell>
          <cell r="P9610" t="str">
            <v>FD1014A</v>
          </cell>
          <cell r="Q9610" t="str">
            <v>电机驱动</v>
          </cell>
        </row>
        <row r="9611">
          <cell r="O9611" t="str">
            <v>SD2276</v>
          </cell>
          <cell r="P9611" t="str">
            <v>FD1014A</v>
          </cell>
          <cell r="Q9611" t="str">
            <v>电机驱动</v>
          </cell>
        </row>
        <row r="9612">
          <cell r="O9612" t="str">
            <v>SD2276</v>
          </cell>
          <cell r="P9612" t="str">
            <v>FD1014A</v>
          </cell>
          <cell r="Q9612" t="str">
            <v>电机驱动</v>
          </cell>
        </row>
        <row r="9613">
          <cell r="O9613" t="str">
            <v>SD2276</v>
          </cell>
          <cell r="P9613" t="str">
            <v>FD1014A</v>
          </cell>
          <cell r="Q9613" t="str">
            <v>电机驱动</v>
          </cell>
        </row>
        <row r="9614">
          <cell r="O9614" t="str">
            <v>SD2276</v>
          </cell>
          <cell r="P9614" t="str">
            <v>FD1014A</v>
          </cell>
          <cell r="Q9614" t="str">
            <v>电机驱动</v>
          </cell>
        </row>
        <row r="9615">
          <cell r="O9615" t="str">
            <v>SD2276</v>
          </cell>
          <cell r="P9615" t="str">
            <v>FD1014A</v>
          </cell>
          <cell r="Q9615" t="str">
            <v>电机驱动</v>
          </cell>
        </row>
        <row r="9616">
          <cell r="O9616" t="str">
            <v>SC2063SO</v>
          </cell>
          <cell r="P9616" t="str">
            <v>STC9G001C</v>
          </cell>
          <cell r="Q9616" t="str">
            <v>磁性位置传感器</v>
          </cell>
        </row>
        <row r="9617">
          <cell r="O9617" t="str">
            <v>SC1245A1</v>
          </cell>
          <cell r="P9617" t="str">
            <v>STC1898AD</v>
          </cell>
          <cell r="Q9617" t="str">
            <v>磁性位置传感器</v>
          </cell>
        </row>
        <row r="9618">
          <cell r="O9618" t="str">
            <v>SC1245A1</v>
          </cell>
          <cell r="P9618" t="str">
            <v>STC1898AD</v>
          </cell>
          <cell r="Q9618" t="str">
            <v>磁性位置传感器</v>
          </cell>
        </row>
        <row r="9619">
          <cell r="O9619" t="str">
            <v>SC1245A1</v>
          </cell>
          <cell r="P9619" t="str">
            <v>STC1898AD</v>
          </cell>
          <cell r="Q9619" t="str">
            <v>磁性位置传感器</v>
          </cell>
        </row>
        <row r="9620">
          <cell r="O9620" t="str">
            <v>SC1245A1</v>
          </cell>
          <cell r="P9620" t="str">
            <v>STC1898AD</v>
          </cell>
          <cell r="Q9620" t="str">
            <v>磁性位置传感器</v>
          </cell>
        </row>
        <row r="9621">
          <cell r="O9621" t="str">
            <v>SC1645A1</v>
          </cell>
          <cell r="P9621" t="str">
            <v>STC2899AE</v>
          </cell>
          <cell r="Q9621" t="str">
            <v>磁性位置传感器</v>
          </cell>
        </row>
        <row r="9622">
          <cell r="O9622" t="str">
            <v>SC1645A1</v>
          </cell>
          <cell r="P9622" t="str">
            <v>STC2899AE</v>
          </cell>
          <cell r="Q9622" t="str">
            <v>磁性位置传感器</v>
          </cell>
        </row>
        <row r="9623">
          <cell r="O9623" t="str">
            <v>SC1645A1</v>
          </cell>
          <cell r="P9623" t="str">
            <v>STC2899AE</v>
          </cell>
          <cell r="Q9623" t="str">
            <v>磁性位置传感器</v>
          </cell>
        </row>
        <row r="9624">
          <cell r="O9624" t="str">
            <v>SC1645B1</v>
          </cell>
          <cell r="P9624" t="str">
            <v>STC2899AE</v>
          </cell>
          <cell r="Q9624" t="str">
            <v>磁性位置传感器</v>
          </cell>
        </row>
        <row r="9625">
          <cell r="O9625" t="str">
            <v>SC2442SO</v>
          </cell>
          <cell r="P9625" t="str">
            <v>STC9906R</v>
          </cell>
          <cell r="Q9625" t="str">
            <v>磁性位置传感器</v>
          </cell>
        </row>
        <row r="9626">
          <cell r="O9626" t="str">
            <v>SC2438SO</v>
          </cell>
          <cell r="P9626" t="str">
            <v>STC9906I</v>
          </cell>
          <cell r="Q9626" t="str">
            <v>磁性位置传感器</v>
          </cell>
        </row>
        <row r="9627">
          <cell r="O9627" t="str">
            <v>SYLMV358BPA1R</v>
          </cell>
          <cell r="P9627" t="str">
            <v>STC9G003B</v>
          </cell>
          <cell r="Q9627" t="str">
            <v>其他数模混合</v>
          </cell>
        </row>
        <row r="9628">
          <cell r="O9628" t="str">
            <v>SYLMV324BPD2R</v>
          </cell>
          <cell r="P9628" t="str">
            <v>STC9G003B</v>
          </cell>
          <cell r="Q9628" t="str">
            <v>其他数模混合</v>
          </cell>
        </row>
        <row r="9629">
          <cell r="O9629" t="str">
            <v>SC1245SO-N</v>
          </cell>
          <cell r="P9629" t="str">
            <v>STC1898AD</v>
          </cell>
          <cell r="Q9629" t="str">
            <v>磁性位置传感器</v>
          </cell>
        </row>
        <row r="9630">
          <cell r="O9630" t="str">
            <v>SC2402SO-N</v>
          </cell>
          <cell r="P9630" t="str">
            <v>STC9902J</v>
          </cell>
          <cell r="Q9630" t="str">
            <v>磁性位置传感器</v>
          </cell>
        </row>
        <row r="9631">
          <cell r="O9631" t="str">
            <v>SC2033SO-N</v>
          </cell>
          <cell r="P9631" t="str">
            <v>STC9G001D</v>
          </cell>
          <cell r="Q9631" t="str">
            <v>磁性位置传感器</v>
          </cell>
        </row>
        <row r="9632">
          <cell r="O9632" t="str">
            <v>SC4011SO-N</v>
          </cell>
          <cell r="P9632" t="str">
            <v>STC4011B</v>
          </cell>
          <cell r="Q9632" t="str">
            <v>磁性位置传感器</v>
          </cell>
        </row>
        <row r="9633">
          <cell r="O9633" t="str">
            <v>SC4011SO-N</v>
          </cell>
          <cell r="P9633" t="str">
            <v>STC4011B</v>
          </cell>
          <cell r="Q9633" t="str">
            <v>磁性位置传感器</v>
          </cell>
        </row>
        <row r="9634">
          <cell r="O9634" t="str">
            <v>SC2442SO-N</v>
          </cell>
          <cell r="P9634" t="str">
            <v>STC9906P</v>
          </cell>
          <cell r="Q9634" t="str">
            <v>磁性位置传感器</v>
          </cell>
        </row>
        <row r="9635">
          <cell r="O9635" t="str">
            <v>SC2202SO-N</v>
          </cell>
          <cell r="P9635" t="str">
            <v>STC9902E</v>
          </cell>
          <cell r="Q9635" t="str">
            <v>磁性位置传感器</v>
          </cell>
        </row>
        <row r="9636">
          <cell r="O9636" t="str">
            <v>SC1245SO-N</v>
          </cell>
          <cell r="P9636" t="str">
            <v>STC1898AD</v>
          </cell>
          <cell r="Q9636" t="str">
            <v>磁性位置传感器</v>
          </cell>
        </row>
        <row r="9637">
          <cell r="O9637" t="str">
            <v>SC2442SO</v>
          </cell>
          <cell r="P9637" t="str">
            <v>STC9906R</v>
          </cell>
          <cell r="Q9637" t="str">
            <v>磁性位置传感器</v>
          </cell>
        </row>
        <row r="9638">
          <cell r="O9638" t="str">
            <v>SC2462SO</v>
          </cell>
          <cell r="P9638" t="str">
            <v>STC9906J</v>
          </cell>
          <cell r="Q9638" t="str">
            <v>磁性位置传感器</v>
          </cell>
        </row>
        <row r="9639">
          <cell r="O9639" t="str">
            <v>SC2442UA</v>
          </cell>
          <cell r="P9639" t="str">
            <v>STC9906P</v>
          </cell>
          <cell r="Q9639" t="str">
            <v>磁性位置传感器</v>
          </cell>
        </row>
        <row r="9640">
          <cell r="O9640" t="str">
            <v>SC2242UA</v>
          </cell>
          <cell r="P9640" t="str">
            <v>STC9906H</v>
          </cell>
          <cell r="Q9640" t="str">
            <v>磁性位置传感器</v>
          </cell>
        </row>
        <row r="9641">
          <cell r="O9641" t="str">
            <v>SC2442SO</v>
          </cell>
          <cell r="P9641" t="str">
            <v>STC9906R</v>
          </cell>
          <cell r="Q9641" t="str">
            <v>磁性位置传感器</v>
          </cell>
        </row>
        <row r="9642">
          <cell r="O9642" t="str">
            <v>SC9625VB-L</v>
          </cell>
          <cell r="P9642" t="str">
            <v>STC9910E</v>
          </cell>
          <cell r="Q9642" t="str">
            <v>速度传感器</v>
          </cell>
        </row>
        <row r="9643">
          <cell r="O9643" t="str">
            <v>SC2662SO-N</v>
          </cell>
          <cell r="P9643" t="str">
            <v>STC9906P</v>
          </cell>
          <cell r="Q9643" t="str">
            <v>磁性位置传感器</v>
          </cell>
        </row>
        <row r="9644">
          <cell r="O9644" t="str">
            <v>SC2402SO-N-H</v>
          </cell>
          <cell r="P9644" t="str">
            <v>STC9H001A</v>
          </cell>
          <cell r="Q9644" t="str">
            <v>磁性位置传感器</v>
          </cell>
        </row>
        <row r="9645">
          <cell r="O9645" t="str">
            <v>SC9641TS</v>
          </cell>
          <cell r="P9645" t="str">
            <v>STC9910BN</v>
          </cell>
          <cell r="Q9645" t="str">
            <v>速度传感器</v>
          </cell>
        </row>
        <row r="9646">
          <cell r="O9646" t="str">
            <v>SC9641TS</v>
          </cell>
          <cell r="P9646" t="str">
            <v>STC9910BN</v>
          </cell>
          <cell r="Q9646" t="str">
            <v>速度传感器</v>
          </cell>
        </row>
        <row r="9647">
          <cell r="O9647" t="str">
            <v>SC9675IM-P-LRF01</v>
          </cell>
          <cell r="P9647" t="str">
            <v>STC9A002B</v>
          </cell>
          <cell r="Q9647" t="str">
            <v>速度传感器</v>
          </cell>
        </row>
        <row r="9648">
          <cell r="O9648" t="str">
            <v>SC9625VB-L</v>
          </cell>
          <cell r="P9648" t="str">
            <v>STC9910E</v>
          </cell>
          <cell r="Q9648" t="str">
            <v>速度传感器</v>
          </cell>
        </row>
        <row r="9649">
          <cell r="O9649" t="str">
            <v>SC2242UA</v>
          </cell>
          <cell r="P9649" t="str">
            <v>STC9906H</v>
          </cell>
          <cell r="Q9649" t="str">
            <v>磁性位置传感器</v>
          </cell>
        </row>
        <row r="9650">
          <cell r="O9650" t="str">
            <v>SC4688编程板</v>
          </cell>
          <cell r="P9650" t="str">
            <v xml:space="preserve"> </v>
          </cell>
          <cell r="Q9650" t="str">
            <v>角度传感器</v>
          </cell>
        </row>
        <row r="9651">
          <cell r="O9651" t="str">
            <v>SC1134UA</v>
          </cell>
          <cell r="P9651" t="str">
            <v>STC1898AI</v>
          </cell>
          <cell r="Q9651" t="str">
            <v>磁性位置传感器</v>
          </cell>
        </row>
        <row r="9652">
          <cell r="O9652" t="str">
            <v>SC4688DC</v>
          </cell>
          <cell r="P9652" t="str">
            <v>STC9D01C</v>
          </cell>
          <cell r="Q9652" t="str">
            <v>角度传感器</v>
          </cell>
        </row>
        <row r="9653">
          <cell r="O9653" t="str">
            <v>SC4688DC</v>
          </cell>
          <cell r="P9653" t="str">
            <v>STC9D01C</v>
          </cell>
          <cell r="Q9653" t="str">
            <v>角度传感器</v>
          </cell>
        </row>
        <row r="9654">
          <cell r="O9654" t="str">
            <v>SC4688DC</v>
          </cell>
          <cell r="P9654" t="str">
            <v>STC9D01C</v>
          </cell>
          <cell r="Q9654" t="str">
            <v>角度传感器</v>
          </cell>
        </row>
        <row r="9655">
          <cell r="O9655" t="str">
            <v>SC9641TS</v>
          </cell>
          <cell r="P9655" t="str">
            <v>STC9910BN</v>
          </cell>
          <cell r="Q9655" t="str">
            <v>速度传感器</v>
          </cell>
        </row>
        <row r="9656">
          <cell r="O9656" t="str">
            <v>SC9641TS</v>
          </cell>
          <cell r="P9656" t="str">
            <v>STC9910BN</v>
          </cell>
          <cell r="Q9656" t="str">
            <v>速度传感器</v>
          </cell>
        </row>
        <row r="9657">
          <cell r="O9657" t="str">
            <v>SC2462SO</v>
          </cell>
          <cell r="P9657" t="str">
            <v>STC9906J</v>
          </cell>
          <cell r="Q9657" t="str">
            <v>磁性位置传感器</v>
          </cell>
        </row>
        <row r="9658">
          <cell r="O9658" t="str">
            <v>SC2462SO</v>
          </cell>
          <cell r="P9658" t="str">
            <v>STC9906J</v>
          </cell>
          <cell r="Q9658" t="str">
            <v>磁性位置传感器</v>
          </cell>
        </row>
        <row r="9659">
          <cell r="O9659" t="str">
            <v>SC2462SO</v>
          </cell>
          <cell r="P9659" t="str">
            <v>STC9906J</v>
          </cell>
          <cell r="Q9659" t="str">
            <v>磁性位置传感器</v>
          </cell>
        </row>
        <row r="9660">
          <cell r="O9660" t="str">
            <v>SC2402SO-N-G</v>
          </cell>
          <cell r="P9660" t="str">
            <v>STC9G002A</v>
          </cell>
          <cell r="Q9660" t="str">
            <v>磁性位置传感器</v>
          </cell>
        </row>
        <row r="9661">
          <cell r="O9661" t="str">
            <v>SC2402SO-N-G</v>
          </cell>
          <cell r="P9661" t="str">
            <v>STC9G002A</v>
          </cell>
          <cell r="Q9661" t="str">
            <v>磁性位置传感器</v>
          </cell>
        </row>
        <row r="9662">
          <cell r="O9662" t="str">
            <v>SC1134UA</v>
          </cell>
          <cell r="P9662" t="str">
            <v>STC1898AI</v>
          </cell>
          <cell r="Q9662" t="str">
            <v>磁性位置传感器</v>
          </cell>
        </row>
        <row r="9663">
          <cell r="O9663" t="str">
            <v>SC1134UA</v>
          </cell>
          <cell r="P9663" t="str">
            <v>STC1898AI</v>
          </cell>
          <cell r="Q9663" t="str">
            <v>磁性位置传感器</v>
          </cell>
        </row>
        <row r="9664">
          <cell r="O9664" t="str">
            <v>SC2462SO</v>
          </cell>
          <cell r="P9664" t="str">
            <v>STC9906J</v>
          </cell>
          <cell r="Q9664" t="str">
            <v>磁性位置传感器</v>
          </cell>
        </row>
        <row r="9665">
          <cell r="O9665" t="str">
            <v>SC2402SO-N-G</v>
          </cell>
          <cell r="P9665" t="str">
            <v>STC9G002A</v>
          </cell>
          <cell r="Q9665" t="str">
            <v>磁性位置传感器</v>
          </cell>
        </row>
        <row r="9666">
          <cell r="O9666" t="str">
            <v>SC2402SO-N-G</v>
          </cell>
          <cell r="P9666" t="str">
            <v>STC9G002A</v>
          </cell>
          <cell r="Q9666" t="str">
            <v>磁性位置传感器</v>
          </cell>
        </row>
        <row r="9667">
          <cell r="O9667" t="str">
            <v>SC9642TS-E</v>
          </cell>
          <cell r="P9667" t="str">
            <v>STC9A001H</v>
          </cell>
          <cell r="Q9667" t="str">
            <v>速度传感器</v>
          </cell>
        </row>
        <row r="9668">
          <cell r="O9668" t="str">
            <v>SC9314UA</v>
          </cell>
          <cell r="P9668" t="str">
            <v>STC9901AF</v>
          </cell>
          <cell r="Q9668" t="str">
            <v>速度传感器</v>
          </cell>
        </row>
        <row r="9669">
          <cell r="O9669" t="str">
            <v>SC9314UA</v>
          </cell>
          <cell r="P9669" t="str">
            <v>STC9901AF</v>
          </cell>
          <cell r="Q9669" t="str">
            <v>速度传感器</v>
          </cell>
        </row>
        <row r="9670">
          <cell r="O9670" t="str">
            <v>SC9314UA</v>
          </cell>
          <cell r="P9670" t="str">
            <v>STC9901AF</v>
          </cell>
          <cell r="Q9670" t="str">
            <v>速度传感器</v>
          </cell>
        </row>
        <row r="9671">
          <cell r="O9671" t="str">
            <v>SC9314UA</v>
          </cell>
          <cell r="P9671" t="str">
            <v>STC9901AF</v>
          </cell>
          <cell r="Q9671" t="str">
            <v>速度传感器</v>
          </cell>
        </row>
        <row r="9672">
          <cell r="O9672" t="str">
            <v>SC9642TS-E</v>
          </cell>
          <cell r="P9672" t="str">
            <v>STC9A001H</v>
          </cell>
          <cell r="Q9672" t="str">
            <v>速度传感器</v>
          </cell>
        </row>
        <row r="9673">
          <cell r="O9673" t="str">
            <v>SC9642TS-E</v>
          </cell>
          <cell r="P9673" t="str">
            <v>STC9A001H</v>
          </cell>
          <cell r="Q9673" t="str">
            <v>速度传感器</v>
          </cell>
        </row>
        <row r="9674">
          <cell r="O9674" t="str">
            <v>SC9642TS-E</v>
          </cell>
          <cell r="P9674" t="str">
            <v>STC9A001H</v>
          </cell>
          <cell r="Q9674" t="str">
            <v>速度传感器</v>
          </cell>
        </row>
        <row r="9675">
          <cell r="O9675" t="str">
            <v>SC9641TS-P</v>
          </cell>
          <cell r="P9675" t="str">
            <v>STC9A001I</v>
          </cell>
          <cell r="Q9675" t="str">
            <v>速度传感器</v>
          </cell>
        </row>
        <row r="9676">
          <cell r="O9676" t="str">
            <v>SC9641TS-P</v>
          </cell>
          <cell r="P9676" t="str">
            <v>STC9A001I</v>
          </cell>
          <cell r="Q9676" t="str">
            <v>速度传感器</v>
          </cell>
        </row>
        <row r="9677">
          <cell r="O9677" t="str">
            <v>SC9641TS-P</v>
          </cell>
          <cell r="P9677" t="str">
            <v>STC9A001I</v>
          </cell>
          <cell r="Q9677" t="str">
            <v>速度传感器</v>
          </cell>
        </row>
        <row r="9678">
          <cell r="O9678" t="str">
            <v>SC9641TS-P</v>
          </cell>
          <cell r="P9678" t="str">
            <v>STC9A001I</v>
          </cell>
          <cell r="Q9678" t="str">
            <v>速度传感器</v>
          </cell>
        </row>
        <row r="9679">
          <cell r="O9679" t="str">
            <v>ZH6531C</v>
          </cell>
          <cell r="P9679" t="str">
            <v>ZH6531C</v>
          </cell>
          <cell r="Q9679" t="str">
            <v>电机驱动</v>
          </cell>
        </row>
        <row r="9680">
          <cell r="O9680" t="str">
            <v>SC2462SO</v>
          </cell>
          <cell r="P9680" t="str">
            <v>STC9906J</v>
          </cell>
          <cell r="Q9680" t="str">
            <v>磁性位置传感器</v>
          </cell>
        </row>
        <row r="9681">
          <cell r="O9681" t="str">
            <v>SC2462SO</v>
          </cell>
          <cell r="P9681" t="str">
            <v>STC9906J</v>
          </cell>
          <cell r="Q9681" t="str">
            <v>磁性位置传感器</v>
          </cell>
        </row>
        <row r="9682">
          <cell r="O9682" t="str">
            <v>SC4643VB-A</v>
          </cell>
          <cell r="P9682" t="str">
            <v>STC9D03E</v>
          </cell>
          <cell r="Q9682" t="str">
            <v>电流传感器</v>
          </cell>
        </row>
        <row r="9683">
          <cell r="O9683" t="str">
            <v>SC4643VB-A</v>
          </cell>
          <cell r="P9683" t="str">
            <v>STC9D03E</v>
          </cell>
          <cell r="Q9683" t="str">
            <v>电流传感器</v>
          </cell>
        </row>
        <row r="9684">
          <cell r="O9684" t="str">
            <v>SC4643VB-A</v>
          </cell>
          <cell r="P9684" t="str">
            <v>STC9D03E</v>
          </cell>
          <cell r="Q9684" t="str">
            <v>电流传感器</v>
          </cell>
        </row>
        <row r="9685">
          <cell r="O9685" t="str">
            <v>SC4643VB-A</v>
          </cell>
          <cell r="P9685" t="str">
            <v>STC9D03E</v>
          </cell>
          <cell r="Q9685" t="str">
            <v>电流传感器</v>
          </cell>
        </row>
        <row r="9686">
          <cell r="O9686" t="str">
            <v>SC4643VB-A</v>
          </cell>
          <cell r="P9686" t="str">
            <v>STC9D03E</v>
          </cell>
          <cell r="Q9686" t="str">
            <v>电流传感器</v>
          </cell>
        </row>
        <row r="9687">
          <cell r="O9687" t="str">
            <v>SC4643VB-A</v>
          </cell>
          <cell r="P9687" t="str">
            <v>STC9D03E</v>
          </cell>
          <cell r="Q9687" t="str">
            <v>电流传感器</v>
          </cell>
        </row>
        <row r="9688">
          <cell r="O9688" t="str">
            <v>SC4643VB-A</v>
          </cell>
          <cell r="P9688" t="str">
            <v>STC9D03E</v>
          </cell>
          <cell r="Q9688" t="str">
            <v>电流传感器</v>
          </cell>
        </row>
        <row r="9689">
          <cell r="O9689" t="str">
            <v>SC4643VB-A</v>
          </cell>
          <cell r="P9689" t="str">
            <v>STC9D03E</v>
          </cell>
          <cell r="Q9689" t="str">
            <v>电流传感器</v>
          </cell>
        </row>
        <row r="9690">
          <cell r="O9690" t="str">
            <v>SC4643VB-A</v>
          </cell>
          <cell r="P9690" t="str">
            <v>STC9D03E</v>
          </cell>
          <cell r="Q9690" t="str">
            <v>电流传感器</v>
          </cell>
        </row>
        <row r="9691">
          <cell r="O9691" t="str">
            <v>SC1445B2</v>
          </cell>
          <cell r="P9691" t="str">
            <v>STC2899AB</v>
          </cell>
          <cell r="Q9691" t="str">
            <v>磁性位置传感器</v>
          </cell>
        </row>
        <row r="9692">
          <cell r="O9692" t="str">
            <v>SC1445B2</v>
          </cell>
          <cell r="P9692" t="str">
            <v>STC2899AB</v>
          </cell>
          <cell r="Q9692" t="str">
            <v>磁性位置传感器</v>
          </cell>
        </row>
        <row r="9693">
          <cell r="O9693" t="str">
            <v>SC2498CUA-N</v>
          </cell>
          <cell r="P9693" t="str">
            <v>SC9915C</v>
          </cell>
          <cell r="Q9693" t="str">
            <v>磁性位置传感器</v>
          </cell>
        </row>
        <row r="9694">
          <cell r="O9694" t="str">
            <v>SC9641TS-P</v>
          </cell>
          <cell r="P9694" t="str">
            <v>STC9A001I</v>
          </cell>
          <cell r="Q9694" t="str">
            <v>速度传感器</v>
          </cell>
        </row>
        <row r="9695">
          <cell r="O9695" t="str">
            <v>SC9641TS-P</v>
          </cell>
          <cell r="P9695" t="str">
            <v>STC9A001I</v>
          </cell>
          <cell r="Q9695" t="str">
            <v>速度传感器</v>
          </cell>
        </row>
        <row r="9696">
          <cell r="O9696" t="str">
            <v>SC9641TS</v>
          </cell>
          <cell r="P9696" t="str">
            <v>STC9910BN</v>
          </cell>
          <cell r="Q9696" t="str">
            <v>速度传感器</v>
          </cell>
        </row>
        <row r="9697">
          <cell r="O9697" t="str">
            <v>SC9641TS</v>
          </cell>
          <cell r="P9697" t="str">
            <v>STC9910BN</v>
          </cell>
          <cell r="Q9697" t="str">
            <v>速度传感器</v>
          </cell>
        </row>
        <row r="9698">
          <cell r="O9698" t="str">
            <v>STC1009C</v>
          </cell>
          <cell r="P9698" t="str">
            <v>STC1009C</v>
          </cell>
          <cell r="Q9698" t="str">
            <v>磁性位置传感器</v>
          </cell>
        </row>
        <row r="9699">
          <cell r="O9699" t="str">
            <v>STC1009C</v>
          </cell>
          <cell r="P9699" t="str">
            <v>STC1009C</v>
          </cell>
          <cell r="Q9699" t="str">
            <v>磁性位置传感器</v>
          </cell>
        </row>
        <row r="9700">
          <cell r="O9700" t="str">
            <v>SC9314UA</v>
          </cell>
          <cell r="P9700" t="str">
            <v>STC9901AF</v>
          </cell>
          <cell r="Q9700" t="str">
            <v>速度传感器</v>
          </cell>
        </row>
        <row r="9701">
          <cell r="O9701" t="str">
            <v>SC9314UA</v>
          </cell>
          <cell r="P9701" t="str">
            <v>STC9901AF</v>
          </cell>
          <cell r="Q9701" t="str">
            <v>速度传感器</v>
          </cell>
        </row>
        <row r="9702">
          <cell r="O9702" t="str">
            <v>SC9314UA</v>
          </cell>
          <cell r="P9702" t="str">
            <v>STC9901AF</v>
          </cell>
          <cell r="Q9702" t="str">
            <v>速度传感器</v>
          </cell>
        </row>
        <row r="9703">
          <cell r="O9703" t="str">
            <v>SC9314UA</v>
          </cell>
          <cell r="P9703" t="str">
            <v>STC9901AF</v>
          </cell>
          <cell r="Q9703" t="str">
            <v>速度传感器</v>
          </cell>
        </row>
        <row r="9704">
          <cell r="O9704" t="str">
            <v>SC9314UA</v>
          </cell>
          <cell r="P9704" t="str">
            <v>STC9901AF</v>
          </cell>
          <cell r="Q9704" t="str">
            <v>速度传感器</v>
          </cell>
        </row>
        <row r="9705">
          <cell r="O9705" t="str">
            <v>SC9641TS</v>
          </cell>
          <cell r="P9705" t="str">
            <v>STC9910BN</v>
          </cell>
          <cell r="Q9705" t="str">
            <v>速度传感器</v>
          </cell>
        </row>
        <row r="9706">
          <cell r="O9706" t="str">
            <v>SC9314UA</v>
          </cell>
          <cell r="P9706" t="str">
            <v>STC9901AF</v>
          </cell>
          <cell r="Q9706" t="str">
            <v>速度传感器</v>
          </cell>
        </row>
        <row r="9707">
          <cell r="O9707" t="str">
            <v>SC919H</v>
          </cell>
          <cell r="P9707" t="str">
            <v>STC9909B</v>
          </cell>
          <cell r="Q9707" t="str">
            <v>磁性位置传感器</v>
          </cell>
        </row>
        <row r="9708">
          <cell r="O9708" t="str">
            <v>SC9641TS-PC</v>
          </cell>
          <cell r="P9708" t="str">
            <v>STC9A001I</v>
          </cell>
          <cell r="Q9708" t="str">
            <v>速度传感器</v>
          </cell>
        </row>
        <row r="9709">
          <cell r="O9709" t="str">
            <v>SC9641TS-PC</v>
          </cell>
          <cell r="P9709" t="str">
            <v>STC9A001I</v>
          </cell>
          <cell r="Q9709" t="str">
            <v>速度传感器</v>
          </cell>
        </row>
        <row r="9710">
          <cell r="O9710" t="str">
            <v>SC1645B1</v>
          </cell>
          <cell r="P9710" t="str">
            <v>STC2899AE</v>
          </cell>
          <cell r="Q9710" t="str">
            <v>磁性位置传感器</v>
          </cell>
        </row>
        <row r="9711">
          <cell r="O9711" t="str">
            <v>SC1645B1</v>
          </cell>
          <cell r="P9711" t="str">
            <v>STC2899AE</v>
          </cell>
          <cell r="Q9711" t="str">
            <v>磁性位置传感器</v>
          </cell>
        </row>
        <row r="9712">
          <cell r="O9712" t="str">
            <v>SC1645B1</v>
          </cell>
          <cell r="P9712" t="str">
            <v>STC2899AE</v>
          </cell>
          <cell r="Q9712" t="str">
            <v>磁性位置传感器</v>
          </cell>
        </row>
        <row r="9713">
          <cell r="O9713" t="str">
            <v>SC1645B1</v>
          </cell>
          <cell r="P9713" t="str">
            <v>STC2899AE</v>
          </cell>
          <cell r="Q9713" t="str">
            <v>磁性位置传感器</v>
          </cell>
        </row>
        <row r="9714">
          <cell r="O9714" t="str">
            <v>SC1645B1</v>
          </cell>
          <cell r="P9714" t="str">
            <v>STC2899AE</v>
          </cell>
          <cell r="Q9714" t="str">
            <v>磁性位置传感器</v>
          </cell>
        </row>
        <row r="9715">
          <cell r="O9715" t="str">
            <v>SC1645B1</v>
          </cell>
          <cell r="P9715" t="str">
            <v>STC2899AE</v>
          </cell>
          <cell r="Q9715" t="str">
            <v>磁性位置传感器</v>
          </cell>
        </row>
        <row r="9716">
          <cell r="O9716" t="str">
            <v>SC1645A1</v>
          </cell>
          <cell r="P9716" t="str">
            <v>STC2899AE</v>
          </cell>
          <cell r="Q9716" t="str">
            <v>磁性位置传感器</v>
          </cell>
        </row>
        <row r="9717">
          <cell r="O9717" t="str">
            <v>SC1645A1</v>
          </cell>
          <cell r="P9717" t="str">
            <v>STC2899AE</v>
          </cell>
          <cell r="Q9717" t="str">
            <v>磁性位置传感器</v>
          </cell>
        </row>
        <row r="9718">
          <cell r="O9718" t="str">
            <v>SC4688SA</v>
          </cell>
          <cell r="P9718" t="str">
            <v>STC9D01C</v>
          </cell>
          <cell r="Q9718" t="str">
            <v>角度传感器</v>
          </cell>
        </row>
        <row r="9719">
          <cell r="O9719" t="str">
            <v>SC2442SO-E</v>
          </cell>
          <cell r="P9719" t="str">
            <v>STC9906G</v>
          </cell>
          <cell r="Q9719" t="str">
            <v>磁性位置传感器</v>
          </cell>
        </row>
        <row r="9720">
          <cell r="O9720" t="str">
            <v>SC2442SO-E</v>
          </cell>
          <cell r="P9720" t="str">
            <v>STC9906G</v>
          </cell>
          <cell r="Q9720" t="str">
            <v>磁性位置传感器</v>
          </cell>
        </row>
        <row r="9721">
          <cell r="O9721" t="str">
            <v>SC2442SO-E</v>
          </cell>
          <cell r="P9721" t="str">
            <v>STC9906G</v>
          </cell>
          <cell r="Q9721" t="str">
            <v>磁性位置传感器</v>
          </cell>
        </row>
        <row r="9722">
          <cell r="O9722" t="str">
            <v>SC4688SA-A</v>
          </cell>
          <cell r="P9722" t="str">
            <v>STC9D01C</v>
          </cell>
          <cell r="Q9722" t="str">
            <v>角度传感器</v>
          </cell>
        </row>
        <row r="9723">
          <cell r="O9723" t="str">
            <v>SC4688SA-A</v>
          </cell>
          <cell r="P9723" t="str">
            <v>STC9D01C</v>
          </cell>
          <cell r="Q9723" t="str">
            <v>角度传感器</v>
          </cell>
        </row>
        <row r="9724">
          <cell r="O9724" t="str">
            <v>SC9641TS</v>
          </cell>
          <cell r="P9724" t="str">
            <v>STC9910BN</v>
          </cell>
          <cell r="Q9724" t="str">
            <v>速度传感器</v>
          </cell>
        </row>
        <row r="9725">
          <cell r="O9725" t="str">
            <v>SC9641TS</v>
          </cell>
          <cell r="P9725" t="str">
            <v>STC9910BN</v>
          </cell>
          <cell r="Q9725" t="str">
            <v>速度传感器</v>
          </cell>
        </row>
        <row r="9726">
          <cell r="O9726" t="str">
            <v>SC4002BU</v>
          </cell>
          <cell r="P9726" t="str">
            <v>STC4000AA</v>
          </cell>
          <cell r="Q9726" t="str">
            <v>磁性位置传感器</v>
          </cell>
        </row>
        <row r="9727">
          <cell r="O9727" t="str">
            <v>SC4002BU</v>
          </cell>
          <cell r="P9727" t="str">
            <v>STC4000AA</v>
          </cell>
          <cell r="Q9727" t="str">
            <v>磁性位置传感器</v>
          </cell>
        </row>
        <row r="9728">
          <cell r="O9728" t="str">
            <v>SC2434SO-N</v>
          </cell>
          <cell r="P9728" t="str">
            <v>STC9906I</v>
          </cell>
          <cell r="Q9728" t="str">
            <v>磁性位置传感器</v>
          </cell>
        </row>
        <row r="9729">
          <cell r="O9729" t="str">
            <v>SC1133UA</v>
          </cell>
          <cell r="P9729" t="str">
            <v>STC1898AJ</v>
          </cell>
          <cell r="Q9729" t="str">
            <v>磁性位置传感器</v>
          </cell>
        </row>
        <row r="9730">
          <cell r="O9730" t="str">
            <v>SC4011SO-N</v>
          </cell>
          <cell r="P9730" t="str">
            <v>STC4011B</v>
          </cell>
          <cell r="Q9730" t="str">
            <v>磁性位置传感器</v>
          </cell>
        </row>
        <row r="9731">
          <cell r="O9731" t="str">
            <v>SC4011SO-N</v>
          </cell>
          <cell r="P9731" t="str">
            <v>STC4011B</v>
          </cell>
          <cell r="Q9731" t="str">
            <v>磁性位置传感器</v>
          </cell>
        </row>
        <row r="9732">
          <cell r="O9732" t="str">
            <v>SC4011SO-N</v>
          </cell>
          <cell r="P9732" t="str">
            <v>STC4011B</v>
          </cell>
          <cell r="Q9732" t="str">
            <v>磁性位置传感器</v>
          </cell>
        </row>
        <row r="9733">
          <cell r="O9733" t="str">
            <v>SC4011SO-N</v>
          </cell>
          <cell r="P9733" t="str">
            <v>STC4011B</v>
          </cell>
          <cell r="Q9733" t="str">
            <v>磁性位置传感器</v>
          </cell>
        </row>
        <row r="9734">
          <cell r="O9734" t="str">
            <v>SC4011SO-N</v>
          </cell>
          <cell r="P9734" t="str">
            <v>STC4011B</v>
          </cell>
          <cell r="Q9734" t="str">
            <v>磁性位置传感器</v>
          </cell>
        </row>
        <row r="9735">
          <cell r="O9735" t="str">
            <v>SC2063SO</v>
          </cell>
          <cell r="P9735" t="str">
            <v>STC9G001C</v>
          </cell>
          <cell r="Q9735" t="str">
            <v>磁性位置传感器</v>
          </cell>
        </row>
        <row r="9736">
          <cell r="O9736" t="str">
            <v>SC2063SO</v>
          </cell>
          <cell r="P9736" t="str">
            <v>STC9G001C</v>
          </cell>
          <cell r="Q9736" t="str">
            <v>磁性位置传感器</v>
          </cell>
        </row>
        <row r="9737">
          <cell r="O9737" t="str">
            <v>SC2063SO</v>
          </cell>
          <cell r="P9737" t="str">
            <v>STC9G001C</v>
          </cell>
          <cell r="Q9737" t="str">
            <v>磁性位置传感器</v>
          </cell>
        </row>
        <row r="9738">
          <cell r="O9738" t="str">
            <v>SC2442SO-N</v>
          </cell>
          <cell r="P9738" t="str">
            <v>STC9906P</v>
          </cell>
          <cell r="Q9738" t="str">
            <v>磁性位置传感器</v>
          </cell>
        </row>
        <row r="9739">
          <cell r="O9739" t="str">
            <v>SC2442SO-N</v>
          </cell>
          <cell r="P9739" t="str">
            <v>STC9906P</v>
          </cell>
          <cell r="Q9739" t="str">
            <v>磁性位置传感器</v>
          </cell>
        </row>
        <row r="9740">
          <cell r="O9740" t="str">
            <v>SC2442SO-N</v>
          </cell>
          <cell r="P9740" t="str">
            <v>STC9906P</v>
          </cell>
          <cell r="Q9740" t="str">
            <v>磁性位置传感器</v>
          </cell>
        </row>
        <row r="9741">
          <cell r="O9741" t="str">
            <v>SC2442SO-N</v>
          </cell>
          <cell r="P9741" t="str">
            <v>STC9906P</v>
          </cell>
          <cell r="Q9741" t="str">
            <v>磁性位置传感器</v>
          </cell>
        </row>
        <row r="9742">
          <cell r="O9742" t="str">
            <v>SC2402SO-N-G</v>
          </cell>
          <cell r="P9742" t="str">
            <v>STC9G002A</v>
          </cell>
          <cell r="Q9742" t="str">
            <v>磁性位置传感器</v>
          </cell>
        </row>
        <row r="9743">
          <cell r="O9743" t="str">
            <v>SC2402SO-N-G</v>
          </cell>
          <cell r="P9743" t="str">
            <v>STC9G002A</v>
          </cell>
          <cell r="Q9743" t="str">
            <v>磁性位置传感器</v>
          </cell>
        </row>
        <row r="9744">
          <cell r="O9744" t="str">
            <v>SC2434SO</v>
          </cell>
          <cell r="P9744" t="str">
            <v>STC9906I</v>
          </cell>
          <cell r="Q9744" t="str">
            <v>磁性位置传感器</v>
          </cell>
        </row>
        <row r="9745">
          <cell r="O9745" t="str">
            <v>SC2434SO</v>
          </cell>
          <cell r="P9745" t="str">
            <v>STC9906I</v>
          </cell>
          <cell r="Q9745" t="str">
            <v>磁性位置传感器</v>
          </cell>
        </row>
        <row r="9746">
          <cell r="O9746" t="str">
            <v>SC2434SO</v>
          </cell>
          <cell r="P9746" t="str">
            <v>STC9906I</v>
          </cell>
          <cell r="Q9746" t="str">
            <v>磁性位置传感器</v>
          </cell>
        </row>
        <row r="9747">
          <cell r="O9747" t="str">
            <v>SC2434SO</v>
          </cell>
          <cell r="P9747" t="str">
            <v>STC9906I</v>
          </cell>
          <cell r="Q9747" t="str">
            <v>磁性位置传感器</v>
          </cell>
        </row>
        <row r="9748">
          <cell r="O9748" t="str">
            <v>SC2434SO</v>
          </cell>
          <cell r="P9748" t="str">
            <v>STC9906I</v>
          </cell>
          <cell r="Q9748" t="str">
            <v>磁性位置传感器</v>
          </cell>
        </row>
        <row r="9749">
          <cell r="O9749" t="str">
            <v>SC1134UA</v>
          </cell>
          <cell r="P9749" t="str">
            <v>STC1898AI</v>
          </cell>
          <cell r="Q9749" t="str">
            <v>磁性位置传感器</v>
          </cell>
        </row>
        <row r="9750">
          <cell r="O9750" t="str">
            <v>SC2402UA</v>
          </cell>
          <cell r="P9750" t="str">
            <v>STC9902J</v>
          </cell>
          <cell r="Q9750" t="str">
            <v>磁性位置传感器</v>
          </cell>
        </row>
        <row r="9751">
          <cell r="O9751" t="str">
            <v>SC4101DN</v>
          </cell>
          <cell r="P9751" t="str">
            <v>STC11201B</v>
          </cell>
          <cell r="Q9751" t="str">
            <v>磁性位置传感器</v>
          </cell>
        </row>
        <row r="9752">
          <cell r="O9752" t="str">
            <v>SC2402SO-N</v>
          </cell>
          <cell r="P9752" t="str">
            <v>STC9902J</v>
          </cell>
          <cell r="Q9752" t="str">
            <v>磁性位置传感器</v>
          </cell>
        </row>
        <row r="9753">
          <cell r="O9753" t="str">
            <v>SC2442SO-N</v>
          </cell>
          <cell r="P9753" t="str">
            <v>STC9906P</v>
          </cell>
          <cell r="Q9753" t="str">
            <v>磁性位置传感器</v>
          </cell>
        </row>
        <row r="9754">
          <cell r="O9754" t="str">
            <v>SC2442SO-N</v>
          </cell>
          <cell r="P9754" t="str">
            <v>STC9906P</v>
          </cell>
          <cell r="Q9754" t="str">
            <v>磁性位置传感器</v>
          </cell>
        </row>
        <row r="9755">
          <cell r="O9755" t="str">
            <v>SC2442SO-N</v>
          </cell>
          <cell r="P9755" t="str">
            <v>STC9906P</v>
          </cell>
          <cell r="Q9755" t="str">
            <v>磁性位置传感器</v>
          </cell>
        </row>
        <row r="9756">
          <cell r="O9756" t="str">
            <v>SC2442SO-N</v>
          </cell>
          <cell r="P9756" t="str">
            <v>STC9906P</v>
          </cell>
          <cell r="Q9756" t="str">
            <v>磁性位置传感器</v>
          </cell>
        </row>
        <row r="9757">
          <cell r="O9757" t="str">
            <v>SC2442SO-N</v>
          </cell>
          <cell r="P9757" t="str">
            <v>STC9906P</v>
          </cell>
          <cell r="Q9757" t="str">
            <v>磁性位置传感器</v>
          </cell>
        </row>
        <row r="9758">
          <cell r="O9758" t="str">
            <v>SC2442SO-N</v>
          </cell>
          <cell r="P9758" t="str">
            <v>STC9906P</v>
          </cell>
          <cell r="Q9758" t="str">
            <v>磁性位置传感器</v>
          </cell>
        </row>
        <row r="9759">
          <cell r="O9759" t="str">
            <v>SC2442SO-N</v>
          </cell>
          <cell r="P9759" t="str">
            <v>STC9906P</v>
          </cell>
          <cell r="Q9759" t="str">
            <v>磁性位置传感器</v>
          </cell>
        </row>
        <row r="9760">
          <cell r="O9760" t="str">
            <v>SC2442SO-N</v>
          </cell>
          <cell r="P9760" t="str">
            <v>STC9906P</v>
          </cell>
          <cell r="Q9760" t="str">
            <v>磁性位置传感器</v>
          </cell>
        </row>
        <row r="9761">
          <cell r="O9761" t="str">
            <v>SC2442SO-N</v>
          </cell>
          <cell r="P9761" t="str">
            <v>STC9906P</v>
          </cell>
          <cell r="Q9761" t="str">
            <v>磁性位置传感器</v>
          </cell>
        </row>
        <row r="9762">
          <cell r="O9762" t="str">
            <v>SC2442SO-N</v>
          </cell>
          <cell r="P9762" t="str">
            <v>STC9906P</v>
          </cell>
          <cell r="Q9762" t="str">
            <v>磁性位置传感器</v>
          </cell>
        </row>
        <row r="9763">
          <cell r="O9763" t="str">
            <v>SC2442SO-N</v>
          </cell>
          <cell r="P9763" t="str">
            <v>STC9906P</v>
          </cell>
          <cell r="Q9763" t="str">
            <v>磁性位置传感器</v>
          </cell>
        </row>
        <row r="9764">
          <cell r="O9764" t="str">
            <v>SC2402SO-N</v>
          </cell>
          <cell r="P9764" t="str">
            <v>STC9902J</v>
          </cell>
          <cell r="Q9764" t="str">
            <v>磁性位置传感器</v>
          </cell>
        </row>
        <row r="9765">
          <cell r="O9765" t="str">
            <v>SC2402SO-N</v>
          </cell>
          <cell r="P9765" t="str">
            <v>STC9902J</v>
          </cell>
          <cell r="Q9765" t="str">
            <v>磁性位置传感器</v>
          </cell>
        </row>
        <row r="9766">
          <cell r="O9766" t="str">
            <v>SC1245UA</v>
          </cell>
          <cell r="P9766" t="str">
            <v>STC1898AD</v>
          </cell>
          <cell r="Q9766" t="str">
            <v>磁性位置传感器</v>
          </cell>
        </row>
        <row r="9767">
          <cell r="O9767" t="str">
            <v>SC1245UA</v>
          </cell>
          <cell r="P9767" t="str">
            <v>STC1898AD</v>
          </cell>
          <cell r="Q9767" t="str">
            <v>磁性位置传感器</v>
          </cell>
        </row>
        <row r="9768">
          <cell r="O9768" t="str">
            <v>2100</v>
          </cell>
          <cell r="P9768" t="str">
            <v>STC9D03E</v>
          </cell>
          <cell r="Q9768" t="str">
            <v>电流传感器</v>
          </cell>
        </row>
        <row r="9769">
          <cell r="O9769" t="str">
            <v>SC9621VB</v>
          </cell>
          <cell r="P9769" t="str">
            <v>STC9910C</v>
          </cell>
          <cell r="Q9769" t="str">
            <v>速度传感器</v>
          </cell>
        </row>
        <row r="9770">
          <cell r="O9770" t="str">
            <v>SC9625VB</v>
          </cell>
          <cell r="P9770" t="str">
            <v>STC9910B</v>
          </cell>
          <cell r="Q9770" t="str">
            <v>速度传感器</v>
          </cell>
        </row>
        <row r="9771">
          <cell r="O9771" t="str">
            <v>SC9625VB</v>
          </cell>
          <cell r="P9771" t="str">
            <v>STC9910B</v>
          </cell>
          <cell r="Q9771" t="str">
            <v>速度传感器</v>
          </cell>
        </row>
        <row r="9772">
          <cell r="O9772" t="str">
            <v>SC4688DC</v>
          </cell>
          <cell r="P9772" t="str">
            <v>STC9D01C</v>
          </cell>
          <cell r="Q9772" t="str">
            <v>角度传感器</v>
          </cell>
        </row>
        <row r="9773">
          <cell r="O9773" t="str">
            <v>SC9314UA</v>
          </cell>
          <cell r="P9773" t="str">
            <v>STC9901AF</v>
          </cell>
          <cell r="Q9773" t="str">
            <v>速度传感器</v>
          </cell>
        </row>
        <row r="9774">
          <cell r="O9774" t="str">
            <v>SC9314UA</v>
          </cell>
          <cell r="P9774" t="str">
            <v>STC9901AF</v>
          </cell>
          <cell r="Q9774" t="str">
            <v>速度传感器</v>
          </cell>
        </row>
        <row r="9775">
          <cell r="O9775" t="str">
            <v>SC9641TS-P</v>
          </cell>
          <cell r="P9775" t="str">
            <v>STC9A001I</v>
          </cell>
          <cell r="Q9775" t="str">
            <v>速度传感器</v>
          </cell>
        </row>
        <row r="9776">
          <cell r="O9776" t="str">
            <v>SC9641TS-P</v>
          </cell>
          <cell r="P9776" t="str">
            <v>STC9A001I</v>
          </cell>
          <cell r="Q9776" t="str">
            <v>速度传感器</v>
          </cell>
        </row>
        <row r="9777">
          <cell r="O9777" t="str">
            <v>SC9625VB-L</v>
          </cell>
          <cell r="P9777" t="str">
            <v>STC9910E</v>
          </cell>
          <cell r="Q9777" t="str">
            <v>速度传感器</v>
          </cell>
        </row>
        <row r="9778">
          <cell r="O9778" t="str">
            <v>SC9625VB-L</v>
          </cell>
          <cell r="P9778" t="str">
            <v>STC9910E</v>
          </cell>
          <cell r="Q9778" t="str">
            <v>速度传感器</v>
          </cell>
        </row>
        <row r="9779">
          <cell r="O9779" t="str">
            <v>SC9625VB-L</v>
          </cell>
          <cell r="P9779" t="str">
            <v>STC9910E</v>
          </cell>
          <cell r="Q9779" t="str">
            <v>速度传感器</v>
          </cell>
        </row>
        <row r="9780">
          <cell r="O9780" t="str">
            <v>SC9621VB</v>
          </cell>
          <cell r="P9780" t="str">
            <v>STC9910C</v>
          </cell>
          <cell r="Q9780" t="str">
            <v>速度传感器</v>
          </cell>
        </row>
        <row r="9781">
          <cell r="O9781" t="str">
            <v>SC9621VB</v>
          </cell>
          <cell r="P9781" t="str">
            <v>STC9910C</v>
          </cell>
          <cell r="Q9781" t="str">
            <v>速度传感器</v>
          </cell>
        </row>
        <row r="9782">
          <cell r="O9782" t="str">
            <v>SC69401D</v>
          </cell>
          <cell r="P9782" t="str">
            <v>STC9H002D</v>
          </cell>
          <cell r="Q9782" t="str">
            <v>角度传感器</v>
          </cell>
        </row>
        <row r="9783">
          <cell r="O9783" t="str">
            <v>SC4002BU</v>
          </cell>
          <cell r="P9783" t="str">
            <v>STC4000AA</v>
          </cell>
          <cell r="Q9783" t="str">
            <v>磁性位置传感器</v>
          </cell>
        </row>
        <row r="9784">
          <cell r="O9784" t="str">
            <v>SC2443UA</v>
          </cell>
          <cell r="P9784" t="str">
            <v>STC9906G</v>
          </cell>
          <cell r="Q9784" t="str">
            <v>磁性位置传感器</v>
          </cell>
        </row>
        <row r="9785">
          <cell r="O9785" t="str">
            <v>SC4643VB-A</v>
          </cell>
          <cell r="P9785" t="str">
            <v>STC9D03E</v>
          </cell>
          <cell r="Q9785" t="str">
            <v>电流传感器</v>
          </cell>
        </row>
        <row r="9786">
          <cell r="O9786" t="str">
            <v>SC4643VB-A</v>
          </cell>
          <cell r="P9786" t="str">
            <v>STC9D03E</v>
          </cell>
          <cell r="Q9786" t="str">
            <v>电流传感器</v>
          </cell>
        </row>
        <row r="9787">
          <cell r="O9787" t="str">
            <v>SC4643VB-A</v>
          </cell>
          <cell r="P9787" t="str">
            <v>STC9D03E</v>
          </cell>
          <cell r="Q9787" t="str">
            <v>电流传感器</v>
          </cell>
        </row>
        <row r="9788">
          <cell r="O9788" t="str">
            <v>SC4643VB-A</v>
          </cell>
          <cell r="P9788" t="str">
            <v>STC9D03E</v>
          </cell>
          <cell r="Q9788" t="str">
            <v>电流传感器</v>
          </cell>
        </row>
        <row r="9789">
          <cell r="O9789" t="str">
            <v>SC2464SO</v>
          </cell>
          <cell r="P9789" t="str">
            <v>STC9906J</v>
          </cell>
          <cell r="Q9789" t="str">
            <v>磁性位置传感器</v>
          </cell>
        </row>
        <row r="9790">
          <cell r="O9790" t="str">
            <v>SC2464SO</v>
          </cell>
          <cell r="P9790" t="str">
            <v>STC9906J</v>
          </cell>
          <cell r="Q9790" t="str">
            <v>磁性位置传感器</v>
          </cell>
        </row>
        <row r="9791">
          <cell r="O9791" t="str">
            <v>SC2464SO</v>
          </cell>
          <cell r="P9791" t="str">
            <v>STC9906J</v>
          </cell>
          <cell r="Q9791" t="str">
            <v>磁性位置传感器</v>
          </cell>
        </row>
        <row r="9792">
          <cell r="O9792" t="str">
            <v>SC4616UA-10.2NF</v>
          </cell>
          <cell r="P9792" t="str">
            <v>STC9907D</v>
          </cell>
          <cell r="Q9792" t="str">
            <v>电流传感器</v>
          </cell>
        </row>
        <row r="9793">
          <cell r="O9793" t="str">
            <v>SC4616UA-10.2NF</v>
          </cell>
          <cell r="P9793" t="str">
            <v>STC9907D</v>
          </cell>
          <cell r="Q9793" t="str">
            <v>电流传感器</v>
          </cell>
        </row>
        <row r="9794">
          <cell r="O9794" t="str">
            <v>SC2498CUA-A</v>
          </cell>
          <cell r="P9794" t="str">
            <v>SC9915C</v>
          </cell>
          <cell r="Q9794" t="str">
            <v>磁性位置传感器</v>
          </cell>
        </row>
        <row r="9795">
          <cell r="O9795" t="str">
            <v>SC2442SO</v>
          </cell>
          <cell r="P9795" t="str">
            <v>STC9906R</v>
          </cell>
          <cell r="Q9795" t="str">
            <v>磁性位置传感器</v>
          </cell>
        </row>
        <row r="9796">
          <cell r="O9796" t="str">
            <v>SC60226</v>
          </cell>
          <cell r="P9796" t="str">
            <v>STC9D04C</v>
          </cell>
          <cell r="Q9796" t="str">
            <v>电机编码器</v>
          </cell>
        </row>
        <row r="9797">
          <cell r="O9797" t="str">
            <v>SC9625VB-L</v>
          </cell>
          <cell r="P9797" t="str">
            <v>STC9910E</v>
          </cell>
          <cell r="Q9797" t="str">
            <v>速度传感器</v>
          </cell>
        </row>
        <row r="9798">
          <cell r="O9798" t="str">
            <v>SC9625VB-L</v>
          </cell>
          <cell r="P9798" t="str">
            <v>STC9910E</v>
          </cell>
          <cell r="Q9798" t="str">
            <v>速度传感器</v>
          </cell>
        </row>
        <row r="9799">
          <cell r="O9799" t="str">
            <v>SC9642TS-E</v>
          </cell>
          <cell r="P9799" t="str">
            <v>STC9A001H</v>
          </cell>
          <cell r="Q9799" t="str">
            <v>速度传感器</v>
          </cell>
        </row>
        <row r="9800">
          <cell r="O9800" t="str">
            <v>SC9642TS-E</v>
          </cell>
          <cell r="P9800" t="str">
            <v>STC9A001H</v>
          </cell>
          <cell r="Q9800" t="str">
            <v>速度传感器</v>
          </cell>
        </row>
        <row r="9801">
          <cell r="O9801" t="str">
            <v>SC9642TS-E</v>
          </cell>
          <cell r="P9801" t="str">
            <v>STC9A001H</v>
          </cell>
          <cell r="Q9801" t="str">
            <v>速度传感器</v>
          </cell>
        </row>
        <row r="9802">
          <cell r="O9802" t="str">
            <v>SC4688DC</v>
          </cell>
          <cell r="P9802" t="str">
            <v>STC9D01C</v>
          </cell>
          <cell r="Q9802" t="str">
            <v>角度传感器</v>
          </cell>
        </row>
        <row r="9803">
          <cell r="O9803" t="str">
            <v>SC69401D</v>
          </cell>
          <cell r="P9803" t="str">
            <v>STC9H002D</v>
          </cell>
          <cell r="Q9803" t="str">
            <v>角度传感器</v>
          </cell>
        </row>
        <row r="9804">
          <cell r="O9804" t="str">
            <v>SC9642TS</v>
          </cell>
          <cell r="P9804" t="str">
            <v>STC9A001G</v>
          </cell>
          <cell r="Q9804" t="str">
            <v>速度传感器</v>
          </cell>
        </row>
        <row r="9805">
          <cell r="O9805" t="str">
            <v>SC9642TS</v>
          </cell>
          <cell r="P9805" t="str">
            <v>STC9A001G</v>
          </cell>
          <cell r="Q9805" t="str">
            <v>速度传感器</v>
          </cell>
        </row>
        <row r="9806">
          <cell r="O9806" t="str">
            <v>SC9642TS</v>
          </cell>
          <cell r="P9806" t="str">
            <v>STC9A001G</v>
          </cell>
          <cell r="Q9806" t="str">
            <v>速度传感器</v>
          </cell>
        </row>
        <row r="9807">
          <cell r="O9807" t="str">
            <v>SC9642TS</v>
          </cell>
          <cell r="P9807" t="str">
            <v>STC9A001G</v>
          </cell>
          <cell r="Q9807" t="str">
            <v>速度传感器</v>
          </cell>
        </row>
        <row r="9808">
          <cell r="O9808" t="str">
            <v>SC9642TS</v>
          </cell>
          <cell r="P9808" t="str">
            <v>STC9A001G</v>
          </cell>
          <cell r="Q9808" t="str">
            <v>速度传感器</v>
          </cell>
        </row>
        <row r="9809">
          <cell r="O9809" t="str">
            <v>SC9642TS</v>
          </cell>
          <cell r="P9809" t="str">
            <v>STC9A001G</v>
          </cell>
          <cell r="Q9809" t="str">
            <v>速度传感器</v>
          </cell>
        </row>
        <row r="9810">
          <cell r="O9810" t="str">
            <v>SC9642TS</v>
          </cell>
          <cell r="P9810" t="str">
            <v>STC9A001G</v>
          </cell>
          <cell r="Q9810" t="str">
            <v>速度传感器</v>
          </cell>
        </row>
        <row r="9811">
          <cell r="O9811" t="str">
            <v>SC9642TS</v>
          </cell>
          <cell r="P9811" t="str">
            <v>STC9A001G</v>
          </cell>
          <cell r="Q9811" t="str">
            <v>速度传感器</v>
          </cell>
        </row>
        <row r="9812">
          <cell r="O9812" t="str">
            <v>SC9642TS</v>
          </cell>
          <cell r="P9812" t="str">
            <v>STC9A001G</v>
          </cell>
          <cell r="Q9812" t="str">
            <v>速度传感器</v>
          </cell>
        </row>
        <row r="9813">
          <cell r="O9813" t="str">
            <v>SC9642TS</v>
          </cell>
          <cell r="P9813" t="str">
            <v>STC9A001G</v>
          </cell>
          <cell r="Q9813" t="str">
            <v>速度传感器</v>
          </cell>
        </row>
        <row r="9814">
          <cell r="O9814" t="str">
            <v>SC9642TS</v>
          </cell>
          <cell r="P9814" t="str">
            <v>STC9A001G</v>
          </cell>
          <cell r="Q9814" t="str">
            <v>速度传感器</v>
          </cell>
        </row>
        <row r="9815">
          <cell r="O9815" t="str">
            <v>SC9642TS</v>
          </cell>
          <cell r="P9815" t="str">
            <v>STC9A001G</v>
          </cell>
          <cell r="Q9815" t="str">
            <v>速度传感器</v>
          </cell>
        </row>
        <row r="9816">
          <cell r="O9816" t="str">
            <v>SC9642TS</v>
          </cell>
          <cell r="P9816" t="str">
            <v>STC9A001G</v>
          </cell>
          <cell r="Q9816" t="str">
            <v>速度传感器</v>
          </cell>
        </row>
        <row r="9817">
          <cell r="O9817" t="str">
            <v>SC9642TS</v>
          </cell>
          <cell r="P9817" t="str">
            <v>STC9A001G</v>
          </cell>
          <cell r="Q9817" t="str">
            <v>速度传感器</v>
          </cell>
        </row>
        <row r="9818">
          <cell r="O9818" t="str">
            <v>SC9642TS</v>
          </cell>
          <cell r="P9818" t="str">
            <v>STC9A001G</v>
          </cell>
          <cell r="Q9818" t="str">
            <v>速度传感器</v>
          </cell>
        </row>
        <row r="9819">
          <cell r="O9819" t="str">
            <v>SC9642TS</v>
          </cell>
          <cell r="P9819" t="str">
            <v>STC9A001G</v>
          </cell>
          <cell r="Q9819" t="str">
            <v>速度传感器</v>
          </cell>
        </row>
        <row r="9820">
          <cell r="O9820" t="str">
            <v>SC9642TS</v>
          </cell>
          <cell r="P9820" t="str">
            <v>STC9A001G</v>
          </cell>
          <cell r="Q9820" t="str">
            <v>速度传感器</v>
          </cell>
        </row>
        <row r="9821">
          <cell r="O9821" t="str">
            <v>SC60224-D-1024</v>
          </cell>
          <cell r="P9821" t="str">
            <v>STC9D04C</v>
          </cell>
          <cell r="Q9821" t="str">
            <v>电机编码器</v>
          </cell>
        </row>
        <row r="9822">
          <cell r="O9822" t="str">
            <v>SC60224-D-200</v>
          </cell>
          <cell r="P9822" t="str">
            <v>STC9D04C</v>
          </cell>
          <cell r="Q9822" t="str">
            <v>电机编码器</v>
          </cell>
        </row>
        <row r="9823">
          <cell r="O9823" t="str">
            <v>SC60221-D-360</v>
          </cell>
          <cell r="P9823" t="str">
            <v>STC9D04C</v>
          </cell>
          <cell r="Q9823" t="str">
            <v>电机编码器</v>
          </cell>
        </row>
        <row r="9824">
          <cell r="O9824" t="str">
            <v>SC9641TS-P</v>
          </cell>
          <cell r="P9824" t="str">
            <v>STC9A001I</v>
          </cell>
          <cell r="Q9824" t="str">
            <v>速度传感器</v>
          </cell>
        </row>
        <row r="9825">
          <cell r="O9825" t="str">
            <v>SC2402SO-N</v>
          </cell>
          <cell r="P9825" t="str">
            <v>STC9902J</v>
          </cell>
          <cell r="Q9825" t="str">
            <v>磁性位置传感器</v>
          </cell>
        </row>
        <row r="9826">
          <cell r="O9826" t="str">
            <v>SC60221-D-256</v>
          </cell>
          <cell r="P9826" t="str">
            <v>STC9D04C</v>
          </cell>
          <cell r="Q9826" t="str">
            <v>电机编码器</v>
          </cell>
        </row>
        <row r="9827">
          <cell r="O9827" t="str">
            <v>SC69401</v>
          </cell>
          <cell r="P9827" t="str">
            <v>STC9H002D</v>
          </cell>
          <cell r="Q9827" t="str">
            <v>角度传感器</v>
          </cell>
        </row>
        <row r="9828">
          <cell r="O9828" t="str">
            <v>SC60221</v>
          </cell>
          <cell r="P9828" t="str">
            <v>STC9D04C</v>
          </cell>
          <cell r="Q9828" t="str">
            <v>电机编码器</v>
          </cell>
        </row>
        <row r="9829">
          <cell r="O9829" t="str">
            <v>SC1134UA</v>
          </cell>
          <cell r="P9829" t="str">
            <v>STC1898AI</v>
          </cell>
          <cell r="Q9829" t="str">
            <v>磁性位置传感器</v>
          </cell>
        </row>
        <row r="9830">
          <cell r="O9830" t="str">
            <v>SC4011SO-N</v>
          </cell>
          <cell r="P9830" t="str">
            <v>STC4011B</v>
          </cell>
          <cell r="Q9830" t="str">
            <v>磁性位置传感器</v>
          </cell>
        </row>
        <row r="9831">
          <cell r="O9831" t="str">
            <v>SC4011SO-N</v>
          </cell>
          <cell r="P9831" t="str">
            <v>STC4011B</v>
          </cell>
          <cell r="Q9831" t="str">
            <v>磁性位置传感器</v>
          </cell>
        </row>
        <row r="9832">
          <cell r="O9832" t="str">
            <v>SC9314UA</v>
          </cell>
          <cell r="P9832" t="str">
            <v>STC9901AF</v>
          </cell>
          <cell r="Q9832" t="str">
            <v>速度传感器</v>
          </cell>
        </row>
        <row r="9833">
          <cell r="O9833" t="str">
            <v>SC4011SO-N</v>
          </cell>
          <cell r="P9833" t="str">
            <v>STC4011B</v>
          </cell>
          <cell r="Q9833" t="str">
            <v>磁性位置传感器</v>
          </cell>
        </row>
        <row r="9834">
          <cell r="O9834" t="str">
            <v>SC9621VB</v>
          </cell>
          <cell r="P9834" t="str">
            <v>STC9910C</v>
          </cell>
          <cell r="Q9834" t="str">
            <v>速度传感器</v>
          </cell>
        </row>
        <row r="9835">
          <cell r="O9835" t="str">
            <v>SC9621VB</v>
          </cell>
          <cell r="P9835" t="str">
            <v>STC9910C</v>
          </cell>
          <cell r="Q9835" t="str">
            <v>速度传感器</v>
          </cell>
        </row>
        <row r="9836">
          <cell r="O9836" t="str">
            <v>SC9621VB</v>
          </cell>
          <cell r="P9836" t="str">
            <v>STC9910C</v>
          </cell>
          <cell r="Q9836" t="str">
            <v>速度传感器</v>
          </cell>
        </row>
        <row r="9837">
          <cell r="O9837" t="str">
            <v>SC9625VB-L</v>
          </cell>
          <cell r="P9837" t="str">
            <v>STC9910E</v>
          </cell>
          <cell r="Q9837" t="str">
            <v>速度传感器</v>
          </cell>
        </row>
        <row r="9838">
          <cell r="O9838" t="str">
            <v>SC9625VB-L</v>
          </cell>
          <cell r="P9838" t="str">
            <v>STC9910E</v>
          </cell>
          <cell r="Q9838" t="str">
            <v>速度传感器</v>
          </cell>
        </row>
        <row r="9839">
          <cell r="O9839" t="str">
            <v>SC4688DC</v>
          </cell>
          <cell r="P9839" t="str">
            <v>STC9D01C</v>
          </cell>
          <cell r="Q9839" t="str">
            <v>角度传感器</v>
          </cell>
        </row>
        <row r="9840">
          <cell r="O9840" t="str">
            <v>SC4688DC</v>
          </cell>
          <cell r="P9840" t="str">
            <v>STC9D01C</v>
          </cell>
          <cell r="Q9840" t="str">
            <v>角度传感器</v>
          </cell>
        </row>
        <row r="9841">
          <cell r="O9841" t="str">
            <v>3100</v>
          </cell>
          <cell r="P9841" t="str">
            <v>STC9D06G</v>
          </cell>
          <cell r="Q9841" t="str">
            <v>电流传感器</v>
          </cell>
        </row>
        <row r="9842">
          <cell r="O9842" t="str">
            <v>SC4643VB-P</v>
          </cell>
          <cell r="P9842" t="str">
            <v>STC9D03E</v>
          </cell>
          <cell r="Q9842" t="str">
            <v>电流传感器</v>
          </cell>
        </row>
        <row r="9843">
          <cell r="O9843" t="str">
            <v>SC4643VB-A</v>
          </cell>
          <cell r="P9843" t="str">
            <v>STC9D03E</v>
          </cell>
          <cell r="Q9843" t="str">
            <v>电流传感器</v>
          </cell>
        </row>
        <row r="9844">
          <cell r="O9844" t="str">
            <v>SC4643VB-A</v>
          </cell>
          <cell r="P9844" t="str">
            <v>STC9D03E</v>
          </cell>
          <cell r="Q9844" t="str">
            <v>电流传感器</v>
          </cell>
        </row>
        <row r="9845">
          <cell r="O9845" t="str">
            <v>SC4643VB-A</v>
          </cell>
          <cell r="P9845" t="str">
            <v>STC9D03E</v>
          </cell>
          <cell r="Q9845" t="str">
            <v>电流传感器</v>
          </cell>
        </row>
        <row r="9846">
          <cell r="O9846" t="str">
            <v>SC4643VB-A</v>
          </cell>
          <cell r="P9846" t="str">
            <v>STC9D03E</v>
          </cell>
          <cell r="Q9846" t="str">
            <v>电流传感器</v>
          </cell>
        </row>
        <row r="9847">
          <cell r="O9847" t="str">
            <v>SC9625VB-L</v>
          </cell>
          <cell r="P9847" t="str">
            <v>STC9910E</v>
          </cell>
          <cell r="Q9847" t="str">
            <v>速度传感器</v>
          </cell>
        </row>
        <row r="9848">
          <cell r="O9848" t="str">
            <v>STC4011B</v>
          </cell>
          <cell r="P9848" t="str">
            <v>STC4011B</v>
          </cell>
          <cell r="Q9848" t="str">
            <v>磁性位置传感器</v>
          </cell>
        </row>
        <row r="9849">
          <cell r="O9849" t="str">
            <v>SC4688DC</v>
          </cell>
          <cell r="P9849" t="str">
            <v>STC9D01C</v>
          </cell>
          <cell r="Q9849" t="str">
            <v>角度传感器</v>
          </cell>
        </row>
        <row r="9850">
          <cell r="O9850" t="str">
            <v>SC9634VB</v>
          </cell>
          <cell r="P9850" t="str">
            <v>STC9905G</v>
          </cell>
          <cell r="Q9850" t="str">
            <v>速度传感器</v>
          </cell>
        </row>
        <row r="9851">
          <cell r="O9851" t="str">
            <v>SC4616UA-10NV</v>
          </cell>
          <cell r="P9851" t="str">
            <v>STC9907D</v>
          </cell>
          <cell r="Q9851" t="str">
            <v>电流传感器</v>
          </cell>
        </row>
        <row r="9852">
          <cell r="O9852" t="str">
            <v>SC4616UA-10NV</v>
          </cell>
          <cell r="P9852" t="str">
            <v>STC9907D</v>
          </cell>
          <cell r="Q9852" t="str">
            <v>电流传感器</v>
          </cell>
        </row>
        <row r="9853">
          <cell r="O9853" t="str">
            <v>SC4616UA-10NV</v>
          </cell>
          <cell r="P9853" t="str">
            <v>STC9907D</v>
          </cell>
          <cell r="Q9853" t="str">
            <v>电流传感器</v>
          </cell>
        </row>
        <row r="9854">
          <cell r="O9854" t="str">
            <v>SC4616UA-10NV</v>
          </cell>
          <cell r="P9854" t="str">
            <v>STC9907D</v>
          </cell>
          <cell r="Q9854" t="str">
            <v>电流传感器</v>
          </cell>
        </row>
        <row r="9855">
          <cell r="O9855" t="str">
            <v>SC9314UA</v>
          </cell>
          <cell r="P9855" t="str">
            <v>STC9901AF</v>
          </cell>
          <cell r="Q9855" t="str">
            <v>速度传感器</v>
          </cell>
        </row>
        <row r="9856">
          <cell r="O9856" t="str">
            <v>SC9641TS-P</v>
          </cell>
          <cell r="P9856" t="str">
            <v>STC9A001I</v>
          </cell>
          <cell r="Q9856" t="str">
            <v>速度传感器</v>
          </cell>
        </row>
        <row r="9857">
          <cell r="O9857" t="str">
            <v>SC9642TS-E</v>
          </cell>
          <cell r="P9857" t="str">
            <v>STC9A001H</v>
          </cell>
          <cell r="Q9857" t="str">
            <v>速度传感器</v>
          </cell>
        </row>
        <row r="9858">
          <cell r="O9858" t="str">
            <v>SC9642TS-E</v>
          </cell>
          <cell r="P9858" t="str">
            <v>STC9A001H</v>
          </cell>
          <cell r="Q9858" t="str">
            <v>速度传感器</v>
          </cell>
        </row>
        <row r="9859">
          <cell r="O9859" t="str">
            <v>SC4624SP20B5</v>
          </cell>
          <cell r="P9859" t="str">
            <v>STC9D06F</v>
          </cell>
          <cell r="Q9859" t="str">
            <v>电流传感器</v>
          </cell>
        </row>
        <row r="9860">
          <cell r="O9860" t="str">
            <v>SC2464SO</v>
          </cell>
          <cell r="P9860" t="str">
            <v>STC9906J</v>
          </cell>
          <cell r="Q9860" t="str">
            <v>磁性位置传感器</v>
          </cell>
        </row>
        <row r="9861">
          <cell r="O9861" t="str">
            <v>SC2464SO</v>
          </cell>
          <cell r="P9861" t="str">
            <v>STC9906J</v>
          </cell>
          <cell r="Q9861" t="str">
            <v>磁性位置传感器</v>
          </cell>
        </row>
        <row r="9862">
          <cell r="O9862" t="str">
            <v>SC9641TS-P</v>
          </cell>
          <cell r="P9862" t="str">
            <v>STC9A001I</v>
          </cell>
          <cell r="Q9862" t="str">
            <v>速度传感器</v>
          </cell>
        </row>
        <row r="9863">
          <cell r="O9863" t="str">
            <v>SC9641TS-P</v>
          </cell>
          <cell r="P9863" t="str">
            <v>STC9A001I</v>
          </cell>
          <cell r="Q9863" t="str">
            <v>速度传感器</v>
          </cell>
        </row>
        <row r="9864">
          <cell r="O9864" t="str">
            <v>SC9641TS-P</v>
          </cell>
          <cell r="P9864" t="str">
            <v>STC9A001I</v>
          </cell>
          <cell r="Q9864" t="str">
            <v>速度传感器</v>
          </cell>
        </row>
        <row r="9865">
          <cell r="O9865" t="str">
            <v>SC4688SA-A</v>
          </cell>
          <cell r="P9865" t="str">
            <v>STC9D01C</v>
          </cell>
          <cell r="Q9865" t="str">
            <v>角度传感器</v>
          </cell>
        </row>
        <row r="9866">
          <cell r="O9866" t="str">
            <v>SC9641TS-P</v>
          </cell>
          <cell r="P9866" t="str">
            <v>STC9A001F</v>
          </cell>
          <cell r="Q9866" t="str">
            <v>速度传感器</v>
          </cell>
        </row>
        <row r="9867">
          <cell r="O9867" t="str">
            <v>SC9641TS-P</v>
          </cell>
          <cell r="P9867" t="str">
            <v>STC9A001F</v>
          </cell>
          <cell r="Q9867" t="str">
            <v>速度传感器</v>
          </cell>
        </row>
        <row r="9868">
          <cell r="O9868" t="str">
            <v>SC9641TS-P</v>
          </cell>
          <cell r="P9868" t="str">
            <v>STC9A001F</v>
          </cell>
          <cell r="Q9868" t="str">
            <v>速度传感器</v>
          </cell>
        </row>
        <row r="9869">
          <cell r="O9869" t="str">
            <v>SC9641TS-P</v>
          </cell>
          <cell r="P9869" t="str">
            <v>STC9A001F</v>
          </cell>
          <cell r="Q9869" t="str">
            <v>速度传感器</v>
          </cell>
        </row>
        <row r="9870">
          <cell r="O9870" t="str">
            <v>SC9314UA</v>
          </cell>
          <cell r="P9870" t="str">
            <v>STC9901AF</v>
          </cell>
          <cell r="Q9870" t="str">
            <v>速度传感器</v>
          </cell>
        </row>
        <row r="9871">
          <cell r="O9871" t="str">
            <v>SC9641TS-PC</v>
          </cell>
          <cell r="P9871" t="str">
            <v>STC9A001I</v>
          </cell>
          <cell r="Q9871" t="str">
            <v>速度传感器</v>
          </cell>
        </row>
        <row r="9872">
          <cell r="O9872" t="str">
            <v>SC9641TS-PC</v>
          </cell>
          <cell r="P9872" t="str">
            <v>STC9A001I</v>
          </cell>
          <cell r="Q9872" t="str">
            <v>速度传感器</v>
          </cell>
        </row>
        <row r="9873">
          <cell r="O9873" t="str">
            <v>SC2432UA</v>
          </cell>
          <cell r="P9873" t="str">
            <v>STC9906I</v>
          </cell>
          <cell r="Q9873" t="str">
            <v>磁性位置传感器</v>
          </cell>
        </row>
        <row r="9874">
          <cell r="O9874" t="str">
            <v>SC4011SO-N</v>
          </cell>
          <cell r="P9874" t="str">
            <v>STC4011B</v>
          </cell>
          <cell r="Q9874" t="str">
            <v>磁性位置传感器</v>
          </cell>
        </row>
        <row r="9875">
          <cell r="O9875" t="str">
            <v>SC4002UA</v>
          </cell>
          <cell r="P9875" t="str">
            <v>STC4000AA</v>
          </cell>
          <cell r="Q9875" t="str">
            <v>磁性位置传感器</v>
          </cell>
        </row>
        <row r="9876">
          <cell r="O9876" t="str">
            <v>SC2202SO-N</v>
          </cell>
          <cell r="P9876" t="str">
            <v>STC9902E</v>
          </cell>
          <cell r="Q9876" t="str">
            <v>磁性位置传感器</v>
          </cell>
        </row>
        <row r="9877">
          <cell r="O9877" t="str">
            <v>SC2436UA</v>
          </cell>
          <cell r="P9877" t="str">
            <v>STC9906I</v>
          </cell>
          <cell r="Q9877" t="str">
            <v>磁性位置传感器</v>
          </cell>
        </row>
        <row r="9878">
          <cell r="O9878" t="str">
            <v>SC2434UA</v>
          </cell>
          <cell r="P9878" t="str">
            <v>STC9906I</v>
          </cell>
          <cell r="Q9878" t="str">
            <v>磁性位置传感器</v>
          </cell>
        </row>
        <row r="9879">
          <cell r="O9879" t="str">
            <v>SC1134UA</v>
          </cell>
          <cell r="P9879" t="str">
            <v>STC1898AI</v>
          </cell>
          <cell r="Q9879" t="str">
            <v>磁性位置传感器</v>
          </cell>
        </row>
        <row r="9880">
          <cell r="O9880" t="str">
            <v>SC9641TS-P</v>
          </cell>
          <cell r="P9880" t="str">
            <v>STC9A001F</v>
          </cell>
          <cell r="Q9880" t="str">
            <v>速度传感器</v>
          </cell>
        </row>
        <row r="9881">
          <cell r="O9881" t="str">
            <v>SC9641TS-P</v>
          </cell>
          <cell r="P9881" t="str">
            <v>STC9A001F</v>
          </cell>
          <cell r="Q9881" t="str">
            <v>速度传感器</v>
          </cell>
        </row>
        <row r="9882">
          <cell r="O9882" t="str">
            <v>SC25791SE-A</v>
          </cell>
          <cell r="P9882" t="str">
            <v>STC11210G</v>
          </cell>
          <cell r="Q9882" t="str">
            <v>磁性位置传感器</v>
          </cell>
        </row>
        <row r="9883">
          <cell r="O9883" t="str">
            <v>SC25791SE-A</v>
          </cell>
          <cell r="P9883" t="str">
            <v>STC11210G</v>
          </cell>
          <cell r="Q9883" t="str">
            <v>磁性位置传感器</v>
          </cell>
        </row>
        <row r="9884">
          <cell r="O9884" t="str">
            <v>ZH639D0B</v>
          </cell>
          <cell r="P9884" t="str">
            <v>ZH639D0B</v>
          </cell>
          <cell r="Q9884" t="str">
            <v>电机驱动</v>
          </cell>
        </row>
        <row r="9885">
          <cell r="O9885" t="str">
            <v>ZH639D0B</v>
          </cell>
          <cell r="P9885" t="str">
            <v>ZH639D0B</v>
          </cell>
          <cell r="Q9885" t="str">
            <v>电机驱动</v>
          </cell>
        </row>
        <row r="9886">
          <cell r="O9886" t="str">
            <v>ZH6252-Mask</v>
          </cell>
          <cell r="P9886" t="str">
            <v xml:space="preserve"> </v>
          </cell>
          <cell r="Q9886" t="str">
            <v>电机驱动</v>
          </cell>
        </row>
        <row r="9887">
          <cell r="O9887" t="str">
            <v>SC2443SO</v>
          </cell>
          <cell r="P9887" t="str">
            <v>STC9906T</v>
          </cell>
          <cell r="Q9887" t="str">
            <v>磁性位置传感器</v>
          </cell>
        </row>
        <row r="9888">
          <cell r="O9888" t="str">
            <v>SC2443UA</v>
          </cell>
          <cell r="P9888" t="str">
            <v>STC9906W</v>
          </cell>
          <cell r="Q9888" t="str">
            <v>磁性位置传感器</v>
          </cell>
        </row>
        <row r="9889">
          <cell r="O9889" t="str">
            <v>SC2443UA</v>
          </cell>
          <cell r="P9889" t="str">
            <v>STC9906W</v>
          </cell>
          <cell r="Q9889" t="str">
            <v>磁性位置传感器</v>
          </cell>
        </row>
        <row r="9890">
          <cell r="O9890" t="str">
            <v>SC4643VB-A</v>
          </cell>
          <cell r="P9890" t="str">
            <v>STC9D03E</v>
          </cell>
          <cell r="Q9890" t="str">
            <v>电流传感器</v>
          </cell>
        </row>
        <row r="9891">
          <cell r="O9891" t="str">
            <v>SC4643VB-A</v>
          </cell>
          <cell r="P9891" t="str">
            <v>STC9D03E</v>
          </cell>
          <cell r="Q9891" t="str">
            <v>电流传感器</v>
          </cell>
        </row>
        <row r="9892">
          <cell r="O9892" t="str">
            <v>SC4643VB-A</v>
          </cell>
          <cell r="P9892" t="str">
            <v>STC9D03E</v>
          </cell>
          <cell r="Q9892" t="str">
            <v>电流传感器</v>
          </cell>
        </row>
        <row r="9893">
          <cell r="O9893" t="str">
            <v>SC60370</v>
          </cell>
          <cell r="P9893" t="str">
            <v>STC9D05B</v>
          </cell>
          <cell r="Q9893" t="str">
            <v>电机编码器</v>
          </cell>
        </row>
        <row r="9894">
          <cell r="O9894" t="str">
            <v>SC9641TS-P</v>
          </cell>
          <cell r="P9894" t="str">
            <v>STC9A001I</v>
          </cell>
          <cell r="Q9894" t="str">
            <v>速度传感器</v>
          </cell>
        </row>
        <row r="9895">
          <cell r="O9895" t="str">
            <v>SC9641TS-P</v>
          </cell>
          <cell r="P9895" t="str">
            <v>STC9A001I</v>
          </cell>
          <cell r="Q9895" t="str">
            <v>速度传感器</v>
          </cell>
        </row>
        <row r="9896">
          <cell r="O9896" t="str">
            <v>SC9641TS-P</v>
          </cell>
          <cell r="P9896" t="str">
            <v>STC9A001I</v>
          </cell>
          <cell r="Q9896" t="str">
            <v>速度传感器</v>
          </cell>
        </row>
        <row r="9897">
          <cell r="O9897" t="str">
            <v>SC243XUA</v>
          </cell>
          <cell r="P9897" t="str">
            <v>STC9906I</v>
          </cell>
          <cell r="Q9897" t="str">
            <v>磁性位置传感器</v>
          </cell>
        </row>
        <row r="9898">
          <cell r="O9898" t="str">
            <v>SC243XUA</v>
          </cell>
          <cell r="P9898" t="str">
            <v>STC9906I</v>
          </cell>
          <cell r="Q9898" t="str">
            <v>磁性位置传感器</v>
          </cell>
        </row>
        <row r="9899">
          <cell r="O9899" t="str">
            <v>SC2443SO</v>
          </cell>
          <cell r="P9899" t="str">
            <v>STC9906T</v>
          </cell>
          <cell r="Q9899" t="str">
            <v>磁性位置传感器</v>
          </cell>
        </row>
        <row r="9900">
          <cell r="O9900" t="str">
            <v>SC2443SO</v>
          </cell>
          <cell r="P9900" t="str">
            <v>STC9906T</v>
          </cell>
          <cell r="Q9900" t="str">
            <v>磁性位置传感器</v>
          </cell>
        </row>
        <row r="9901">
          <cell r="O9901" t="str">
            <v>SC2443SO</v>
          </cell>
          <cell r="P9901" t="str">
            <v>STC9906T</v>
          </cell>
          <cell r="Q9901" t="str">
            <v>磁性位置传感器</v>
          </cell>
        </row>
        <row r="9902">
          <cell r="O9902" t="str">
            <v>SC2443SO</v>
          </cell>
          <cell r="P9902" t="str">
            <v>STC9906T</v>
          </cell>
          <cell r="Q9902" t="str">
            <v>磁性位置传感器</v>
          </cell>
        </row>
        <row r="9903">
          <cell r="O9903" t="str">
            <v>SC2443SO</v>
          </cell>
          <cell r="P9903" t="str">
            <v>STC9906T</v>
          </cell>
          <cell r="Q9903" t="str">
            <v>磁性位置传感器</v>
          </cell>
        </row>
        <row r="9904">
          <cell r="O9904" t="str">
            <v>SC1445A1</v>
          </cell>
          <cell r="P9904" t="str">
            <v>STC2899AB</v>
          </cell>
          <cell r="Q9904" t="str">
            <v>磁性位置传感器</v>
          </cell>
        </row>
        <row r="9905">
          <cell r="O9905" t="str">
            <v>SC1445A1</v>
          </cell>
          <cell r="P9905" t="str">
            <v>STC2899AB</v>
          </cell>
          <cell r="Q9905" t="str">
            <v>磁性位置传感器</v>
          </cell>
        </row>
        <row r="9906">
          <cell r="O9906" t="str">
            <v>SC4011SO-N</v>
          </cell>
          <cell r="P9906" t="str">
            <v>STC4011B</v>
          </cell>
          <cell r="Q9906" t="str">
            <v>磁性位置传感器</v>
          </cell>
        </row>
        <row r="9907">
          <cell r="O9907" t="str">
            <v>SC4001UA</v>
          </cell>
          <cell r="P9907" t="str">
            <v>STC4001AB</v>
          </cell>
          <cell r="Q9907" t="str">
            <v>磁性位置传感器</v>
          </cell>
        </row>
        <row r="9908">
          <cell r="O9908" t="str">
            <v>SC2063UA</v>
          </cell>
          <cell r="P9908" t="str">
            <v>STC9G001C</v>
          </cell>
          <cell r="Q9908" t="str">
            <v>磁性位置传感器</v>
          </cell>
        </row>
        <row r="9909">
          <cell r="O9909" t="str">
            <v>SC2436SO</v>
          </cell>
          <cell r="P9909" t="str">
            <v>STC9906I</v>
          </cell>
          <cell r="Q9909" t="str">
            <v>磁性位置传感器</v>
          </cell>
        </row>
        <row r="9910">
          <cell r="O9910" t="str">
            <v>SC2436SO</v>
          </cell>
          <cell r="P9910" t="str">
            <v>STC9906I</v>
          </cell>
          <cell r="Q9910" t="str">
            <v>磁性位置传感器</v>
          </cell>
        </row>
        <row r="9911">
          <cell r="O9911" t="str">
            <v>SC2436SO</v>
          </cell>
          <cell r="P9911" t="str">
            <v>STC9906I</v>
          </cell>
          <cell r="Q9911" t="str">
            <v>磁性位置传感器</v>
          </cell>
        </row>
        <row r="9912">
          <cell r="O9912" t="str">
            <v>SC4688DC</v>
          </cell>
          <cell r="P9912" t="str">
            <v>STC9D01C</v>
          </cell>
          <cell r="Q9912" t="str">
            <v>角度传感器</v>
          </cell>
        </row>
        <row r="9913">
          <cell r="O9913" t="str">
            <v>SC4688DC</v>
          </cell>
          <cell r="P9913" t="str">
            <v>STC9D01C</v>
          </cell>
          <cell r="Q9913" t="str">
            <v>角度传感器</v>
          </cell>
        </row>
        <row r="9914">
          <cell r="O9914" t="str">
            <v>SC9648TS-P</v>
          </cell>
          <cell r="P9914" t="str">
            <v>STC9A001I</v>
          </cell>
          <cell r="Q9914" t="str">
            <v>速度传感器</v>
          </cell>
        </row>
        <row r="9915">
          <cell r="O9915" t="str">
            <v>SC9648TS-P</v>
          </cell>
          <cell r="P9915" t="str">
            <v>STC9A001I</v>
          </cell>
          <cell r="Q9915" t="str">
            <v>速度传感器</v>
          </cell>
        </row>
        <row r="9916">
          <cell r="O9916" t="str">
            <v>SC9314UA</v>
          </cell>
          <cell r="P9916" t="str">
            <v>STC9901AF</v>
          </cell>
          <cell r="Q9916" t="str">
            <v>速度传感器</v>
          </cell>
        </row>
        <row r="9917">
          <cell r="O9917" t="str">
            <v>SC1134SO-N</v>
          </cell>
          <cell r="P9917" t="str">
            <v>STC1898AI</v>
          </cell>
          <cell r="Q9917" t="str">
            <v>磁性位置传感器</v>
          </cell>
        </row>
        <row r="9918">
          <cell r="O9918" t="str">
            <v>SC1138SO-N</v>
          </cell>
          <cell r="P9918" t="str">
            <v>STC1898AC</v>
          </cell>
          <cell r="Q9918" t="str">
            <v>磁性位置传感器</v>
          </cell>
        </row>
        <row r="9919">
          <cell r="O9919" t="str">
            <v>SC1138SO-N</v>
          </cell>
          <cell r="P9919" t="str">
            <v>STC1898AC</v>
          </cell>
          <cell r="Q9919" t="str">
            <v>磁性位置传感器</v>
          </cell>
        </row>
        <row r="9920">
          <cell r="O9920" t="str">
            <v>SC2464SO</v>
          </cell>
          <cell r="P9920" t="str">
            <v>STC9906J</v>
          </cell>
          <cell r="Q9920" t="str">
            <v>磁性位置传感器</v>
          </cell>
        </row>
        <row r="9921">
          <cell r="O9921" t="str">
            <v>SC2464SO</v>
          </cell>
          <cell r="P9921" t="str">
            <v>STC9906J</v>
          </cell>
          <cell r="Q9921" t="str">
            <v>磁性位置传感器</v>
          </cell>
        </row>
        <row r="9922">
          <cell r="O9922" t="str">
            <v>SC2443UA</v>
          </cell>
          <cell r="P9922" t="str">
            <v>STC9906G</v>
          </cell>
          <cell r="Q9922" t="str">
            <v>磁性位置传感器</v>
          </cell>
        </row>
        <row r="9923">
          <cell r="O9923" t="str">
            <v>SC2443UA</v>
          </cell>
          <cell r="P9923" t="str">
            <v>STC9906G</v>
          </cell>
          <cell r="Q9923" t="str">
            <v>磁性位置传感器</v>
          </cell>
        </row>
        <row r="9924">
          <cell r="O9924" t="str">
            <v>SC2498CUA-A</v>
          </cell>
          <cell r="P9924" t="str">
            <v>SC9915C</v>
          </cell>
          <cell r="Q9924" t="str">
            <v>磁性位置传感器</v>
          </cell>
        </row>
        <row r="9925">
          <cell r="O9925" t="str">
            <v>SC2402SO-N-G</v>
          </cell>
          <cell r="P9925" t="str">
            <v>STC9G002B</v>
          </cell>
          <cell r="Q9925" t="str">
            <v>磁性位置传感器</v>
          </cell>
        </row>
        <row r="9926">
          <cell r="O9926" t="str">
            <v>SC2402UA-G</v>
          </cell>
          <cell r="P9926" t="str">
            <v>STC9G002B</v>
          </cell>
          <cell r="Q9926" t="str">
            <v>磁性位置传感器</v>
          </cell>
        </row>
        <row r="9927">
          <cell r="O9927" t="str">
            <v>SC2402UA-G</v>
          </cell>
          <cell r="P9927" t="str">
            <v>STC9G002B</v>
          </cell>
          <cell r="Q9927" t="str">
            <v>磁性位置传感器</v>
          </cell>
        </row>
        <row r="9928">
          <cell r="O9928" t="str">
            <v>SC2402UA-G</v>
          </cell>
          <cell r="P9928" t="str">
            <v>STC9G002B</v>
          </cell>
          <cell r="Q9928" t="str">
            <v>磁性位置传感器</v>
          </cell>
        </row>
        <row r="9929">
          <cell r="O9929" t="str">
            <v>SC9648TS-P</v>
          </cell>
          <cell r="P9929" t="str">
            <v>STC9A001I</v>
          </cell>
          <cell r="Q9929" t="str">
            <v>速度传感器</v>
          </cell>
        </row>
        <row r="9930">
          <cell r="O9930" t="str">
            <v>SC4688DC</v>
          </cell>
          <cell r="P9930" t="str">
            <v>STC9D01C</v>
          </cell>
          <cell r="Q9930" t="str">
            <v>角度传感器</v>
          </cell>
        </row>
        <row r="9931">
          <cell r="O9931" t="str">
            <v>SC4688DC</v>
          </cell>
          <cell r="P9931" t="str">
            <v>STC9D01C</v>
          </cell>
          <cell r="Q9931" t="str">
            <v>角度传感器</v>
          </cell>
        </row>
        <row r="9932">
          <cell r="O9932" t="str">
            <v>SC60228DC</v>
          </cell>
          <cell r="P9932" t="str">
            <v>STC9D04C</v>
          </cell>
          <cell r="Q9932" t="str">
            <v>电机编码器</v>
          </cell>
        </row>
        <row r="9933">
          <cell r="O9933" t="str">
            <v>SC1645A2</v>
          </cell>
          <cell r="P9933" t="str">
            <v>STC2899AI</v>
          </cell>
          <cell r="Q9933" t="str">
            <v>磁性位置传感器</v>
          </cell>
        </row>
        <row r="9934">
          <cell r="O9934" t="str">
            <v>SC1645A2</v>
          </cell>
          <cell r="P9934" t="str">
            <v>STC2899AI</v>
          </cell>
          <cell r="Q9934" t="str">
            <v>磁性位置传感器</v>
          </cell>
        </row>
        <row r="9935">
          <cell r="O9935" t="str">
            <v>SC919H</v>
          </cell>
          <cell r="P9935" t="str">
            <v>STC9909B</v>
          </cell>
          <cell r="Q9935" t="str">
            <v>磁性位置传感器</v>
          </cell>
        </row>
        <row r="9936">
          <cell r="O9936" t="str">
            <v>SC1134UA</v>
          </cell>
          <cell r="P9936" t="str">
            <v>STC1898AI</v>
          </cell>
          <cell r="Q9936" t="str">
            <v>磁性位置传感器</v>
          </cell>
        </row>
        <row r="9937">
          <cell r="O9937" t="str">
            <v>SC69401</v>
          </cell>
          <cell r="P9937" t="str">
            <v>STC9H002D</v>
          </cell>
          <cell r="Q9937" t="str">
            <v>角度传感器</v>
          </cell>
        </row>
        <row r="9938">
          <cell r="O9938" t="str">
            <v>SC69401</v>
          </cell>
          <cell r="P9938" t="str">
            <v>STC9H002D</v>
          </cell>
          <cell r="Q9938" t="str">
            <v>角度传感器</v>
          </cell>
        </row>
        <row r="9939">
          <cell r="O9939" t="str">
            <v>SC2063UA</v>
          </cell>
          <cell r="P9939" t="str">
            <v>STC9G001C</v>
          </cell>
          <cell r="Q9939" t="str">
            <v>磁性位置传感器</v>
          </cell>
        </row>
        <row r="9940">
          <cell r="O9940" t="str">
            <v>SC2402UA</v>
          </cell>
          <cell r="P9940" t="str">
            <v>STC9902J</v>
          </cell>
          <cell r="Q9940" t="str">
            <v>磁性位置传感器</v>
          </cell>
        </row>
        <row r="9941">
          <cell r="O9941" t="str">
            <v>SC4011SO-N</v>
          </cell>
          <cell r="P9941" t="str">
            <v>STC4011B</v>
          </cell>
          <cell r="Q9941" t="str">
            <v>磁性位置传感器</v>
          </cell>
        </row>
        <row r="9942">
          <cell r="O9942" t="str">
            <v>SC2442SO</v>
          </cell>
          <cell r="P9942" t="str">
            <v>STC9906R</v>
          </cell>
          <cell r="Q9942" t="str">
            <v>磁性位置传感器</v>
          </cell>
        </row>
        <row r="9943">
          <cell r="O9943" t="str">
            <v>SC2442SO</v>
          </cell>
          <cell r="P9943" t="str">
            <v>STC9906R</v>
          </cell>
          <cell r="Q9943" t="str">
            <v>磁性位置传感器</v>
          </cell>
        </row>
        <row r="9944">
          <cell r="O9944" t="str">
            <v>SC9314UA</v>
          </cell>
          <cell r="P9944" t="str">
            <v>STC9901AF</v>
          </cell>
          <cell r="Q9944" t="str">
            <v>速度传感器</v>
          </cell>
        </row>
        <row r="9945">
          <cell r="O9945" t="str">
            <v>SC60221-D-50</v>
          </cell>
          <cell r="P9945" t="str">
            <v>STC9D04C</v>
          </cell>
          <cell r="Q9945" t="str">
            <v>电机编码器</v>
          </cell>
        </row>
        <row r="9946">
          <cell r="O9946" t="str">
            <v>SC4643VB-P</v>
          </cell>
          <cell r="P9946" t="str">
            <v>STC9D03E</v>
          </cell>
          <cell r="Q9946" t="str">
            <v>电流传感器</v>
          </cell>
        </row>
        <row r="9947">
          <cell r="O9947" t="str">
            <v>3100</v>
          </cell>
          <cell r="P9947" t="str">
            <v>STC9D06G</v>
          </cell>
          <cell r="Q9947" t="str">
            <v>电流传感器</v>
          </cell>
        </row>
        <row r="9948">
          <cell r="O9948" t="str">
            <v>SC2402UA-G</v>
          </cell>
          <cell r="P9948" t="str">
            <v>STC9G002B</v>
          </cell>
          <cell r="Q9948" t="str">
            <v>磁性位置传感器</v>
          </cell>
        </row>
        <row r="9949">
          <cell r="O9949" t="str">
            <v>SC2438SO</v>
          </cell>
          <cell r="P9949" t="str">
            <v>STC9906I</v>
          </cell>
          <cell r="Q9949" t="str">
            <v>磁性位置传感器</v>
          </cell>
        </row>
        <row r="9950">
          <cell r="O9950" t="str">
            <v>SC2438SO</v>
          </cell>
          <cell r="P9950" t="str">
            <v>STC9906I</v>
          </cell>
          <cell r="Q9950" t="str">
            <v>磁性位置传感器</v>
          </cell>
        </row>
        <row r="9951">
          <cell r="O9951" t="str">
            <v>SC2438SO</v>
          </cell>
          <cell r="P9951" t="str">
            <v>STC9906I</v>
          </cell>
          <cell r="Q9951" t="str">
            <v>磁性位置传感器</v>
          </cell>
        </row>
        <row r="9952">
          <cell r="O9952" t="str">
            <v>SC2438SO</v>
          </cell>
          <cell r="P9952" t="str">
            <v>STC9906I</v>
          </cell>
          <cell r="Q9952" t="str">
            <v>磁性位置传感器</v>
          </cell>
        </row>
        <row r="9953">
          <cell r="O9953" t="str">
            <v>PSTC1898AI</v>
          </cell>
          <cell r="P9953" t="str">
            <v>STC1898AI</v>
          </cell>
          <cell r="Q9953" t="str">
            <v>磁性位置传感器</v>
          </cell>
        </row>
        <row r="9954">
          <cell r="O9954" t="str">
            <v>SC4616UA-10NV</v>
          </cell>
          <cell r="P9954" t="str">
            <v>STC9907D</v>
          </cell>
          <cell r="Q9954" t="str">
            <v>电流传感器</v>
          </cell>
        </row>
        <row r="9955">
          <cell r="O9955" t="str">
            <v>SC4616UA-10NV</v>
          </cell>
          <cell r="P9955" t="str">
            <v>STC9907D</v>
          </cell>
          <cell r="Q9955" t="str">
            <v>电流传感器</v>
          </cell>
        </row>
        <row r="9956">
          <cell r="O9956" t="str">
            <v>SC60228DC</v>
          </cell>
          <cell r="P9956" t="str">
            <v>STC9D04C</v>
          </cell>
          <cell r="Q9956" t="str">
            <v>电机编码器</v>
          </cell>
        </row>
        <row r="9957">
          <cell r="O9957" t="str">
            <v>SC4011SO-N</v>
          </cell>
          <cell r="P9957" t="str">
            <v>STC4011B</v>
          </cell>
          <cell r="Q9957" t="str">
            <v>磁性位置传感器</v>
          </cell>
        </row>
        <row r="9958">
          <cell r="O9958" t="str">
            <v>SC60228DC</v>
          </cell>
          <cell r="P9958" t="str">
            <v>STC9D04C</v>
          </cell>
          <cell r="Q9958" t="str">
            <v>电机编码器</v>
          </cell>
        </row>
        <row r="9959">
          <cell r="O9959" t="str">
            <v>SC60228DC</v>
          </cell>
          <cell r="P9959" t="str">
            <v>STC9D04C</v>
          </cell>
          <cell r="Q9959" t="str">
            <v>电机编码器</v>
          </cell>
        </row>
        <row r="9960">
          <cell r="O9960" t="str">
            <v>SC4011SO-N</v>
          </cell>
          <cell r="P9960" t="str">
            <v>STC4011B</v>
          </cell>
          <cell r="Q9960" t="str">
            <v>磁性位置传感器</v>
          </cell>
        </row>
        <row r="9961">
          <cell r="O9961" t="str">
            <v>SC2402SO-N</v>
          </cell>
          <cell r="P9961" t="str">
            <v>STC9902J</v>
          </cell>
          <cell r="Q9961" t="str">
            <v>磁性位置传感器</v>
          </cell>
        </row>
        <row r="9962">
          <cell r="O9962" t="str">
            <v>SC1245UA</v>
          </cell>
          <cell r="P9962" t="str">
            <v>STC1898AD</v>
          </cell>
          <cell r="Q9962" t="str">
            <v>磁性位置传感器</v>
          </cell>
        </row>
        <row r="9963">
          <cell r="O9963" t="str">
            <v>STC1009C</v>
          </cell>
          <cell r="P9963" t="str">
            <v>STC1009C</v>
          </cell>
          <cell r="Q9963" t="str">
            <v>磁性位置传感器</v>
          </cell>
        </row>
        <row r="9964">
          <cell r="O9964" t="str">
            <v>PSTC9G002B</v>
          </cell>
          <cell r="P9964" t="str">
            <v>STC9G002B</v>
          </cell>
          <cell r="Q9964" t="str">
            <v>磁性位置传感器</v>
          </cell>
        </row>
        <row r="9965">
          <cell r="O9965" t="str">
            <v>SC1645B1</v>
          </cell>
          <cell r="P9965" t="str">
            <v>STC2899AE</v>
          </cell>
          <cell r="Q9965" t="str">
            <v>磁性位置传感器</v>
          </cell>
        </row>
        <row r="9966">
          <cell r="O9966" t="str">
            <v>SC1645B1</v>
          </cell>
          <cell r="P9966" t="str">
            <v>STC2899AE</v>
          </cell>
          <cell r="Q9966" t="str">
            <v>磁性位置传感器</v>
          </cell>
        </row>
        <row r="9967">
          <cell r="O9967" t="str">
            <v>SC1645B1</v>
          </cell>
          <cell r="P9967" t="str">
            <v>STC2899AE</v>
          </cell>
          <cell r="Q9967" t="str">
            <v>磁性位置传感器</v>
          </cell>
        </row>
        <row r="9968">
          <cell r="O9968" t="str">
            <v>SC1645B1</v>
          </cell>
          <cell r="P9968" t="str">
            <v>STC2899AE</v>
          </cell>
          <cell r="Q9968" t="str">
            <v>磁性位置传感器</v>
          </cell>
        </row>
        <row r="9969">
          <cell r="O9969" t="str">
            <v>SC2434SO-N</v>
          </cell>
          <cell r="P9969" t="str">
            <v>STC9906I</v>
          </cell>
          <cell r="Q9969" t="str">
            <v>磁性位置传感器</v>
          </cell>
        </row>
        <row r="9970">
          <cell r="O9970" t="str">
            <v>PSTC9G001D-Q2020</v>
          </cell>
          <cell r="P9970" t="str">
            <v>STC9G001D</v>
          </cell>
          <cell r="Q9970" t="str">
            <v>磁性位置传感器</v>
          </cell>
        </row>
        <row r="9971">
          <cell r="O9971" t="str">
            <v>SC4643VB</v>
          </cell>
          <cell r="P9971" t="str">
            <v>STC9D03E</v>
          </cell>
          <cell r="Q9971" t="str">
            <v>电流传感器</v>
          </cell>
        </row>
        <row r="9972">
          <cell r="O9972" t="str">
            <v>SC4643VB</v>
          </cell>
          <cell r="P9972" t="str">
            <v>STC9D03E</v>
          </cell>
          <cell r="Q9972" t="str">
            <v>电流传感器</v>
          </cell>
        </row>
        <row r="9973">
          <cell r="O9973" t="str">
            <v>SC9641TS</v>
          </cell>
          <cell r="P9973" t="str">
            <v>STC9910BN</v>
          </cell>
          <cell r="Q9973" t="str">
            <v>速度传感器</v>
          </cell>
        </row>
        <row r="9974">
          <cell r="O9974" t="str">
            <v>SC2498SO</v>
          </cell>
          <cell r="P9974" t="str">
            <v>SC9915C</v>
          </cell>
          <cell r="Q9974" t="str">
            <v>磁性位置传感器</v>
          </cell>
        </row>
        <row r="9975">
          <cell r="O9975" t="str">
            <v>SC2498SO</v>
          </cell>
          <cell r="P9975" t="str">
            <v>SC9915C</v>
          </cell>
          <cell r="Q9975" t="str">
            <v>磁性位置传感器</v>
          </cell>
        </row>
        <row r="9976">
          <cell r="O9976" t="str">
            <v>SC9642TS-E</v>
          </cell>
          <cell r="P9976" t="str">
            <v>STC9A001H</v>
          </cell>
          <cell r="Q9976" t="str">
            <v>速度传感器</v>
          </cell>
        </row>
        <row r="9977">
          <cell r="O9977" t="str">
            <v>SC9641TS-P</v>
          </cell>
          <cell r="P9977" t="str">
            <v>STC9A001I</v>
          </cell>
          <cell r="Q9977" t="str">
            <v>速度传感器</v>
          </cell>
        </row>
        <row r="9978">
          <cell r="O9978" t="str">
            <v>SC9641TS-P</v>
          </cell>
          <cell r="P9978" t="str">
            <v>STC9A001I</v>
          </cell>
          <cell r="Q9978" t="str">
            <v>速度传感器</v>
          </cell>
        </row>
        <row r="9979">
          <cell r="O9979" t="str">
            <v>SC4011SO-N</v>
          </cell>
          <cell r="P9979" t="str">
            <v>STC4011B</v>
          </cell>
          <cell r="Q9979" t="str">
            <v>磁性位置传感器</v>
          </cell>
        </row>
        <row r="9980">
          <cell r="O9980" t="str">
            <v>SC9641TS-P</v>
          </cell>
          <cell r="P9980" t="str">
            <v>STC9A001F</v>
          </cell>
          <cell r="Q9980" t="str">
            <v>速度传感器</v>
          </cell>
        </row>
        <row r="9981">
          <cell r="O9981" t="str">
            <v>SC9641TS-P</v>
          </cell>
          <cell r="P9981" t="str">
            <v>STC9A001F</v>
          </cell>
          <cell r="Q9981" t="str">
            <v>速度传感器</v>
          </cell>
        </row>
        <row r="9982">
          <cell r="O9982" t="str">
            <v>SC9641TS-P</v>
          </cell>
          <cell r="P9982" t="str">
            <v>STC9A001I</v>
          </cell>
          <cell r="Q9982" t="str">
            <v>速度传感器</v>
          </cell>
        </row>
        <row r="9983">
          <cell r="O9983" t="str">
            <v>SC9641TS-P</v>
          </cell>
          <cell r="P9983" t="str">
            <v>STC9A001I</v>
          </cell>
          <cell r="Q9983" t="str">
            <v>速度传感器</v>
          </cell>
        </row>
        <row r="9984">
          <cell r="O9984" t="str">
            <v>PSTC9906I</v>
          </cell>
          <cell r="P9984" t="str">
            <v>STC9906I</v>
          </cell>
          <cell r="Q9984" t="str">
            <v>磁性位置传感器</v>
          </cell>
        </row>
        <row r="9985">
          <cell r="O9985" t="str">
            <v>SC1245A1</v>
          </cell>
          <cell r="P9985" t="str">
            <v>STC1898AD</v>
          </cell>
          <cell r="Q9985" t="str">
            <v>磁性位置传感器</v>
          </cell>
        </row>
        <row r="9986">
          <cell r="O9986" t="str">
            <v>SC4001SE</v>
          </cell>
          <cell r="P9986" t="str">
            <v>STC4001AB</v>
          </cell>
          <cell r="Q9986" t="str">
            <v>磁性位置传感器</v>
          </cell>
        </row>
        <row r="9987">
          <cell r="O9987" t="str">
            <v>SC4688SA-A</v>
          </cell>
          <cell r="P9987" t="str">
            <v>STC9D01C</v>
          </cell>
          <cell r="Q9987" t="str">
            <v>角度传感器</v>
          </cell>
        </row>
        <row r="9988">
          <cell r="O9988" t="str">
            <v>SC4011SO-N</v>
          </cell>
          <cell r="P9988" t="str">
            <v>STC4011B</v>
          </cell>
          <cell r="Q9988" t="str">
            <v>磁性位置传感器</v>
          </cell>
        </row>
        <row r="9989">
          <cell r="O9989" t="str">
            <v>SC4011SO-N</v>
          </cell>
          <cell r="P9989" t="str">
            <v>STC4011B</v>
          </cell>
          <cell r="Q9989" t="str">
            <v>磁性位置传感器</v>
          </cell>
        </row>
        <row r="9990">
          <cell r="O9990" t="str">
            <v>SC9641TS-PC</v>
          </cell>
          <cell r="P9990" t="str">
            <v>STC9A001I</v>
          </cell>
          <cell r="Q9990" t="str">
            <v>速度传感器</v>
          </cell>
        </row>
        <row r="9991">
          <cell r="O9991" t="str">
            <v>SC9641TS-PC</v>
          </cell>
          <cell r="P9991" t="str">
            <v>STC9A001I</v>
          </cell>
          <cell r="Q9991" t="str">
            <v>速度传感器</v>
          </cell>
        </row>
        <row r="9992">
          <cell r="O9992" t="str">
            <v>SC9641TS-PC</v>
          </cell>
          <cell r="P9992" t="str">
            <v>STC9A001I</v>
          </cell>
          <cell r="Q9992" t="str">
            <v>速度传感器</v>
          </cell>
        </row>
        <row r="9993">
          <cell r="O9993" t="str">
            <v>SC9641TS-PC</v>
          </cell>
          <cell r="P9993" t="str">
            <v>STC9A001I</v>
          </cell>
          <cell r="Q9993" t="str">
            <v>速度传感器</v>
          </cell>
        </row>
        <row r="9994">
          <cell r="O9994" t="str">
            <v>SC9641TS-PC</v>
          </cell>
          <cell r="P9994" t="str">
            <v>STC9A001I</v>
          </cell>
          <cell r="Q9994" t="str">
            <v>速度传感器</v>
          </cell>
        </row>
        <row r="9995">
          <cell r="O9995" t="str">
            <v>SC9641TS-PC</v>
          </cell>
          <cell r="P9995" t="str">
            <v>STC9A001I</v>
          </cell>
          <cell r="Q9995" t="str">
            <v>速度传感器</v>
          </cell>
        </row>
        <row r="9996">
          <cell r="O9996" t="str">
            <v>SC9641TS-PC</v>
          </cell>
          <cell r="P9996" t="str">
            <v>STC9A001I</v>
          </cell>
          <cell r="Q9996" t="str">
            <v>速度传感器</v>
          </cell>
        </row>
        <row r="9997">
          <cell r="O9997" t="str">
            <v>SC9641TS-PC</v>
          </cell>
          <cell r="P9997" t="str">
            <v>STC9A001I</v>
          </cell>
          <cell r="Q9997" t="str">
            <v>速度传感器</v>
          </cell>
        </row>
        <row r="9998">
          <cell r="O9998" t="str">
            <v>SC9641TS-PC</v>
          </cell>
          <cell r="P9998" t="str">
            <v>STC9A001I</v>
          </cell>
          <cell r="Q9998" t="str">
            <v>速度传感器</v>
          </cell>
        </row>
        <row r="9999">
          <cell r="O9999" t="str">
            <v>SC9641TS-PC</v>
          </cell>
          <cell r="P9999" t="str">
            <v>STC9A001I</v>
          </cell>
          <cell r="Q9999" t="str">
            <v>速度传感器</v>
          </cell>
        </row>
        <row r="10000">
          <cell r="O10000" t="str">
            <v>SC2402SO-N-G</v>
          </cell>
          <cell r="P10000" t="str">
            <v>STC9G002A</v>
          </cell>
          <cell r="Q10000" t="str">
            <v>磁性位置传感器</v>
          </cell>
        </row>
        <row r="10001">
          <cell r="O10001" t="str">
            <v>SC4688DC</v>
          </cell>
          <cell r="P10001" t="str">
            <v>STC9D01C</v>
          </cell>
          <cell r="Q10001" t="str">
            <v>角度传感器</v>
          </cell>
        </row>
        <row r="10002">
          <cell r="O10002" t="str">
            <v>SC2498CUA-A</v>
          </cell>
          <cell r="P10002" t="str">
            <v>SC9915C</v>
          </cell>
          <cell r="Q10002" t="str">
            <v>磁性位置传感器</v>
          </cell>
        </row>
        <row r="10003">
          <cell r="O10003" t="str">
            <v>SC9675IM-P-LRF00</v>
          </cell>
          <cell r="P10003" t="str">
            <v>STC9A002B</v>
          </cell>
          <cell r="Q10003" t="str">
            <v>速度传感器</v>
          </cell>
        </row>
        <row r="10004">
          <cell r="O10004" t="str">
            <v>SC9642TS-EC</v>
          </cell>
          <cell r="P10004" t="str">
            <v>STC9A001H</v>
          </cell>
          <cell r="Q10004" t="str">
            <v>速度传感器</v>
          </cell>
        </row>
        <row r="10005">
          <cell r="O10005" t="str">
            <v>SC9648TS-P</v>
          </cell>
          <cell r="P10005" t="str">
            <v>STC9A001I</v>
          </cell>
          <cell r="Q10005" t="str">
            <v>速度传感器</v>
          </cell>
        </row>
        <row r="10006">
          <cell r="O10006" t="str">
            <v>SC9648TS-P</v>
          </cell>
          <cell r="P10006" t="str">
            <v>STC9A001I</v>
          </cell>
          <cell r="Q10006" t="str">
            <v>速度传感器</v>
          </cell>
        </row>
        <row r="10007">
          <cell r="O10007" t="str">
            <v>SC9648TS-P</v>
          </cell>
          <cell r="P10007" t="str">
            <v>STC9A001I</v>
          </cell>
          <cell r="Q10007" t="str">
            <v>速度传感器</v>
          </cell>
        </row>
        <row r="10008">
          <cell r="O10008" t="str">
            <v>SC4688DC</v>
          </cell>
          <cell r="P10008" t="str">
            <v>STC9D01C</v>
          </cell>
          <cell r="Q10008" t="str">
            <v>角度传感器</v>
          </cell>
        </row>
        <row r="10009">
          <cell r="O10009" t="str">
            <v>SC4688DC</v>
          </cell>
          <cell r="P10009" t="str">
            <v>STC9D01C</v>
          </cell>
          <cell r="Q10009" t="str">
            <v>角度传感器</v>
          </cell>
        </row>
        <row r="10010">
          <cell r="O10010" t="str">
            <v>SC4011SO-N</v>
          </cell>
          <cell r="P10010" t="str">
            <v>STC4011B</v>
          </cell>
          <cell r="Q10010" t="str">
            <v>磁性位置传感器</v>
          </cell>
        </row>
        <row r="10011">
          <cell r="O10011" t="str">
            <v>SC4011SO-N</v>
          </cell>
          <cell r="P10011" t="str">
            <v>STC4011B</v>
          </cell>
          <cell r="Q10011" t="str">
            <v>磁性位置传感器</v>
          </cell>
        </row>
        <row r="10012">
          <cell r="O10012" t="str">
            <v>SC4011SO-N</v>
          </cell>
          <cell r="P10012" t="str">
            <v>STC4011B</v>
          </cell>
          <cell r="Q10012" t="str">
            <v>磁性位置传感器</v>
          </cell>
        </row>
        <row r="10013">
          <cell r="O10013" t="str">
            <v>SC4011SO-N</v>
          </cell>
          <cell r="P10013" t="str">
            <v>STC4011B</v>
          </cell>
          <cell r="Q10013" t="str">
            <v>磁性位置传感器</v>
          </cell>
        </row>
        <row r="10014">
          <cell r="O10014" t="str">
            <v>SC4688DC</v>
          </cell>
          <cell r="P10014" t="str">
            <v>STC9D01C</v>
          </cell>
          <cell r="Q10014" t="str">
            <v>角度传感器</v>
          </cell>
        </row>
        <row r="10015">
          <cell r="O10015" t="str">
            <v>SC4688DC</v>
          </cell>
          <cell r="P10015" t="str">
            <v>STC9D01C</v>
          </cell>
          <cell r="Q10015" t="str">
            <v>角度传感器</v>
          </cell>
        </row>
        <row r="10016">
          <cell r="O10016" t="str">
            <v>SC2432SO-N</v>
          </cell>
          <cell r="P10016" t="str">
            <v>STC9906I</v>
          </cell>
          <cell r="Q10016" t="str">
            <v>磁性位置传感器</v>
          </cell>
        </row>
        <row r="10017">
          <cell r="O10017" t="str">
            <v>SC2432SO-N</v>
          </cell>
          <cell r="P10017" t="str">
            <v>STC9906I</v>
          </cell>
          <cell r="Q10017" t="str">
            <v>磁性位置传感器</v>
          </cell>
        </row>
        <row r="10018">
          <cell r="O10018" t="str">
            <v>SC2432SO-N</v>
          </cell>
          <cell r="P10018" t="str">
            <v>STC9906I</v>
          </cell>
          <cell r="Q10018" t="str">
            <v>磁性位置传感器</v>
          </cell>
        </row>
        <row r="10019">
          <cell r="O10019" t="str">
            <v>SC2432SO-N</v>
          </cell>
          <cell r="P10019" t="str">
            <v>STC9906I</v>
          </cell>
          <cell r="Q10019" t="str">
            <v>磁性位置传感器</v>
          </cell>
        </row>
        <row r="10020">
          <cell r="O10020" t="str">
            <v>SC2432SO-N</v>
          </cell>
          <cell r="P10020" t="str">
            <v>STC9906I</v>
          </cell>
          <cell r="Q10020" t="str">
            <v>磁性位置传感器</v>
          </cell>
        </row>
        <row r="10021">
          <cell r="O10021" t="str">
            <v>SC2443UA</v>
          </cell>
          <cell r="P10021" t="str">
            <v>STC9906G</v>
          </cell>
          <cell r="Q10021" t="str">
            <v>磁性位置传感器</v>
          </cell>
        </row>
        <row r="10022">
          <cell r="O10022" t="str">
            <v>SC9632VB</v>
          </cell>
          <cell r="P10022" t="str">
            <v>STC9905E</v>
          </cell>
          <cell r="Q10022" t="str">
            <v>速度传感器</v>
          </cell>
        </row>
        <row r="10023">
          <cell r="O10023" t="str">
            <v>SC1445A1</v>
          </cell>
          <cell r="P10023" t="str">
            <v>STC2899AB</v>
          </cell>
          <cell r="Q10023" t="str">
            <v>磁性位置传感器</v>
          </cell>
        </row>
        <row r="10024">
          <cell r="O10024" t="str">
            <v>SC4011SO-N</v>
          </cell>
          <cell r="P10024" t="str">
            <v>STC4011B</v>
          </cell>
          <cell r="Q10024" t="str">
            <v>磁性位置传感器</v>
          </cell>
        </row>
        <row r="10025">
          <cell r="O10025" t="str">
            <v>SC4011SO-N</v>
          </cell>
          <cell r="P10025" t="str">
            <v>STC4011B</v>
          </cell>
          <cell r="Q10025" t="str">
            <v>磁性位置传感器</v>
          </cell>
        </row>
        <row r="10026">
          <cell r="O10026" t="str">
            <v>SC9648TS-P</v>
          </cell>
          <cell r="P10026" t="str">
            <v>STC9A001I</v>
          </cell>
          <cell r="Q10026" t="str">
            <v>速度传感器</v>
          </cell>
        </row>
        <row r="10027">
          <cell r="O10027" t="str">
            <v>SC9648TS-P</v>
          </cell>
          <cell r="P10027" t="str">
            <v>STC9A001I</v>
          </cell>
          <cell r="Q10027" t="str">
            <v>速度传感器</v>
          </cell>
        </row>
        <row r="10028">
          <cell r="O10028" t="str">
            <v>SC9641TS-P</v>
          </cell>
          <cell r="P10028" t="str">
            <v>STC9A001I</v>
          </cell>
          <cell r="Q10028" t="str">
            <v>速度传感器</v>
          </cell>
        </row>
        <row r="10029">
          <cell r="O10029" t="str">
            <v>SC9641TS-P</v>
          </cell>
          <cell r="P10029" t="str">
            <v>STC9A001I</v>
          </cell>
          <cell r="Q10029" t="str">
            <v>速度传感器</v>
          </cell>
        </row>
        <row r="10030">
          <cell r="O10030" t="str">
            <v>SC69401</v>
          </cell>
          <cell r="P10030" t="str">
            <v>STC9H002D</v>
          </cell>
          <cell r="Q10030" t="str">
            <v>角度传感器</v>
          </cell>
        </row>
        <row r="10031">
          <cell r="O10031" t="str">
            <v>SC2432SO-N</v>
          </cell>
          <cell r="P10031" t="str">
            <v>STC9906I</v>
          </cell>
          <cell r="Q10031" t="str">
            <v>磁性位置传感器</v>
          </cell>
        </row>
        <row r="10032">
          <cell r="O10032" t="str">
            <v>SC2443UA</v>
          </cell>
          <cell r="P10032" t="str">
            <v>STC9906W</v>
          </cell>
          <cell r="Q10032" t="str">
            <v>磁性位置传感器</v>
          </cell>
        </row>
        <row r="10033">
          <cell r="O10033" t="str">
            <v>SC2464SO</v>
          </cell>
          <cell r="P10033" t="str">
            <v>STC9906J</v>
          </cell>
          <cell r="Q10033" t="str">
            <v>磁性位置传感器</v>
          </cell>
        </row>
        <row r="10034">
          <cell r="O10034" t="str">
            <v>SC2064UA</v>
          </cell>
          <cell r="P10034" t="str">
            <v>STC9G001C</v>
          </cell>
          <cell r="Q10034" t="str">
            <v>磁性位置传感器</v>
          </cell>
        </row>
        <row r="10035">
          <cell r="O10035" t="str">
            <v>SC9641TS-PC</v>
          </cell>
          <cell r="P10035" t="str">
            <v>STC9A001I</v>
          </cell>
          <cell r="Q10035" t="str">
            <v>速度传感器</v>
          </cell>
        </row>
        <row r="10036">
          <cell r="O10036" t="str">
            <v>SC60226</v>
          </cell>
          <cell r="P10036" t="str">
            <v>STC9D04C</v>
          </cell>
          <cell r="Q10036" t="str">
            <v>电机编码器</v>
          </cell>
        </row>
        <row r="10037">
          <cell r="O10037" t="str">
            <v>SC2432SO-N</v>
          </cell>
          <cell r="P10037" t="str">
            <v>STC9906I</v>
          </cell>
          <cell r="Q10037" t="str">
            <v>磁性位置传感器</v>
          </cell>
        </row>
        <row r="10038">
          <cell r="O10038" t="str">
            <v>SC2442UA</v>
          </cell>
          <cell r="P10038" t="str">
            <v>STC9906P</v>
          </cell>
          <cell r="Q10038" t="str">
            <v>磁性位置传感器</v>
          </cell>
        </row>
        <row r="10039">
          <cell r="O10039" t="str">
            <v>SC2442UA</v>
          </cell>
          <cell r="P10039" t="str">
            <v>STC9906P</v>
          </cell>
          <cell r="Q10039" t="str">
            <v>磁性位置传感器</v>
          </cell>
        </row>
        <row r="10040">
          <cell r="O10040" t="str">
            <v>SC1138SO-N</v>
          </cell>
          <cell r="P10040" t="str">
            <v>STC1898AC</v>
          </cell>
          <cell r="Q10040" t="str">
            <v>磁性位置传感器</v>
          </cell>
        </row>
        <row r="10041">
          <cell r="O10041" t="str">
            <v>SI485E</v>
          </cell>
          <cell r="P10041" t="str">
            <v>STC42302A</v>
          </cell>
          <cell r="Q10041" t="str">
            <v>其他数模混合</v>
          </cell>
        </row>
        <row r="10042">
          <cell r="O10042" t="str">
            <v>SI485E</v>
          </cell>
          <cell r="P10042" t="str">
            <v>STC42302A</v>
          </cell>
          <cell r="Q10042" t="str">
            <v>其他数模混合</v>
          </cell>
        </row>
        <row r="10043">
          <cell r="O10043" t="str">
            <v>SI485E</v>
          </cell>
          <cell r="P10043" t="str">
            <v>STC42302A</v>
          </cell>
          <cell r="Q10043" t="str">
            <v>其他数模混合</v>
          </cell>
        </row>
        <row r="10044">
          <cell r="O10044" t="str">
            <v>SC2498UA-N</v>
          </cell>
          <cell r="P10044" t="str">
            <v>SC9915C</v>
          </cell>
          <cell r="Q10044" t="str">
            <v>磁性位置传感器</v>
          </cell>
        </row>
        <row r="10045">
          <cell r="O10045" t="str">
            <v>SC4011SO-N</v>
          </cell>
          <cell r="P10045" t="str">
            <v>STC4011B</v>
          </cell>
          <cell r="Q10045" t="str">
            <v>磁性位置传感器</v>
          </cell>
        </row>
        <row r="10046">
          <cell r="O10046" t="str">
            <v>SC4011SO-N</v>
          </cell>
          <cell r="P10046" t="str">
            <v>STC4011B</v>
          </cell>
          <cell r="Q10046" t="str">
            <v>磁性位置传感器</v>
          </cell>
        </row>
        <row r="10047">
          <cell r="O10047" t="str">
            <v>SC1134UA</v>
          </cell>
          <cell r="P10047" t="str">
            <v>STC1898AI</v>
          </cell>
          <cell r="Q10047" t="str">
            <v>磁性位置传感器</v>
          </cell>
        </row>
        <row r="10048">
          <cell r="O10048" t="str">
            <v>SC9648TS-P</v>
          </cell>
          <cell r="P10048" t="str">
            <v>STC9A001I</v>
          </cell>
          <cell r="Q10048" t="str">
            <v>速度传感器</v>
          </cell>
        </row>
        <row r="10049">
          <cell r="O10049" t="str">
            <v>SC9648TS-P</v>
          </cell>
          <cell r="P10049" t="str">
            <v>STC9A001I</v>
          </cell>
          <cell r="Q10049" t="str">
            <v>速度传感器</v>
          </cell>
        </row>
        <row r="10050">
          <cell r="O10050" t="str">
            <v>SC4643VB-A</v>
          </cell>
          <cell r="P10050" t="str">
            <v>STC9D03E</v>
          </cell>
          <cell r="Q10050" t="str">
            <v>电流传感器</v>
          </cell>
        </row>
        <row r="10051">
          <cell r="O10051" t="str">
            <v>ZH6338B</v>
          </cell>
          <cell r="P10051" t="str">
            <v>ZH6338B</v>
          </cell>
          <cell r="Q10051" t="str">
            <v>电机驱动</v>
          </cell>
        </row>
        <row r="10052">
          <cell r="O10052" t="str">
            <v>ZH6338B</v>
          </cell>
          <cell r="P10052" t="str">
            <v>ZH6338B</v>
          </cell>
          <cell r="Q10052" t="str">
            <v>电机驱动</v>
          </cell>
        </row>
        <row r="10053">
          <cell r="O10053" t="str">
            <v>SC2402SO-N-H</v>
          </cell>
          <cell r="P10053" t="str">
            <v>STC9H001A</v>
          </cell>
          <cell r="Q10053" t="str">
            <v>磁性位置传感器</v>
          </cell>
        </row>
        <row r="10054">
          <cell r="O10054" t="str">
            <v>SC2402UA-G</v>
          </cell>
          <cell r="P10054" t="str">
            <v>STC9G002B</v>
          </cell>
          <cell r="Q10054" t="str">
            <v>磁性位置传感器</v>
          </cell>
        </row>
        <row r="10055">
          <cell r="O10055" t="str">
            <v>SC4616UA-10.2NF</v>
          </cell>
          <cell r="P10055" t="str">
            <v>STC9907D</v>
          </cell>
          <cell r="Q10055" t="str">
            <v>电流传感器</v>
          </cell>
        </row>
        <row r="10056">
          <cell r="O10056" t="str">
            <v>SC1445A1</v>
          </cell>
          <cell r="P10056" t="str">
            <v>STC2899AB</v>
          </cell>
          <cell r="Q10056" t="str">
            <v>磁性位置传感器</v>
          </cell>
        </row>
        <row r="10057">
          <cell r="O10057" t="str">
            <v>SC9648TS-P</v>
          </cell>
          <cell r="P10057" t="str">
            <v>STC9A001I</v>
          </cell>
          <cell r="Q10057" t="str">
            <v>速度传感器</v>
          </cell>
        </row>
        <row r="10058">
          <cell r="O10058" t="str">
            <v>SC2432SO</v>
          </cell>
          <cell r="P10058" t="str">
            <v>STC9906I</v>
          </cell>
          <cell r="Q10058" t="str">
            <v>磁性位置传感器</v>
          </cell>
        </row>
        <row r="10059">
          <cell r="O10059" t="str">
            <v>SC2432SO</v>
          </cell>
          <cell r="P10059" t="str">
            <v>STC9906I</v>
          </cell>
          <cell r="Q10059" t="str">
            <v>磁性位置传感器</v>
          </cell>
        </row>
        <row r="10060">
          <cell r="O10060" t="str">
            <v>SC2438UA</v>
          </cell>
          <cell r="P10060" t="str">
            <v>STC9906I</v>
          </cell>
          <cell r="Q10060" t="str">
            <v>磁性位置传感器</v>
          </cell>
        </row>
        <row r="10061">
          <cell r="O10061" t="str">
            <v>SC9641TS-P</v>
          </cell>
          <cell r="P10061" t="str">
            <v>STC9A001I</v>
          </cell>
          <cell r="Q10061" t="str">
            <v>速度传感器</v>
          </cell>
        </row>
        <row r="10062">
          <cell r="O10062" t="str">
            <v>SC9641TS-P</v>
          </cell>
          <cell r="P10062" t="str">
            <v>STC9A001I</v>
          </cell>
          <cell r="Q10062" t="str">
            <v>速度传感器</v>
          </cell>
        </row>
        <row r="10063">
          <cell r="O10063" t="str">
            <v>SC9641TS-P</v>
          </cell>
          <cell r="P10063" t="str">
            <v>STC9A001I</v>
          </cell>
          <cell r="Q10063" t="str">
            <v>速度传感器</v>
          </cell>
        </row>
        <row r="10064">
          <cell r="O10064" t="str">
            <v>SC2442SO</v>
          </cell>
          <cell r="P10064" t="str">
            <v>STC9906R</v>
          </cell>
          <cell r="Q10064" t="str">
            <v>磁性位置传感器</v>
          </cell>
        </row>
        <row r="10065">
          <cell r="O10065" t="str">
            <v>SC2442SO</v>
          </cell>
          <cell r="P10065" t="str">
            <v>STC9906R</v>
          </cell>
          <cell r="Q10065" t="str">
            <v>磁性位置传感器</v>
          </cell>
        </row>
        <row r="10066">
          <cell r="O10066" t="str">
            <v>SC1245UA</v>
          </cell>
          <cell r="P10066" t="str">
            <v>STC1898AD</v>
          </cell>
          <cell r="Q10066" t="str">
            <v>磁性位置传感器</v>
          </cell>
        </row>
        <row r="10067">
          <cell r="O10067" t="str">
            <v>SC2438UA</v>
          </cell>
          <cell r="P10067" t="str">
            <v>STC9906I</v>
          </cell>
          <cell r="Q10067" t="str">
            <v>磁性位置传感器</v>
          </cell>
        </row>
        <row r="10068">
          <cell r="O10068" t="str">
            <v>SC2442SO-N</v>
          </cell>
          <cell r="P10068" t="str">
            <v>STC9906P</v>
          </cell>
          <cell r="Q10068" t="str">
            <v>磁性位置传感器</v>
          </cell>
        </row>
        <row r="10069">
          <cell r="O10069" t="str">
            <v>SC9634VB</v>
          </cell>
          <cell r="P10069" t="str">
            <v>STC9905G</v>
          </cell>
          <cell r="Q10069" t="str">
            <v>速度传感器</v>
          </cell>
        </row>
        <row r="10070">
          <cell r="O10070" t="str">
            <v>SC9633VB</v>
          </cell>
          <cell r="P10070" t="str">
            <v>STC9905F</v>
          </cell>
          <cell r="Q10070" t="str">
            <v>速度传感器</v>
          </cell>
        </row>
        <row r="10071">
          <cell r="O10071" t="str">
            <v>SC9634VB</v>
          </cell>
          <cell r="P10071" t="str">
            <v>STC9905G</v>
          </cell>
          <cell r="Q10071" t="str">
            <v>速度传感器</v>
          </cell>
        </row>
        <row r="10072">
          <cell r="O10072" t="str">
            <v>SC9632VB</v>
          </cell>
          <cell r="P10072" t="str">
            <v>STC9905E</v>
          </cell>
          <cell r="Q10072" t="str">
            <v>速度传感器</v>
          </cell>
        </row>
        <row r="10073">
          <cell r="O10073" t="str">
            <v>SC9632VB</v>
          </cell>
          <cell r="P10073" t="str">
            <v>STC9905E</v>
          </cell>
          <cell r="Q10073" t="str">
            <v>速度传感器</v>
          </cell>
        </row>
        <row r="10074">
          <cell r="O10074" t="str">
            <v>SC60228DC</v>
          </cell>
          <cell r="P10074" t="str">
            <v>STC9D04C</v>
          </cell>
          <cell r="Q10074" t="str">
            <v>电机编码器</v>
          </cell>
        </row>
        <row r="10075">
          <cell r="O10075" t="str">
            <v>SC1138SO-N</v>
          </cell>
          <cell r="P10075" t="str">
            <v>STC1898AC</v>
          </cell>
          <cell r="Q10075" t="str">
            <v>磁性位置传感器</v>
          </cell>
        </row>
        <row r="10076">
          <cell r="O10076" t="str">
            <v>SC1138SO-N</v>
          </cell>
          <cell r="P10076" t="str">
            <v>STC1898AC</v>
          </cell>
          <cell r="Q10076" t="str">
            <v>磁性位置传感器</v>
          </cell>
        </row>
        <row r="10077">
          <cell r="O10077" t="str">
            <v>SC1134UA</v>
          </cell>
          <cell r="P10077" t="str">
            <v>STC1898AI</v>
          </cell>
          <cell r="Q10077" t="str">
            <v>磁性位置传感器</v>
          </cell>
        </row>
        <row r="10078">
          <cell r="O10078" t="str">
            <v>SC4011SO-N</v>
          </cell>
          <cell r="P10078" t="str">
            <v>STC4011B</v>
          </cell>
          <cell r="Q10078" t="str">
            <v>磁性位置传感器</v>
          </cell>
        </row>
        <row r="10079">
          <cell r="O10079" t="str">
            <v>SC60228DC</v>
          </cell>
          <cell r="P10079" t="str">
            <v>STC9D04C</v>
          </cell>
          <cell r="Q10079" t="str">
            <v>电机编码器</v>
          </cell>
        </row>
        <row r="10080">
          <cell r="O10080" t="str">
            <v>SC60228DC</v>
          </cell>
          <cell r="P10080" t="str">
            <v>STC9D04C</v>
          </cell>
          <cell r="Q10080" t="str">
            <v>电机编码器</v>
          </cell>
        </row>
        <row r="10081">
          <cell r="O10081" t="str">
            <v>SC9641TS-P</v>
          </cell>
          <cell r="P10081" t="str">
            <v>STC9A001I</v>
          </cell>
          <cell r="Q10081" t="str">
            <v>速度传感器</v>
          </cell>
        </row>
        <row r="10082">
          <cell r="O10082" t="str">
            <v>SC9625VB-L</v>
          </cell>
          <cell r="P10082" t="str">
            <v>STC9910E</v>
          </cell>
          <cell r="Q10082" t="str">
            <v>速度传感器</v>
          </cell>
        </row>
        <row r="10083">
          <cell r="O10083" t="str">
            <v>SC9625VB-L</v>
          </cell>
          <cell r="P10083" t="str">
            <v>STC9910E</v>
          </cell>
          <cell r="Q10083" t="str">
            <v>速度传感器</v>
          </cell>
        </row>
        <row r="10084">
          <cell r="O10084" t="str">
            <v>SC9625VB-L</v>
          </cell>
          <cell r="P10084" t="str">
            <v>STC9910E</v>
          </cell>
          <cell r="Q10084" t="str">
            <v>速度传感器</v>
          </cell>
        </row>
        <row r="10085">
          <cell r="O10085" t="str">
            <v>SC9642TS-E</v>
          </cell>
          <cell r="P10085" t="str">
            <v>STC9A001H</v>
          </cell>
          <cell r="Q10085" t="str">
            <v>速度传感器</v>
          </cell>
        </row>
        <row r="10086">
          <cell r="O10086" t="str">
            <v>SC9625VB-L</v>
          </cell>
          <cell r="P10086" t="str">
            <v>STC9910E</v>
          </cell>
          <cell r="Q10086" t="str">
            <v>速度传感器</v>
          </cell>
        </row>
        <row r="10087">
          <cell r="O10087" t="str">
            <v>SC9641TS-P</v>
          </cell>
          <cell r="P10087" t="str">
            <v>STC9A001I</v>
          </cell>
          <cell r="Q10087" t="str">
            <v>速度传感器</v>
          </cell>
        </row>
        <row r="10088">
          <cell r="O10088" t="str">
            <v>SC9632VB</v>
          </cell>
          <cell r="P10088" t="str">
            <v>STC9905E</v>
          </cell>
          <cell r="Q10088" t="str">
            <v>速度传感器</v>
          </cell>
        </row>
        <row r="10089">
          <cell r="O10089" t="str">
            <v>SC1245UA</v>
          </cell>
          <cell r="P10089" t="str">
            <v>STC1898AD</v>
          </cell>
          <cell r="Q10089" t="str">
            <v>磁性位置传感器</v>
          </cell>
        </row>
        <row r="10090">
          <cell r="O10090" t="str">
            <v>SC1245UA</v>
          </cell>
          <cell r="P10090" t="str">
            <v>STC1898AD</v>
          </cell>
          <cell r="Q10090" t="str">
            <v>磁性位置传感器</v>
          </cell>
        </row>
        <row r="10091">
          <cell r="O10091" t="str">
            <v>SC1245UA</v>
          </cell>
          <cell r="P10091" t="str">
            <v>STC1898AD</v>
          </cell>
          <cell r="Q10091" t="str">
            <v>磁性位置传感器</v>
          </cell>
        </row>
        <row r="10092">
          <cell r="O10092" t="str">
            <v>SC1245UA</v>
          </cell>
          <cell r="P10092" t="str">
            <v>STC1898AD</v>
          </cell>
          <cell r="Q10092" t="str">
            <v>磁性位置传感器</v>
          </cell>
        </row>
        <row r="10093">
          <cell r="O10093" t="str">
            <v>SC1245UA</v>
          </cell>
          <cell r="P10093" t="str">
            <v>STC1898AD</v>
          </cell>
          <cell r="Q10093" t="str">
            <v>磁性位置传感器</v>
          </cell>
        </row>
        <row r="10094">
          <cell r="O10094" t="str">
            <v>SC69401工程编程器套装</v>
          </cell>
          <cell r="P10094" t="str">
            <v xml:space="preserve"> </v>
          </cell>
          <cell r="Q10094" t="str">
            <v>角度传感器</v>
          </cell>
        </row>
        <row r="10095">
          <cell r="O10095" t="str">
            <v>SC4616UA-10NV</v>
          </cell>
          <cell r="P10095" t="str">
            <v>STC9907D</v>
          </cell>
          <cell r="Q10095" t="str">
            <v>电流传感器</v>
          </cell>
        </row>
        <row r="10096">
          <cell r="O10096" t="str">
            <v>SC60228DC</v>
          </cell>
          <cell r="P10096" t="str">
            <v>STC9D04C</v>
          </cell>
          <cell r="Q10096" t="str">
            <v>电机编码器</v>
          </cell>
        </row>
        <row r="10097">
          <cell r="O10097" t="str">
            <v>SC2063SO</v>
          </cell>
          <cell r="P10097" t="str">
            <v>STC9G001C</v>
          </cell>
          <cell r="Q10097" t="str">
            <v>磁性位置传感器</v>
          </cell>
        </row>
        <row r="10098">
          <cell r="O10098" t="str">
            <v>SC2443UA</v>
          </cell>
          <cell r="P10098" t="str">
            <v>STC9906G</v>
          </cell>
          <cell r="Q10098" t="str">
            <v>磁性位置传感器</v>
          </cell>
        </row>
        <row r="10099">
          <cell r="O10099" t="str">
            <v>SC2442SO-N</v>
          </cell>
          <cell r="P10099" t="str">
            <v>STC9906P</v>
          </cell>
          <cell r="Q10099" t="str">
            <v>磁性位置传感器</v>
          </cell>
        </row>
        <row r="10100">
          <cell r="O10100" t="str">
            <v>SC2442SO-N</v>
          </cell>
          <cell r="P10100" t="str">
            <v>STC9906P</v>
          </cell>
          <cell r="Q10100" t="str">
            <v>磁性位置传感器</v>
          </cell>
        </row>
        <row r="10101">
          <cell r="O10101" t="str">
            <v>SC4643VB</v>
          </cell>
          <cell r="P10101" t="str">
            <v>STC9D03E</v>
          </cell>
          <cell r="Q10101" t="str">
            <v>电流传感器</v>
          </cell>
        </row>
        <row r="10102">
          <cell r="O10102" t="str">
            <v>SC4643VB</v>
          </cell>
          <cell r="P10102" t="str">
            <v>STC9D03E</v>
          </cell>
          <cell r="Q10102" t="str">
            <v>电流传感器</v>
          </cell>
        </row>
        <row r="10103">
          <cell r="O10103" t="str">
            <v>SC4011SO-N</v>
          </cell>
          <cell r="P10103" t="str">
            <v>STC4011B</v>
          </cell>
          <cell r="Q10103" t="str">
            <v>磁性位置传感器</v>
          </cell>
        </row>
        <row r="10104">
          <cell r="O10104" t="str">
            <v>ZH6332C</v>
          </cell>
          <cell r="P10104" t="str">
            <v>ZH6332C</v>
          </cell>
          <cell r="Q10104" t="str">
            <v>电机驱动</v>
          </cell>
        </row>
        <row r="10105">
          <cell r="O10105" t="str">
            <v>3100</v>
          </cell>
          <cell r="P10105" t="str">
            <v>STC9D06G</v>
          </cell>
          <cell r="Q10105" t="str">
            <v>电流传感器</v>
          </cell>
        </row>
        <row r="10106">
          <cell r="O10106" t="str">
            <v>SC2498UA-N</v>
          </cell>
          <cell r="P10106" t="str">
            <v>SC9915C</v>
          </cell>
          <cell r="Q10106" t="str">
            <v>磁性位置传感器</v>
          </cell>
        </row>
        <row r="10107">
          <cell r="O10107" t="str">
            <v>SC2498UA-N</v>
          </cell>
          <cell r="P10107" t="str">
            <v>SC9915C</v>
          </cell>
          <cell r="Q10107" t="str">
            <v>磁性位置传感器</v>
          </cell>
        </row>
        <row r="10108">
          <cell r="O10108" t="str">
            <v>SC2498UA-N</v>
          </cell>
          <cell r="P10108" t="str">
            <v>SC9915C</v>
          </cell>
          <cell r="Q10108" t="str">
            <v>磁性位置传感器</v>
          </cell>
        </row>
        <row r="10109">
          <cell r="O10109" t="str">
            <v>SC9314UA</v>
          </cell>
          <cell r="P10109" t="str">
            <v>STC9901AF</v>
          </cell>
          <cell r="Q10109" t="str">
            <v>速度传感器</v>
          </cell>
        </row>
        <row r="10110">
          <cell r="O10110" t="str">
            <v>SC9641TS</v>
          </cell>
          <cell r="P10110" t="str">
            <v>STC9910BN</v>
          </cell>
          <cell r="Q10110" t="str">
            <v>速度传感器</v>
          </cell>
        </row>
        <row r="10111">
          <cell r="O10111" t="str">
            <v>SC9648TS-P</v>
          </cell>
          <cell r="P10111" t="str">
            <v>STC9A001I</v>
          </cell>
          <cell r="Q10111" t="str">
            <v>速度传感器</v>
          </cell>
        </row>
        <row r="10112">
          <cell r="O10112" t="str">
            <v>SC9641TS-P</v>
          </cell>
          <cell r="P10112" t="str">
            <v>STC9A001I</v>
          </cell>
          <cell r="Q10112" t="str">
            <v>速度传感器</v>
          </cell>
        </row>
        <row r="10113">
          <cell r="O10113" t="str">
            <v>SC9641TS-P</v>
          </cell>
          <cell r="P10113" t="str">
            <v>STC9A001I</v>
          </cell>
          <cell r="Q10113" t="str">
            <v>速度传感器</v>
          </cell>
        </row>
        <row r="10114">
          <cell r="O10114" t="str">
            <v>SC9641TS-P</v>
          </cell>
          <cell r="P10114" t="str">
            <v>STC9A001I</v>
          </cell>
          <cell r="Q10114" t="str">
            <v>速度传感器</v>
          </cell>
        </row>
        <row r="10115">
          <cell r="O10115" t="str">
            <v>SC4695DC</v>
          </cell>
          <cell r="P10115" t="str">
            <v>STC9D01C</v>
          </cell>
          <cell r="Q10115" t="str">
            <v>角度传感器</v>
          </cell>
        </row>
        <row r="10116">
          <cell r="O10116" t="str">
            <v>SC1245UA</v>
          </cell>
          <cell r="P10116" t="str">
            <v>STC1898AD</v>
          </cell>
          <cell r="Q10116" t="str">
            <v>磁性位置传感器</v>
          </cell>
        </row>
        <row r="10117">
          <cell r="O10117" t="str">
            <v>SC4643VB</v>
          </cell>
          <cell r="P10117" t="str">
            <v>STC9D03E</v>
          </cell>
          <cell r="Q10117" t="str">
            <v>电流传感器</v>
          </cell>
        </row>
        <row r="10118">
          <cell r="O10118" t="str">
            <v>SC4643VB</v>
          </cell>
          <cell r="P10118" t="str">
            <v>STC9D03E</v>
          </cell>
          <cell r="Q10118" t="str">
            <v>电流传感器</v>
          </cell>
        </row>
        <row r="10119">
          <cell r="O10119" t="str">
            <v>SC1645A2</v>
          </cell>
          <cell r="P10119" t="str">
            <v>STC2899AI</v>
          </cell>
          <cell r="Q10119" t="str">
            <v>磁性位置传感器</v>
          </cell>
        </row>
        <row r="10120">
          <cell r="O10120" t="str">
            <v>SC1645A2</v>
          </cell>
          <cell r="P10120" t="str">
            <v>STC2899AI</v>
          </cell>
          <cell r="Q10120" t="str">
            <v>磁性位置传感器</v>
          </cell>
        </row>
        <row r="10121">
          <cell r="O10121" t="str">
            <v>SC1645A2</v>
          </cell>
          <cell r="P10121" t="str">
            <v>STC2899AI</v>
          </cell>
          <cell r="Q10121" t="str">
            <v>磁性位置传感器</v>
          </cell>
        </row>
        <row r="10122">
          <cell r="O10122" t="str">
            <v>SC1645A2</v>
          </cell>
          <cell r="P10122" t="str">
            <v>STC2899AI</v>
          </cell>
          <cell r="Q10122" t="str">
            <v>磁性位置传感器</v>
          </cell>
        </row>
        <row r="10123">
          <cell r="O10123" t="str">
            <v>SC1645A2</v>
          </cell>
          <cell r="P10123" t="str">
            <v>STC2899AI</v>
          </cell>
          <cell r="Q10123" t="str">
            <v>磁性位置传感器</v>
          </cell>
        </row>
        <row r="10124">
          <cell r="O10124" t="str">
            <v>SC2434SO-N</v>
          </cell>
          <cell r="P10124" t="str">
            <v>STC9906I</v>
          </cell>
          <cell r="Q10124" t="str">
            <v>磁性位置传感器</v>
          </cell>
        </row>
        <row r="10125">
          <cell r="O10125" t="str">
            <v>SC1134UA</v>
          </cell>
          <cell r="P10125" t="str">
            <v>STC1898AI</v>
          </cell>
          <cell r="Q10125" t="str">
            <v>磁性位置传感器</v>
          </cell>
        </row>
        <row r="10126">
          <cell r="O10126" t="str">
            <v>VE1430Q1CA3R5</v>
          </cell>
          <cell r="P10126" t="str">
            <v xml:space="preserve"> </v>
          </cell>
          <cell r="Q10126" t="str">
            <v>电源管理</v>
          </cell>
        </row>
        <row r="10127">
          <cell r="O10127" t="str">
            <v>SC4011SO-N</v>
          </cell>
          <cell r="P10127" t="str">
            <v>STC4011B</v>
          </cell>
          <cell r="Q10127" t="str">
            <v>磁性位置传感器</v>
          </cell>
        </row>
        <row r="10128">
          <cell r="O10128" t="str">
            <v>SC4011SO-N</v>
          </cell>
          <cell r="P10128" t="str">
            <v>STC4011B</v>
          </cell>
          <cell r="Q10128" t="str">
            <v>磁性位置传感器</v>
          </cell>
        </row>
        <row r="10129">
          <cell r="O10129" t="str">
            <v>SC4011SO-N</v>
          </cell>
          <cell r="P10129" t="str">
            <v>STC4011B</v>
          </cell>
          <cell r="Q10129" t="str">
            <v>磁性位置传感器</v>
          </cell>
        </row>
        <row r="10130">
          <cell r="O10130" t="str">
            <v>SC4011SO-N</v>
          </cell>
          <cell r="P10130" t="str">
            <v>STC4011B</v>
          </cell>
          <cell r="Q10130" t="str">
            <v>磁性位置传感器</v>
          </cell>
        </row>
        <row r="10131">
          <cell r="O10131" t="str">
            <v>SC9641TS-P</v>
          </cell>
          <cell r="P10131" t="str">
            <v>STC9A001I</v>
          </cell>
          <cell r="Q10131" t="str">
            <v>速度传感器</v>
          </cell>
        </row>
        <row r="10132">
          <cell r="O10132" t="str">
            <v>SC9648TS-P</v>
          </cell>
          <cell r="P10132" t="str">
            <v>STC9A001I</v>
          </cell>
          <cell r="Q10132" t="str">
            <v>速度传感器</v>
          </cell>
        </row>
        <row r="10133">
          <cell r="O10133" t="str">
            <v>SC9642TS-EC</v>
          </cell>
          <cell r="P10133" t="str">
            <v>STC9A001H</v>
          </cell>
          <cell r="Q10133" t="str">
            <v>速度传感器</v>
          </cell>
        </row>
        <row r="10134">
          <cell r="O10134" t="str">
            <v>SC2432UA</v>
          </cell>
          <cell r="P10134" t="str">
            <v>STC9906I</v>
          </cell>
          <cell r="Q10134" t="str">
            <v>磁性位置传感器</v>
          </cell>
        </row>
        <row r="10135">
          <cell r="O10135" t="str">
            <v>SC4645VB-5S</v>
          </cell>
          <cell r="P10135" t="str">
            <v>STC9D06F</v>
          </cell>
          <cell r="Q10135" t="str">
            <v>电流传感器</v>
          </cell>
        </row>
        <row r="10136">
          <cell r="O10136" t="str">
            <v>SC2442UA</v>
          </cell>
          <cell r="P10136" t="str">
            <v>STC9906P</v>
          </cell>
          <cell r="Q10136" t="str">
            <v>磁性位置传感器</v>
          </cell>
        </row>
        <row r="10137">
          <cell r="O10137" t="str">
            <v>SC2442UA</v>
          </cell>
          <cell r="P10137" t="str">
            <v>STC9906P</v>
          </cell>
          <cell r="Q10137" t="str">
            <v>磁性位置传感器</v>
          </cell>
        </row>
        <row r="10138">
          <cell r="O10138" t="str">
            <v>SC4011SO-N</v>
          </cell>
          <cell r="P10138" t="str">
            <v>STC4011B</v>
          </cell>
          <cell r="Q10138" t="str">
            <v>磁性位置传感器</v>
          </cell>
        </row>
        <row r="10139">
          <cell r="O10139" t="str">
            <v>SC4011SO-N</v>
          </cell>
          <cell r="P10139" t="str">
            <v>STC4011B</v>
          </cell>
          <cell r="Q10139" t="str">
            <v>磁性位置传感器</v>
          </cell>
        </row>
        <row r="10140">
          <cell r="O10140" t="str">
            <v>SC4011SO-N</v>
          </cell>
          <cell r="P10140" t="str">
            <v>STC4011B</v>
          </cell>
          <cell r="Q10140" t="str">
            <v>磁性位置传感器</v>
          </cell>
        </row>
        <row r="10141">
          <cell r="O10141" t="str">
            <v>SC1645A1</v>
          </cell>
          <cell r="P10141" t="str">
            <v>STC2899AE</v>
          </cell>
          <cell r="Q10141" t="str">
            <v>磁性位置传感器</v>
          </cell>
        </row>
        <row r="10142">
          <cell r="O10142" t="str">
            <v>SI485E</v>
          </cell>
          <cell r="P10142" t="str">
            <v>STC42302A</v>
          </cell>
          <cell r="Q10142" t="str">
            <v>其他数模混合</v>
          </cell>
        </row>
        <row r="10143">
          <cell r="O10143" t="str">
            <v>SC4001SE</v>
          </cell>
          <cell r="P10143" t="str">
            <v>STC4001AB</v>
          </cell>
          <cell r="Q10143" t="str">
            <v>磁性位置传感器</v>
          </cell>
        </row>
        <row r="10144">
          <cell r="O10144" t="str">
            <v>PFD1014A</v>
          </cell>
          <cell r="P10144" t="str">
            <v>FD1014A</v>
          </cell>
          <cell r="Q10144" t="str">
            <v>电机驱动</v>
          </cell>
        </row>
        <row r="10145">
          <cell r="O10145" t="str">
            <v>PFD1014A</v>
          </cell>
          <cell r="P10145" t="str">
            <v>FD1014A</v>
          </cell>
          <cell r="Q10145" t="str">
            <v>电机驱动</v>
          </cell>
        </row>
        <row r="10146">
          <cell r="O10146" t="str">
            <v>SC4011SO-N</v>
          </cell>
          <cell r="P10146" t="str">
            <v>STC4011B</v>
          </cell>
          <cell r="Q10146" t="str">
            <v>磁性位置传感器</v>
          </cell>
        </row>
        <row r="10147">
          <cell r="O10147" t="str">
            <v>SC4011SO-N</v>
          </cell>
          <cell r="P10147" t="str">
            <v>STC4011B</v>
          </cell>
          <cell r="Q10147" t="str">
            <v>磁性位置传感器</v>
          </cell>
        </row>
        <row r="10148">
          <cell r="O10148" t="str">
            <v>SC2443UA</v>
          </cell>
          <cell r="P10148" t="str">
            <v>STC9906G</v>
          </cell>
          <cell r="Q10148" t="str">
            <v>磁性位置传感器</v>
          </cell>
        </row>
        <row r="10149">
          <cell r="O10149" t="str">
            <v>SC1245SO-N</v>
          </cell>
          <cell r="P10149" t="str">
            <v>STC1898AD</v>
          </cell>
          <cell r="Q10149" t="str">
            <v>磁性位置传感器</v>
          </cell>
        </row>
        <row r="10150">
          <cell r="O10150" t="str">
            <v>SC2402SO-N-G</v>
          </cell>
          <cell r="P10150" t="str">
            <v>STC9G002A</v>
          </cell>
          <cell r="Q10150" t="str">
            <v>磁性位置传感器</v>
          </cell>
        </row>
        <row r="10151">
          <cell r="O10151" t="str">
            <v>SC2402SO-N</v>
          </cell>
          <cell r="P10151" t="str">
            <v>STC9G002B</v>
          </cell>
          <cell r="Q10151" t="str">
            <v>磁性位置传感器</v>
          </cell>
        </row>
        <row r="10152">
          <cell r="O10152" t="str">
            <v>SC9625VB-L</v>
          </cell>
          <cell r="P10152" t="str">
            <v>STC9910E</v>
          </cell>
          <cell r="Q10152" t="str">
            <v>速度传感器</v>
          </cell>
        </row>
        <row r="10153">
          <cell r="O10153" t="str">
            <v>ZH619A0</v>
          </cell>
          <cell r="P10153" t="str">
            <v>STC22303</v>
          </cell>
          <cell r="Q10153" t="str">
            <v>电机驱动</v>
          </cell>
        </row>
        <row r="10154">
          <cell r="O10154" t="str">
            <v>SC4643SA-A</v>
          </cell>
          <cell r="P10154" t="str">
            <v>STC9D03E</v>
          </cell>
          <cell r="Q10154" t="str">
            <v>电流传感器</v>
          </cell>
        </row>
        <row r="10155">
          <cell r="O10155" t="str">
            <v>SC2462SO</v>
          </cell>
          <cell r="P10155" t="str">
            <v>STC9906J</v>
          </cell>
          <cell r="Q10155" t="str">
            <v>磁性位置传感器</v>
          </cell>
        </row>
        <row r="10156">
          <cell r="O10156" t="str">
            <v>SC1645A1</v>
          </cell>
          <cell r="P10156" t="str">
            <v>STC2899AE</v>
          </cell>
          <cell r="Q10156" t="str">
            <v>磁性位置传感器</v>
          </cell>
        </row>
        <row r="10157">
          <cell r="O10157" t="str">
            <v>SC9625VB</v>
          </cell>
          <cell r="P10157" t="str">
            <v>STC9910B</v>
          </cell>
          <cell r="Q10157" t="str">
            <v>速度传感器</v>
          </cell>
        </row>
        <row r="10158">
          <cell r="O10158" t="str">
            <v>SC2242SO</v>
          </cell>
          <cell r="P10158" t="str">
            <v>STC9906H</v>
          </cell>
          <cell r="Q10158" t="str">
            <v>磁性位置传感器</v>
          </cell>
        </row>
        <row r="10159">
          <cell r="O10159" t="str">
            <v>SC2242SO</v>
          </cell>
          <cell r="P10159" t="str">
            <v>STC9906H</v>
          </cell>
          <cell r="Q10159" t="str">
            <v>磁性位置传感器</v>
          </cell>
        </row>
        <row r="10160">
          <cell r="O10160" t="str">
            <v>SC2242SO</v>
          </cell>
          <cell r="P10160" t="str">
            <v>STC9906H</v>
          </cell>
          <cell r="Q10160" t="str">
            <v>磁性位置传感器</v>
          </cell>
        </row>
        <row r="10161">
          <cell r="O10161" t="str">
            <v>SC2242SO</v>
          </cell>
          <cell r="P10161" t="str">
            <v>STC9906H</v>
          </cell>
          <cell r="Q10161" t="str">
            <v>磁性位置传感器</v>
          </cell>
        </row>
        <row r="10162">
          <cell r="O10162" t="str">
            <v>SC4011SO-N</v>
          </cell>
          <cell r="P10162" t="str">
            <v>STC4011B</v>
          </cell>
          <cell r="Q10162" t="str">
            <v>磁性位置传感器</v>
          </cell>
        </row>
        <row r="10163">
          <cell r="O10163" t="str">
            <v>SC4011SO-N</v>
          </cell>
          <cell r="P10163" t="str">
            <v>STC4011B</v>
          </cell>
          <cell r="Q10163" t="str">
            <v>磁性位置传感器</v>
          </cell>
        </row>
        <row r="10164">
          <cell r="O10164" t="str">
            <v>SC4011SO-N</v>
          </cell>
          <cell r="P10164" t="str">
            <v>STC4011B</v>
          </cell>
          <cell r="Q10164" t="str">
            <v>磁性位置传感器</v>
          </cell>
        </row>
        <row r="10165">
          <cell r="O10165" t="str">
            <v>SC4011SO-N</v>
          </cell>
          <cell r="P10165" t="str">
            <v>STC4011B</v>
          </cell>
          <cell r="Q10165" t="str">
            <v>磁性位置传感器</v>
          </cell>
        </row>
        <row r="10166">
          <cell r="O10166" t="str">
            <v>SC2462SO</v>
          </cell>
          <cell r="P10166" t="str">
            <v>STC9906J</v>
          </cell>
          <cell r="Q10166" t="str">
            <v>磁性位置传感器</v>
          </cell>
        </row>
        <row r="10167">
          <cell r="O10167" t="str">
            <v>SC2242SO</v>
          </cell>
          <cell r="P10167" t="str">
            <v>STC9906H</v>
          </cell>
          <cell r="Q10167" t="str">
            <v>磁性位置传感器</v>
          </cell>
        </row>
        <row r="10168">
          <cell r="O10168" t="str">
            <v>SC9621VB</v>
          </cell>
          <cell r="P10168" t="str">
            <v>STC9910C</v>
          </cell>
          <cell r="Q10168" t="str">
            <v>速度传感器</v>
          </cell>
        </row>
        <row r="10169">
          <cell r="O10169" t="str">
            <v>SC9641TS-P</v>
          </cell>
          <cell r="P10169" t="str">
            <v>STC9A001F</v>
          </cell>
          <cell r="Q10169" t="str">
            <v>速度传感器</v>
          </cell>
        </row>
        <row r="10170">
          <cell r="O10170" t="str">
            <v>SC9641TS-P</v>
          </cell>
          <cell r="P10170" t="str">
            <v>STC9A001F</v>
          </cell>
          <cell r="Q10170" t="str">
            <v>速度传感器</v>
          </cell>
        </row>
        <row r="10171">
          <cell r="O10171" t="str">
            <v>SC2462SO</v>
          </cell>
          <cell r="P10171" t="str">
            <v>STC9906J</v>
          </cell>
          <cell r="Q10171" t="str">
            <v>磁性位置传感器</v>
          </cell>
        </row>
        <row r="10172">
          <cell r="O10172" t="str">
            <v>SC2462SO</v>
          </cell>
          <cell r="P10172" t="str">
            <v>STC9906J</v>
          </cell>
          <cell r="Q10172" t="str">
            <v>磁性位置传感器</v>
          </cell>
        </row>
        <row r="10173">
          <cell r="O10173" t="str">
            <v>SC2443UA</v>
          </cell>
          <cell r="P10173" t="str">
            <v>STC9906W</v>
          </cell>
          <cell r="Q10173" t="str">
            <v>磁性位置传感器</v>
          </cell>
        </row>
        <row r="10174">
          <cell r="O10174" t="str">
            <v>SC2443UA</v>
          </cell>
          <cell r="P10174" t="str">
            <v>STC9906W</v>
          </cell>
          <cell r="Q10174" t="str">
            <v>磁性位置传感器</v>
          </cell>
        </row>
        <row r="10175">
          <cell r="O10175" t="str">
            <v>SC2443SO</v>
          </cell>
          <cell r="P10175" t="str">
            <v>STC9906T</v>
          </cell>
          <cell r="Q10175" t="str">
            <v>磁性位置传感器</v>
          </cell>
        </row>
        <row r="10176">
          <cell r="O10176" t="str">
            <v>SC2498CUA-A</v>
          </cell>
          <cell r="P10176" t="str">
            <v>SC9915C</v>
          </cell>
          <cell r="Q10176" t="str">
            <v>磁性位置传感器</v>
          </cell>
        </row>
        <row r="10177">
          <cell r="O10177" t="str">
            <v>SC2498UA-N</v>
          </cell>
          <cell r="P10177" t="str">
            <v>SC9915C</v>
          </cell>
          <cell r="Q10177" t="str">
            <v>磁性位置传感器</v>
          </cell>
        </row>
        <row r="10178">
          <cell r="O10178" t="str">
            <v>SC2498UA-N</v>
          </cell>
          <cell r="P10178" t="str">
            <v>SC9915C</v>
          </cell>
          <cell r="Q10178" t="str">
            <v>磁性位置传感器</v>
          </cell>
        </row>
        <row r="10179">
          <cell r="O10179" t="str">
            <v>SC2462SO</v>
          </cell>
          <cell r="P10179" t="str">
            <v>STC9906J</v>
          </cell>
          <cell r="Q10179" t="str">
            <v>磁性位置传感器</v>
          </cell>
        </row>
        <row r="10180">
          <cell r="O10180" t="str">
            <v>SC9641TS</v>
          </cell>
          <cell r="P10180" t="str">
            <v>STC9910BN</v>
          </cell>
          <cell r="Q10180" t="str">
            <v>速度传感器</v>
          </cell>
        </row>
        <row r="10181">
          <cell r="O10181" t="str">
            <v>SC9641TS</v>
          </cell>
          <cell r="P10181" t="str">
            <v>STC9910BN</v>
          </cell>
          <cell r="Q10181" t="str">
            <v>速度传感器</v>
          </cell>
        </row>
        <row r="10182">
          <cell r="O10182" t="str">
            <v>SC9641TS</v>
          </cell>
          <cell r="P10182" t="str">
            <v>STC9910BN</v>
          </cell>
          <cell r="Q10182" t="str">
            <v>速度传感器</v>
          </cell>
        </row>
        <row r="10183">
          <cell r="O10183" t="str">
            <v>SC9641TS</v>
          </cell>
          <cell r="P10183" t="str">
            <v>STC9910BN</v>
          </cell>
          <cell r="Q10183" t="str">
            <v>速度传感器</v>
          </cell>
        </row>
        <row r="10184">
          <cell r="O10184" t="str">
            <v>SC2438SO</v>
          </cell>
          <cell r="P10184" t="str">
            <v>STC9906I</v>
          </cell>
          <cell r="Q10184" t="str">
            <v>磁性位置传感器</v>
          </cell>
        </row>
        <row r="10185">
          <cell r="O10185" t="str">
            <v>SC9675IM-P-LRF00</v>
          </cell>
          <cell r="P10185" t="str">
            <v>STC9A002B</v>
          </cell>
          <cell r="Q10185" t="str">
            <v>速度传感器</v>
          </cell>
        </row>
        <row r="10186">
          <cell r="O10186" t="str">
            <v>SC9642TS</v>
          </cell>
          <cell r="P10186" t="str">
            <v>STC9A001G</v>
          </cell>
          <cell r="Q10186" t="str">
            <v>速度传感器</v>
          </cell>
        </row>
        <row r="10187">
          <cell r="O10187" t="str">
            <v>SC4688DC</v>
          </cell>
          <cell r="P10187" t="str">
            <v>STC9D01C</v>
          </cell>
          <cell r="Q10187" t="str">
            <v>角度传感器</v>
          </cell>
        </row>
        <row r="10188">
          <cell r="O10188" t="str">
            <v>SC4011UA</v>
          </cell>
          <cell r="P10188" t="str">
            <v>STC4011B</v>
          </cell>
          <cell r="Q10188" t="str">
            <v>磁性位置传感器</v>
          </cell>
        </row>
        <row r="10189">
          <cell r="O10189" t="str">
            <v>SC1245A1</v>
          </cell>
          <cell r="P10189" t="str">
            <v>STC1898AD</v>
          </cell>
          <cell r="Q10189" t="str">
            <v>磁性位置传感器</v>
          </cell>
        </row>
        <row r="10190">
          <cell r="O10190" t="str">
            <v>SI485E</v>
          </cell>
          <cell r="P10190" t="str">
            <v>STC42302A</v>
          </cell>
          <cell r="Q10190" t="str">
            <v>其他数模混合</v>
          </cell>
        </row>
        <row r="10191">
          <cell r="O10191" t="str">
            <v>SC1134SO-N</v>
          </cell>
          <cell r="P10191" t="str">
            <v>STC1002AF</v>
          </cell>
          <cell r="Q10191" t="str">
            <v>磁性位置传感器</v>
          </cell>
        </row>
        <row r="10192">
          <cell r="O10192" t="str">
            <v>SC1245SO-N</v>
          </cell>
          <cell r="P10192" t="str">
            <v>STC1898AD</v>
          </cell>
          <cell r="Q10192" t="str">
            <v>磁性位置传感器</v>
          </cell>
        </row>
        <row r="10193">
          <cell r="O10193" t="str">
            <v>SC2442UA</v>
          </cell>
          <cell r="P10193" t="str">
            <v>STC9906P</v>
          </cell>
          <cell r="Q10193" t="str">
            <v>磁性位置传感器</v>
          </cell>
        </row>
        <row r="10194">
          <cell r="O10194" t="str">
            <v>SC4011SO-N</v>
          </cell>
          <cell r="P10194" t="str">
            <v>STC4011B</v>
          </cell>
          <cell r="Q10194" t="str">
            <v>磁性位置传感器</v>
          </cell>
        </row>
        <row r="10195">
          <cell r="O10195" t="str">
            <v>SC4011SO-N</v>
          </cell>
          <cell r="P10195" t="str">
            <v>STC4011B</v>
          </cell>
          <cell r="Q10195" t="str">
            <v>磁性位置传感器</v>
          </cell>
        </row>
        <row r="10196">
          <cell r="O10196" t="str">
            <v>SC4011SO-N</v>
          </cell>
          <cell r="P10196" t="str">
            <v>STC4011B</v>
          </cell>
          <cell r="Q10196" t="str">
            <v>磁性位置传感器</v>
          </cell>
        </row>
        <row r="10197">
          <cell r="O10197" t="str">
            <v>SC4011SO-N</v>
          </cell>
          <cell r="P10197" t="str">
            <v>STC4011B</v>
          </cell>
          <cell r="Q10197" t="str">
            <v>磁性位置传感器</v>
          </cell>
        </row>
        <row r="10198">
          <cell r="O10198" t="str">
            <v>SC1134SO-N</v>
          </cell>
          <cell r="P10198" t="str">
            <v>STC1898AI</v>
          </cell>
          <cell r="Q10198" t="str">
            <v>磁性位置传感器</v>
          </cell>
        </row>
        <row r="10199">
          <cell r="O10199" t="str">
            <v>SC2442SO-N</v>
          </cell>
          <cell r="P10199" t="str">
            <v>STC9906P</v>
          </cell>
          <cell r="Q10199" t="str">
            <v>磁性位置传感器</v>
          </cell>
        </row>
        <row r="10200">
          <cell r="O10200" t="str">
            <v>SC2442SO-N</v>
          </cell>
          <cell r="P10200" t="str">
            <v>STC9906P</v>
          </cell>
          <cell r="Q10200" t="str">
            <v>磁性位置传感器</v>
          </cell>
        </row>
        <row r="10201">
          <cell r="O10201" t="str">
            <v>SC4011SO-N</v>
          </cell>
          <cell r="P10201" t="str">
            <v>STC4011B</v>
          </cell>
          <cell r="Q10201" t="str">
            <v>磁性位置传感器</v>
          </cell>
        </row>
        <row r="10202">
          <cell r="O10202" t="str">
            <v>SC4011SO-N</v>
          </cell>
          <cell r="P10202" t="str">
            <v>STC4011B</v>
          </cell>
          <cell r="Q10202" t="str">
            <v>磁性位置传感器</v>
          </cell>
        </row>
        <row r="10203">
          <cell r="O10203" t="str">
            <v>SC2436SO</v>
          </cell>
          <cell r="P10203" t="str">
            <v>STC9906I</v>
          </cell>
          <cell r="Q10203" t="str">
            <v>磁性位置传感器</v>
          </cell>
        </row>
        <row r="10204">
          <cell r="O10204" t="str">
            <v>SC4688DC</v>
          </cell>
          <cell r="P10204" t="str">
            <v>STC9D01C</v>
          </cell>
          <cell r="Q10204" t="str">
            <v>角度传感器</v>
          </cell>
        </row>
        <row r="10205">
          <cell r="O10205" t="str">
            <v>SC4688DC</v>
          </cell>
          <cell r="P10205" t="str">
            <v>STC9D01C</v>
          </cell>
          <cell r="Q10205" t="str">
            <v>角度传感器</v>
          </cell>
        </row>
        <row r="10206">
          <cell r="O10206" t="str">
            <v>SC4688DC</v>
          </cell>
          <cell r="P10206" t="str">
            <v>STC9D01C</v>
          </cell>
          <cell r="Q10206" t="str">
            <v>角度传感器</v>
          </cell>
        </row>
        <row r="10207">
          <cell r="O10207" t="str">
            <v>SC4688DC</v>
          </cell>
          <cell r="P10207" t="str">
            <v>STC9D01C</v>
          </cell>
          <cell r="Q10207" t="str">
            <v>角度传感器</v>
          </cell>
        </row>
        <row r="10208">
          <cell r="O10208" t="str">
            <v>SC9625VB</v>
          </cell>
          <cell r="P10208" t="str">
            <v>STC9910B</v>
          </cell>
          <cell r="Q10208" t="str">
            <v>速度传感器</v>
          </cell>
        </row>
        <row r="10209">
          <cell r="O10209" t="str">
            <v>SC9625VB</v>
          </cell>
          <cell r="P10209" t="str">
            <v>STC9910B</v>
          </cell>
          <cell r="Q10209" t="str">
            <v>速度传感器</v>
          </cell>
        </row>
        <row r="10210">
          <cell r="O10210" t="str">
            <v>SC2442SO</v>
          </cell>
          <cell r="P10210" t="str">
            <v>STC9906R</v>
          </cell>
          <cell r="Q10210" t="str">
            <v>磁性位置传感器</v>
          </cell>
        </row>
        <row r="10211">
          <cell r="O10211" t="str">
            <v>SC2442SO</v>
          </cell>
          <cell r="P10211" t="str">
            <v>STC9906R</v>
          </cell>
          <cell r="Q10211" t="str">
            <v>磁性位置传感器</v>
          </cell>
        </row>
        <row r="10212">
          <cell r="O10212" t="str">
            <v>SC2438SO</v>
          </cell>
          <cell r="P10212" t="str">
            <v>STC9906I</v>
          </cell>
          <cell r="Q10212" t="str">
            <v>磁性位置传感器</v>
          </cell>
        </row>
        <row r="10213">
          <cell r="O10213" t="str">
            <v>SC4616UA-10NV</v>
          </cell>
          <cell r="P10213" t="str">
            <v>STC9907D</v>
          </cell>
          <cell r="Q10213" t="str">
            <v>电流传感器</v>
          </cell>
        </row>
        <row r="10214">
          <cell r="O10214" t="str">
            <v>SC4616UA-10NV</v>
          </cell>
          <cell r="P10214" t="str">
            <v>STC9907D</v>
          </cell>
          <cell r="Q10214" t="str">
            <v>电流传感器</v>
          </cell>
        </row>
        <row r="10215">
          <cell r="O10215" t="str">
            <v>SC4616UA-10NV</v>
          </cell>
          <cell r="P10215" t="str">
            <v>STC9907D</v>
          </cell>
          <cell r="Q10215" t="str">
            <v>电流传感器</v>
          </cell>
        </row>
        <row r="10216">
          <cell r="O10216" t="str">
            <v>SC60228DC</v>
          </cell>
          <cell r="P10216" t="str">
            <v>STC9D04C</v>
          </cell>
          <cell r="Q10216" t="str">
            <v>电机编码器</v>
          </cell>
        </row>
        <row r="10217">
          <cell r="O10217" t="str">
            <v>SC60228DC</v>
          </cell>
          <cell r="P10217" t="str">
            <v>STC9D04C</v>
          </cell>
          <cell r="Q10217" t="str">
            <v>电机编码器</v>
          </cell>
        </row>
        <row r="10218">
          <cell r="O10218" t="str">
            <v>SC60228DC</v>
          </cell>
          <cell r="P10218" t="str">
            <v>STC9D04C</v>
          </cell>
          <cell r="Q10218" t="str">
            <v>电机编码器</v>
          </cell>
        </row>
        <row r="10219">
          <cell r="O10219" t="str">
            <v>SC60228DC</v>
          </cell>
          <cell r="P10219" t="str">
            <v>STC9D04C</v>
          </cell>
          <cell r="Q10219" t="str">
            <v>电机编码器</v>
          </cell>
        </row>
        <row r="10220">
          <cell r="O10220" t="str">
            <v>SC60228DC</v>
          </cell>
          <cell r="P10220" t="str">
            <v>STC9D04C</v>
          </cell>
          <cell r="Q10220" t="str">
            <v>电机编码器</v>
          </cell>
        </row>
        <row r="10221">
          <cell r="O10221" t="str">
            <v>SC60228DC</v>
          </cell>
          <cell r="P10221" t="str">
            <v>STC9D04C</v>
          </cell>
          <cell r="Q10221" t="str">
            <v>电机编码器</v>
          </cell>
        </row>
        <row r="10222">
          <cell r="O10222" t="str">
            <v>SC1134UA</v>
          </cell>
          <cell r="P10222" t="str">
            <v>STC1898AI</v>
          </cell>
          <cell r="Q10222" t="str">
            <v>磁性位置传感器</v>
          </cell>
        </row>
        <row r="10223">
          <cell r="O10223" t="str">
            <v>SC2462SO</v>
          </cell>
          <cell r="P10223" t="str">
            <v>STC9906J</v>
          </cell>
          <cell r="Q10223" t="str">
            <v>磁性位置传感器</v>
          </cell>
        </row>
        <row r="10224">
          <cell r="O10224" t="str">
            <v>SC2462SO</v>
          </cell>
          <cell r="P10224" t="str">
            <v>STC9906J</v>
          </cell>
          <cell r="Q10224" t="str">
            <v>磁性位置传感器</v>
          </cell>
        </row>
        <row r="10225">
          <cell r="O10225" t="str">
            <v>SC2064SO</v>
          </cell>
          <cell r="P10225" t="str">
            <v>STC9G001C</v>
          </cell>
          <cell r="Q10225" t="str">
            <v>磁性位置传感器</v>
          </cell>
        </row>
        <row r="10226">
          <cell r="O10226" t="str">
            <v>SC2438SO</v>
          </cell>
          <cell r="P10226" t="str">
            <v>STC9906I</v>
          </cell>
          <cell r="Q10226" t="str">
            <v>磁性位置传感器</v>
          </cell>
        </row>
        <row r="10227">
          <cell r="O10227" t="str">
            <v>SC1245SO-N</v>
          </cell>
          <cell r="P10227" t="str">
            <v>STC1898AD</v>
          </cell>
          <cell r="Q10227" t="str">
            <v>磁性位置传感器</v>
          </cell>
        </row>
        <row r="10228">
          <cell r="O10228" t="str">
            <v>SC2064SO</v>
          </cell>
          <cell r="P10228" t="str">
            <v>STC9G001C</v>
          </cell>
          <cell r="Q10228" t="str">
            <v>磁性位置传感器</v>
          </cell>
        </row>
        <row r="10229">
          <cell r="O10229" t="str">
            <v>SC2402SO-N</v>
          </cell>
          <cell r="P10229" t="str">
            <v>STC9902J</v>
          </cell>
          <cell r="Q10229" t="str">
            <v>磁性位置传感器</v>
          </cell>
        </row>
        <row r="10230">
          <cell r="O10230" t="str">
            <v>SC2402SO-N</v>
          </cell>
          <cell r="P10230" t="str">
            <v>STC9902J</v>
          </cell>
          <cell r="Q10230" t="str">
            <v>磁性位置传感器</v>
          </cell>
        </row>
        <row r="10231">
          <cell r="O10231" t="str">
            <v>SC4643VB</v>
          </cell>
          <cell r="P10231" t="str">
            <v>STC9D03E</v>
          </cell>
          <cell r="Q10231" t="str">
            <v>电流传感器</v>
          </cell>
        </row>
        <row r="10232">
          <cell r="O10232" t="str">
            <v>SC4643VB</v>
          </cell>
          <cell r="P10232" t="str">
            <v>STC9D03E</v>
          </cell>
          <cell r="Q10232" t="str">
            <v>电流传感器</v>
          </cell>
        </row>
        <row r="10233">
          <cell r="O10233" t="str">
            <v>SC4643VB</v>
          </cell>
          <cell r="P10233" t="str">
            <v>STC9D03E</v>
          </cell>
          <cell r="Q10233" t="str">
            <v>电流传感器</v>
          </cell>
        </row>
        <row r="10234">
          <cell r="O10234" t="str">
            <v>SC4643VB</v>
          </cell>
          <cell r="P10234" t="str">
            <v>STC9D03E</v>
          </cell>
          <cell r="Q10234" t="str">
            <v>电流传感器</v>
          </cell>
        </row>
        <row r="10235">
          <cell r="O10235" t="str">
            <v>SC4011SO-N</v>
          </cell>
          <cell r="P10235" t="str">
            <v>STC4011B</v>
          </cell>
          <cell r="Q10235" t="str">
            <v>磁性位置传感器</v>
          </cell>
        </row>
        <row r="10236">
          <cell r="O10236" t="str">
            <v>SC4011SO-N</v>
          </cell>
          <cell r="P10236" t="str">
            <v>STC4011B</v>
          </cell>
          <cell r="Q10236" t="str">
            <v>磁性位置传感器</v>
          </cell>
        </row>
        <row r="10237">
          <cell r="O10237" t="str">
            <v>SC4011SO-N</v>
          </cell>
          <cell r="P10237" t="str">
            <v>STC4011B</v>
          </cell>
          <cell r="Q10237" t="str">
            <v>磁性位置传感器</v>
          </cell>
        </row>
        <row r="10238">
          <cell r="O10238" t="str">
            <v>SC4011SO-N</v>
          </cell>
          <cell r="P10238" t="str">
            <v>STC4011B</v>
          </cell>
          <cell r="Q10238" t="str">
            <v>磁性位置传感器</v>
          </cell>
        </row>
        <row r="10239">
          <cell r="O10239" t="str">
            <v>SC4011SO-N</v>
          </cell>
          <cell r="P10239" t="str">
            <v>STC4011B</v>
          </cell>
          <cell r="Q10239" t="str">
            <v>磁性位置传感器</v>
          </cell>
        </row>
        <row r="10240">
          <cell r="O10240" t="str">
            <v>SC4011SO-N</v>
          </cell>
          <cell r="P10240" t="str">
            <v>STC4011B</v>
          </cell>
          <cell r="Q10240" t="str">
            <v>磁性位置传感器</v>
          </cell>
        </row>
        <row r="10241">
          <cell r="O10241" t="str">
            <v>SC4011SO-N</v>
          </cell>
          <cell r="P10241" t="str">
            <v>STC4011B</v>
          </cell>
          <cell r="Q10241" t="str">
            <v>磁性位置传感器</v>
          </cell>
        </row>
        <row r="10242">
          <cell r="O10242" t="str">
            <v>SC4011SO-N</v>
          </cell>
          <cell r="P10242" t="str">
            <v>STC4011B</v>
          </cell>
          <cell r="Q10242" t="str">
            <v>磁性位置传感器</v>
          </cell>
        </row>
        <row r="10243">
          <cell r="O10243" t="str">
            <v>SC4011SO-N</v>
          </cell>
          <cell r="P10243" t="str">
            <v>STC4011B</v>
          </cell>
          <cell r="Q10243" t="str">
            <v>磁性位置传感器</v>
          </cell>
        </row>
        <row r="10244">
          <cell r="O10244" t="str">
            <v>SC4688SA-A</v>
          </cell>
          <cell r="P10244" t="str">
            <v>STC9D01C</v>
          </cell>
          <cell r="Q10244" t="str">
            <v>角度传感器</v>
          </cell>
        </row>
        <row r="10245">
          <cell r="O10245" t="str">
            <v>SC69401D</v>
          </cell>
          <cell r="P10245" t="str">
            <v>STC9H002D</v>
          </cell>
          <cell r="Q10245" t="str">
            <v>角度传感器</v>
          </cell>
        </row>
        <row r="10246">
          <cell r="O10246" t="str">
            <v>SC9641TS-P</v>
          </cell>
          <cell r="P10246" t="str">
            <v>STC9A001F</v>
          </cell>
          <cell r="Q10246" t="str">
            <v>速度传感器</v>
          </cell>
        </row>
        <row r="10247">
          <cell r="O10247" t="str">
            <v>SC9641TS-P</v>
          </cell>
          <cell r="P10247" t="str">
            <v>STC9A001F</v>
          </cell>
          <cell r="Q10247" t="str">
            <v>速度传感器</v>
          </cell>
        </row>
        <row r="10248">
          <cell r="O10248" t="str">
            <v>SC4643VB-P</v>
          </cell>
          <cell r="P10248" t="str">
            <v>STC9D03E</v>
          </cell>
          <cell r="Q10248" t="str">
            <v>电流传感器</v>
          </cell>
        </row>
        <row r="10249">
          <cell r="O10249" t="str">
            <v>SC4643VB-P</v>
          </cell>
          <cell r="P10249" t="str">
            <v>STC9D03E</v>
          </cell>
          <cell r="Q10249" t="str">
            <v>电流传感器</v>
          </cell>
        </row>
        <row r="10250">
          <cell r="O10250" t="str">
            <v>PSTC9D04C</v>
          </cell>
          <cell r="P10250" t="str">
            <v>STC9D04C</v>
          </cell>
          <cell r="Q10250" t="str">
            <v>电机编码器</v>
          </cell>
        </row>
        <row r="10251">
          <cell r="O10251" t="str">
            <v>SC1445A1</v>
          </cell>
          <cell r="P10251" t="str">
            <v>STC2899AB</v>
          </cell>
          <cell r="Q10251" t="str">
            <v>磁性位置传感器</v>
          </cell>
        </row>
        <row r="10252">
          <cell r="O10252" t="str">
            <v>SC4688SA-A</v>
          </cell>
          <cell r="P10252" t="str">
            <v>STC9D01C</v>
          </cell>
          <cell r="Q10252" t="str">
            <v>角度传感器</v>
          </cell>
        </row>
        <row r="10253">
          <cell r="O10253" t="str">
            <v>SC4011SO-N</v>
          </cell>
          <cell r="P10253" t="str">
            <v>STC4011B</v>
          </cell>
          <cell r="Q10253" t="str">
            <v>磁性位置传感器</v>
          </cell>
        </row>
        <row r="10254">
          <cell r="O10254" t="str">
            <v>SC4011SO-N</v>
          </cell>
          <cell r="P10254" t="str">
            <v>STC4011B</v>
          </cell>
          <cell r="Q10254" t="str">
            <v>磁性位置传感器</v>
          </cell>
        </row>
        <row r="10255">
          <cell r="O10255" t="str">
            <v>SC4011SO-N</v>
          </cell>
          <cell r="P10255" t="str">
            <v>STC4011B</v>
          </cell>
          <cell r="Q10255" t="str">
            <v>磁性位置传感器</v>
          </cell>
        </row>
        <row r="10256">
          <cell r="O10256" t="str">
            <v>SC4011SO-N</v>
          </cell>
          <cell r="P10256" t="str">
            <v>STC4011B</v>
          </cell>
          <cell r="Q10256" t="str">
            <v>磁性位置传感器</v>
          </cell>
        </row>
        <row r="10257">
          <cell r="O10257" t="str">
            <v>SC2442SO</v>
          </cell>
          <cell r="P10257" t="str">
            <v>STC9906R</v>
          </cell>
          <cell r="Q10257" t="str">
            <v>磁性位置传感器</v>
          </cell>
        </row>
        <row r="10258">
          <cell r="O10258" t="str">
            <v>SC2443SO</v>
          </cell>
          <cell r="P10258" t="str">
            <v>STC9906T</v>
          </cell>
          <cell r="Q10258" t="str">
            <v>磁性位置传感器</v>
          </cell>
        </row>
        <row r="10259">
          <cell r="O10259" t="str">
            <v>PSTC1002AG</v>
          </cell>
          <cell r="P10259" t="str">
            <v>STC1002AG</v>
          </cell>
          <cell r="Q10259" t="str">
            <v>磁性位置传感器</v>
          </cell>
        </row>
        <row r="10260">
          <cell r="O10260" t="str">
            <v>SC4011SO-N</v>
          </cell>
          <cell r="P10260" t="str">
            <v>STC4011B</v>
          </cell>
          <cell r="Q10260" t="str">
            <v>磁性位置传感器</v>
          </cell>
        </row>
        <row r="10261">
          <cell r="O10261" t="str">
            <v>SC4011SO-N</v>
          </cell>
          <cell r="P10261" t="str">
            <v>STC4011B</v>
          </cell>
          <cell r="Q10261" t="str">
            <v>磁性位置传感器</v>
          </cell>
        </row>
        <row r="10262">
          <cell r="O10262" t="str">
            <v>SC4011SO-N</v>
          </cell>
          <cell r="P10262" t="str">
            <v>STC4011B</v>
          </cell>
          <cell r="Q10262" t="str">
            <v>磁性位置传感器</v>
          </cell>
        </row>
        <row r="10263">
          <cell r="O10263" t="str">
            <v>SC4011SO-N</v>
          </cell>
          <cell r="P10263" t="str">
            <v>STC4011B</v>
          </cell>
          <cell r="Q10263" t="str">
            <v>磁性位置传感器</v>
          </cell>
        </row>
        <row r="10264">
          <cell r="O10264" t="str">
            <v>SC4011SO-N</v>
          </cell>
          <cell r="P10264" t="str">
            <v>STC4011B</v>
          </cell>
          <cell r="Q10264" t="str">
            <v>磁性位置传感器</v>
          </cell>
        </row>
        <row r="10265">
          <cell r="O10265" t="str">
            <v>SC4011SO-N</v>
          </cell>
          <cell r="P10265" t="str">
            <v>STC4011B</v>
          </cell>
          <cell r="Q10265" t="str">
            <v>磁性位置传感器</v>
          </cell>
        </row>
        <row r="10266">
          <cell r="O10266" t="str">
            <v>SC4011SO-N</v>
          </cell>
          <cell r="P10266" t="str">
            <v>STC4011B</v>
          </cell>
          <cell r="Q10266" t="str">
            <v>磁性位置传感器</v>
          </cell>
        </row>
        <row r="10267">
          <cell r="O10267" t="str">
            <v>SC4011SO-N</v>
          </cell>
          <cell r="P10267" t="str">
            <v>STC4011B</v>
          </cell>
          <cell r="Q10267" t="str">
            <v>磁性位置传感器</v>
          </cell>
        </row>
        <row r="10268">
          <cell r="O10268" t="str">
            <v>SC4011SO-N</v>
          </cell>
          <cell r="P10268" t="str">
            <v>STC4011B</v>
          </cell>
          <cell r="Q10268" t="str">
            <v>磁性位置传感器</v>
          </cell>
        </row>
        <row r="10269">
          <cell r="O10269" t="str">
            <v>2100</v>
          </cell>
          <cell r="P10269" t="str">
            <v>STC9D03E</v>
          </cell>
          <cell r="Q10269" t="str">
            <v>电流传感器</v>
          </cell>
        </row>
        <row r="10270">
          <cell r="O10270" t="str">
            <v>SC4011SO-N</v>
          </cell>
          <cell r="P10270" t="str">
            <v>STC4011B</v>
          </cell>
          <cell r="Q10270" t="str">
            <v>磁性位置传感器</v>
          </cell>
        </row>
        <row r="10271">
          <cell r="O10271" t="str">
            <v>SC4643VB-A</v>
          </cell>
          <cell r="P10271" t="str">
            <v>STC9D03E</v>
          </cell>
          <cell r="Q10271" t="str">
            <v>电流传感器</v>
          </cell>
        </row>
        <row r="10272">
          <cell r="O10272" t="str">
            <v>SC9642TS</v>
          </cell>
          <cell r="P10272" t="str">
            <v>STC9A001G</v>
          </cell>
          <cell r="Q10272" t="str">
            <v>速度传感器</v>
          </cell>
        </row>
        <row r="10273">
          <cell r="O10273" t="str">
            <v>SC9642TS</v>
          </cell>
          <cell r="P10273" t="str">
            <v>STC9A001G</v>
          </cell>
          <cell r="Q10273" t="str">
            <v>速度传感器</v>
          </cell>
        </row>
        <row r="10274">
          <cell r="O10274" t="str">
            <v>SC9642TS</v>
          </cell>
          <cell r="P10274" t="str">
            <v>STC9A001G</v>
          </cell>
          <cell r="Q10274" t="str">
            <v>速度传感器</v>
          </cell>
        </row>
        <row r="10275">
          <cell r="O10275" t="str">
            <v>SC1245SO-N</v>
          </cell>
          <cell r="P10275" t="str">
            <v>STC1898AD</v>
          </cell>
          <cell r="Q10275" t="str">
            <v>磁性位置传感器</v>
          </cell>
        </row>
        <row r="10276">
          <cell r="O10276" t="str">
            <v>SC1645A1</v>
          </cell>
          <cell r="P10276" t="str">
            <v>STC2899AE</v>
          </cell>
          <cell r="Q10276" t="str">
            <v>磁性位置传感器</v>
          </cell>
        </row>
        <row r="10277">
          <cell r="O10277" t="str">
            <v>SC2402SO-N-H</v>
          </cell>
          <cell r="P10277" t="str">
            <v>STC9H001A</v>
          </cell>
          <cell r="Q10277" t="str">
            <v>磁性位置传感器</v>
          </cell>
        </row>
        <row r="10278">
          <cell r="O10278" t="str">
            <v>SC1134SO-N</v>
          </cell>
          <cell r="P10278" t="str">
            <v>STC1002AF</v>
          </cell>
          <cell r="Q10278" t="str">
            <v>磁性位置传感器</v>
          </cell>
        </row>
        <row r="10279">
          <cell r="O10279" t="str">
            <v>SC1245SO-N</v>
          </cell>
          <cell r="P10279" t="str">
            <v>STC1898AD</v>
          </cell>
          <cell r="Q10279" t="str">
            <v>磁性位置传感器</v>
          </cell>
        </row>
        <row r="10280">
          <cell r="O10280" t="str">
            <v>SC2442UA</v>
          </cell>
          <cell r="P10280" t="str">
            <v>STC9906P</v>
          </cell>
          <cell r="Q10280" t="str">
            <v>磁性位置传感器</v>
          </cell>
        </row>
        <row r="10281">
          <cell r="O10281" t="str">
            <v>SC2442UA</v>
          </cell>
          <cell r="P10281" t="str">
            <v>STC9906P</v>
          </cell>
          <cell r="Q10281" t="str">
            <v>磁性位置传感器</v>
          </cell>
        </row>
        <row r="10282">
          <cell r="O10282" t="str">
            <v>SC1133UA</v>
          </cell>
          <cell r="P10282" t="str">
            <v>STC1898AJ</v>
          </cell>
          <cell r="Q10282" t="str">
            <v>磁性位置传感器</v>
          </cell>
        </row>
        <row r="10283">
          <cell r="O10283" t="str">
            <v>SC1133UA</v>
          </cell>
          <cell r="P10283" t="str">
            <v>STC1898AJ</v>
          </cell>
          <cell r="Q10283" t="str">
            <v>磁性位置传感器</v>
          </cell>
        </row>
        <row r="10284">
          <cell r="O10284" t="str">
            <v>SC2402SO-N-G</v>
          </cell>
          <cell r="P10284" t="str">
            <v>STC9G002A</v>
          </cell>
          <cell r="Q10284" t="str">
            <v>磁性位置传感器</v>
          </cell>
        </row>
        <row r="10285">
          <cell r="O10285" t="str">
            <v>SC1134SO-N</v>
          </cell>
          <cell r="P10285" t="str">
            <v>STC1898AI</v>
          </cell>
          <cell r="Q10285" t="str">
            <v>磁性位置传感器</v>
          </cell>
        </row>
        <row r="10286">
          <cell r="O10286" t="str">
            <v>SC1134SO-N</v>
          </cell>
          <cell r="P10286" t="str">
            <v>STC1898AI</v>
          </cell>
          <cell r="Q10286" t="str">
            <v>磁性位置传感器</v>
          </cell>
        </row>
        <row r="10287">
          <cell r="O10287" t="str">
            <v>SC4011SO-N</v>
          </cell>
          <cell r="P10287" t="str">
            <v>STC4011B</v>
          </cell>
          <cell r="Q10287" t="str">
            <v>磁性位置传感器</v>
          </cell>
        </row>
        <row r="10288">
          <cell r="O10288" t="str">
            <v>SC4011SO-N</v>
          </cell>
          <cell r="P10288" t="str">
            <v>STC4011B</v>
          </cell>
          <cell r="Q10288" t="str">
            <v>磁性位置传感器</v>
          </cell>
        </row>
        <row r="10289">
          <cell r="O10289" t="str">
            <v>SC4643VB</v>
          </cell>
          <cell r="P10289" t="str">
            <v>STC9D03E</v>
          </cell>
          <cell r="Q10289" t="str">
            <v>电流传感器</v>
          </cell>
        </row>
        <row r="10290">
          <cell r="O10290" t="str">
            <v>SC4643VB</v>
          </cell>
          <cell r="P10290" t="str">
            <v>STC9D03E</v>
          </cell>
          <cell r="Q10290" t="str">
            <v>电流传感器</v>
          </cell>
        </row>
        <row r="10291">
          <cell r="O10291" t="str">
            <v>SC4643VB</v>
          </cell>
          <cell r="P10291" t="str">
            <v>STC9D03E</v>
          </cell>
          <cell r="Q10291" t="str">
            <v>电流传感器</v>
          </cell>
        </row>
        <row r="10292">
          <cell r="O10292" t="str">
            <v>2100</v>
          </cell>
          <cell r="P10292" t="str">
            <v>STC9D03E</v>
          </cell>
          <cell r="Q10292" t="str">
            <v>电流传感器</v>
          </cell>
        </row>
        <row r="10293">
          <cell r="O10293" t="str">
            <v>SC2442SO</v>
          </cell>
          <cell r="P10293" t="str">
            <v>STC9906R</v>
          </cell>
          <cell r="Q10293" t="str">
            <v>磁性位置传感器</v>
          </cell>
        </row>
        <row r="10294">
          <cell r="O10294" t="str">
            <v>SC9625VB-L</v>
          </cell>
          <cell r="P10294" t="str">
            <v>STC9910E</v>
          </cell>
          <cell r="Q10294" t="str">
            <v>速度传感器</v>
          </cell>
        </row>
        <row r="10295">
          <cell r="O10295" t="str">
            <v>SC9625VB-L</v>
          </cell>
          <cell r="P10295" t="str">
            <v>STC9910E</v>
          </cell>
          <cell r="Q10295" t="str">
            <v>速度传感器</v>
          </cell>
        </row>
        <row r="10296">
          <cell r="O10296" t="str">
            <v>SC9625VB</v>
          </cell>
          <cell r="P10296" t="str">
            <v>STC9910B</v>
          </cell>
          <cell r="Q10296" t="str">
            <v>速度传感器</v>
          </cell>
        </row>
        <row r="10297">
          <cell r="O10297" t="str">
            <v>SC9625VB</v>
          </cell>
          <cell r="P10297" t="str">
            <v>STC9910B</v>
          </cell>
          <cell r="Q10297" t="str">
            <v>速度传感器</v>
          </cell>
        </row>
        <row r="10298">
          <cell r="O10298" t="str">
            <v>SC9625VB-L</v>
          </cell>
          <cell r="P10298" t="str">
            <v>STC9910E</v>
          </cell>
          <cell r="Q10298" t="str">
            <v>速度传感器</v>
          </cell>
        </row>
        <row r="10299">
          <cell r="O10299" t="str">
            <v>SC4011SO-N</v>
          </cell>
          <cell r="P10299" t="str">
            <v>STC4011B</v>
          </cell>
          <cell r="Q10299" t="str">
            <v>磁性位置传感器</v>
          </cell>
        </row>
        <row r="10300">
          <cell r="O10300" t="str">
            <v>SC9641TS-P</v>
          </cell>
          <cell r="P10300" t="str">
            <v>STC9A001F</v>
          </cell>
          <cell r="Q10300" t="str">
            <v>速度传感器</v>
          </cell>
        </row>
        <row r="10301">
          <cell r="O10301" t="str">
            <v>SC9641TS-P</v>
          </cell>
          <cell r="P10301" t="str">
            <v>STC9A001F</v>
          </cell>
          <cell r="Q10301" t="str">
            <v>速度传感器</v>
          </cell>
        </row>
        <row r="10302">
          <cell r="O10302" t="str">
            <v>SC9641TS-P</v>
          </cell>
          <cell r="P10302" t="str">
            <v>STC9A001F</v>
          </cell>
          <cell r="Q10302" t="str">
            <v>速度传感器</v>
          </cell>
        </row>
        <row r="10303">
          <cell r="O10303" t="str">
            <v>SC9641TS-P</v>
          </cell>
          <cell r="P10303" t="str">
            <v>STC9A001F</v>
          </cell>
          <cell r="Q10303" t="str">
            <v>速度传感器</v>
          </cell>
        </row>
        <row r="10304">
          <cell r="O10304" t="str">
            <v>SC9641TS-P</v>
          </cell>
          <cell r="P10304" t="str">
            <v>STC9A001F</v>
          </cell>
          <cell r="Q10304" t="str">
            <v>速度传感器</v>
          </cell>
        </row>
        <row r="10305">
          <cell r="O10305" t="str">
            <v>SC9641TS-P</v>
          </cell>
          <cell r="P10305" t="str">
            <v>STC9A001F</v>
          </cell>
          <cell r="Q10305" t="str">
            <v>速度传感器</v>
          </cell>
        </row>
        <row r="10306">
          <cell r="O10306" t="str">
            <v>3100</v>
          </cell>
          <cell r="P10306" t="str">
            <v>STC9D06G</v>
          </cell>
          <cell r="Q10306" t="str">
            <v>电流传感器</v>
          </cell>
        </row>
        <row r="10307">
          <cell r="O10307" t="str">
            <v>SC4643VB-A</v>
          </cell>
          <cell r="P10307" t="str">
            <v>STC9D03E</v>
          </cell>
          <cell r="Q10307" t="str">
            <v>电流传感器</v>
          </cell>
        </row>
        <row r="10308">
          <cell r="O10308" t="str">
            <v>SC4643VB-A</v>
          </cell>
          <cell r="P10308" t="str">
            <v>STC9D03E</v>
          </cell>
          <cell r="Q10308" t="str">
            <v>电流传感器</v>
          </cell>
        </row>
        <row r="10309">
          <cell r="O10309" t="str">
            <v>SC4643VB-A</v>
          </cell>
          <cell r="P10309" t="str">
            <v>STC9D03E</v>
          </cell>
          <cell r="Q10309" t="str">
            <v>电流传感器</v>
          </cell>
        </row>
        <row r="10310">
          <cell r="O10310" t="str">
            <v>SC4643VB-A</v>
          </cell>
          <cell r="P10310" t="str">
            <v>STC9D03E</v>
          </cell>
          <cell r="Q10310" t="str">
            <v>电流传感器</v>
          </cell>
        </row>
        <row r="10311">
          <cell r="O10311" t="str">
            <v>SC4643VB-A</v>
          </cell>
          <cell r="P10311" t="str">
            <v>STC9D03E</v>
          </cell>
          <cell r="Q10311" t="str">
            <v>电流传感器</v>
          </cell>
        </row>
        <row r="10312">
          <cell r="O10312" t="str">
            <v>SC4643VB-A</v>
          </cell>
          <cell r="P10312" t="str">
            <v>STC9D03E</v>
          </cell>
          <cell r="Q10312" t="str">
            <v>电流传感器</v>
          </cell>
        </row>
        <row r="10313">
          <cell r="O10313" t="str">
            <v>SC4643VB-A</v>
          </cell>
          <cell r="P10313" t="str">
            <v>STC9D03E</v>
          </cell>
          <cell r="Q10313" t="str">
            <v>电流传感器</v>
          </cell>
        </row>
        <row r="10314">
          <cell r="O10314" t="str">
            <v>SC9641TS-P</v>
          </cell>
          <cell r="P10314" t="str">
            <v>STC9A001I</v>
          </cell>
          <cell r="Q10314" t="str">
            <v>速度传感器</v>
          </cell>
        </row>
        <row r="10315">
          <cell r="O10315" t="str">
            <v>SC9641TS-P</v>
          </cell>
          <cell r="P10315" t="str">
            <v>STC9A001I</v>
          </cell>
          <cell r="Q10315" t="str">
            <v>速度传感器</v>
          </cell>
        </row>
        <row r="10316">
          <cell r="O10316" t="str">
            <v>SC9641TS-P</v>
          </cell>
          <cell r="P10316" t="str">
            <v>STC9A001I</v>
          </cell>
          <cell r="Q10316" t="str">
            <v>速度传感器</v>
          </cell>
        </row>
        <row r="10317">
          <cell r="O10317" t="str">
            <v>SC9625VB</v>
          </cell>
          <cell r="P10317" t="str">
            <v>STC9910B</v>
          </cell>
          <cell r="Q10317" t="str">
            <v>速度传感器</v>
          </cell>
        </row>
        <row r="10318">
          <cell r="O10318" t="str">
            <v>SC60228DC</v>
          </cell>
          <cell r="P10318" t="str">
            <v>STC9D04C</v>
          </cell>
          <cell r="Q10318" t="str">
            <v>电机编码器</v>
          </cell>
        </row>
        <row r="10319">
          <cell r="O10319" t="str">
            <v>SC2442UA</v>
          </cell>
          <cell r="P10319" t="str">
            <v>STC9906P</v>
          </cell>
          <cell r="Q10319" t="str">
            <v>磁性位置传感器</v>
          </cell>
        </row>
        <row r="10320">
          <cell r="O10320" t="str">
            <v>SC2432UA</v>
          </cell>
          <cell r="P10320" t="str">
            <v>STC9906I</v>
          </cell>
          <cell r="Q10320" t="str">
            <v>磁性位置传感器</v>
          </cell>
        </row>
        <row r="10321">
          <cell r="O10321" t="str">
            <v>SC9634VB</v>
          </cell>
          <cell r="P10321" t="str">
            <v>STC9905G</v>
          </cell>
          <cell r="Q10321" t="str">
            <v>速度传感器</v>
          </cell>
        </row>
        <row r="10322">
          <cell r="O10322" t="str">
            <v>SC2402UA-G</v>
          </cell>
          <cell r="P10322" t="str">
            <v>STC9G002B</v>
          </cell>
          <cell r="Q10322" t="str">
            <v>磁性位置传感器</v>
          </cell>
        </row>
        <row r="10323">
          <cell r="O10323" t="str">
            <v>SC2402UA-G</v>
          </cell>
          <cell r="P10323" t="str">
            <v>STC9G002B</v>
          </cell>
          <cell r="Q10323" t="str">
            <v>磁性位置传感器</v>
          </cell>
        </row>
        <row r="10324">
          <cell r="O10324" t="str">
            <v>SC1445A1</v>
          </cell>
          <cell r="P10324" t="str">
            <v>STC2899AB</v>
          </cell>
          <cell r="Q10324" t="str">
            <v>磁性位置传感器</v>
          </cell>
        </row>
        <row r="10325">
          <cell r="O10325" t="str">
            <v>SC9641TS-P</v>
          </cell>
          <cell r="P10325" t="str">
            <v>STC9A001F</v>
          </cell>
          <cell r="Q10325" t="str">
            <v>速度传感器</v>
          </cell>
        </row>
        <row r="10326">
          <cell r="O10326" t="str">
            <v>SC1134SO-N</v>
          </cell>
          <cell r="P10326" t="str">
            <v>STC1002AF</v>
          </cell>
          <cell r="Q10326" t="str">
            <v>磁性位置传感器</v>
          </cell>
        </row>
        <row r="10327">
          <cell r="O10327" t="str">
            <v>SC1245SO-N</v>
          </cell>
          <cell r="P10327" t="str">
            <v>STC1898AD</v>
          </cell>
          <cell r="Q10327" t="str">
            <v>磁性位置传感器</v>
          </cell>
        </row>
        <row r="10328">
          <cell r="O10328" t="str">
            <v>SC1245SO-N</v>
          </cell>
          <cell r="P10328" t="str">
            <v>STC1898AD</v>
          </cell>
          <cell r="Q10328" t="str">
            <v>磁性位置传感器</v>
          </cell>
        </row>
        <row r="10329">
          <cell r="O10329" t="str">
            <v>SC1245SO-N</v>
          </cell>
          <cell r="P10329" t="str">
            <v>STC1898AD</v>
          </cell>
          <cell r="Q10329" t="str">
            <v>磁性位置传感器</v>
          </cell>
        </row>
        <row r="10330">
          <cell r="O10330" t="str">
            <v>SC4011SO-N</v>
          </cell>
          <cell r="P10330" t="str">
            <v>STC4011B</v>
          </cell>
          <cell r="Q10330" t="str">
            <v>磁性位置传感器</v>
          </cell>
        </row>
        <row r="10331">
          <cell r="O10331" t="str">
            <v>SC4011SO-N</v>
          </cell>
          <cell r="P10331" t="str">
            <v>STC4011B</v>
          </cell>
          <cell r="Q10331" t="str">
            <v>磁性位置传感器</v>
          </cell>
        </row>
        <row r="10332">
          <cell r="O10332" t="str">
            <v>SC4011SO-N</v>
          </cell>
          <cell r="P10332" t="str">
            <v>STC4011B</v>
          </cell>
          <cell r="Q10332" t="str">
            <v>磁性位置传感器</v>
          </cell>
        </row>
        <row r="10333">
          <cell r="O10333" t="str">
            <v>SC4011SO-N</v>
          </cell>
          <cell r="P10333" t="str">
            <v>STC4011B</v>
          </cell>
          <cell r="Q10333" t="str">
            <v>磁性位置传感器</v>
          </cell>
        </row>
        <row r="10334">
          <cell r="O10334" t="str">
            <v>SC4011SO-N</v>
          </cell>
          <cell r="P10334" t="str">
            <v>STC4011B</v>
          </cell>
          <cell r="Q10334" t="str">
            <v>磁性位置传感器</v>
          </cell>
        </row>
        <row r="10335">
          <cell r="O10335" t="str">
            <v>SC9632VB</v>
          </cell>
          <cell r="P10335" t="str">
            <v>STC9905E</v>
          </cell>
          <cell r="Q10335" t="str">
            <v>速度传感器</v>
          </cell>
        </row>
        <row r="10336">
          <cell r="O10336" t="str">
            <v>SC9632VB</v>
          </cell>
          <cell r="P10336" t="str">
            <v>STC9905E</v>
          </cell>
          <cell r="Q10336" t="str">
            <v>速度传感器</v>
          </cell>
        </row>
        <row r="10337">
          <cell r="O10337" t="str">
            <v>KH477ST4-G</v>
          </cell>
          <cell r="P10337" t="str">
            <v>STC22304B</v>
          </cell>
          <cell r="Q10337" t="str">
            <v>电机驱动</v>
          </cell>
        </row>
        <row r="10338">
          <cell r="O10338" t="str">
            <v>KH477ST4-G</v>
          </cell>
          <cell r="P10338" t="str">
            <v>STC22304B</v>
          </cell>
          <cell r="Q10338" t="str">
            <v>电机驱动</v>
          </cell>
        </row>
        <row r="10339">
          <cell r="O10339" t="str">
            <v>2100</v>
          </cell>
          <cell r="P10339" t="str">
            <v>STC9D03E</v>
          </cell>
          <cell r="Q10339" t="str">
            <v>电流传感器</v>
          </cell>
        </row>
        <row r="10340">
          <cell r="O10340" t="str">
            <v>2100</v>
          </cell>
          <cell r="P10340" t="str">
            <v>STC9D03E</v>
          </cell>
          <cell r="Q10340" t="str">
            <v>电流传感器</v>
          </cell>
        </row>
        <row r="10341">
          <cell r="O10341" t="str">
            <v>2100</v>
          </cell>
          <cell r="P10341" t="str">
            <v>STC9D03E</v>
          </cell>
          <cell r="Q10341" t="str">
            <v>电流传感器</v>
          </cell>
        </row>
        <row r="10342">
          <cell r="O10342" t="str">
            <v>SC4643VB</v>
          </cell>
          <cell r="P10342" t="str">
            <v>STC9D03E</v>
          </cell>
          <cell r="Q10342" t="str">
            <v>电流传感器</v>
          </cell>
        </row>
        <row r="10343">
          <cell r="O10343" t="str">
            <v>SC4643VB</v>
          </cell>
          <cell r="P10343" t="str">
            <v>STC9D03E</v>
          </cell>
          <cell r="Q10343" t="str">
            <v>电流传感器</v>
          </cell>
        </row>
        <row r="10344">
          <cell r="O10344" t="str">
            <v>SC4643VB</v>
          </cell>
          <cell r="P10344" t="str">
            <v>STC9D03E</v>
          </cell>
          <cell r="Q10344" t="str">
            <v>电流传感器</v>
          </cell>
        </row>
        <row r="10345">
          <cell r="O10345" t="str">
            <v>SC4643VB</v>
          </cell>
          <cell r="P10345" t="str">
            <v>STC9D03E</v>
          </cell>
          <cell r="Q10345" t="str">
            <v>电流传感器</v>
          </cell>
        </row>
        <row r="10346">
          <cell r="O10346" t="str">
            <v>SC4643VB</v>
          </cell>
          <cell r="P10346" t="str">
            <v>STC9D03E</v>
          </cell>
          <cell r="Q10346" t="str">
            <v>电流传感器</v>
          </cell>
        </row>
        <row r="10347">
          <cell r="O10347" t="str">
            <v>SC4643VB</v>
          </cell>
          <cell r="P10347" t="str">
            <v>STC9D03E</v>
          </cell>
          <cell r="Q10347" t="str">
            <v>电流传感器</v>
          </cell>
        </row>
        <row r="10348">
          <cell r="O10348" t="str">
            <v>SC60221-D-256</v>
          </cell>
          <cell r="P10348" t="str">
            <v>STC9D04C</v>
          </cell>
          <cell r="Q10348" t="str">
            <v>电机编码器</v>
          </cell>
        </row>
        <row r="10349">
          <cell r="O10349" t="str">
            <v>SC2402SO-N-G</v>
          </cell>
          <cell r="P10349" t="str">
            <v>STC9G002A</v>
          </cell>
          <cell r="Q10349" t="str">
            <v>磁性位置传感器</v>
          </cell>
        </row>
        <row r="10350">
          <cell r="O10350" t="str">
            <v>SC4688SA-A</v>
          </cell>
          <cell r="P10350" t="str">
            <v>STC9D01C</v>
          </cell>
          <cell r="Q10350" t="str">
            <v>角度传感器</v>
          </cell>
        </row>
        <row r="10351">
          <cell r="O10351" t="str">
            <v>SC4624SP20B5</v>
          </cell>
          <cell r="P10351" t="str">
            <v>STC9D06F</v>
          </cell>
          <cell r="Q10351" t="str">
            <v>电流传感器</v>
          </cell>
        </row>
        <row r="10352">
          <cell r="O10352" t="str">
            <v>SC4011SO-N</v>
          </cell>
          <cell r="P10352" t="str">
            <v>STC4011B</v>
          </cell>
          <cell r="Q10352" t="str">
            <v>磁性位置传感器</v>
          </cell>
        </row>
        <row r="10353">
          <cell r="O10353" t="str">
            <v>ZH6232D1</v>
          </cell>
          <cell r="P10353" t="str">
            <v>ZH6232D1</v>
          </cell>
          <cell r="Q10353" t="str">
            <v>电机驱动</v>
          </cell>
        </row>
        <row r="10354">
          <cell r="O10354" t="str">
            <v>SC4688编程板</v>
          </cell>
          <cell r="P10354" t="str">
            <v xml:space="preserve"> </v>
          </cell>
          <cell r="Q10354" t="str">
            <v>角度传感器</v>
          </cell>
        </row>
        <row r="10355">
          <cell r="O10355" t="str">
            <v>SC4643VB-A</v>
          </cell>
          <cell r="P10355" t="str">
            <v>STC9D03E</v>
          </cell>
          <cell r="Q10355" t="str">
            <v>电流传感器</v>
          </cell>
        </row>
        <row r="10356">
          <cell r="O10356" t="str">
            <v>SC4643VB-A</v>
          </cell>
          <cell r="P10356" t="str">
            <v>STC9D03E</v>
          </cell>
          <cell r="Q10356" t="str">
            <v>电流传感器</v>
          </cell>
        </row>
        <row r="10357">
          <cell r="O10357" t="str">
            <v>SC4643VB-A</v>
          </cell>
          <cell r="P10357" t="str">
            <v>STC9D03E</v>
          </cell>
          <cell r="Q10357" t="str">
            <v>电流传感器</v>
          </cell>
        </row>
        <row r="10358">
          <cell r="O10358" t="str">
            <v>SC4643VB-A</v>
          </cell>
          <cell r="P10358" t="str">
            <v>STC9D03E</v>
          </cell>
          <cell r="Q10358" t="str">
            <v>电流传感器</v>
          </cell>
        </row>
        <row r="10359">
          <cell r="O10359" t="str">
            <v>SC4643VB-A</v>
          </cell>
          <cell r="P10359" t="str">
            <v>STC9D03E</v>
          </cell>
          <cell r="Q10359" t="str">
            <v>电流传感器</v>
          </cell>
        </row>
        <row r="10360">
          <cell r="O10360" t="str">
            <v>SC4643VB-A</v>
          </cell>
          <cell r="P10360" t="str">
            <v>STC9D03E</v>
          </cell>
          <cell r="Q10360" t="str">
            <v>电流传感器</v>
          </cell>
        </row>
        <row r="10361">
          <cell r="O10361" t="str">
            <v>SC2464SO</v>
          </cell>
          <cell r="P10361" t="str">
            <v>STC9906J</v>
          </cell>
          <cell r="Q10361" t="str">
            <v>磁性位置传感器</v>
          </cell>
        </row>
        <row r="10362">
          <cell r="O10362" t="str">
            <v>SC60370</v>
          </cell>
          <cell r="P10362" t="str">
            <v>STC9D05B</v>
          </cell>
          <cell r="Q10362" t="str">
            <v>电机编码器</v>
          </cell>
        </row>
        <row r="10363">
          <cell r="O10363" t="str">
            <v>SC9641TS-P</v>
          </cell>
          <cell r="P10363" t="str">
            <v>STC9A001I</v>
          </cell>
          <cell r="Q10363" t="str">
            <v>速度传感器</v>
          </cell>
        </row>
        <row r="10364">
          <cell r="O10364" t="str">
            <v>SC9641TS-P</v>
          </cell>
          <cell r="P10364" t="str">
            <v>STC9A001I</v>
          </cell>
          <cell r="Q10364" t="str">
            <v>速度传感器</v>
          </cell>
        </row>
        <row r="10365">
          <cell r="O10365" t="str">
            <v>SC9641TS-P</v>
          </cell>
          <cell r="P10365" t="str">
            <v>STC9A001I</v>
          </cell>
          <cell r="Q10365" t="str">
            <v>速度传感器</v>
          </cell>
        </row>
        <row r="10366">
          <cell r="O10366" t="str">
            <v>SC9641TS-P</v>
          </cell>
          <cell r="P10366" t="str">
            <v>STC9A001I</v>
          </cell>
          <cell r="Q10366" t="str">
            <v>速度传感器</v>
          </cell>
        </row>
        <row r="10367">
          <cell r="O10367" t="str">
            <v>SC9641TS</v>
          </cell>
          <cell r="P10367" t="str">
            <v>STC9910BN</v>
          </cell>
          <cell r="Q10367" t="str">
            <v>速度传感器</v>
          </cell>
        </row>
        <row r="10368">
          <cell r="O10368" t="str">
            <v>SC9641TS</v>
          </cell>
          <cell r="P10368" t="str">
            <v>STC9910BN</v>
          </cell>
          <cell r="Q10368" t="str">
            <v>速度传感器</v>
          </cell>
        </row>
        <row r="10369">
          <cell r="O10369" t="str">
            <v>SC9641TS</v>
          </cell>
          <cell r="P10369" t="str">
            <v>STC9910BN</v>
          </cell>
          <cell r="Q10369" t="str">
            <v>速度传感器</v>
          </cell>
        </row>
        <row r="10370">
          <cell r="O10370" t="str">
            <v>SC9641TS</v>
          </cell>
          <cell r="P10370" t="str">
            <v>STC9910BN</v>
          </cell>
          <cell r="Q10370" t="str">
            <v>速度传感器</v>
          </cell>
        </row>
        <row r="10371">
          <cell r="O10371" t="str">
            <v>SC9641TS-P</v>
          </cell>
          <cell r="P10371" t="str">
            <v>STC9A001I</v>
          </cell>
          <cell r="Q10371" t="str">
            <v>速度传感器</v>
          </cell>
        </row>
        <row r="10372">
          <cell r="O10372" t="str">
            <v>SC9641TS-P</v>
          </cell>
          <cell r="P10372" t="str">
            <v>STC9A001I</v>
          </cell>
          <cell r="Q10372" t="str">
            <v>速度传感器</v>
          </cell>
        </row>
        <row r="10373">
          <cell r="O10373" t="str">
            <v>SC9641TS-P</v>
          </cell>
          <cell r="P10373" t="str">
            <v>STC9A001I</v>
          </cell>
          <cell r="Q10373" t="str">
            <v>速度传感器</v>
          </cell>
        </row>
        <row r="10374">
          <cell r="O10374" t="str">
            <v>SC9641TS-P</v>
          </cell>
          <cell r="P10374" t="str">
            <v>STC9A001I</v>
          </cell>
          <cell r="Q10374" t="str">
            <v>速度传感器</v>
          </cell>
        </row>
        <row r="10375">
          <cell r="O10375" t="str">
            <v>SC9625VB-L</v>
          </cell>
          <cell r="P10375" t="str">
            <v>STC9910E</v>
          </cell>
          <cell r="Q10375" t="str">
            <v>速度传感器</v>
          </cell>
        </row>
        <row r="10376">
          <cell r="O10376" t="str">
            <v>SC9625VB-L</v>
          </cell>
          <cell r="P10376" t="str">
            <v>STC9910E</v>
          </cell>
          <cell r="Q10376" t="str">
            <v>速度传感器</v>
          </cell>
        </row>
        <row r="10377">
          <cell r="O10377" t="str">
            <v>SC9675IM-P-LRF10</v>
          </cell>
          <cell r="P10377" t="str">
            <v>STC9A002B</v>
          </cell>
          <cell r="Q10377" t="str">
            <v>速度传感器</v>
          </cell>
        </row>
        <row r="10378">
          <cell r="O10378" t="str">
            <v>SC9642TS</v>
          </cell>
          <cell r="P10378" t="str">
            <v>STC9A001G</v>
          </cell>
          <cell r="Q10378" t="str">
            <v>速度传感器</v>
          </cell>
        </row>
        <row r="10379">
          <cell r="O10379" t="str">
            <v>SC4616UA-10NV</v>
          </cell>
          <cell r="P10379" t="str">
            <v>STC9907D</v>
          </cell>
          <cell r="Q10379" t="str">
            <v>电流传感器</v>
          </cell>
        </row>
        <row r="10380">
          <cell r="O10380" t="str">
            <v>SC9641TS</v>
          </cell>
          <cell r="P10380" t="str">
            <v>STC9910BN</v>
          </cell>
          <cell r="Q10380" t="str">
            <v>速度传感器</v>
          </cell>
        </row>
        <row r="10381">
          <cell r="O10381" t="str">
            <v>SC9641TS</v>
          </cell>
          <cell r="P10381" t="str">
            <v>STC9910BN</v>
          </cell>
          <cell r="Q10381" t="str">
            <v>速度传感器</v>
          </cell>
        </row>
        <row r="10382">
          <cell r="O10382" t="str">
            <v>SC9641TS</v>
          </cell>
          <cell r="P10382" t="str">
            <v>STC9910BN</v>
          </cell>
          <cell r="Q10382" t="str">
            <v>速度传感器</v>
          </cell>
        </row>
        <row r="10383">
          <cell r="O10383" t="str">
            <v>SC2432UA</v>
          </cell>
          <cell r="P10383" t="str">
            <v>STC9906I</v>
          </cell>
          <cell r="Q10383" t="str">
            <v>磁性位置传感器</v>
          </cell>
        </row>
        <row r="10384">
          <cell r="O10384" t="str">
            <v>SC2432UA</v>
          </cell>
          <cell r="P10384" t="str">
            <v>STC9906I</v>
          </cell>
          <cell r="Q10384" t="str">
            <v>磁性位置传感器</v>
          </cell>
        </row>
        <row r="10385">
          <cell r="O10385" t="str">
            <v>SC60228DC</v>
          </cell>
          <cell r="P10385" t="str">
            <v>STC9D04C</v>
          </cell>
          <cell r="Q10385" t="str">
            <v>电机编码器</v>
          </cell>
        </row>
        <row r="10386">
          <cell r="O10386" t="str">
            <v>SC60224-D-1024-976-BSD-01</v>
          </cell>
          <cell r="P10386" t="str">
            <v>STC9D04C</v>
          </cell>
          <cell r="Q10386" t="str">
            <v>电机编码器</v>
          </cell>
        </row>
        <row r="10387">
          <cell r="O10387" t="str">
            <v>SC60224-D-1024</v>
          </cell>
          <cell r="P10387" t="str">
            <v>STC9D04C</v>
          </cell>
          <cell r="Q10387" t="str">
            <v>电机编码器</v>
          </cell>
        </row>
        <row r="10388">
          <cell r="O10388" t="str">
            <v>SC2432UA</v>
          </cell>
          <cell r="P10388" t="str">
            <v>STC9906I</v>
          </cell>
          <cell r="Q10388" t="str">
            <v>磁性位置传感器</v>
          </cell>
        </row>
        <row r="10389">
          <cell r="O10389" t="str">
            <v>SC9621VB</v>
          </cell>
          <cell r="P10389" t="str">
            <v>STC9910C</v>
          </cell>
          <cell r="Q10389" t="str">
            <v>速度传感器</v>
          </cell>
        </row>
        <row r="10390">
          <cell r="O10390" t="str">
            <v>SC1134UA</v>
          </cell>
          <cell r="P10390" t="str">
            <v>STC1898AI</v>
          </cell>
          <cell r="Q10390" t="str">
            <v>磁性位置传感器</v>
          </cell>
        </row>
        <row r="10391">
          <cell r="O10391" t="str">
            <v>SC2432SO</v>
          </cell>
          <cell r="P10391" t="str">
            <v>STC9906I</v>
          </cell>
          <cell r="Q10391" t="str">
            <v>磁性位置传感器</v>
          </cell>
        </row>
        <row r="10392">
          <cell r="O10392" t="str">
            <v>SC2432SO</v>
          </cell>
          <cell r="P10392" t="str">
            <v>STC9906I</v>
          </cell>
          <cell r="Q10392" t="str">
            <v>磁性位置传感器</v>
          </cell>
        </row>
        <row r="10393">
          <cell r="O10393" t="str">
            <v>SC2443SO</v>
          </cell>
          <cell r="P10393" t="str">
            <v>STC9906T</v>
          </cell>
          <cell r="Q10393" t="str">
            <v>磁性位置传感器</v>
          </cell>
        </row>
        <row r="10394">
          <cell r="O10394" t="str">
            <v>SC2413SO-N</v>
          </cell>
          <cell r="P10394" t="str">
            <v>STC9902D</v>
          </cell>
          <cell r="Q10394" t="str">
            <v>磁性位置传感器</v>
          </cell>
        </row>
        <row r="10395">
          <cell r="O10395" t="str">
            <v>SC4688SA-A</v>
          </cell>
          <cell r="P10395" t="str">
            <v>STC9D01C</v>
          </cell>
          <cell r="Q10395" t="str">
            <v>角度传感器</v>
          </cell>
        </row>
        <row r="10396">
          <cell r="O10396" t="str">
            <v>SC4688SA</v>
          </cell>
          <cell r="P10396" t="str">
            <v>STC9D01C</v>
          </cell>
          <cell r="Q10396" t="str">
            <v>角度传感器</v>
          </cell>
        </row>
        <row r="10397">
          <cell r="O10397" t="str">
            <v>SYLMV324BPD2R</v>
          </cell>
          <cell r="P10397" t="str">
            <v>STC9G003B</v>
          </cell>
          <cell r="Q10397" t="str">
            <v>其他数模混合</v>
          </cell>
        </row>
        <row r="10398">
          <cell r="O10398" t="str">
            <v>SYLMV324BPD2R</v>
          </cell>
          <cell r="P10398" t="str">
            <v>STC9G003B</v>
          </cell>
          <cell r="Q10398" t="str">
            <v>其他数模混合</v>
          </cell>
        </row>
        <row r="10399">
          <cell r="O10399" t="str">
            <v>SC2464SO</v>
          </cell>
          <cell r="P10399" t="str">
            <v>STC9906J</v>
          </cell>
          <cell r="Q10399" t="str">
            <v>磁性位置传感器</v>
          </cell>
        </row>
        <row r="10400">
          <cell r="O10400" t="str">
            <v>SC2442UA</v>
          </cell>
          <cell r="P10400" t="str">
            <v>STC9906P</v>
          </cell>
          <cell r="Q10400" t="str">
            <v>磁性位置传感器</v>
          </cell>
        </row>
        <row r="10401">
          <cell r="O10401" t="str">
            <v>SC2033SO-N</v>
          </cell>
          <cell r="P10401" t="str">
            <v>STC9G001D</v>
          </cell>
          <cell r="Q10401" t="str">
            <v>磁性位置传感器</v>
          </cell>
        </row>
        <row r="10402">
          <cell r="O10402" t="str">
            <v>SYLMV358BPA1R</v>
          </cell>
          <cell r="P10402" t="str">
            <v>STC9G003B</v>
          </cell>
          <cell r="Q10402" t="str">
            <v>其他数模混合</v>
          </cell>
        </row>
        <row r="10403">
          <cell r="O10403" t="str">
            <v>SC4011SO-N</v>
          </cell>
          <cell r="P10403" t="str">
            <v>STC4011B</v>
          </cell>
          <cell r="Q10403" t="str">
            <v>磁性位置传感器</v>
          </cell>
        </row>
        <row r="10404">
          <cell r="O10404" t="str">
            <v>SC4011SO-N</v>
          </cell>
          <cell r="P10404" t="str">
            <v>STC4011B</v>
          </cell>
          <cell r="Q10404" t="str">
            <v>磁性位置传感器</v>
          </cell>
        </row>
        <row r="10405">
          <cell r="O10405" t="str">
            <v>SC4011SO-N</v>
          </cell>
          <cell r="P10405" t="str">
            <v>STC4011B</v>
          </cell>
          <cell r="Q10405" t="str">
            <v>磁性位置传感器</v>
          </cell>
        </row>
        <row r="10406">
          <cell r="O10406" t="str">
            <v>SC4011SO-N</v>
          </cell>
          <cell r="P10406" t="str">
            <v>STC4011B</v>
          </cell>
          <cell r="Q10406" t="str">
            <v>磁性位置传感器</v>
          </cell>
        </row>
        <row r="10407">
          <cell r="O10407" t="str">
            <v>SC4011SO-N</v>
          </cell>
          <cell r="P10407" t="str">
            <v>STC4011B</v>
          </cell>
          <cell r="Q10407" t="str">
            <v>磁性位置传感器</v>
          </cell>
        </row>
        <row r="10408">
          <cell r="O10408" t="str">
            <v>SC4011SO-N</v>
          </cell>
          <cell r="P10408" t="str">
            <v>STC4011B</v>
          </cell>
          <cell r="Q10408" t="str">
            <v>磁性位置传感器</v>
          </cell>
        </row>
        <row r="10409">
          <cell r="O10409" t="str">
            <v>SC4011SO-N</v>
          </cell>
          <cell r="P10409" t="str">
            <v>STC4011B</v>
          </cell>
          <cell r="Q10409" t="str">
            <v>磁性位置传感器</v>
          </cell>
        </row>
        <row r="10410">
          <cell r="O10410" t="str">
            <v>SC2443SO</v>
          </cell>
          <cell r="P10410" t="str">
            <v>STC9906T</v>
          </cell>
          <cell r="Q10410" t="str">
            <v>磁性位置传感器</v>
          </cell>
        </row>
        <row r="10411">
          <cell r="O10411" t="str">
            <v>SC2064SO</v>
          </cell>
          <cell r="P10411" t="str">
            <v>STC9G001C</v>
          </cell>
          <cell r="Q10411" t="str">
            <v>磁性位置传感器</v>
          </cell>
        </row>
        <row r="10412">
          <cell r="O10412" t="str">
            <v>SC9642TS-E</v>
          </cell>
          <cell r="P10412" t="str">
            <v>STC9A001H</v>
          </cell>
          <cell r="Q10412" t="str">
            <v>速度传感器</v>
          </cell>
        </row>
        <row r="10413">
          <cell r="O10413" t="str">
            <v>SC2402SO-N-G</v>
          </cell>
          <cell r="P10413" t="str">
            <v>STC9G002A</v>
          </cell>
          <cell r="Q10413" t="str">
            <v>磁性位置传感器</v>
          </cell>
        </row>
        <row r="10414">
          <cell r="O10414" t="str">
            <v>SC2402SO-N-G</v>
          </cell>
          <cell r="P10414" t="str">
            <v>STC9G002A</v>
          </cell>
          <cell r="Q10414" t="str">
            <v>磁性位置传感器</v>
          </cell>
        </row>
        <row r="10415">
          <cell r="O10415" t="str">
            <v>SC2402SO-N-G</v>
          </cell>
          <cell r="P10415" t="str">
            <v>STC9G002A</v>
          </cell>
          <cell r="Q10415" t="str">
            <v>磁性位置传感器</v>
          </cell>
        </row>
        <row r="10416">
          <cell r="O10416" t="str">
            <v>SC2402SO-N-G</v>
          </cell>
          <cell r="P10416" t="str">
            <v>STC9G002A</v>
          </cell>
          <cell r="Q10416" t="str">
            <v>磁性位置传感器</v>
          </cell>
        </row>
        <row r="10417">
          <cell r="O10417" t="str">
            <v>SC2402SO-N-H</v>
          </cell>
          <cell r="P10417" t="str">
            <v>STC9H001A</v>
          </cell>
          <cell r="Q10417" t="str">
            <v>磁性位置传感器</v>
          </cell>
        </row>
        <row r="10418">
          <cell r="O10418" t="str">
            <v>2100</v>
          </cell>
          <cell r="P10418" t="str">
            <v>STC9D03E</v>
          </cell>
          <cell r="Q10418" t="str">
            <v>电流传感器</v>
          </cell>
        </row>
        <row r="10419">
          <cell r="O10419" t="str">
            <v>SC4643VB</v>
          </cell>
          <cell r="P10419" t="str">
            <v>STC9D03E</v>
          </cell>
          <cell r="Q10419" t="str">
            <v>电流传感器</v>
          </cell>
        </row>
        <row r="10420">
          <cell r="O10420" t="str">
            <v>SC4643VB</v>
          </cell>
          <cell r="P10420" t="str">
            <v>STC9D03E</v>
          </cell>
          <cell r="Q10420" t="str">
            <v>电流传感器</v>
          </cell>
        </row>
        <row r="10421">
          <cell r="O10421" t="str">
            <v>SC4643VB</v>
          </cell>
          <cell r="P10421" t="str">
            <v>STC9D03E</v>
          </cell>
          <cell r="Q10421" t="str">
            <v>电流传感器</v>
          </cell>
        </row>
        <row r="10422">
          <cell r="O10422" t="str">
            <v>SC2442UA</v>
          </cell>
          <cell r="P10422" t="str">
            <v>STC9906P</v>
          </cell>
          <cell r="Q10422" t="str">
            <v>磁性位置传感器</v>
          </cell>
        </row>
        <row r="10423">
          <cell r="O10423" t="str">
            <v>SC2442UA</v>
          </cell>
          <cell r="P10423" t="str">
            <v>STC9906P</v>
          </cell>
          <cell r="Q10423" t="str">
            <v>磁性位置传感器</v>
          </cell>
        </row>
        <row r="10424">
          <cell r="O10424" t="str">
            <v>SC2402UA</v>
          </cell>
          <cell r="P10424" t="str">
            <v>STC9902J</v>
          </cell>
          <cell r="Q10424" t="str">
            <v>磁性位置传感器</v>
          </cell>
        </row>
        <row r="10425">
          <cell r="O10425" t="str">
            <v>SC2402UA</v>
          </cell>
          <cell r="P10425" t="str">
            <v>STC9902J</v>
          </cell>
          <cell r="Q10425" t="str">
            <v>磁性位置传感器</v>
          </cell>
        </row>
        <row r="10426">
          <cell r="O10426" t="str">
            <v>SC9621VB</v>
          </cell>
          <cell r="P10426" t="str">
            <v>STC9910C</v>
          </cell>
          <cell r="Q10426" t="str">
            <v>速度传感器</v>
          </cell>
        </row>
        <row r="10427">
          <cell r="O10427" t="str">
            <v>SC9621VB</v>
          </cell>
          <cell r="P10427" t="str">
            <v>STC9910C</v>
          </cell>
          <cell r="Q10427" t="str">
            <v>速度传感器</v>
          </cell>
        </row>
        <row r="10428">
          <cell r="O10428" t="str">
            <v>SC9621VB</v>
          </cell>
          <cell r="P10428" t="str">
            <v>STC9910C</v>
          </cell>
          <cell r="Q10428" t="str">
            <v>速度传感器</v>
          </cell>
        </row>
        <row r="10429">
          <cell r="O10429" t="str">
            <v>SC9625VB-L</v>
          </cell>
          <cell r="P10429" t="str">
            <v>STC9910E</v>
          </cell>
          <cell r="Q10429" t="str">
            <v>速度传感器</v>
          </cell>
        </row>
        <row r="10430">
          <cell r="O10430" t="str">
            <v>SC9625VB-L</v>
          </cell>
          <cell r="P10430" t="str">
            <v>STC9910E</v>
          </cell>
          <cell r="Q10430" t="str">
            <v>速度传感器</v>
          </cell>
        </row>
        <row r="10431">
          <cell r="O10431" t="str">
            <v>SC2462SO</v>
          </cell>
          <cell r="P10431" t="str">
            <v>STC9906J</v>
          </cell>
          <cell r="Q10431" t="str">
            <v>磁性位置传感器</v>
          </cell>
        </row>
        <row r="10432">
          <cell r="O10432" t="str">
            <v>SC9625VB-L</v>
          </cell>
          <cell r="P10432" t="str">
            <v>STC9910E</v>
          </cell>
          <cell r="Q10432" t="str">
            <v>速度传感器</v>
          </cell>
        </row>
        <row r="10433">
          <cell r="O10433" t="str">
            <v>SC9675IM-P-LRF00</v>
          </cell>
          <cell r="P10433" t="str">
            <v>STC9A002B</v>
          </cell>
          <cell r="Q10433" t="str">
            <v>速度传感器</v>
          </cell>
        </row>
        <row r="10434">
          <cell r="O10434" t="str">
            <v>SC4643VB-A</v>
          </cell>
          <cell r="P10434" t="str">
            <v>STC9D03E</v>
          </cell>
          <cell r="Q10434" t="str">
            <v>电流传感器</v>
          </cell>
        </row>
        <row r="10435">
          <cell r="O10435" t="str">
            <v>SC4643VB-A</v>
          </cell>
          <cell r="P10435" t="str">
            <v>STC9D03E</v>
          </cell>
          <cell r="Q10435" t="str">
            <v>电流传感器</v>
          </cell>
        </row>
        <row r="10436">
          <cell r="O10436" t="str">
            <v>SC4643VB-A</v>
          </cell>
          <cell r="P10436" t="str">
            <v>STC9D03E</v>
          </cell>
          <cell r="Q10436" t="str">
            <v>电流传感器</v>
          </cell>
        </row>
        <row r="10437">
          <cell r="O10437" t="str">
            <v>SC4643VB-A</v>
          </cell>
          <cell r="P10437" t="str">
            <v>STC9D03E</v>
          </cell>
          <cell r="Q10437" t="str">
            <v>电流传感器</v>
          </cell>
        </row>
        <row r="10438">
          <cell r="O10438" t="str">
            <v>SC4643VB-A</v>
          </cell>
          <cell r="P10438" t="str">
            <v>STC9D03E</v>
          </cell>
          <cell r="Q10438" t="str">
            <v>电流传感器</v>
          </cell>
        </row>
        <row r="10439">
          <cell r="O10439" t="str">
            <v>SC2464SO</v>
          </cell>
          <cell r="P10439" t="str">
            <v>STC9906J</v>
          </cell>
          <cell r="Q10439" t="str">
            <v>磁性位置传感器</v>
          </cell>
        </row>
        <row r="10440">
          <cell r="O10440" t="str">
            <v>PSTC9902J</v>
          </cell>
          <cell r="P10440" t="str">
            <v>STC9902J</v>
          </cell>
          <cell r="Q10440" t="str">
            <v>磁性位置传感器</v>
          </cell>
        </row>
        <row r="10441">
          <cell r="O10441" t="str">
            <v>SC9641TS-P</v>
          </cell>
          <cell r="P10441" t="str">
            <v>STC9A001F</v>
          </cell>
          <cell r="Q10441" t="str">
            <v>速度传感器</v>
          </cell>
        </row>
        <row r="10442">
          <cell r="O10442" t="str">
            <v>SC9641TS-P</v>
          </cell>
          <cell r="P10442" t="str">
            <v>STC9A001F</v>
          </cell>
          <cell r="Q10442" t="str">
            <v>速度传感器</v>
          </cell>
        </row>
        <row r="10443">
          <cell r="O10443" t="str">
            <v>SC9641TS-P</v>
          </cell>
          <cell r="P10443" t="str">
            <v>STC9A001F</v>
          </cell>
          <cell r="Q10443" t="str">
            <v>速度传感器</v>
          </cell>
        </row>
        <row r="10444">
          <cell r="O10444" t="str">
            <v>SC9641TS-P</v>
          </cell>
          <cell r="P10444" t="str">
            <v>STC9A001F</v>
          </cell>
          <cell r="Q10444" t="str">
            <v>速度传感器</v>
          </cell>
        </row>
        <row r="10445">
          <cell r="O10445" t="str">
            <v>SC9641TS</v>
          </cell>
          <cell r="P10445" t="str">
            <v>STC9910BN</v>
          </cell>
          <cell r="Q10445" t="str">
            <v>速度传感器</v>
          </cell>
        </row>
        <row r="10446">
          <cell r="O10446" t="str">
            <v>SC9641TS</v>
          </cell>
          <cell r="P10446" t="str">
            <v>STC9910BN</v>
          </cell>
          <cell r="Q10446" t="str">
            <v>速度传感器</v>
          </cell>
        </row>
        <row r="10447">
          <cell r="O10447" t="str">
            <v>SC9641TS</v>
          </cell>
          <cell r="P10447" t="str">
            <v>STC9910BN</v>
          </cell>
          <cell r="Q10447" t="str">
            <v>速度传感器</v>
          </cell>
        </row>
        <row r="10448">
          <cell r="O10448" t="str">
            <v>SC9642TS-E</v>
          </cell>
          <cell r="P10448" t="str">
            <v>STC9A001H</v>
          </cell>
          <cell r="Q10448" t="str">
            <v>速度传感器</v>
          </cell>
        </row>
        <row r="10449">
          <cell r="O10449" t="str">
            <v>SC9642TS-E</v>
          </cell>
          <cell r="P10449" t="str">
            <v>STC9A001H</v>
          </cell>
          <cell r="Q10449" t="str">
            <v>速度传感器</v>
          </cell>
        </row>
        <row r="10450">
          <cell r="O10450" t="str">
            <v>SC9642TS-E</v>
          </cell>
          <cell r="P10450" t="str">
            <v>STC9A001H</v>
          </cell>
          <cell r="Q10450" t="str">
            <v>速度传感器</v>
          </cell>
        </row>
        <row r="10451">
          <cell r="O10451" t="str">
            <v>SC9642TS-E</v>
          </cell>
          <cell r="P10451" t="str">
            <v>STC9A001H</v>
          </cell>
          <cell r="Q10451" t="str">
            <v>速度传感器</v>
          </cell>
        </row>
        <row r="10452">
          <cell r="O10452" t="str">
            <v>SC9642TS-E</v>
          </cell>
          <cell r="P10452" t="str">
            <v>STC9A001H</v>
          </cell>
          <cell r="Q10452" t="str">
            <v>速度传感器</v>
          </cell>
        </row>
        <row r="10453">
          <cell r="O10453" t="str">
            <v>SC9642TS-E</v>
          </cell>
          <cell r="P10453" t="str">
            <v>STC9A001H</v>
          </cell>
          <cell r="Q10453" t="str">
            <v>速度传感器</v>
          </cell>
        </row>
        <row r="10454">
          <cell r="O10454" t="str">
            <v>SC60228DC</v>
          </cell>
          <cell r="P10454" t="str">
            <v>STC9D04C</v>
          </cell>
          <cell r="Q10454" t="str">
            <v>电机编码器</v>
          </cell>
        </row>
        <row r="10455">
          <cell r="O10455" t="str">
            <v>SC9641TS-P</v>
          </cell>
          <cell r="P10455" t="str">
            <v>STC9A001F</v>
          </cell>
          <cell r="Q10455" t="str">
            <v>速度传感器</v>
          </cell>
        </row>
        <row r="10456">
          <cell r="O10456" t="str">
            <v>SC9641TS-P</v>
          </cell>
          <cell r="P10456" t="str">
            <v>STC9A001F</v>
          </cell>
          <cell r="Q10456" t="str">
            <v>速度传感器</v>
          </cell>
        </row>
        <row r="10457">
          <cell r="O10457" t="str">
            <v>SC2063SO</v>
          </cell>
          <cell r="P10457" t="str">
            <v>STC9G001C</v>
          </cell>
          <cell r="Q10457" t="str">
            <v>磁性位置传感器</v>
          </cell>
        </row>
        <row r="10458">
          <cell r="O10458" t="str">
            <v>SC2442UA</v>
          </cell>
          <cell r="P10458" t="str">
            <v>STC9906P</v>
          </cell>
          <cell r="Q10458" t="str">
            <v>磁性位置传感器</v>
          </cell>
        </row>
        <row r="10459">
          <cell r="O10459" t="str">
            <v>SC2413SO-N</v>
          </cell>
          <cell r="P10459" t="str">
            <v>STC9902D</v>
          </cell>
          <cell r="Q10459" t="str">
            <v>磁性位置传感器</v>
          </cell>
        </row>
        <row r="10460">
          <cell r="O10460" t="str">
            <v>SC2413SO-N</v>
          </cell>
          <cell r="P10460" t="str">
            <v>STC9902D</v>
          </cell>
          <cell r="Q10460" t="str">
            <v>磁性位置传感器</v>
          </cell>
        </row>
        <row r="10461">
          <cell r="O10461" t="str">
            <v>SC1945B1</v>
          </cell>
          <cell r="P10461" t="str">
            <v>STC2899AJ</v>
          </cell>
          <cell r="Q10461" t="str">
            <v>磁性位置传感器</v>
          </cell>
        </row>
        <row r="10462">
          <cell r="O10462" t="str">
            <v>SC1945B1</v>
          </cell>
          <cell r="P10462" t="str">
            <v>STC2899AJ</v>
          </cell>
          <cell r="Q10462" t="str">
            <v>磁性位置传感器</v>
          </cell>
        </row>
        <row r="10463">
          <cell r="O10463" t="str">
            <v>SC2448SO</v>
          </cell>
          <cell r="P10463" t="str">
            <v>STC9906S</v>
          </cell>
          <cell r="Q10463" t="str">
            <v>磁性位置传感器</v>
          </cell>
        </row>
        <row r="10464">
          <cell r="O10464" t="str">
            <v>SC2448SO</v>
          </cell>
          <cell r="P10464" t="str">
            <v>STC9906S</v>
          </cell>
          <cell r="Q10464" t="str">
            <v>磁性位置传感器</v>
          </cell>
        </row>
        <row r="10465">
          <cell r="O10465" t="str">
            <v>SC2448SO</v>
          </cell>
          <cell r="P10465" t="str">
            <v>STC9906S</v>
          </cell>
          <cell r="Q10465" t="str">
            <v>磁性位置传感器</v>
          </cell>
        </row>
        <row r="10466">
          <cell r="O10466" t="str">
            <v>SC2448SO</v>
          </cell>
          <cell r="P10466" t="str">
            <v>STC9906S</v>
          </cell>
          <cell r="Q10466" t="str">
            <v>磁性位置传感器</v>
          </cell>
        </row>
        <row r="10467">
          <cell r="O10467" t="str">
            <v>SC9632VB</v>
          </cell>
          <cell r="P10467" t="str">
            <v>STC9905E</v>
          </cell>
          <cell r="Q10467" t="str">
            <v>速度传感器</v>
          </cell>
        </row>
        <row r="10468">
          <cell r="O10468" t="str">
            <v>SC9632VB</v>
          </cell>
          <cell r="P10468" t="str">
            <v>STC9905E</v>
          </cell>
          <cell r="Q10468" t="str">
            <v>速度传感器</v>
          </cell>
        </row>
        <row r="10469">
          <cell r="O10469" t="str">
            <v>SC2402SO-N-H</v>
          </cell>
          <cell r="P10469" t="str">
            <v>STC9H001A</v>
          </cell>
          <cell r="Q10469" t="str">
            <v>磁性位置传感器</v>
          </cell>
        </row>
        <row r="10470">
          <cell r="O10470" t="str">
            <v>SC2402SO-N-H</v>
          </cell>
          <cell r="P10470" t="str">
            <v>STC9H001A</v>
          </cell>
          <cell r="Q10470" t="str">
            <v>磁性位置传感器</v>
          </cell>
        </row>
        <row r="10471">
          <cell r="O10471" t="str">
            <v>SC2462SO</v>
          </cell>
          <cell r="P10471" t="str">
            <v>STC9906J</v>
          </cell>
          <cell r="Q10471" t="str">
            <v>磁性位置传感器</v>
          </cell>
        </row>
        <row r="10472">
          <cell r="O10472" t="str">
            <v>SC2462SO</v>
          </cell>
          <cell r="P10472" t="str">
            <v>STC9906J</v>
          </cell>
          <cell r="Q10472" t="str">
            <v>磁性位置传感器</v>
          </cell>
        </row>
        <row r="10473">
          <cell r="O10473" t="str">
            <v>SC2462SO</v>
          </cell>
          <cell r="P10473" t="str">
            <v>STC9906J</v>
          </cell>
          <cell r="Q10473" t="str">
            <v>磁性位置传感器</v>
          </cell>
        </row>
        <row r="10474">
          <cell r="O10474" t="str">
            <v>SC1245A1</v>
          </cell>
          <cell r="P10474" t="str">
            <v>STC1898AD</v>
          </cell>
          <cell r="Q10474" t="str">
            <v>磁性位置传感器</v>
          </cell>
        </row>
        <row r="10475">
          <cell r="O10475" t="str">
            <v>SC1245A1</v>
          </cell>
          <cell r="P10475" t="str">
            <v>STC1898AD</v>
          </cell>
          <cell r="Q10475" t="str">
            <v>磁性位置传感器</v>
          </cell>
        </row>
        <row r="10476">
          <cell r="O10476" t="str">
            <v>SC1245A1</v>
          </cell>
          <cell r="P10476" t="str">
            <v>STC1898AD</v>
          </cell>
          <cell r="Q10476" t="str">
            <v>磁性位置传感器</v>
          </cell>
        </row>
        <row r="10477">
          <cell r="O10477" t="str">
            <v>SC1645B1</v>
          </cell>
          <cell r="P10477" t="str">
            <v>STC2899AE</v>
          </cell>
          <cell r="Q10477" t="str">
            <v>磁性位置传感器</v>
          </cell>
        </row>
        <row r="10478">
          <cell r="O10478" t="str">
            <v>SC1645B1</v>
          </cell>
          <cell r="P10478" t="str">
            <v>STC2899AE</v>
          </cell>
          <cell r="Q10478" t="str">
            <v>磁性位置传感器</v>
          </cell>
        </row>
        <row r="10479">
          <cell r="O10479" t="str">
            <v>SC1645B1</v>
          </cell>
          <cell r="P10479" t="str">
            <v>STC2899AE</v>
          </cell>
          <cell r="Q10479" t="str">
            <v>磁性位置传感器</v>
          </cell>
        </row>
        <row r="10480">
          <cell r="O10480" t="str">
            <v>SC1645A1</v>
          </cell>
          <cell r="P10480" t="str">
            <v>STC2899AE</v>
          </cell>
          <cell r="Q10480" t="str">
            <v>磁性位置传感器</v>
          </cell>
        </row>
        <row r="10481">
          <cell r="O10481" t="str">
            <v>SC1645A1</v>
          </cell>
          <cell r="P10481" t="str">
            <v>STC2899AE</v>
          </cell>
          <cell r="Q10481" t="str">
            <v>磁性位置传感器</v>
          </cell>
        </row>
        <row r="10482">
          <cell r="O10482" t="str">
            <v>SC1645A1</v>
          </cell>
          <cell r="P10482" t="str">
            <v>STC2899AE</v>
          </cell>
          <cell r="Q10482" t="str">
            <v>磁性位置传感器</v>
          </cell>
        </row>
        <row r="10483">
          <cell r="O10483" t="str">
            <v>SC1945N1</v>
          </cell>
          <cell r="P10483" t="str">
            <v>STC2899AJ</v>
          </cell>
          <cell r="Q10483" t="str">
            <v>磁性位置传感器</v>
          </cell>
        </row>
        <row r="10484">
          <cell r="O10484" t="str">
            <v>SC1945N1</v>
          </cell>
          <cell r="P10484" t="str">
            <v>STC2899AJ</v>
          </cell>
          <cell r="Q10484" t="str">
            <v>磁性位置传感器</v>
          </cell>
        </row>
        <row r="10485">
          <cell r="O10485" t="str">
            <v>SC1945N1</v>
          </cell>
          <cell r="P10485" t="str">
            <v>STC2899AJ</v>
          </cell>
          <cell r="Q10485" t="str">
            <v>磁性位置传感器</v>
          </cell>
        </row>
        <row r="10486">
          <cell r="O10486" t="str">
            <v>SD211VB</v>
          </cell>
          <cell r="P10486" t="str">
            <v>FD1016A</v>
          </cell>
          <cell r="Q10486" t="str">
            <v>电机驱动</v>
          </cell>
        </row>
        <row r="10487">
          <cell r="O10487" t="str">
            <v>SD211VB</v>
          </cell>
          <cell r="P10487" t="str">
            <v>FD1016A</v>
          </cell>
          <cell r="Q10487" t="str">
            <v>电机驱动</v>
          </cell>
        </row>
        <row r="10488">
          <cell r="O10488" t="str">
            <v>SD211VB</v>
          </cell>
          <cell r="P10488" t="str">
            <v>FD1016A</v>
          </cell>
          <cell r="Q10488" t="str">
            <v>电机驱动</v>
          </cell>
        </row>
        <row r="10489">
          <cell r="O10489" t="str">
            <v>SD211VB</v>
          </cell>
          <cell r="P10489" t="str">
            <v>FD1016A</v>
          </cell>
          <cell r="Q10489" t="str">
            <v>电机驱动</v>
          </cell>
        </row>
        <row r="10490">
          <cell r="O10490" t="str">
            <v>SD211VB</v>
          </cell>
          <cell r="P10490" t="str">
            <v>FD1016A</v>
          </cell>
          <cell r="Q10490" t="str">
            <v>电机驱动</v>
          </cell>
        </row>
        <row r="10491">
          <cell r="O10491" t="str">
            <v>SD211VB</v>
          </cell>
          <cell r="P10491" t="str">
            <v>FD1016A</v>
          </cell>
          <cell r="Q10491" t="str">
            <v>电机驱动</v>
          </cell>
        </row>
        <row r="10492">
          <cell r="O10492" t="str">
            <v>SD211VB</v>
          </cell>
          <cell r="P10492" t="str">
            <v>FD1016A</v>
          </cell>
          <cell r="Q10492" t="str">
            <v>电机驱动</v>
          </cell>
        </row>
        <row r="10493">
          <cell r="O10493" t="str">
            <v>SD211VB</v>
          </cell>
          <cell r="P10493" t="str">
            <v>FD1016A</v>
          </cell>
          <cell r="Q10493" t="str">
            <v>电机驱动</v>
          </cell>
        </row>
        <row r="10494">
          <cell r="O10494" t="str">
            <v>SD2276</v>
          </cell>
          <cell r="P10494" t="str">
            <v>FD1014A</v>
          </cell>
          <cell r="Q10494" t="str">
            <v>电机驱动</v>
          </cell>
        </row>
        <row r="10495">
          <cell r="O10495" t="str">
            <v>SD2276</v>
          </cell>
          <cell r="P10495" t="str">
            <v>FD1014A</v>
          </cell>
          <cell r="Q10495" t="str">
            <v>电机驱动</v>
          </cell>
        </row>
        <row r="10496">
          <cell r="O10496" t="str">
            <v>SD2276</v>
          </cell>
          <cell r="P10496" t="str">
            <v>FD1014A</v>
          </cell>
          <cell r="Q10496" t="str">
            <v>电机驱动</v>
          </cell>
        </row>
        <row r="10497">
          <cell r="O10497" t="str">
            <v>SD2276</v>
          </cell>
          <cell r="P10497" t="str">
            <v>FD1014A</v>
          </cell>
          <cell r="Q10497" t="str">
            <v>电机驱动</v>
          </cell>
        </row>
        <row r="10498">
          <cell r="O10498" t="str">
            <v>SD2276</v>
          </cell>
          <cell r="P10498" t="str">
            <v>FD1014A</v>
          </cell>
          <cell r="Q10498" t="str">
            <v>电机驱动</v>
          </cell>
        </row>
        <row r="10499">
          <cell r="O10499" t="str">
            <v>SD2276</v>
          </cell>
          <cell r="P10499" t="str">
            <v>FD1014A</v>
          </cell>
          <cell r="Q10499" t="str">
            <v>电机驱动</v>
          </cell>
        </row>
        <row r="10500">
          <cell r="O10500" t="str">
            <v>SD2276</v>
          </cell>
          <cell r="P10500" t="str">
            <v>FD1014A</v>
          </cell>
          <cell r="Q10500" t="str">
            <v>电机驱动</v>
          </cell>
        </row>
        <row r="10501">
          <cell r="O10501" t="str">
            <v>SD2276</v>
          </cell>
          <cell r="P10501" t="str">
            <v>FD1014A</v>
          </cell>
          <cell r="Q10501" t="str">
            <v>电机驱动</v>
          </cell>
        </row>
        <row r="10502">
          <cell r="O10502" t="str">
            <v>SD2276</v>
          </cell>
          <cell r="P10502" t="str">
            <v>FD1014A</v>
          </cell>
          <cell r="Q10502" t="str">
            <v>电机驱动</v>
          </cell>
        </row>
        <row r="10503">
          <cell r="O10503" t="str">
            <v>SD2276</v>
          </cell>
          <cell r="P10503" t="str">
            <v>FD1014A</v>
          </cell>
          <cell r="Q10503" t="str">
            <v>电机驱动</v>
          </cell>
        </row>
        <row r="10504">
          <cell r="O10504" t="str">
            <v>SD2276</v>
          </cell>
          <cell r="P10504" t="str">
            <v>FD1014A</v>
          </cell>
          <cell r="Q10504" t="str">
            <v>电机驱动</v>
          </cell>
        </row>
        <row r="10505">
          <cell r="O10505" t="str">
            <v>SD2276</v>
          </cell>
          <cell r="P10505" t="str">
            <v>FD1014A</v>
          </cell>
          <cell r="Q10505" t="str">
            <v>电机驱动</v>
          </cell>
        </row>
        <row r="10506">
          <cell r="O10506" t="str">
            <v>SD2276</v>
          </cell>
          <cell r="P10506" t="str">
            <v>FD1014A</v>
          </cell>
          <cell r="Q10506" t="str">
            <v>电机驱动</v>
          </cell>
        </row>
        <row r="10507">
          <cell r="O10507" t="str">
            <v>SD2276</v>
          </cell>
          <cell r="P10507" t="str">
            <v>FD1014A</v>
          </cell>
          <cell r="Q10507" t="str">
            <v>电机驱动</v>
          </cell>
        </row>
        <row r="10508">
          <cell r="O10508" t="str">
            <v>SD2276</v>
          </cell>
          <cell r="P10508" t="str">
            <v>FD1014A</v>
          </cell>
          <cell r="Q10508" t="str">
            <v>电机驱动</v>
          </cell>
        </row>
        <row r="10509">
          <cell r="O10509" t="str">
            <v>SD2276</v>
          </cell>
          <cell r="P10509" t="str">
            <v>FD1014A</v>
          </cell>
          <cell r="Q10509" t="str">
            <v>电机驱动</v>
          </cell>
        </row>
        <row r="10510">
          <cell r="O10510" t="str">
            <v>SD2276</v>
          </cell>
          <cell r="P10510" t="str">
            <v>FD1014A</v>
          </cell>
          <cell r="Q10510" t="str">
            <v>电机驱动</v>
          </cell>
        </row>
        <row r="10511">
          <cell r="O10511" t="str">
            <v>SD2276</v>
          </cell>
          <cell r="P10511" t="str">
            <v>FD1014A</v>
          </cell>
          <cell r="Q10511" t="str">
            <v>电机驱动</v>
          </cell>
        </row>
        <row r="10512">
          <cell r="O10512" t="str">
            <v>SC2434SO-N</v>
          </cell>
          <cell r="P10512" t="str">
            <v>STC9906I</v>
          </cell>
          <cell r="Q10512" t="str">
            <v>磁性位置传感器</v>
          </cell>
        </row>
        <row r="10513">
          <cell r="O10513" t="str">
            <v>SC2432SO-N</v>
          </cell>
          <cell r="P10513" t="str">
            <v>STC9906I</v>
          </cell>
          <cell r="Q10513" t="str">
            <v>磁性位置传感器</v>
          </cell>
        </row>
        <row r="10514">
          <cell r="O10514" t="str">
            <v>SC2434SO-N</v>
          </cell>
          <cell r="P10514" t="str">
            <v>STC9906I</v>
          </cell>
          <cell r="Q10514" t="str">
            <v>磁性位置传感器</v>
          </cell>
        </row>
        <row r="10515">
          <cell r="O10515" t="str">
            <v>SC4011SO-N</v>
          </cell>
          <cell r="P10515" t="str">
            <v>STC4011B</v>
          </cell>
          <cell r="Q10515" t="str">
            <v>磁性位置传感器</v>
          </cell>
        </row>
        <row r="10516">
          <cell r="O10516" t="str">
            <v>SC4011SO-N</v>
          </cell>
          <cell r="P10516" t="str">
            <v>STC4011B</v>
          </cell>
          <cell r="Q10516" t="str">
            <v>磁性位置传感器</v>
          </cell>
        </row>
        <row r="10517">
          <cell r="O10517" t="str">
            <v>SC4011SO-N</v>
          </cell>
          <cell r="P10517" t="str">
            <v>STC4011B</v>
          </cell>
          <cell r="Q10517" t="str">
            <v>磁性位置传感器</v>
          </cell>
        </row>
        <row r="10518">
          <cell r="O10518" t="str">
            <v>SC2434SO-N</v>
          </cell>
          <cell r="P10518" t="str">
            <v>STC9906I</v>
          </cell>
          <cell r="Q10518" t="str">
            <v>磁性位置传感器</v>
          </cell>
        </row>
        <row r="10519">
          <cell r="O10519" t="str">
            <v>SC2434SO-N</v>
          </cell>
          <cell r="P10519" t="str">
            <v>STC9906I</v>
          </cell>
          <cell r="Q10519" t="str">
            <v>磁性位置传感器</v>
          </cell>
        </row>
        <row r="10520">
          <cell r="O10520" t="str">
            <v>SC2432SO-N</v>
          </cell>
          <cell r="P10520" t="str">
            <v>STC9906I</v>
          </cell>
          <cell r="Q10520" t="str">
            <v>磁性位置传感器</v>
          </cell>
        </row>
        <row r="10521">
          <cell r="O10521" t="str">
            <v>SC2462SO</v>
          </cell>
          <cell r="P10521" t="str">
            <v>STC9906J</v>
          </cell>
          <cell r="Q10521" t="str">
            <v>磁性位置传感器</v>
          </cell>
        </row>
        <row r="10522">
          <cell r="O10522" t="str">
            <v>SC4011SO-N</v>
          </cell>
          <cell r="P10522" t="str">
            <v>STC4011B</v>
          </cell>
          <cell r="Q10522" t="str">
            <v>磁性位置传感器</v>
          </cell>
        </row>
        <row r="10523">
          <cell r="O10523" t="str">
            <v>SC4011SO-N</v>
          </cell>
          <cell r="P10523" t="str">
            <v>STC4011B</v>
          </cell>
          <cell r="Q10523" t="str">
            <v>磁性位置传感器</v>
          </cell>
        </row>
        <row r="10524">
          <cell r="O10524" t="str">
            <v>SC2442SO-N</v>
          </cell>
          <cell r="P10524" t="str">
            <v>STC9906P</v>
          </cell>
          <cell r="Q10524" t="str">
            <v>磁性位置传感器</v>
          </cell>
        </row>
        <row r="10525">
          <cell r="O10525" t="str">
            <v>SC2442SO-N</v>
          </cell>
          <cell r="P10525" t="str">
            <v>STC9906P</v>
          </cell>
          <cell r="Q10525" t="str">
            <v>磁性位置传感器</v>
          </cell>
        </row>
        <row r="10526">
          <cell r="O10526" t="str">
            <v>SC2442SO-N</v>
          </cell>
          <cell r="P10526" t="str">
            <v>STC9906P</v>
          </cell>
          <cell r="Q10526" t="str">
            <v>磁性位置传感器</v>
          </cell>
        </row>
        <row r="10527">
          <cell r="O10527" t="str">
            <v>KH276</v>
          </cell>
          <cell r="P10527" t="str">
            <v>FD1014A</v>
          </cell>
          <cell r="Q10527" t="str">
            <v>电机驱动</v>
          </cell>
        </row>
        <row r="10528">
          <cell r="O10528" t="str">
            <v>KH276</v>
          </cell>
          <cell r="P10528" t="str">
            <v>FD1014A</v>
          </cell>
          <cell r="Q10528" t="str">
            <v>电机驱动</v>
          </cell>
        </row>
        <row r="10529">
          <cell r="O10529" t="str">
            <v>KH276</v>
          </cell>
          <cell r="P10529" t="str">
            <v>FD1014A</v>
          </cell>
          <cell r="Q10529" t="str">
            <v>电机驱动</v>
          </cell>
        </row>
        <row r="10530">
          <cell r="O10530" t="str">
            <v>KH276</v>
          </cell>
          <cell r="P10530" t="str">
            <v>FD1014A</v>
          </cell>
          <cell r="Q10530" t="str">
            <v>电机驱动</v>
          </cell>
        </row>
        <row r="10531">
          <cell r="O10531" t="str">
            <v>KH477ST4-G</v>
          </cell>
          <cell r="P10531" t="str">
            <v>STC22304B</v>
          </cell>
          <cell r="Q10531" t="str">
            <v>电机驱动</v>
          </cell>
        </row>
        <row r="10532">
          <cell r="O10532" t="str">
            <v>KH211</v>
          </cell>
          <cell r="P10532" t="str">
            <v>FD1016A</v>
          </cell>
          <cell r="Q10532" t="str">
            <v>电机驱动</v>
          </cell>
        </row>
        <row r="10533">
          <cell r="O10533" t="str">
            <v>KH211</v>
          </cell>
          <cell r="P10533" t="str">
            <v>FD1016A</v>
          </cell>
          <cell r="Q10533" t="str">
            <v>电机驱动</v>
          </cell>
        </row>
        <row r="10534">
          <cell r="O10534" t="str">
            <v>SC2402SO-N-H</v>
          </cell>
          <cell r="P10534" t="str">
            <v>STC9H001A</v>
          </cell>
          <cell r="Q10534" t="str">
            <v>磁性位置传感器</v>
          </cell>
        </row>
        <row r="10535">
          <cell r="O10535" t="str">
            <v>SC2402SO-N-H</v>
          </cell>
          <cell r="P10535" t="str">
            <v>STC9H001A</v>
          </cell>
          <cell r="Q10535" t="str">
            <v>磁性位置传感器</v>
          </cell>
        </row>
        <row r="10536">
          <cell r="O10536" t="str">
            <v>SC2402SO-N-G</v>
          </cell>
          <cell r="P10536" t="str">
            <v>STC9G002A</v>
          </cell>
          <cell r="Q10536" t="str">
            <v>磁性位置传感器</v>
          </cell>
        </row>
        <row r="10537">
          <cell r="O10537" t="str">
            <v>SC2402SO-N-G</v>
          </cell>
          <cell r="P10537" t="str">
            <v>STC9G002A</v>
          </cell>
          <cell r="Q10537" t="str">
            <v>磁性位置传感器</v>
          </cell>
        </row>
        <row r="10538">
          <cell r="O10538" t="str">
            <v>SC2402SO-N</v>
          </cell>
          <cell r="P10538" t="str">
            <v>STC9902J</v>
          </cell>
          <cell r="Q10538" t="str">
            <v>磁性位置传感器</v>
          </cell>
        </row>
        <row r="10539">
          <cell r="O10539" t="str">
            <v>SC2402SO-N</v>
          </cell>
          <cell r="P10539" t="str">
            <v>STC9902J</v>
          </cell>
          <cell r="Q10539" t="str">
            <v>磁性位置传感器</v>
          </cell>
        </row>
        <row r="10540">
          <cell r="O10540" t="str">
            <v>SC2402SO-N</v>
          </cell>
          <cell r="P10540" t="str">
            <v>STC9902J</v>
          </cell>
          <cell r="Q10540" t="str">
            <v>磁性位置传感器</v>
          </cell>
        </row>
        <row r="10541">
          <cell r="O10541" t="str">
            <v>SC2402SO-N</v>
          </cell>
          <cell r="P10541" t="str">
            <v>STC9902J</v>
          </cell>
          <cell r="Q10541" t="str">
            <v>磁性位置传感器</v>
          </cell>
        </row>
        <row r="10542">
          <cell r="O10542" t="str">
            <v>SC2402SO-N</v>
          </cell>
          <cell r="P10542" t="str">
            <v>STC9902J</v>
          </cell>
          <cell r="Q10542" t="str">
            <v>磁性位置传感器</v>
          </cell>
        </row>
        <row r="10543">
          <cell r="O10543" t="str">
            <v>SC4643VB</v>
          </cell>
          <cell r="P10543" t="str">
            <v>STC9D03E</v>
          </cell>
          <cell r="Q10543" t="str">
            <v>电流传感器</v>
          </cell>
        </row>
        <row r="10544">
          <cell r="O10544" t="str">
            <v>SC4643VB</v>
          </cell>
          <cell r="P10544" t="str">
            <v>STC9D03E</v>
          </cell>
          <cell r="Q10544" t="str">
            <v>电流传感器</v>
          </cell>
        </row>
        <row r="10545">
          <cell r="O10545" t="str">
            <v>SC2442SO-N</v>
          </cell>
          <cell r="P10545" t="str">
            <v>STC9906P</v>
          </cell>
          <cell r="Q10545" t="str">
            <v>磁性位置传感器</v>
          </cell>
        </row>
        <row r="10546">
          <cell r="O10546" t="str">
            <v>SC2442SO-N</v>
          </cell>
          <cell r="P10546" t="str">
            <v>STC9906P</v>
          </cell>
          <cell r="Q10546" t="str">
            <v>磁性位置传感器</v>
          </cell>
        </row>
        <row r="10547">
          <cell r="O10547" t="str">
            <v>SC2442SO-N</v>
          </cell>
          <cell r="P10547" t="str">
            <v>STC9906P</v>
          </cell>
          <cell r="Q10547" t="str">
            <v>磁性位置传感器</v>
          </cell>
        </row>
        <row r="10548">
          <cell r="O10548" t="str">
            <v>SC2442SO-N</v>
          </cell>
          <cell r="P10548" t="str">
            <v>STC9906P</v>
          </cell>
          <cell r="Q10548" t="str">
            <v>磁性位置传感器</v>
          </cell>
        </row>
        <row r="10549">
          <cell r="O10549" t="str">
            <v>SC2442SO-N</v>
          </cell>
          <cell r="P10549" t="str">
            <v>STC9906P</v>
          </cell>
          <cell r="Q10549" t="str">
            <v>磁性位置传感器</v>
          </cell>
        </row>
        <row r="10550">
          <cell r="O10550" t="str">
            <v>SC2242SO</v>
          </cell>
          <cell r="P10550" t="str">
            <v>STC9906H</v>
          </cell>
          <cell r="Q10550" t="str">
            <v>磁性位置传感器</v>
          </cell>
        </row>
        <row r="10551">
          <cell r="O10551" t="str">
            <v>SC9641TS-P</v>
          </cell>
          <cell r="P10551" t="str">
            <v>STC9A001F</v>
          </cell>
          <cell r="Q10551" t="str">
            <v>速度传感器</v>
          </cell>
        </row>
        <row r="10552">
          <cell r="O10552" t="str">
            <v>SC9314UA</v>
          </cell>
          <cell r="P10552" t="str">
            <v>STC9901AF</v>
          </cell>
          <cell r="Q10552" t="str">
            <v>速度传感器</v>
          </cell>
        </row>
        <row r="10553">
          <cell r="O10553" t="str">
            <v>SC9314UA</v>
          </cell>
          <cell r="P10553" t="str">
            <v>STC9901AF</v>
          </cell>
          <cell r="Q10553" t="str">
            <v>速度传感器</v>
          </cell>
        </row>
        <row r="10554">
          <cell r="O10554" t="str">
            <v>SC9625VB-L</v>
          </cell>
          <cell r="P10554" t="str">
            <v>STC9910E</v>
          </cell>
          <cell r="Q10554" t="str">
            <v>速度传感器</v>
          </cell>
        </row>
        <row r="10555">
          <cell r="O10555" t="str">
            <v>SC4011SO-N</v>
          </cell>
          <cell r="P10555" t="str">
            <v>STC4011B</v>
          </cell>
          <cell r="Q10555" t="str">
            <v>磁性位置传感器</v>
          </cell>
        </row>
        <row r="10556">
          <cell r="O10556" t="str">
            <v>SC4011SO-N</v>
          </cell>
          <cell r="P10556" t="str">
            <v>STC4011B</v>
          </cell>
          <cell r="Q10556" t="str">
            <v>磁性位置传感器</v>
          </cell>
        </row>
        <row r="10557">
          <cell r="O10557" t="str">
            <v>SC4011SO-N</v>
          </cell>
          <cell r="P10557" t="str">
            <v>STC4011B</v>
          </cell>
          <cell r="Q10557" t="str">
            <v>磁性位置传感器</v>
          </cell>
        </row>
        <row r="10558">
          <cell r="O10558" t="str">
            <v>SC9675IM-P-LRF00</v>
          </cell>
          <cell r="P10558" t="str">
            <v>STC9A002B</v>
          </cell>
          <cell r="Q10558" t="str">
            <v>速度传感器</v>
          </cell>
        </row>
        <row r="10559">
          <cell r="O10559" t="str">
            <v>SC9675IM-P-LRF00</v>
          </cell>
          <cell r="P10559" t="str">
            <v>STC9A002B</v>
          </cell>
          <cell r="Q10559" t="str">
            <v>速度传感器</v>
          </cell>
        </row>
        <row r="10560">
          <cell r="O10560" t="str">
            <v>SC9675IM-P-LRF00</v>
          </cell>
          <cell r="P10560" t="str">
            <v>STC9A002B</v>
          </cell>
          <cell r="Q10560" t="str">
            <v>速度传感器</v>
          </cell>
        </row>
        <row r="10561">
          <cell r="O10561" t="str">
            <v>SC9621VB</v>
          </cell>
          <cell r="P10561" t="str">
            <v>STC9910C</v>
          </cell>
          <cell r="Q10561" t="str">
            <v>速度传感器</v>
          </cell>
        </row>
        <row r="10562">
          <cell r="O10562" t="str">
            <v>SC9314UA</v>
          </cell>
          <cell r="P10562" t="str">
            <v>STC9901AF</v>
          </cell>
          <cell r="Q10562" t="str">
            <v>速度传感器</v>
          </cell>
        </row>
        <row r="10563">
          <cell r="O10563" t="str">
            <v>SC9314UA</v>
          </cell>
          <cell r="P10563" t="str">
            <v>STC9901AF</v>
          </cell>
          <cell r="Q10563" t="str">
            <v>速度传感器</v>
          </cell>
        </row>
        <row r="10564">
          <cell r="O10564" t="str">
            <v>SC9625VB</v>
          </cell>
          <cell r="P10564" t="str">
            <v>STC9910B</v>
          </cell>
          <cell r="Q10564" t="str">
            <v>速度传感器</v>
          </cell>
        </row>
        <row r="10565">
          <cell r="O10565" t="str">
            <v>SC69401D</v>
          </cell>
          <cell r="P10565" t="str">
            <v>STC9H002D</v>
          </cell>
          <cell r="Q10565" t="str">
            <v>角度传感器</v>
          </cell>
        </row>
        <row r="10566">
          <cell r="O10566" t="str">
            <v>SC4688SA</v>
          </cell>
          <cell r="P10566" t="str">
            <v>STC9D01C</v>
          </cell>
          <cell r="Q10566" t="str">
            <v>角度传感器</v>
          </cell>
        </row>
        <row r="10567">
          <cell r="O10567" t="str">
            <v>ZH6338B</v>
          </cell>
          <cell r="P10567" t="str">
            <v>ZH6338B</v>
          </cell>
          <cell r="Q10567" t="str">
            <v>电机驱动</v>
          </cell>
        </row>
        <row r="10568">
          <cell r="O10568" t="str">
            <v>ZH619A0</v>
          </cell>
          <cell r="P10568" t="str">
            <v>STC22303</v>
          </cell>
          <cell r="Q10568" t="str">
            <v>电机驱动</v>
          </cell>
        </row>
        <row r="10569">
          <cell r="O10569" t="str">
            <v>ZH619A0</v>
          </cell>
          <cell r="P10569" t="str">
            <v>STC22303</v>
          </cell>
          <cell r="Q10569" t="str">
            <v>电机驱动</v>
          </cell>
        </row>
        <row r="10570">
          <cell r="O10570" t="str">
            <v>ZH619A0</v>
          </cell>
          <cell r="P10570" t="str">
            <v>STC22303</v>
          </cell>
          <cell r="Q10570" t="str">
            <v>电机驱动</v>
          </cell>
        </row>
        <row r="10571">
          <cell r="O10571" t="str">
            <v>SC2432SO-N</v>
          </cell>
          <cell r="P10571" t="str">
            <v>STC9906I</v>
          </cell>
          <cell r="Q10571" t="str">
            <v>磁性位置传感器</v>
          </cell>
        </row>
        <row r="10572">
          <cell r="O10572" t="str">
            <v>SC2462SO</v>
          </cell>
          <cell r="P10572" t="str">
            <v>STC9906J</v>
          </cell>
          <cell r="Q10572" t="str">
            <v>磁性位置传感器</v>
          </cell>
        </row>
        <row r="10573">
          <cell r="O10573" t="str">
            <v>SC2498UA-N</v>
          </cell>
          <cell r="P10573" t="str">
            <v>SC9915C</v>
          </cell>
          <cell r="Q10573" t="str">
            <v>磁性位置传感器</v>
          </cell>
        </row>
        <row r="10574">
          <cell r="O10574" t="str">
            <v>SC4643VB-A</v>
          </cell>
          <cell r="P10574" t="str">
            <v>STC9D03E</v>
          </cell>
          <cell r="Q10574" t="str">
            <v>电流传感器</v>
          </cell>
        </row>
        <row r="10575">
          <cell r="O10575" t="str">
            <v>SC4643VB-A</v>
          </cell>
          <cell r="P10575" t="str">
            <v>STC9D03E</v>
          </cell>
          <cell r="Q10575" t="str">
            <v>电流传感器</v>
          </cell>
        </row>
        <row r="10576">
          <cell r="O10576" t="str">
            <v>SC4643VB-A</v>
          </cell>
          <cell r="P10576" t="str">
            <v>STC9D03E</v>
          </cell>
          <cell r="Q10576" t="str">
            <v>电流传感器</v>
          </cell>
        </row>
        <row r="10577">
          <cell r="O10577" t="str">
            <v>SC2464SO</v>
          </cell>
          <cell r="P10577" t="str">
            <v>STC9906J</v>
          </cell>
          <cell r="Q10577" t="str">
            <v>磁性位置传感器</v>
          </cell>
        </row>
        <row r="10578">
          <cell r="O10578" t="str">
            <v>SC2464SO</v>
          </cell>
          <cell r="P10578" t="str">
            <v>STC9906J</v>
          </cell>
          <cell r="Q10578" t="str">
            <v>磁性位置传感器</v>
          </cell>
        </row>
        <row r="10579">
          <cell r="O10579" t="str">
            <v>SC2464SO</v>
          </cell>
          <cell r="P10579" t="str">
            <v>STC9906J</v>
          </cell>
          <cell r="Q10579" t="str">
            <v>磁性位置传感器</v>
          </cell>
        </row>
        <row r="10580">
          <cell r="O10580" t="str">
            <v>SC4616UA-10.2NF</v>
          </cell>
          <cell r="P10580" t="str">
            <v>STC9907D</v>
          </cell>
          <cell r="Q10580" t="str">
            <v>电流传感器</v>
          </cell>
        </row>
        <row r="10581">
          <cell r="O10581" t="str">
            <v>SC4616UA-10.2NF</v>
          </cell>
          <cell r="P10581" t="str">
            <v>STC9907D</v>
          </cell>
          <cell r="Q10581" t="str">
            <v>电流传感器</v>
          </cell>
        </row>
        <row r="10582">
          <cell r="O10582" t="str">
            <v>SC4616UA-10.2NF</v>
          </cell>
          <cell r="P10582" t="str">
            <v>STC9907D</v>
          </cell>
          <cell r="Q10582" t="str">
            <v>电流传感器</v>
          </cell>
        </row>
        <row r="10583">
          <cell r="O10583" t="str">
            <v>SC2442SO</v>
          </cell>
          <cell r="P10583" t="str">
            <v>STC9906R</v>
          </cell>
          <cell r="Q10583" t="str">
            <v>磁性位置传感器</v>
          </cell>
        </row>
        <row r="10584">
          <cell r="O10584" t="str">
            <v>SC2442SO</v>
          </cell>
          <cell r="P10584" t="str">
            <v>STC9906R</v>
          </cell>
          <cell r="Q10584" t="str">
            <v>磁性位置传感器</v>
          </cell>
        </row>
        <row r="10585">
          <cell r="O10585" t="str">
            <v>SC2448SO</v>
          </cell>
          <cell r="P10585" t="str">
            <v>STC9906S</v>
          </cell>
          <cell r="Q10585" t="str">
            <v>磁性位置传感器</v>
          </cell>
        </row>
        <row r="10586">
          <cell r="O10586" t="str">
            <v>SC2448SO</v>
          </cell>
          <cell r="P10586" t="str">
            <v>STC9906S</v>
          </cell>
          <cell r="Q10586" t="str">
            <v>磁性位置传感器</v>
          </cell>
        </row>
        <row r="10587">
          <cell r="O10587" t="str">
            <v>SC2448SO</v>
          </cell>
          <cell r="P10587" t="str">
            <v>STC9906S</v>
          </cell>
          <cell r="Q10587" t="str">
            <v>磁性位置传感器</v>
          </cell>
        </row>
        <row r="10588">
          <cell r="O10588" t="str">
            <v>SC2448SO</v>
          </cell>
          <cell r="P10588" t="str">
            <v>STC9906S</v>
          </cell>
          <cell r="Q10588" t="str">
            <v>磁性位置传感器</v>
          </cell>
        </row>
        <row r="10589">
          <cell r="O10589" t="str">
            <v>SC9641TS-P</v>
          </cell>
          <cell r="P10589" t="str">
            <v>STC9A001I</v>
          </cell>
          <cell r="Q10589" t="str">
            <v>速度传感器</v>
          </cell>
        </row>
        <row r="10590">
          <cell r="O10590" t="str">
            <v>SC9641TS-P</v>
          </cell>
          <cell r="P10590" t="str">
            <v>STC9A001I</v>
          </cell>
          <cell r="Q10590" t="str">
            <v>速度传感器</v>
          </cell>
        </row>
        <row r="10591">
          <cell r="O10591" t="str">
            <v>SC9641TS-P</v>
          </cell>
          <cell r="P10591" t="str">
            <v>STC9A001I</v>
          </cell>
          <cell r="Q10591" t="str">
            <v>速度传感器</v>
          </cell>
        </row>
        <row r="10592">
          <cell r="O10592" t="str">
            <v>SC9314UA</v>
          </cell>
          <cell r="P10592" t="str">
            <v>STC9901AF</v>
          </cell>
          <cell r="Q10592" t="str">
            <v>速度传感器</v>
          </cell>
        </row>
        <row r="10593">
          <cell r="O10593" t="str">
            <v>SC9641TS</v>
          </cell>
          <cell r="P10593" t="str">
            <v>STC9910BN</v>
          </cell>
          <cell r="Q10593" t="str">
            <v>速度传感器</v>
          </cell>
        </row>
        <row r="10594">
          <cell r="O10594" t="str">
            <v>SC9641TS</v>
          </cell>
          <cell r="P10594" t="str">
            <v>STC9910BN</v>
          </cell>
          <cell r="Q10594" t="str">
            <v>速度传感器</v>
          </cell>
        </row>
        <row r="10595">
          <cell r="O10595" t="str">
            <v>SC9641TS</v>
          </cell>
          <cell r="P10595" t="str">
            <v>STC9910BN</v>
          </cell>
          <cell r="Q10595" t="str">
            <v>速度传感器</v>
          </cell>
        </row>
        <row r="10596">
          <cell r="O10596" t="str">
            <v>SC9641TS</v>
          </cell>
          <cell r="P10596" t="str">
            <v>STC9910BN</v>
          </cell>
          <cell r="Q10596" t="str">
            <v>速度传感器</v>
          </cell>
        </row>
        <row r="10597">
          <cell r="O10597" t="str">
            <v>SC9641TS</v>
          </cell>
          <cell r="P10597" t="str">
            <v>STC9910BN</v>
          </cell>
          <cell r="Q10597" t="str">
            <v>速度传感器</v>
          </cell>
        </row>
        <row r="10598">
          <cell r="O10598" t="str">
            <v>SC9641TS</v>
          </cell>
          <cell r="P10598" t="str">
            <v>STC9910BN</v>
          </cell>
          <cell r="Q10598" t="str">
            <v>速度传感器</v>
          </cell>
        </row>
        <row r="10599">
          <cell r="O10599" t="str">
            <v>SC9642TS</v>
          </cell>
          <cell r="P10599" t="str">
            <v>STC9A001G</v>
          </cell>
          <cell r="Q10599" t="str">
            <v>速度传感器</v>
          </cell>
        </row>
        <row r="10600">
          <cell r="O10600" t="str">
            <v>SC9642TS</v>
          </cell>
          <cell r="P10600" t="str">
            <v>STC9A001G</v>
          </cell>
          <cell r="Q10600" t="str">
            <v>速度传感器</v>
          </cell>
        </row>
        <row r="10601">
          <cell r="O10601" t="str">
            <v>SC9642TS</v>
          </cell>
          <cell r="P10601" t="str">
            <v>STC9A001G</v>
          </cell>
          <cell r="Q10601" t="str">
            <v>速度传感器</v>
          </cell>
        </row>
        <row r="10602">
          <cell r="O10602" t="str">
            <v>D6*H2.5MM磁铁</v>
          </cell>
          <cell r="P10602" t="str">
            <v xml:space="preserve"> </v>
          </cell>
          <cell r="Q10602" t="str">
            <v>其他</v>
          </cell>
        </row>
        <row r="10603">
          <cell r="O10603" t="str">
            <v>D4*H2.5MM磁铁</v>
          </cell>
          <cell r="P10603" t="str">
            <v xml:space="preserve"> </v>
          </cell>
          <cell r="Q10603" t="str">
            <v>其他</v>
          </cell>
        </row>
        <row r="10604">
          <cell r="O10604" t="str">
            <v>SC60104</v>
          </cell>
          <cell r="P10604" t="str">
            <v>STC9D02C</v>
          </cell>
          <cell r="Q10604" t="str">
            <v>电机编码器</v>
          </cell>
        </row>
        <row r="10605">
          <cell r="O10605" t="str">
            <v>SC60104</v>
          </cell>
          <cell r="P10605" t="str">
            <v>STC9D02C</v>
          </cell>
          <cell r="Q10605" t="str">
            <v>电机编码器</v>
          </cell>
        </row>
        <row r="10606">
          <cell r="O10606" t="str">
            <v>SC60221-D-360</v>
          </cell>
          <cell r="P10606" t="str">
            <v>STC9D04C</v>
          </cell>
          <cell r="Q10606" t="str">
            <v>电机编码器</v>
          </cell>
        </row>
        <row r="10607">
          <cell r="O10607" t="str">
            <v>SC41HL-A2</v>
          </cell>
          <cell r="P10607" t="str">
            <v>STC1898AD</v>
          </cell>
          <cell r="Q10607" t="str">
            <v>磁性位置传感器</v>
          </cell>
        </row>
        <row r="10608">
          <cell r="O10608" t="str">
            <v>SC41HL-A2</v>
          </cell>
          <cell r="P10608" t="str">
            <v>STC1898AD</v>
          </cell>
          <cell r="Q10608" t="str">
            <v>磁性位置传感器</v>
          </cell>
        </row>
        <row r="10609">
          <cell r="O10609" t="str">
            <v>SC41HL-A2</v>
          </cell>
          <cell r="P10609" t="str">
            <v>STC1898AD</v>
          </cell>
          <cell r="Q10609" t="str">
            <v>磁性位置传感器</v>
          </cell>
        </row>
        <row r="10610">
          <cell r="O10610" t="str">
            <v>SC4011UA</v>
          </cell>
          <cell r="P10610" t="str">
            <v>STC4011B</v>
          </cell>
          <cell r="Q10610" t="str">
            <v>磁性位置传感器</v>
          </cell>
        </row>
        <row r="10611">
          <cell r="O10611" t="str">
            <v>SC4011SO-N</v>
          </cell>
          <cell r="P10611" t="str">
            <v>STC4011B</v>
          </cell>
          <cell r="Q10611" t="str">
            <v>磁性位置传感器</v>
          </cell>
        </row>
        <row r="10612">
          <cell r="O10612" t="str">
            <v>SC4011SO-N</v>
          </cell>
          <cell r="P10612" t="str">
            <v>STC4011B</v>
          </cell>
          <cell r="Q10612" t="str">
            <v>磁性位置传感器</v>
          </cell>
        </row>
        <row r="10613">
          <cell r="O10613" t="str">
            <v>SC60221-D-256</v>
          </cell>
          <cell r="P10613" t="str">
            <v>STC9D04C</v>
          </cell>
          <cell r="Q10613" t="str">
            <v>电机编码器</v>
          </cell>
        </row>
        <row r="10614">
          <cell r="O10614" t="str">
            <v>SC9641TS-P</v>
          </cell>
          <cell r="P10614" t="str">
            <v>STC9A001I</v>
          </cell>
          <cell r="Q10614" t="str">
            <v>速度传感器</v>
          </cell>
        </row>
        <row r="10615">
          <cell r="O10615" t="str">
            <v>V2303A</v>
          </cell>
          <cell r="P10615" t="str">
            <v>V2303A</v>
          </cell>
          <cell r="Q10615" t="str">
            <v>电源管理</v>
          </cell>
        </row>
        <row r="10616">
          <cell r="O10616" t="str">
            <v>SC9625VB-L</v>
          </cell>
          <cell r="P10616" t="str">
            <v>STC9910E</v>
          </cell>
          <cell r="Q10616" t="str">
            <v>速度传感器</v>
          </cell>
        </row>
        <row r="10617">
          <cell r="O10617" t="str">
            <v>SC4688SA</v>
          </cell>
          <cell r="P10617" t="str">
            <v>STC9D01C</v>
          </cell>
          <cell r="Q10617" t="str">
            <v>角度传感器</v>
          </cell>
        </row>
        <row r="10618">
          <cell r="O10618" t="str">
            <v>SC4688SA</v>
          </cell>
          <cell r="P10618" t="str">
            <v>STC9D01C</v>
          </cell>
          <cell r="Q10618" t="str">
            <v>角度传感器</v>
          </cell>
        </row>
        <row r="10619">
          <cell r="O10619" t="str">
            <v>SC4688SA</v>
          </cell>
          <cell r="P10619" t="str">
            <v>STC9D01C</v>
          </cell>
          <cell r="Q10619" t="str">
            <v>角度传感器</v>
          </cell>
        </row>
        <row r="10620">
          <cell r="O10620" t="str">
            <v>SC4688SA</v>
          </cell>
          <cell r="P10620" t="str">
            <v>STC9D01C</v>
          </cell>
          <cell r="Q10620" t="str">
            <v>角度传感器</v>
          </cell>
        </row>
        <row r="10621">
          <cell r="O10621" t="str">
            <v>SC4688SA</v>
          </cell>
          <cell r="P10621" t="str">
            <v>STC9D01C</v>
          </cell>
          <cell r="Q10621" t="str">
            <v>角度传感器</v>
          </cell>
        </row>
        <row r="10622">
          <cell r="O10622" t="str">
            <v>SC4688SA</v>
          </cell>
          <cell r="P10622" t="str">
            <v>STC9D01C</v>
          </cell>
          <cell r="Q10622" t="str">
            <v>角度传感器</v>
          </cell>
        </row>
        <row r="10623">
          <cell r="O10623" t="str">
            <v>SC4688SA</v>
          </cell>
          <cell r="P10623" t="str">
            <v>STC9D01C</v>
          </cell>
          <cell r="Q10623" t="str">
            <v>角度传感器</v>
          </cell>
        </row>
        <row r="10624">
          <cell r="O10624" t="str">
            <v>SC4688SA</v>
          </cell>
          <cell r="P10624" t="str">
            <v>STC9D01C</v>
          </cell>
          <cell r="Q10624" t="str">
            <v>角度传感器</v>
          </cell>
        </row>
        <row r="10625">
          <cell r="O10625" t="str">
            <v>SC9641TS-P</v>
          </cell>
          <cell r="P10625" t="str">
            <v>STC9A001I</v>
          </cell>
          <cell r="Q10625" t="str">
            <v>速度传感器</v>
          </cell>
        </row>
        <row r="10626">
          <cell r="O10626" t="str">
            <v>SC9641TS-P</v>
          </cell>
          <cell r="P10626" t="str">
            <v>STC9A001I</v>
          </cell>
          <cell r="Q10626" t="str">
            <v>速度传感器</v>
          </cell>
        </row>
        <row r="10627">
          <cell r="O10627" t="str">
            <v>SC1245UA</v>
          </cell>
          <cell r="P10627" t="str">
            <v>STC1898AD</v>
          </cell>
          <cell r="Q10627" t="str">
            <v>磁性位置传感器</v>
          </cell>
        </row>
        <row r="10628">
          <cell r="O10628" t="str">
            <v>SC1245UA</v>
          </cell>
          <cell r="P10628" t="str">
            <v>STC1898AD</v>
          </cell>
          <cell r="Q10628" t="str">
            <v>磁性位置传感器</v>
          </cell>
        </row>
        <row r="10629">
          <cell r="O10629" t="str">
            <v>SC2402SO-N-G</v>
          </cell>
          <cell r="P10629" t="str">
            <v>STC9G002B</v>
          </cell>
          <cell r="Q10629" t="str">
            <v>磁性位置传感器</v>
          </cell>
        </row>
        <row r="10630">
          <cell r="O10630" t="str">
            <v>SC2402SO-N-G</v>
          </cell>
          <cell r="P10630" t="str">
            <v>STC9G002B</v>
          </cell>
          <cell r="Q10630" t="str">
            <v>磁性位置传感器</v>
          </cell>
        </row>
        <row r="10631">
          <cell r="O10631" t="str">
            <v>SC2432SO-N</v>
          </cell>
          <cell r="P10631" t="str">
            <v>STC9906I</v>
          </cell>
          <cell r="Q10631" t="str">
            <v>磁性位置传感器</v>
          </cell>
        </row>
        <row r="10632">
          <cell r="O10632" t="str">
            <v>SC2432UA</v>
          </cell>
          <cell r="P10632" t="str">
            <v>STC9906I</v>
          </cell>
          <cell r="Q10632" t="str">
            <v>磁性位置传感器</v>
          </cell>
        </row>
        <row r="10633">
          <cell r="O10633" t="str">
            <v>SC4011SO-N</v>
          </cell>
          <cell r="P10633" t="str">
            <v>STC4011B</v>
          </cell>
          <cell r="Q10633" t="str">
            <v>磁性位置传感器</v>
          </cell>
        </row>
        <row r="10634">
          <cell r="O10634" t="str">
            <v>SC4011UA</v>
          </cell>
          <cell r="P10634" t="str">
            <v>STC4011B</v>
          </cell>
          <cell r="Q10634" t="str">
            <v>磁性位置传感器</v>
          </cell>
        </row>
        <row r="10635">
          <cell r="O10635" t="str">
            <v>SC2402SO-N-G</v>
          </cell>
          <cell r="P10635" t="str">
            <v>STC9G002B</v>
          </cell>
          <cell r="Q10635" t="str">
            <v>磁性位置传感器</v>
          </cell>
        </row>
        <row r="10636">
          <cell r="O10636" t="str">
            <v>SC2402SO-N-G</v>
          </cell>
          <cell r="P10636" t="str">
            <v>STC9G002B</v>
          </cell>
          <cell r="Q10636" t="str">
            <v>磁性位置传感器</v>
          </cell>
        </row>
        <row r="10637">
          <cell r="O10637" t="str">
            <v>SC2402SO-N-G</v>
          </cell>
          <cell r="P10637" t="str">
            <v>STC9G002B</v>
          </cell>
          <cell r="Q10637" t="str">
            <v>磁性位置传感器</v>
          </cell>
        </row>
        <row r="10638">
          <cell r="O10638" t="str">
            <v>SC2402SO-N-G</v>
          </cell>
          <cell r="P10638" t="str">
            <v>STC9G002B</v>
          </cell>
          <cell r="Q10638" t="str">
            <v>磁性位置传感器</v>
          </cell>
        </row>
        <row r="10639">
          <cell r="O10639" t="str">
            <v>SC2462SO</v>
          </cell>
          <cell r="P10639" t="str">
            <v>STC9906J</v>
          </cell>
          <cell r="Q10639" t="str">
            <v>磁性位置传感器</v>
          </cell>
        </row>
        <row r="10640">
          <cell r="O10640" t="str">
            <v>SC2462SO</v>
          </cell>
          <cell r="P10640" t="str">
            <v>STC9906J</v>
          </cell>
          <cell r="Q10640" t="str">
            <v>磁性位置传感器</v>
          </cell>
        </row>
        <row r="10641">
          <cell r="O10641" t="str">
            <v>SC2462SO</v>
          </cell>
          <cell r="P10641" t="str">
            <v>STC9906J</v>
          </cell>
          <cell r="Q10641" t="str">
            <v>磁性位置传感器</v>
          </cell>
        </row>
        <row r="10642">
          <cell r="O10642" t="str">
            <v>SC9642TS-E</v>
          </cell>
          <cell r="P10642" t="str">
            <v>STC9A001H</v>
          </cell>
          <cell r="Q10642" t="str">
            <v>速度传感器</v>
          </cell>
        </row>
        <row r="10643">
          <cell r="O10643" t="str">
            <v>SC60224-D-1000</v>
          </cell>
          <cell r="P10643" t="str">
            <v>STC9D04C</v>
          </cell>
          <cell r="Q10643" t="str">
            <v>电机编码器</v>
          </cell>
        </row>
        <row r="10644">
          <cell r="O10644" t="str">
            <v>SC60221-D-400</v>
          </cell>
          <cell r="P10644" t="str">
            <v>STC9D04C</v>
          </cell>
          <cell r="Q10644" t="str">
            <v>电机编码器</v>
          </cell>
        </row>
        <row r="10645">
          <cell r="O10645" t="str">
            <v>SC1645A1</v>
          </cell>
          <cell r="P10645" t="str">
            <v>STC2899AE</v>
          </cell>
          <cell r="Q10645" t="str">
            <v>磁性位置传感器</v>
          </cell>
        </row>
        <row r="10646">
          <cell r="O10646" t="str">
            <v>SC1645A1</v>
          </cell>
          <cell r="P10646" t="str">
            <v>STC2899AE</v>
          </cell>
          <cell r="Q10646" t="str">
            <v>磁性位置传感器</v>
          </cell>
        </row>
        <row r="10647">
          <cell r="O10647" t="str">
            <v>SC4011SO-N</v>
          </cell>
          <cell r="P10647" t="str">
            <v>STC4011B</v>
          </cell>
          <cell r="Q10647" t="str">
            <v>磁性位置传感器</v>
          </cell>
        </row>
        <row r="10648">
          <cell r="O10648" t="str">
            <v>SC4011SO-N</v>
          </cell>
          <cell r="P10648" t="str">
            <v>STC4011B</v>
          </cell>
          <cell r="Q10648" t="str">
            <v>磁性位置传感器</v>
          </cell>
        </row>
        <row r="10649">
          <cell r="O10649" t="str">
            <v>SC4011SO-N</v>
          </cell>
          <cell r="P10649" t="str">
            <v>STC4011B</v>
          </cell>
          <cell r="Q10649" t="str">
            <v>磁性位置传感器</v>
          </cell>
        </row>
        <row r="10650">
          <cell r="O10650" t="str">
            <v>SC4011SO-N</v>
          </cell>
          <cell r="P10650" t="str">
            <v>STC4011B</v>
          </cell>
          <cell r="Q10650" t="str">
            <v>磁性位置传感器</v>
          </cell>
        </row>
        <row r="10651">
          <cell r="O10651" t="str">
            <v>2100</v>
          </cell>
          <cell r="P10651" t="str">
            <v>STC9D03E</v>
          </cell>
          <cell r="Q10651" t="str">
            <v>电流传感器</v>
          </cell>
        </row>
        <row r="10652">
          <cell r="O10652" t="str">
            <v>2100</v>
          </cell>
          <cell r="P10652" t="str">
            <v>STC9D03E</v>
          </cell>
          <cell r="Q10652" t="str">
            <v>电流传感器</v>
          </cell>
        </row>
        <row r="10653">
          <cell r="O10653" t="str">
            <v>2100</v>
          </cell>
          <cell r="P10653" t="str">
            <v>STC9D03E</v>
          </cell>
          <cell r="Q10653" t="str">
            <v>电流传感器</v>
          </cell>
        </row>
        <row r="10654">
          <cell r="O10654" t="str">
            <v>SC4011SO-N</v>
          </cell>
          <cell r="P10654" t="str">
            <v>STC4011B</v>
          </cell>
          <cell r="Q10654" t="str">
            <v>磁性位置传感器</v>
          </cell>
        </row>
        <row r="10655">
          <cell r="O10655" t="str">
            <v>SC4011SO-N</v>
          </cell>
          <cell r="P10655" t="str">
            <v>STC4011B</v>
          </cell>
          <cell r="Q10655" t="str">
            <v>磁性位置传感器</v>
          </cell>
        </row>
        <row r="10656">
          <cell r="O10656" t="str">
            <v>SC2442SO</v>
          </cell>
          <cell r="P10656" t="str">
            <v>STC9906R</v>
          </cell>
          <cell r="Q10656" t="str">
            <v>磁性位置传感器</v>
          </cell>
        </row>
        <row r="10657">
          <cell r="O10657" t="str">
            <v>SC2442SO</v>
          </cell>
          <cell r="P10657" t="str">
            <v>STC9906R</v>
          </cell>
          <cell r="Q10657" t="str">
            <v>磁性位置传感器</v>
          </cell>
        </row>
        <row r="10658">
          <cell r="O10658" t="str">
            <v>ZH6338B</v>
          </cell>
          <cell r="P10658" t="str">
            <v>ZH6338B</v>
          </cell>
          <cell r="Q10658" t="str">
            <v>电机驱动</v>
          </cell>
        </row>
        <row r="10659">
          <cell r="O10659" t="str">
            <v>SC9641TS-P</v>
          </cell>
          <cell r="P10659" t="str">
            <v>STC9A001I</v>
          </cell>
          <cell r="Q10659" t="str">
            <v>速度传感器</v>
          </cell>
        </row>
        <row r="10660">
          <cell r="O10660" t="str">
            <v>SC9314UA</v>
          </cell>
          <cell r="P10660" t="str">
            <v>STC9901AF</v>
          </cell>
          <cell r="Q10660" t="str">
            <v>速度传感器</v>
          </cell>
        </row>
        <row r="10661">
          <cell r="O10661" t="str">
            <v>SC9314UA</v>
          </cell>
          <cell r="P10661" t="str">
            <v>STC9901AF</v>
          </cell>
          <cell r="Q10661" t="str">
            <v>速度传感器</v>
          </cell>
        </row>
        <row r="10662">
          <cell r="O10662" t="str">
            <v>SC69401D</v>
          </cell>
          <cell r="P10662" t="str">
            <v>STC9H002D</v>
          </cell>
          <cell r="Q10662" t="str">
            <v>角度传感器</v>
          </cell>
        </row>
        <row r="10663">
          <cell r="O10663" t="str">
            <v>SC69401D</v>
          </cell>
          <cell r="P10663" t="str">
            <v>STC9H002D</v>
          </cell>
          <cell r="Q10663" t="str">
            <v>角度传感器</v>
          </cell>
        </row>
        <row r="10664">
          <cell r="O10664" t="str">
            <v>SC60228DC</v>
          </cell>
          <cell r="P10664" t="str">
            <v>STC9D04C</v>
          </cell>
          <cell r="Q10664" t="str">
            <v>电机编码器</v>
          </cell>
        </row>
        <row r="10665">
          <cell r="O10665" t="str">
            <v>SC4011SO-N</v>
          </cell>
          <cell r="P10665" t="str">
            <v>STC4011B</v>
          </cell>
          <cell r="Q10665" t="str">
            <v>磁性位置传感器</v>
          </cell>
        </row>
        <row r="10666">
          <cell r="O10666" t="str">
            <v>SC4011SO-N</v>
          </cell>
          <cell r="P10666" t="str">
            <v>STC4011B</v>
          </cell>
          <cell r="Q10666" t="str">
            <v>磁性位置传感器</v>
          </cell>
        </row>
        <row r="10667">
          <cell r="O10667" t="str">
            <v>SC4011SO-N</v>
          </cell>
          <cell r="P10667" t="str">
            <v>STC4011B</v>
          </cell>
          <cell r="Q10667" t="str">
            <v>磁性位置传感器</v>
          </cell>
        </row>
        <row r="10668">
          <cell r="O10668" t="str">
            <v>SC4011SO-N</v>
          </cell>
          <cell r="P10668" t="str">
            <v>STC4011B</v>
          </cell>
          <cell r="Q10668" t="str">
            <v>磁性位置传感器</v>
          </cell>
        </row>
        <row r="10669">
          <cell r="O10669" t="str">
            <v>SC4011SO-N</v>
          </cell>
          <cell r="P10669" t="str">
            <v>STC4011B</v>
          </cell>
          <cell r="Q10669" t="str">
            <v>磁性位置传感器</v>
          </cell>
        </row>
        <row r="10670">
          <cell r="O10670" t="str">
            <v>SC4011SO-N</v>
          </cell>
          <cell r="P10670" t="str">
            <v>STC4011B</v>
          </cell>
          <cell r="Q10670" t="str">
            <v>磁性位置传感器</v>
          </cell>
        </row>
        <row r="10671">
          <cell r="O10671" t="str">
            <v>SC4011SO-N</v>
          </cell>
          <cell r="P10671" t="str">
            <v>STC4011B</v>
          </cell>
          <cell r="Q10671" t="str">
            <v>磁性位置传感器</v>
          </cell>
        </row>
        <row r="10672">
          <cell r="O10672" t="str">
            <v>SC4011SO-N</v>
          </cell>
          <cell r="P10672" t="str">
            <v>STC4011B</v>
          </cell>
          <cell r="Q10672" t="str">
            <v>磁性位置传感器</v>
          </cell>
        </row>
        <row r="10673">
          <cell r="O10673" t="str">
            <v>SC4011SO-N</v>
          </cell>
          <cell r="P10673" t="str">
            <v>STC4011B</v>
          </cell>
          <cell r="Q10673" t="str">
            <v>磁性位置传感器</v>
          </cell>
        </row>
        <row r="10674">
          <cell r="O10674" t="str">
            <v>SC4011SO-N</v>
          </cell>
          <cell r="P10674" t="str">
            <v>STC4011B</v>
          </cell>
          <cell r="Q10674" t="str">
            <v>磁性位置传感器</v>
          </cell>
        </row>
        <row r="10675">
          <cell r="O10675" t="str">
            <v>SC4011SO-N</v>
          </cell>
          <cell r="P10675" t="str">
            <v>STC4011B</v>
          </cell>
          <cell r="Q10675" t="str">
            <v>磁性位置传感器</v>
          </cell>
        </row>
        <row r="10676">
          <cell r="O10676" t="str">
            <v>SC2064UA</v>
          </cell>
          <cell r="P10676" t="str">
            <v>STC9G001C</v>
          </cell>
          <cell r="Q10676" t="str">
            <v>磁性位置传感器</v>
          </cell>
        </row>
        <row r="10677">
          <cell r="O10677" t="str">
            <v>SC4011SO-N</v>
          </cell>
          <cell r="P10677" t="str">
            <v>STC4011B</v>
          </cell>
          <cell r="Q10677" t="str">
            <v>磁性位置传感器</v>
          </cell>
        </row>
        <row r="10678">
          <cell r="O10678" t="str">
            <v>SC2434UA</v>
          </cell>
          <cell r="P10678" t="str">
            <v>STC9906I</v>
          </cell>
          <cell r="Q10678" t="str">
            <v>磁性位置传感器</v>
          </cell>
        </row>
        <row r="10679">
          <cell r="O10679" t="str">
            <v>SC9314UA</v>
          </cell>
          <cell r="P10679" t="str">
            <v>STC9901AF</v>
          </cell>
          <cell r="Q10679" t="str">
            <v>速度传感器</v>
          </cell>
        </row>
        <row r="10680">
          <cell r="O10680" t="str">
            <v>SC4011SO-N</v>
          </cell>
          <cell r="P10680" t="str">
            <v>STC4011B</v>
          </cell>
          <cell r="Q10680" t="str">
            <v>磁性位置传感器</v>
          </cell>
        </row>
        <row r="10681">
          <cell r="O10681" t="str">
            <v>SC4011SO-N</v>
          </cell>
          <cell r="P10681" t="str">
            <v>STC4011B</v>
          </cell>
          <cell r="Q10681" t="str">
            <v>磁性位置传感器</v>
          </cell>
        </row>
        <row r="10682">
          <cell r="O10682" t="str">
            <v>SC4011SO-N</v>
          </cell>
          <cell r="P10682" t="str">
            <v>STC4011B</v>
          </cell>
          <cell r="Q10682" t="str">
            <v>磁性位置传感器</v>
          </cell>
        </row>
        <row r="10683">
          <cell r="O10683" t="str">
            <v>SC4011SO-N</v>
          </cell>
          <cell r="P10683" t="str">
            <v>STC4011B</v>
          </cell>
          <cell r="Q10683" t="str">
            <v>磁性位置传感器</v>
          </cell>
        </row>
        <row r="10684">
          <cell r="O10684" t="str">
            <v>SC2442SO-N</v>
          </cell>
          <cell r="P10684" t="str">
            <v>STC9906P</v>
          </cell>
          <cell r="Q10684" t="str">
            <v>磁性位置传感器</v>
          </cell>
        </row>
        <row r="10685">
          <cell r="O10685" t="str">
            <v>2100</v>
          </cell>
          <cell r="P10685" t="str">
            <v>STC9D03E</v>
          </cell>
          <cell r="Q10685" t="str">
            <v>电流传感器</v>
          </cell>
        </row>
        <row r="10686">
          <cell r="O10686" t="str">
            <v>2100</v>
          </cell>
          <cell r="P10686" t="str">
            <v>STC9D03E</v>
          </cell>
          <cell r="Q10686" t="str">
            <v>电流传感器</v>
          </cell>
        </row>
        <row r="10687">
          <cell r="O10687" t="str">
            <v>SC9625VB-L</v>
          </cell>
          <cell r="P10687" t="str">
            <v>STC9910E</v>
          </cell>
          <cell r="Q10687" t="str">
            <v>速度传感器</v>
          </cell>
        </row>
        <row r="10688">
          <cell r="O10688" t="str">
            <v>SC9625VB-L</v>
          </cell>
          <cell r="P10688" t="str">
            <v>STC9910E</v>
          </cell>
          <cell r="Q10688" t="str">
            <v>速度传感器</v>
          </cell>
        </row>
        <row r="10689">
          <cell r="O10689" t="str">
            <v>SC9621VB</v>
          </cell>
          <cell r="P10689" t="str">
            <v>STC9910C</v>
          </cell>
          <cell r="Q10689" t="str">
            <v>速度传感器</v>
          </cell>
        </row>
        <row r="10690">
          <cell r="O10690" t="str">
            <v>SC4011SO-N</v>
          </cell>
          <cell r="P10690" t="str">
            <v>STC4011B</v>
          </cell>
          <cell r="Q10690" t="str">
            <v>磁性位置传感器</v>
          </cell>
        </row>
        <row r="10691">
          <cell r="O10691" t="str">
            <v>SC69401工程编程器套装</v>
          </cell>
          <cell r="P10691" t="str">
            <v xml:space="preserve"> </v>
          </cell>
          <cell r="Q10691" t="str">
            <v>角度传感器</v>
          </cell>
        </row>
        <row r="10692">
          <cell r="O10692" t="str">
            <v>SC1134UA</v>
          </cell>
          <cell r="P10692" t="str">
            <v>STC1898AI</v>
          </cell>
          <cell r="Q10692" t="str">
            <v>磁性位置传感器</v>
          </cell>
        </row>
        <row r="10693">
          <cell r="O10693" t="str">
            <v>SC69401工程编程器套装</v>
          </cell>
          <cell r="P10693" t="str">
            <v xml:space="preserve"> </v>
          </cell>
          <cell r="Q10693" t="str">
            <v>角度传感器</v>
          </cell>
        </row>
        <row r="10694">
          <cell r="O10694" t="str">
            <v>SC69401工程编程器套装</v>
          </cell>
          <cell r="P10694" t="str">
            <v xml:space="preserve"> </v>
          </cell>
          <cell r="Q10694" t="str">
            <v>角度传感器</v>
          </cell>
        </row>
        <row r="10695">
          <cell r="O10695" t="str">
            <v>SC2443SO</v>
          </cell>
          <cell r="P10695" t="str">
            <v>STC9906T</v>
          </cell>
          <cell r="Q10695" t="str">
            <v>磁性位置传感器</v>
          </cell>
        </row>
        <row r="10696">
          <cell r="O10696" t="str">
            <v>SC4688SA-A</v>
          </cell>
          <cell r="P10696" t="str">
            <v>STC9D01C</v>
          </cell>
          <cell r="Q10696" t="str">
            <v>角度传感器</v>
          </cell>
        </row>
        <row r="10697">
          <cell r="O10697" t="str">
            <v>SC69401D</v>
          </cell>
          <cell r="P10697" t="str">
            <v>STC9H002D</v>
          </cell>
          <cell r="Q10697" t="str">
            <v>角度传感器</v>
          </cell>
        </row>
        <row r="10698">
          <cell r="O10698" t="str">
            <v>SC4011SO-N</v>
          </cell>
          <cell r="P10698" t="str">
            <v>STC4011B</v>
          </cell>
          <cell r="Q10698" t="str">
            <v>磁性位置传感器</v>
          </cell>
        </row>
        <row r="10699">
          <cell r="O10699" t="str">
            <v>SC4011SO-N</v>
          </cell>
          <cell r="P10699" t="str">
            <v>STC4011B</v>
          </cell>
          <cell r="Q10699" t="str">
            <v>磁性位置传感器</v>
          </cell>
        </row>
        <row r="10700">
          <cell r="O10700" t="str">
            <v>SC2434SO-N</v>
          </cell>
          <cell r="P10700" t="str">
            <v>STC9906I</v>
          </cell>
          <cell r="Q10700" t="str">
            <v>磁性位置传感器</v>
          </cell>
        </row>
        <row r="10701">
          <cell r="O10701" t="str">
            <v>SC2434SO-N</v>
          </cell>
          <cell r="P10701" t="str">
            <v>STC9906I</v>
          </cell>
          <cell r="Q10701" t="str">
            <v>磁性位置传感器</v>
          </cell>
        </row>
        <row r="10702">
          <cell r="O10702" t="str">
            <v>SC2033SO-N</v>
          </cell>
          <cell r="P10702" t="str">
            <v>STC9G001D</v>
          </cell>
          <cell r="Q10702" t="str">
            <v>磁性位置传感器</v>
          </cell>
        </row>
        <row r="10703">
          <cell r="O10703" t="str">
            <v>SYLMV324BPD2R</v>
          </cell>
          <cell r="P10703" t="str">
            <v>STC9G003B</v>
          </cell>
          <cell r="Q10703" t="str">
            <v>其他数模混合</v>
          </cell>
        </row>
        <row r="10704">
          <cell r="O10704" t="str">
            <v>SYLMV324BPD2R</v>
          </cell>
          <cell r="P10704" t="str">
            <v>STC9G003B</v>
          </cell>
          <cell r="Q10704" t="str">
            <v>其他数模混合</v>
          </cell>
        </row>
        <row r="10705">
          <cell r="O10705" t="str">
            <v>SC4011SO-N</v>
          </cell>
          <cell r="P10705" t="str">
            <v>STC4011B</v>
          </cell>
          <cell r="Q10705" t="str">
            <v>磁性位置传感器</v>
          </cell>
        </row>
        <row r="10706">
          <cell r="O10706" t="str">
            <v>SC4011SO-N</v>
          </cell>
          <cell r="P10706" t="str">
            <v>STC4011B</v>
          </cell>
          <cell r="Q10706" t="str">
            <v>磁性位置传感器</v>
          </cell>
        </row>
        <row r="10707">
          <cell r="O10707" t="str">
            <v>SC2063UA</v>
          </cell>
          <cell r="P10707" t="str">
            <v>STC9G001C</v>
          </cell>
          <cell r="Q10707" t="str">
            <v>磁性位置传感器</v>
          </cell>
        </row>
        <row r="10708">
          <cell r="O10708" t="str">
            <v>SC1134SO-N</v>
          </cell>
          <cell r="P10708" t="str">
            <v>STC1898AI</v>
          </cell>
          <cell r="Q10708" t="str">
            <v>磁性位置传感器</v>
          </cell>
        </row>
        <row r="10709">
          <cell r="O10709" t="str">
            <v>SC4643VB</v>
          </cell>
          <cell r="P10709" t="str">
            <v>STC9D03E</v>
          </cell>
          <cell r="Q10709" t="str">
            <v>电流传感器</v>
          </cell>
        </row>
        <row r="10710">
          <cell r="O10710" t="str">
            <v>2100</v>
          </cell>
          <cell r="P10710" t="str">
            <v>STC9D03E</v>
          </cell>
          <cell r="Q10710" t="str">
            <v>电流传感器</v>
          </cell>
        </row>
        <row r="10711">
          <cell r="O10711" t="str">
            <v>2100</v>
          </cell>
          <cell r="P10711" t="str">
            <v>STC9D03E</v>
          </cell>
          <cell r="Q10711" t="str">
            <v>电流传感器</v>
          </cell>
        </row>
        <row r="10712">
          <cell r="O10712" t="str">
            <v>2100</v>
          </cell>
          <cell r="P10712" t="str">
            <v>STC9D03E</v>
          </cell>
          <cell r="Q10712" t="str">
            <v>电流传感器</v>
          </cell>
        </row>
        <row r="10713">
          <cell r="O10713" t="str">
            <v>SC4688编程板</v>
          </cell>
          <cell r="P10713" t="str">
            <v xml:space="preserve"> </v>
          </cell>
          <cell r="Q10713" t="str">
            <v>角度传感器</v>
          </cell>
        </row>
        <row r="10714">
          <cell r="O10714" t="str">
            <v>SC9625VB-L</v>
          </cell>
          <cell r="P10714" t="str">
            <v>STC9910E</v>
          </cell>
          <cell r="Q10714" t="str">
            <v>速度传感器</v>
          </cell>
        </row>
        <row r="10715">
          <cell r="O10715" t="str">
            <v>SC4011SO-N</v>
          </cell>
          <cell r="P10715" t="str">
            <v>STC4011B</v>
          </cell>
          <cell r="Q10715" t="str">
            <v>磁性位置传感器</v>
          </cell>
        </row>
        <row r="10716">
          <cell r="O10716" t="str">
            <v>SC4011SO-N</v>
          </cell>
          <cell r="P10716" t="str">
            <v>STC4011B</v>
          </cell>
          <cell r="Q10716" t="str">
            <v>磁性位置传感器</v>
          </cell>
        </row>
        <row r="10717">
          <cell r="O10717" t="str">
            <v>SC2434SO-N</v>
          </cell>
          <cell r="P10717" t="str">
            <v>STC9906I</v>
          </cell>
          <cell r="Q10717" t="str">
            <v>磁性位置传感器</v>
          </cell>
        </row>
        <row r="10718">
          <cell r="O10718" t="str">
            <v>SC2434SO-N</v>
          </cell>
          <cell r="P10718" t="str">
            <v>STC9906I</v>
          </cell>
          <cell r="Q10718" t="str">
            <v>磁性位置传感器</v>
          </cell>
        </row>
        <row r="10719">
          <cell r="O10719" t="str">
            <v>SC9641TS-P</v>
          </cell>
          <cell r="P10719" t="str">
            <v>STC9A001I</v>
          </cell>
          <cell r="Q10719" t="str">
            <v>速度传感器</v>
          </cell>
        </row>
        <row r="10720">
          <cell r="O10720" t="str">
            <v>SC9641TS</v>
          </cell>
          <cell r="P10720" t="str">
            <v>STC9910BN</v>
          </cell>
          <cell r="Q10720" t="str">
            <v>速度传感器</v>
          </cell>
        </row>
        <row r="10721">
          <cell r="O10721" t="str">
            <v>SC9641TS</v>
          </cell>
          <cell r="P10721" t="str">
            <v>STC9910BN</v>
          </cell>
          <cell r="Q10721" t="str">
            <v>速度传感器</v>
          </cell>
        </row>
        <row r="10722">
          <cell r="O10722" t="str">
            <v>SC69401D</v>
          </cell>
          <cell r="P10722" t="str">
            <v>STC9H002D</v>
          </cell>
          <cell r="Q10722" t="str">
            <v>角度传感器</v>
          </cell>
        </row>
        <row r="10723">
          <cell r="O10723" t="str">
            <v>SC4688编程板</v>
          </cell>
          <cell r="P10723" t="str">
            <v xml:space="preserve"> </v>
          </cell>
          <cell r="Q10723" t="str">
            <v>角度传感器</v>
          </cell>
        </row>
        <row r="10724">
          <cell r="O10724" t="str">
            <v>SC4688编程板</v>
          </cell>
          <cell r="P10724" t="str">
            <v xml:space="preserve"> </v>
          </cell>
          <cell r="Q10724" t="str">
            <v>角度传感器</v>
          </cell>
        </row>
        <row r="10725">
          <cell r="O10725" t="str">
            <v>SC1133UA</v>
          </cell>
          <cell r="P10725" t="str">
            <v>STC1898AJ</v>
          </cell>
          <cell r="Q10725" t="str">
            <v>磁性位置传感器</v>
          </cell>
        </row>
        <row r="10726">
          <cell r="O10726" t="str">
            <v>SC1133UA</v>
          </cell>
          <cell r="P10726" t="str">
            <v>STC1898AJ</v>
          </cell>
          <cell r="Q10726" t="str">
            <v>磁性位置传感器</v>
          </cell>
        </row>
        <row r="10727">
          <cell r="O10727" t="str">
            <v>SC1134UA</v>
          </cell>
          <cell r="P10727" t="str">
            <v>STC1898AI</v>
          </cell>
          <cell r="Q10727" t="str">
            <v>磁性位置传感器</v>
          </cell>
        </row>
        <row r="10728">
          <cell r="O10728" t="str">
            <v>SC9642TS-EC</v>
          </cell>
          <cell r="P10728" t="str">
            <v>STC9A001H</v>
          </cell>
          <cell r="Q10728" t="str">
            <v>速度传感器</v>
          </cell>
        </row>
        <row r="10729">
          <cell r="O10729" t="str">
            <v>SC9642TS-EC</v>
          </cell>
          <cell r="P10729" t="str">
            <v>STC9A001H</v>
          </cell>
          <cell r="Q10729" t="str">
            <v>速度传感器</v>
          </cell>
        </row>
        <row r="10730">
          <cell r="O10730" t="str">
            <v>SC9641TS</v>
          </cell>
          <cell r="P10730" t="str">
            <v>STC9910BN</v>
          </cell>
          <cell r="Q10730" t="str">
            <v>速度传感器</v>
          </cell>
        </row>
        <row r="10731">
          <cell r="O10731" t="str">
            <v>SC4688编程板</v>
          </cell>
          <cell r="P10731" t="str">
            <v xml:space="preserve"> </v>
          </cell>
          <cell r="Q10731" t="str">
            <v>角度传感器</v>
          </cell>
        </row>
        <row r="10732">
          <cell r="O10732" t="str">
            <v>SC4688编程板</v>
          </cell>
          <cell r="P10732" t="str">
            <v xml:space="preserve"> </v>
          </cell>
          <cell r="Q10732" t="str">
            <v>角度传感器</v>
          </cell>
        </row>
        <row r="10733">
          <cell r="O10733" t="str">
            <v>SC2434SO-N</v>
          </cell>
          <cell r="P10733" t="str">
            <v>STC9906I</v>
          </cell>
          <cell r="Q10733" t="str">
            <v>磁性位置传感器</v>
          </cell>
        </row>
        <row r="10734">
          <cell r="O10734" t="str">
            <v>SC60221-D-256</v>
          </cell>
          <cell r="P10734" t="str">
            <v>STC9D04C</v>
          </cell>
          <cell r="Q10734" t="str">
            <v>电机编码器</v>
          </cell>
        </row>
        <row r="10735">
          <cell r="O10735" t="str">
            <v>SC4688编程板</v>
          </cell>
          <cell r="P10735" t="str">
            <v xml:space="preserve"> </v>
          </cell>
          <cell r="Q10735" t="str">
            <v>角度传感器</v>
          </cell>
        </row>
        <row r="10736">
          <cell r="O10736" t="str">
            <v>SC60228DC</v>
          </cell>
          <cell r="P10736" t="str">
            <v>STC9D04C</v>
          </cell>
          <cell r="Q10736" t="str">
            <v>电机编码器</v>
          </cell>
        </row>
        <row r="10737">
          <cell r="O10737" t="str">
            <v>SC60220</v>
          </cell>
          <cell r="P10737" t="str">
            <v>STC9D04C</v>
          </cell>
          <cell r="Q10737" t="str">
            <v>电机编码器</v>
          </cell>
        </row>
        <row r="10738">
          <cell r="O10738" t="str">
            <v>SC4688编程板</v>
          </cell>
          <cell r="P10738" t="str">
            <v xml:space="preserve"> </v>
          </cell>
          <cell r="Q10738" t="str">
            <v>角度传感器</v>
          </cell>
        </row>
        <row r="10739">
          <cell r="O10739" t="str">
            <v>SC4688编程板</v>
          </cell>
          <cell r="P10739" t="str">
            <v xml:space="preserve"> </v>
          </cell>
          <cell r="Q10739" t="str">
            <v>角度传感器</v>
          </cell>
        </row>
        <row r="10740">
          <cell r="O10740" t="str">
            <v>SC9632VB</v>
          </cell>
          <cell r="P10740" t="str">
            <v>STC9905E</v>
          </cell>
          <cell r="Q10740" t="str">
            <v>速度传感器</v>
          </cell>
        </row>
        <row r="10741">
          <cell r="O10741" t="str">
            <v>SC2462SO</v>
          </cell>
          <cell r="P10741" t="str">
            <v>STC9906J</v>
          </cell>
          <cell r="Q10741" t="str">
            <v>磁性位置传感器</v>
          </cell>
        </row>
        <row r="10742">
          <cell r="O10742" t="str">
            <v>SC4643VB-P</v>
          </cell>
          <cell r="P10742" t="str">
            <v>STC9D03E</v>
          </cell>
          <cell r="Q10742" t="str">
            <v>电流传感器</v>
          </cell>
        </row>
        <row r="10743">
          <cell r="O10743" t="str">
            <v>SC4011SO-N</v>
          </cell>
          <cell r="P10743" t="str">
            <v>STC4011B</v>
          </cell>
          <cell r="Q10743" t="str">
            <v>磁性位置传感器</v>
          </cell>
        </row>
        <row r="10744">
          <cell r="O10744" t="str">
            <v>SC2464SO</v>
          </cell>
          <cell r="P10744" t="str">
            <v>STC9906J</v>
          </cell>
          <cell r="Q10744" t="str">
            <v>磁性位置传感器</v>
          </cell>
        </row>
        <row r="10745">
          <cell r="O10745" t="str">
            <v>SC2464SO</v>
          </cell>
          <cell r="P10745" t="str">
            <v>STC9906J</v>
          </cell>
          <cell r="Q10745" t="str">
            <v>磁性位置传感器</v>
          </cell>
        </row>
        <row r="10746">
          <cell r="O10746" t="str">
            <v>SC2462SO</v>
          </cell>
          <cell r="P10746" t="str">
            <v>STC9906J</v>
          </cell>
          <cell r="Q10746" t="str">
            <v>磁性位置传感器</v>
          </cell>
        </row>
        <row r="10747">
          <cell r="O10747" t="str">
            <v>SC4011SO-N</v>
          </cell>
          <cell r="P10747" t="str">
            <v>STC4011B</v>
          </cell>
          <cell r="Q10747" t="str">
            <v>磁性位置传感器</v>
          </cell>
        </row>
        <row r="10748">
          <cell r="O10748" t="str">
            <v>SC9621VB-A</v>
          </cell>
          <cell r="P10748" t="str">
            <v>STC9910NC-Q</v>
          </cell>
          <cell r="Q10748" t="str">
            <v>速度传感器</v>
          </cell>
        </row>
        <row r="10749">
          <cell r="O10749" t="str">
            <v>SC4011SO-N</v>
          </cell>
          <cell r="P10749" t="str">
            <v>STC4011B</v>
          </cell>
          <cell r="Q10749" t="str">
            <v>磁性位置传感器</v>
          </cell>
        </row>
        <row r="10750">
          <cell r="O10750" t="str">
            <v>SC4011SO-N</v>
          </cell>
          <cell r="P10750" t="str">
            <v>STC4011B</v>
          </cell>
          <cell r="Q10750" t="str">
            <v>磁性位置传感器</v>
          </cell>
        </row>
        <row r="10751">
          <cell r="O10751" t="str">
            <v>SC4011SO-N</v>
          </cell>
          <cell r="P10751" t="str">
            <v>STC4011B</v>
          </cell>
          <cell r="Q10751" t="str">
            <v>磁性位置传感器</v>
          </cell>
        </row>
        <row r="10752">
          <cell r="O10752" t="str">
            <v>SC4011SO-N</v>
          </cell>
          <cell r="P10752" t="str">
            <v>STC4011B</v>
          </cell>
          <cell r="Q10752" t="str">
            <v>磁性位置传感器</v>
          </cell>
        </row>
        <row r="10753">
          <cell r="O10753" t="str">
            <v>ZH639D0B</v>
          </cell>
          <cell r="P10753" t="str">
            <v>ZH639D0B</v>
          </cell>
          <cell r="Q10753" t="str">
            <v>电机驱动</v>
          </cell>
        </row>
        <row r="10754">
          <cell r="O10754" t="str">
            <v>SC2462SO</v>
          </cell>
          <cell r="P10754" t="str">
            <v>STC9906J</v>
          </cell>
          <cell r="Q10754" t="str">
            <v>磁性位置传感器</v>
          </cell>
        </row>
        <row r="10755">
          <cell r="O10755" t="str">
            <v>SC2464SO</v>
          </cell>
          <cell r="P10755" t="str">
            <v>STC9906J</v>
          </cell>
          <cell r="Q10755" t="str">
            <v>磁性位置传感器</v>
          </cell>
        </row>
        <row r="10756">
          <cell r="O10756" t="str">
            <v>SC2464SO</v>
          </cell>
          <cell r="P10756" t="str">
            <v>STC9906J</v>
          </cell>
          <cell r="Q10756" t="str">
            <v>磁性位置传感器</v>
          </cell>
        </row>
        <row r="10757">
          <cell r="O10757" t="str">
            <v>SC2464SO</v>
          </cell>
          <cell r="P10757" t="str">
            <v>STC9906J</v>
          </cell>
          <cell r="Q10757" t="str">
            <v>磁性位置传感器</v>
          </cell>
        </row>
        <row r="10758">
          <cell r="O10758" t="str">
            <v>SC4689SA</v>
          </cell>
          <cell r="P10758" t="str">
            <v>STC9D01F</v>
          </cell>
          <cell r="Q10758" t="str">
            <v>角度传感器</v>
          </cell>
        </row>
        <row r="10759">
          <cell r="O10759" t="str">
            <v>SC2242UA</v>
          </cell>
          <cell r="P10759" t="str">
            <v>STC9906H</v>
          </cell>
          <cell r="Q10759" t="str">
            <v>磁性位置传感器</v>
          </cell>
        </row>
        <row r="10760">
          <cell r="O10760" t="str">
            <v>SC2242UA</v>
          </cell>
          <cell r="P10760" t="str">
            <v>STC9906H</v>
          </cell>
          <cell r="Q10760" t="str">
            <v>磁性位置传感器</v>
          </cell>
        </row>
        <row r="10761">
          <cell r="O10761" t="str">
            <v>SC60224-D-1024</v>
          </cell>
          <cell r="P10761" t="str">
            <v>STC9D04C</v>
          </cell>
          <cell r="Q10761" t="str">
            <v>电机编码器</v>
          </cell>
        </row>
        <row r="10762">
          <cell r="O10762" t="str">
            <v>SC41HL-A2</v>
          </cell>
          <cell r="P10762" t="str">
            <v>STC1898AD</v>
          </cell>
          <cell r="Q10762" t="str">
            <v>磁性位置传感器</v>
          </cell>
        </row>
        <row r="10763">
          <cell r="O10763" t="str">
            <v>SC2432SO</v>
          </cell>
          <cell r="P10763" t="str">
            <v>STC9906I</v>
          </cell>
          <cell r="Q10763" t="str">
            <v>磁性位置传感器</v>
          </cell>
        </row>
        <row r="10764">
          <cell r="O10764" t="str">
            <v>SC2432SO</v>
          </cell>
          <cell r="P10764" t="str">
            <v>STC9906I</v>
          </cell>
          <cell r="Q10764" t="str">
            <v>磁性位置传感器</v>
          </cell>
        </row>
        <row r="10765">
          <cell r="O10765" t="str">
            <v>SC1138SO-N</v>
          </cell>
          <cell r="P10765" t="str">
            <v>STC1898AC</v>
          </cell>
          <cell r="Q10765" t="str">
            <v>磁性位置传感器</v>
          </cell>
        </row>
        <row r="10766">
          <cell r="O10766" t="str">
            <v>SC1138SO-N</v>
          </cell>
          <cell r="P10766" t="str">
            <v>STC1898AC</v>
          </cell>
          <cell r="Q10766" t="str">
            <v>磁性位置传感器</v>
          </cell>
        </row>
        <row r="10767">
          <cell r="O10767" t="str">
            <v>SC1138SO-N</v>
          </cell>
          <cell r="P10767" t="str">
            <v>STC1898AC</v>
          </cell>
          <cell r="Q10767" t="str">
            <v>磁性位置传感器</v>
          </cell>
        </row>
        <row r="10768">
          <cell r="O10768" t="str">
            <v>SC2242SO</v>
          </cell>
          <cell r="P10768" t="str">
            <v>STC9906H</v>
          </cell>
          <cell r="Q10768" t="str">
            <v>磁性位置传感器</v>
          </cell>
        </row>
        <row r="10769">
          <cell r="O10769" t="str">
            <v>SC2438UA</v>
          </cell>
          <cell r="P10769" t="str">
            <v>STC9906I</v>
          </cell>
          <cell r="Q10769" t="str">
            <v>磁性位置传感器</v>
          </cell>
        </row>
        <row r="10770">
          <cell r="O10770" t="str">
            <v>SD477S</v>
          </cell>
          <cell r="P10770" t="str">
            <v>STC22304B</v>
          </cell>
          <cell r="Q10770" t="str">
            <v>电机驱动</v>
          </cell>
        </row>
        <row r="10771">
          <cell r="O10771" t="str">
            <v>SD477S</v>
          </cell>
          <cell r="P10771" t="str">
            <v>STC22304B</v>
          </cell>
          <cell r="Q10771" t="str">
            <v>电机驱动</v>
          </cell>
        </row>
        <row r="10772">
          <cell r="O10772" t="str">
            <v>SC4002UA</v>
          </cell>
          <cell r="P10772" t="str">
            <v>STC4000AA</v>
          </cell>
          <cell r="Q10772" t="str">
            <v>磁性位置传感器</v>
          </cell>
        </row>
        <row r="10773">
          <cell r="O10773" t="str">
            <v>SC2063UA</v>
          </cell>
          <cell r="P10773" t="str">
            <v>STC9G001C</v>
          </cell>
          <cell r="Q10773" t="str">
            <v>磁性位置传感器</v>
          </cell>
        </row>
        <row r="10774">
          <cell r="O10774" t="str">
            <v>SC2064SO</v>
          </cell>
          <cell r="P10774" t="str">
            <v>STC9G001C</v>
          </cell>
          <cell r="Q10774" t="str">
            <v>磁性位置传感器</v>
          </cell>
        </row>
        <row r="10775">
          <cell r="O10775" t="str">
            <v>SC2430UA</v>
          </cell>
          <cell r="P10775" t="str">
            <v>STC9906I</v>
          </cell>
          <cell r="Q10775" t="str">
            <v>磁性位置传感器</v>
          </cell>
        </row>
        <row r="10776">
          <cell r="O10776" t="str">
            <v>SC2434SO-N</v>
          </cell>
          <cell r="P10776" t="str">
            <v>STC9906I</v>
          </cell>
          <cell r="Q10776" t="str">
            <v>磁性位置传感器</v>
          </cell>
        </row>
        <row r="10777">
          <cell r="O10777" t="str">
            <v>SC4011SO-N</v>
          </cell>
          <cell r="P10777" t="str">
            <v>STC4011B</v>
          </cell>
          <cell r="Q10777" t="str">
            <v>磁性位置传感器</v>
          </cell>
        </row>
        <row r="10778">
          <cell r="O10778" t="str">
            <v>SC4011SO-N</v>
          </cell>
          <cell r="P10778" t="str">
            <v>STC4011B</v>
          </cell>
          <cell r="Q10778" t="str">
            <v>磁性位置传感器</v>
          </cell>
        </row>
        <row r="10779">
          <cell r="O10779" t="str">
            <v>SC2442UA</v>
          </cell>
          <cell r="P10779" t="str">
            <v>STC9906P</v>
          </cell>
          <cell r="Q10779" t="str">
            <v>磁性位置传感器</v>
          </cell>
        </row>
        <row r="10780">
          <cell r="O10780" t="str">
            <v>SC2462UA</v>
          </cell>
          <cell r="P10780" t="str">
            <v>STC9906J</v>
          </cell>
          <cell r="Q10780" t="str">
            <v>磁性位置传感器</v>
          </cell>
        </row>
        <row r="10781">
          <cell r="O10781" t="str">
            <v>SC2434SO-N</v>
          </cell>
          <cell r="P10781" t="str">
            <v>STC9906I</v>
          </cell>
          <cell r="Q10781" t="str">
            <v>磁性位置传感器</v>
          </cell>
        </row>
        <row r="10782">
          <cell r="O10782" t="str">
            <v>KH477ST4-G</v>
          </cell>
          <cell r="P10782" t="str">
            <v>STC22304B</v>
          </cell>
          <cell r="Q10782" t="str">
            <v>电机驱动</v>
          </cell>
        </row>
        <row r="10783">
          <cell r="O10783" t="str">
            <v>KH211</v>
          </cell>
          <cell r="P10783" t="str">
            <v>FD1016A</v>
          </cell>
          <cell r="Q10783" t="str">
            <v>电机驱动</v>
          </cell>
        </row>
        <row r="10784">
          <cell r="O10784" t="str">
            <v>KH211</v>
          </cell>
          <cell r="P10784" t="str">
            <v>FD1016A</v>
          </cell>
          <cell r="Q10784" t="str">
            <v>电机驱动</v>
          </cell>
        </row>
        <row r="10785">
          <cell r="O10785" t="str">
            <v>KH211</v>
          </cell>
          <cell r="P10785" t="str">
            <v>FD1016A</v>
          </cell>
          <cell r="Q10785" t="str">
            <v>电机驱动</v>
          </cell>
        </row>
        <row r="10786">
          <cell r="O10786" t="str">
            <v>SC2462UA</v>
          </cell>
          <cell r="P10786" t="str">
            <v>STC9906J</v>
          </cell>
          <cell r="Q10786" t="str">
            <v>磁性位置传感器</v>
          </cell>
        </row>
        <row r="10787">
          <cell r="O10787" t="str">
            <v>SC4011SO-N</v>
          </cell>
          <cell r="P10787" t="str">
            <v>STC4011B</v>
          </cell>
          <cell r="Q10787" t="str">
            <v>磁性位置传感器</v>
          </cell>
        </row>
        <row r="10788">
          <cell r="O10788" t="str">
            <v>SC4011SO-N</v>
          </cell>
          <cell r="P10788" t="str">
            <v>STC4011B</v>
          </cell>
          <cell r="Q10788" t="str">
            <v>磁性位置传感器</v>
          </cell>
        </row>
        <row r="10789">
          <cell r="O10789" t="str">
            <v>2100</v>
          </cell>
          <cell r="P10789" t="str">
            <v>STC9D03E</v>
          </cell>
          <cell r="Q10789" t="str">
            <v>电流传感器</v>
          </cell>
        </row>
        <row r="10790">
          <cell r="O10790" t="str">
            <v>2100</v>
          </cell>
          <cell r="P10790" t="str">
            <v>STC9D03E</v>
          </cell>
          <cell r="Q10790" t="str">
            <v>电流传感器</v>
          </cell>
        </row>
        <row r="10791">
          <cell r="O10791" t="str">
            <v>SC2442UA</v>
          </cell>
          <cell r="P10791" t="str">
            <v>STC9906P</v>
          </cell>
          <cell r="Q10791" t="str">
            <v>磁性位置传感器</v>
          </cell>
        </row>
        <row r="10792">
          <cell r="O10792" t="str">
            <v>SC2498SO</v>
          </cell>
          <cell r="P10792" t="str">
            <v>SC9915C</v>
          </cell>
          <cell r="Q10792" t="str">
            <v>磁性位置传感器</v>
          </cell>
        </row>
        <row r="10793">
          <cell r="O10793" t="str">
            <v>SC2498SO</v>
          </cell>
          <cell r="P10793" t="str">
            <v>SC9915C</v>
          </cell>
          <cell r="Q10793" t="str">
            <v>磁性位置传感器</v>
          </cell>
        </row>
        <row r="10794">
          <cell r="O10794" t="str">
            <v>SC9625VB-L</v>
          </cell>
          <cell r="P10794" t="str">
            <v>STC9910E</v>
          </cell>
          <cell r="Q10794" t="str">
            <v>速度传感器</v>
          </cell>
        </row>
        <row r="10795">
          <cell r="O10795" t="str">
            <v>STC9G005C</v>
          </cell>
          <cell r="P10795" t="str">
            <v>STC9G005C</v>
          </cell>
          <cell r="Q10795" t="str">
            <v>其他数模混合</v>
          </cell>
        </row>
        <row r="10796">
          <cell r="O10796" t="str">
            <v>SC2432SO-N</v>
          </cell>
          <cell r="P10796" t="str">
            <v>STC9906I</v>
          </cell>
          <cell r="Q10796" t="str">
            <v>磁性位置传感器</v>
          </cell>
        </row>
        <row r="10797">
          <cell r="O10797" t="str">
            <v>SC2402UA-G</v>
          </cell>
          <cell r="P10797" t="str">
            <v>STC9G002B</v>
          </cell>
          <cell r="Q10797" t="str">
            <v>磁性位置传感器</v>
          </cell>
        </row>
        <row r="10798">
          <cell r="O10798" t="str">
            <v>SC2434SO-N</v>
          </cell>
          <cell r="P10798" t="str">
            <v>STC9906I</v>
          </cell>
          <cell r="Q10798" t="str">
            <v>磁性位置传感器</v>
          </cell>
        </row>
        <row r="10799">
          <cell r="O10799" t="str">
            <v>SC9675IM-P-LRF00</v>
          </cell>
          <cell r="P10799" t="str">
            <v>STC9A002B</v>
          </cell>
          <cell r="Q10799" t="str">
            <v>速度传感器</v>
          </cell>
        </row>
        <row r="10800">
          <cell r="O10800" t="str">
            <v>SC2438SO</v>
          </cell>
          <cell r="P10800" t="str">
            <v>STC9906I</v>
          </cell>
          <cell r="Q10800" t="str">
            <v>磁性位置传感器</v>
          </cell>
        </row>
        <row r="10801">
          <cell r="O10801" t="str">
            <v>SC1245UA</v>
          </cell>
          <cell r="P10801" t="str">
            <v>STC1898AD</v>
          </cell>
          <cell r="Q10801" t="str">
            <v>磁性位置传感器</v>
          </cell>
        </row>
        <row r="10802">
          <cell r="O10802" t="str">
            <v>SC2402SO-N</v>
          </cell>
          <cell r="P10802" t="str">
            <v>STC9902J</v>
          </cell>
          <cell r="Q10802" t="str">
            <v>磁性位置传感器</v>
          </cell>
        </row>
        <row r="10803">
          <cell r="O10803" t="str">
            <v>SC243X编程器</v>
          </cell>
          <cell r="P10803" t="str">
            <v xml:space="preserve"> </v>
          </cell>
          <cell r="Q10803" t="str">
            <v>磁性位置传感器</v>
          </cell>
        </row>
        <row r="10804">
          <cell r="O10804" t="str">
            <v>SC2434UA</v>
          </cell>
          <cell r="P10804" t="str">
            <v>STC9906I</v>
          </cell>
          <cell r="Q10804" t="str">
            <v>磁性位置传感器</v>
          </cell>
        </row>
        <row r="10805">
          <cell r="O10805" t="str">
            <v>SC4688SA-A</v>
          </cell>
          <cell r="P10805" t="str">
            <v>STC9D01C</v>
          </cell>
          <cell r="Q10805" t="str">
            <v>角度传感器</v>
          </cell>
        </row>
        <row r="10806">
          <cell r="O10806" t="str">
            <v>SC60224-D-16</v>
          </cell>
          <cell r="P10806" t="str">
            <v>STC9D04C</v>
          </cell>
          <cell r="Q10806" t="str">
            <v>电机编码器</v>
          </cell>
        </row>
        <row r="10807">
          <cell r="O10807" t="str">
            <v>SC2064SO</v>
          </cell>
          <cell r="P10807" t="str">
            <v>STC9G001C</v>
          </cell>
          <cell r="Q10807" t="str">
            <v>磁性位置传感器</v>
          </cell>
        </row>
        <row r="10808">
          <cell r="O10808" t="str">
            <v>SC1134UA</v>
          </cell>
          <cell r="P10808" t="str">
            <v>STC1898AI</v>
          </cell>
          <cell r="Q10808" t="str">
            <v>磁性位置传感器</v>
          </cell>
        </row>
        <row r="10809">
          <cell r="O10809" t="str">
            <v>SC2063SO</v>
          </cell>
          <cell r="P10809" t="str">
            <v>STC9G001C</v>
          </cell>
          <cell r="Q10809" t="str">
            <v>磁性位置传感器</v>
          </cell>
        </row>
        <row r="10810">
          <cell r="O10810" t="str">
            <v>SC2064SO</v>
          </cell>
          <cell r="P10810" t="str">
            <v>STC9G001C</v>
          </cell>
          <cell r="Q10810" t="str">
            <v>磁性位置传感器</v>
          </cell>
        </row>
        <row r="10811">
          <cell r="O10811" t="str">
            <v>SC2438SO</v>
          </cell>
          <cell r="P10811" t="str">
            <v>STC9906I</v>
          </cell>
          <cell r="Q10811" t="str">
            <v>磁性位置传感器</v>
          </cell>
        </row>
        <row r="10812">
          <cell r="O10812" t="str">
            <v>SC2438SO</v>
          </cell>
          <cell r="P10812" t="str">
            <v>STC9906I</v>
          </cell>
          <cell r="Q10812" t="str">
            <v>磁性位置传感器</v>
          </cell>
        </row>
        <row r="10813">
          <cell r="O10813" t="str">
            <v>SC2438SO</v>
          </cell>
          <cell r="P10813" t="str">
            <v>STC9906I</v>
          </cell>
          <cell r="Q10813" t="str">
            <v>磁性位置传感器</v>
          </cell>
        </row>
        <row r="10814">
          <cell r="O10814" t="str">
            <v>SC2438SO</v>
          </cell>
          <cell r="P10814" t="str">
            <v>STC9906I</v>
          </cell>
          <cell r="Q10814" t="str">
            <v>磁性位置传感器</v>
          </cell>
        </row>
        <row r="10815">
          <cell r="O10815" t="str">
            <v>SC4011SO-N</v>
          </cell>
          <cell r="P10815" t="str">
            <v>STC4011B</v>
          </cell>
          <cell r="Q10815" t="str">
            <v>磁性位置传感器</v>
          </cell>
        </row>
        <row r="10816">
          <cell r="O10816" t="str">
            <v>SC4011SO-N</v>
          </cell>
          <cell r="P10816" t="str">
            <v>STC4011B</v>
          </cell>
          <cell r="Q10816" t="str">
            <v>磁性位置传感器</v>
          </cell>
        </row>
        <row r="10817">
          <cell r="O10817" t="str">
            <v>SC4011SO-N</v>
          </cell>
          <cell r="P10817" t="str">
            <v>STC4011B</v>
          </cell>
          <cell r="Q10817" t="str">
            <v>磁性位置传感器</v>
          </cell>
        </row>
        <row r="10818">
          <cell r="O10818" t="str">
            <v>SC2063SO</v>
          </cell>
          <cell r="P10818" t="str">
            <v>STC9G001C</v>
          </cell>
          <cell r="Q10818" t="str">
            <v>磁性位置传感器</v>
          </cell>
        </row>
        <row r="10819">
          <cell r="O10819" t="str">
            <v>SC2063SO</v>
          </cell>
          <cell r="P10819" t="str">
            <v>STC9G001C</v>
          </cell>
          <cell r="Q10819" t="str">
            <v>磁性位置传感器</v>
          </cell>
        </row>
        <row r="10820">
          <cell r="O10820" t="str">
            <v>SC4011SO-N</v>
          </cell>
          <cell r="P10820" t="str">
            <v>STC4011B</v>
          </cell>
          <cell r="Q10820" t="str">
            <v>磁性位置传感器</v>
          </cell>
        </row>
        <row r="10821">
          <cell r="O10821" t="str">
            <v>SC4011SO-N</v>
          </cell>
          <cell r="P10821" t="str">
            <v>STC4011B</v>
          </cell>
          <cell r="Q10821" t="str">
            <v>磁性位置传感器</v>
          </cell>
        </row>
        <row r="10822">
          <cell r="O10822" t="str">
            <v>SC2063UA</v>
          </cell>
          <cell r="P10822" t="str">
            <v>STC9G001C</v>
          </cell>
          <cell r="Q10822" t="str">
            <v>磁性位置传感器</v>
          </cell>
        </row>
        <row r="10823">
          <cell r="O10823" t="str">
            <v>SC2064SO</v>
          </cell>
          <cell r="P10823" t="str">
            <v>STC9G001C</v>
          </cell>
          <cell r="Q10823" t="str">
            <v>磁性位置传感器</v>
          </cell>
        </row>
        <row r="10824">
          <cell r="O10824" t="str">
            <v>SC2064SO</v>
          </cell>
          <cell r="P10824" t="str">
            <v>STC9G001C</v>
          </cell>
          <cell r="Q10824" t="str">
            <v>磁性位置传感器</v>
          </cell>
        </row>
        <row r="10825">
          <cell r="O10825" t="str">
            <v>SC2242UA</v>
          </cell>
          <cell r="P10825" t="str">
            <v>STC9906H</v>
          </cell>
          <cell r="Q10825" t="str">
            <v>磁性位置传感器</v>
          </cell>
        </row>
        <row r="10826">
          <cell r="O10826" t="str">
            <v>STC4011B</v>
          </cell>
          <cell r="P10826" t="str">
            <v>STC4011B</v>
          </cell>
          <cell r="Q10826" t="str">
            <v>磁性位置传感器</v>
          </cell>
        </row>
        <row r="10827">
          <cell r="O10827" t="str">
            <v>2100</v>
          </cell>
          <cell r="P10827" t="str">
            <v>STC9D03E</v>
          </cell>
          <cell r="Q10827" t="str">
            <v>电流传感器</v>
          </cell>
        </row>
        <row r="10828">
          <cell r="O10828" t="str">
            <v>SC9621VB-A</v>
          </cell>
          <cell r="P10828" t="str">
            <v>STC9910NC-Q</v>
          </cell>
          <cell r="Q10828" t="str">
            <v>速度传感器</v>
          </cell>
        </row>
        <row r="10829">
          <cell r="O10829" t="str">
            <v>SC9621VB-A</v>
          </cell>
          <cell r="P10829" t="str">
            <v>STC9910NC-Q</v>
          </cell>
          <cell r="Q10829" t="str">
            <v>速度传感器</v>
          </cell>
        </row>
        <row r="10830">
          <cell r="O10830" t="str">
            <v>SC2455SO</v>
          </cell>
          <cell r="P10830" t="str">
            <v>STC9906K</v>
          </cell>
          <cell r="Q10830" t="str">
            <v>磁性位置传感器</v>
          </cell>
        </row>
        <row r="10831">
          <cell r="O10831" t="str">
            <v>SC4011SO-N</v>
          </cell>
          <cell r="P10831" t="str">
            <v>STC4011B</v>
          </cell>
          <cell r="Q10831" t="str">
            <v>磁性位置传感器</v>
          </cell>
        </row>
        <row r="10832">
          <cell r="O10832" t="str">
            <v>SC4011SO-N</v>
          </cell>
          <cell r="P10832" t="str">
            <v>STC4011B</v>
          </cell>
          <cell r="Q10832" t="str">
            <v>磁性位置传感器</v>
          </cell>
        </row>
        <row r="10833">
          <cell r="O10833" t="str">
            <v>SC9625VB</v>
          </cell>
          <cell r="P10833" t="str">
            <v>STC9910B</v>
          </cell>
          <cell r="Q10833" t="str">
            <v>速度传感器</v>
          </cell>
        </row>
        <row r="10834">
          <cell r="O10834" t="str">
            <v>SC9625VB</v>
          </cell>
          <cell r="P10834" t="str">
            <v>STC9910B</v>
          </cell>
          <cell r="Q10834" t="str">
            <v>速度传感器</v>
          </cell>
        </row>
        <row r="10835">
          <cell r="O10835" t="str">
            <v>SC9625VB-L</v>
          </cell>
          <cell r="P10835" t="str">
            <v>STC9910E</v>
          </cell>
          <cell r="Q10835" t="str">
            <v>速度传感器</v>
          </cell>
        </row>
        <row r="10836">
          <cell r="O10836" t="str">
            <v>SC9625VB</v>
          </cell>
          <cell r="P10836" t="str">
            <v>STC9910B</v>
          </cell>
          <cell r="Q10836" t="str">
            <v>速度传感器</v>
          </cell>
        </row>
        <row r="10837">
          <cell r="O10837" t="str">
            <v>SC9641TS-P</v>
          </cell>
          <cell r="P10837" t="str">
            <v>STC9A001F</v>
          </cell>
          <cell r="Q10837" t="str">
            <v>速度传感器</v>
          </cell>
        </row>
        <row r="10838">
          <cell r="O10838" t="str">
            <v>SC9641TS-P</v>
          </cell>
          <cell r="P10838" t="str">
            <v>STC9A001F</v>
          </cell>
          <cell r="Q10838" t="str">
            <v>速度传感器</v>
          </cell>
        </row>
        <row r="10839">
          <cell r="O10839" t="str">
            <v>SC9641TS-P</v>
          </cell>
          <cell r="P10839" t="str">
            <v>STC9A001F</v>
          </cell>
          <cell r="Q10839" t="str">
            <v>速度传感器</v>
          </cell>
        </row>
        <row r="10840">
          <cell r="O10840" t="str">
            <v>SC9641TS</v>
          </cell>
          <cell r="P10840" t="str">
            <v>STC9910BN</v>
          </cell>
          <cell r="Q10840" t="str">
            <v>速度传感器</v>
          </cell>
        </row>
        <row r="10841">
          <cell r="O10841" t="str">
            <v>SC2064SO</v>
          </cell>
          <cell r="P10841" t="str">
            <v>STC9G001C</v>
          </cell>
          <cell r="Q10841" t="str">
            <v>磁性位置传感器</v>
          </cell>
        </row>
        <row r="10842">
          <cell r="O10842" t="str">
            <v>SC2064SO</v>
          </cell>
          <cell r="P10842" t="str">
            <v>STC9G001C</v>
          </cell>
          <cell r="Q10842" t="str">
            <v>磁性位置传感器</v>
          </cell>
        </row>
        <row r="10843">
          <cell r="O10843" t="str">
            <v>SC2442SO</v>
          </cell>
          <cell r="P10843" t="str">
            <v>STC9906R</v>
          </cell>
          <cell r="Q10843" t="str">
            <v>磁性位置传感器</v>
          </cell>
        </row>
        <row r="10844">
          <cell r="O10844" t="str">
            <v>SC2442SO</v>
          </cell>
          <cell r="P10844" t="str">
            <v>STC9906R</v>
          </cell>
          <cell r="Q10844" t="str">
            <v>磁性位置传感器</v>
          </cell>
        </row>
        <row r="10845">
          <cell r="O10845" t="str">
            <v>SC9641TS</v>
          </cell>
          <cell r="P10845" t="str">
            <v>STC9910BN</v>
          </cell>
          <cell r="Q10845" t="str">
            <v>速度传感器</v>
          </cell>
        </row>
        <row r="10846">
          <cell r="O10846" t="str">
            <v>SC2064SO</v>
          </cell>
          <cell r="P10846" t="str">
            <v>STC9G001C</v>
          </cell>
          <cell r="Q10846" t="str">
            <v>磁性位置传感器</v>
          </cell>
        </row>
        <row r="10847">
          <cell r="O10847" t="str">
            <v>SC2202SO-N</v>
          </cell>
          <cell r="P10847" t="str">
            <v>STC9902E</v>
          </cell>
          <cell r="Q10847" t="str">
            <v>磁性位置传感器</v>
          </cell>
        </row>
        <row r="10848">
          <cell r="O10848" t="str">
            <v>SC4011SO-N</v>
          </cell>
          <cell r="P10848" t="str">
            <v>STC4011B</v>
          </cell>
          <cell r="Q10848" t="str">
            <v>磁性位置传感器</v>
          </cell>
        </row>
        <row r="10849">
          <cell r="O10849" t="str">
            <v>SC4011SO-N</v>
          </cell>
          <cell r="P10849" t="str">
            <v>STC4011B</v>
          </cell>
          <cell r="Q10849" t="str">
            <v>磁性位置传感器</v>
          </cell>
        </row>
        <row r="10850">
          <cell r="O10850" t="str">
            <v>SC4011SO-N</v>
          </cell>
          <cell r="P10850" t="str">
            <v>STC4011B</v>
          </cell>
          <cell r="Q10850" t="str">
            <v>磁性位置传感器</v>
          </cell>
        </row>
        <row r="10851">
          <cell r="O10851" t="str">
            <v>SC4011SO-N</v>
          </cell>
          <cell r="P10851" t="str">
            <v>STC4011B</v>
          </cell>
          <cell r="Q10851" t="str">
            <v>磁性位置传感器</v>
          </cell>
        </row>
        <row r="10852">
          <cell r="O10852" t="str">
            <v>SC4011SO-N</v>
          </cell>
          <cell r="P10852" t="str">
            <v>STC4011B</v>
          </cell>
          <cell r="Q10852" t="str">
            <v>磁性位置传感器</v>
          </cell>
        </row>
        <row r="10853">
          <cell r="O10853" t="str">
            <v>SC4011SO-N</v>
          </cell>
          <cell r="P10853" t="str">
            <v>STC4011B</v>
          </cell>
          <cell r="Q10853" t="str">
            <v>磁性位置传感器</v>
          </cell>
        </row>
        <row r="10854">
          <cell r="O10854" t="str">
            <v>SC4011SO-N</v>
          </cell>
          <cell r="P10854" t="str">
            <v>STC4011B</v>
          </cell>
          <cell r="Q10854" t="str">
            <v>磁性位置传感器</v>
          </cell>
        </row>
        <row r="10855">
          <cell r="O10855" t="str">
            <v>SC2063SO</v>
          </cell>
          <cell r="P10855" t="str">
            <v>STC9G001C</v>
          </cell>
          <cell r="Q10855" t="str">
            <v>磁性位置传感器</v>
          </cell>
        </row>
        <row r="10856">
          <cell r="O10856" t="str">
            <v>SC2063SO</v>
          </cell>
          <cell r="P10856" t="str">
            <v>STC9G001C</v>
          </cell>
          <cell r="Q10856" t="str">
            <v>磁性位置传感器</v>
          </cell>
        </row>
        <row r="10857">
          <cell r="O10857" t="str">
            <v>SC1645B1</v>
          </cell>
          <cell r="P10857" t="str">
            <v>STC2899AE</v>
          </cell>
          <cell r="Q10857" t="str">
            <v>磁性位置传感器</v>
          </cell>
        </row>
        <row r="10858">
          <cell r="O10858" t="str">
            <v>SC1645B1</v>
          </cell>
          <cell r="P10858" t="str">
            <v>STC2899AE</v>
          </cell>
          <cell r="Q10858" t="str">
            <v>磁性位置传感器</v>
          </cell>
        </row>
        <row r="10859">
          <cell r="O10859" t="str">
            <v>SYLMV324BPD2R</v>
          </cell>
          <cell r="P10859" t="str">
            <v>STC9G003B</v>
          </cell>
          <cell r="Q10859" t="str">
            <v>其他数模混合</v>
          </cell>
        </row>
        <row r="10860">
          <cell r="O10860" t="str">
            <v>SC2434SO-N</v>
          </cell>
          <cell r="P10860" t="str">
            <v>STC9906I</v>
          </cell>
          <cell r="Q10860" t="str">
            <v>磁性位置传感器</v>
          </cell>
        </row>
        <row r="10861">
          <cell r="O10861" t="str">
            <v>SC2434SO-N</v>
          </cell>
          <cell r="P10861" t="str">
            <v>STC9906I</v>
          </cell>
          <cell r="Q10861" t="str">
            <v>磁性位置传感器</v>
          </cell>
        </row>
        <row r="10862">
          <cell r="O10862" t="str">
            <v>SC2402SO-N</v>
          </cell>
          <cell r="P10862" t="str">
            <v>STC9G002A</v>
          </cell>
          <cell r="Q10862" t="str">
            <v>磁性位置传感器</v>
          </cell>
        </row>
        <row r="10863">
          <cell r="O10863" t="str">
            <v>SC2063UA</v>
          </cell>
          <cell r="P10863" t="str">
            <v>STC9G001C</v>
          </cell>
          <cell r="Q10863" t="str">
            <v>磁性位置传感器</v>
          </cell>
        </row>
        <row r="10864">
          <cell r="O10864" t="str">
            <v>2100</v>
          </cell>
          <cell r="P10864" t="str">
            <v>STC9D03E</v>
          </cell>
          <cell r="Q10864" t="str">
            <v>电流传感器</v>
          </cell>
        </row>
        <row r="10865">
          <cell r="O10865" t="str">
            <v>SC2442UA</v>
          </cell>
          <cell r="P10865" t="str">
            <v>STC9906P</v>
          </cell>
          <cell r="Q10865" t="str">
            <v>磁性位置传感器</v>
          </cell>
        </row>
        <row r="10866">
          <cell r="O10866" t="str">
            <v>SC4624SP20B5</v>
          </cell>
          <cell r="P10866" t="str">
            <v>STC9D06F</v>
          </cell>
          <cell r="Q10866" t="str">
            <v>电流传感器</v>
          </cell>
        </row>
        <row r="10867">
          <cell r="O10867" t="str">
            <v>SC4624SP20B5</v>
          </cell>
          <cell r="P10867" t="str">
            <v>STC9D06F</v>
          </cell>
          <cell r="Q10867" t="str">
            <v>电流传感器</v>
          </cell>
        </row>
        <row r="10868">
          <cell r="O10868" t="str">
            <v>SC2455SO</v>
          </cell>
          <cell r="P10868" t="str">
            <v>STC9906K</v>
          </cell>
          <cell r="Q10868" t="str">
            <v>磁性位置传感器</v>
          </cell>
        </row>
        <row r="10869">
          <cell r="O10869" t="str">
            <v>SC2443UA</v>
          </cell>
          <cell r="P10869" t="str">
            <v>STC9906W</v>
          </cell>
          <cell r="Q10869" t="str">
            <v>磁性位置传感器</v>
          </cell>
        </row>
        <row r="10870">
          <cell r="O10870" t="str">
            <v>SC1134UA</v>
          </cell>
          <cell r="P10870" t="str">
            <v>STC1898AI</v>
          </cell>
          <cell r="Q10870" t="str">
            <v>磁性位置传感器</v>
          </cell>
        </row>
        <row r="10871">
          <cell r="O10871" t="str">
            <v>SC1245UA</v>
          </cell>
          <cell r="P10871" t="str">
            <v>STC1898AD</v>
          </cell>
          <cell r="Q10871" t="str">
            <v>磁性位置传感器</v>
          </cell>
        </row>
        <row r="10872">
          <cell r="O10872" t="str">
            <v>SC1245UA</v>
          </cell>
          <cell r="P10872" t="str">
            <v>STC1898AD</v>
          </cell>
          <cell r="Q10872" t="str">
            <v>磁性位置传感器</v>
          </cell>
        </row>
        <row r="10873">
          <cell r="O10873" t="str">
            <v>SC1245UA</v>
          </cell>
          <cell r="P10873" t="str">
            <v>STC1898AD</v>
          </cell>
          <cell r="Q10873" t="str">
            <v>磁性位置传感器</v>
          </cell>
        </row>
        <row r="10874">
          <cell r="O10874" t="str">
            <v>SC1245UA</v>
          </cell>
          <cell r="P10874" t="str">
            <v>STC1898AD</v>
          </cell>
          <cell r="Q10874" t="str">
            <v>磁性位置传感器</v>
          </cell>
        </row>
        <row r="10875">
          <cell r="O10875" t="str">
            <v>SC2462SO</v>
          </cell>
          <cell r="P10875" t="str">
            <v>STC9906J</v>
          </cell>
          <cell r="Q10875" t="str">
            <v>磁性位置传感器</v>
          </cell>
        </row>
        <row r="10876">
          <cell r="O10876" t="str">
            <v>SC4688DC-M3</v>
          </cell>
          <cell r="P10876" t="str">
            <v>STC9D01C</v>
          </cell>
          <cell r="Q10876" t="str">
            <v>角度传感器</v>
          </cell>
        </row>
        <row r="10877">
          <cell r="O10877" t="str">
            <v>SC4688DC-M4</v>
          </cell>
          <cell r="P10877" t="str">
            <v>STC9D01C</v>
          </cell>
          <cell r="Q10877" t="str">
            <v>角度传感器</v>
          </cell>
        </row>
        <row r="10878">
          <cell r="O10878" t="str">
            <v>SC4688DC-M4</v>
          </cell>
          <cell r="P10878" t="str">
            <v>STC9D01C</v>
          </cell>
          <cell r="Q10878" t="str">
            <v>角度传感器</v>
          </cell>
        </row>
        <row r="10879">
          <cell r="O10879" t="str">
            <v>SC9633VB</v>
          </cell>
          <cell r="P10879" t="str">
            <v>STC9905F</v>
          </cell>
          <cell r="Q10879" t="str">
            <v>速度传感器</v>
          </cell>
        </row>
        <row r="10880">
          <cell r="O10880" t="str">
            <v>SC4643VB</v>
          </cell>
          <cell r="P10880" t="str">
            <v>STC9D03E</v>
          </cell>
          <cell r="Q10880" t="str">
            <v>电流传感器</v>
          </cell>
        </row>
        <row r="10881">
          <cell r="O10881" t="str">
            <v>SC2402UA-G</v>
          </cell>
          <cell r="P10881" t="str">
            <v>STC9G002B</v>
          </cell>
          <cell r="Q10881" t="str">
            <v>磁性位置传感器</v>
          </cell>
        </row>
        <row r="10882">
          <cell r="O10882" t="str">
            <v>SD2276</v>
          </cell>
          <cell r="P10882" t="str">
            <v>FD1014A</v>
          </cell>
          <cell r="Q10882" t="str">
            <v>电机驱动</v>
          </cell>
        </row>
        <row r="10883">
          <cell r="O10883" t="str">
            <v>SC9641TS-P</v>
          </cell>
          <cell r="P10883" t="str">
            <v>STC9A001F</v>
          </cell>
          <cell r="Q10883" t="str">
            <v>速度传感器</v>
          </cell>
        </row>
        <row r="10884">
          <cell r="O10884" t="str">
            <v>SC9641TS-P</v>
          </cell>
          <cell r="P10884" t="str">
            <v>STC9A001F</v>
          </cell>
          <cell r="Q10884" t="str">
            <v>速度传感器</v>
          </cell>
        </row>
        <row r="10885">
          <cell r="O10885" t="str">
            <v>SC9641TS-P</v>
          </cell>
          <cell r="P10885" t="str">
            <v>STC9A001F</v>
          </cell>
          <cell r="Q10885" t="str">
            <v>速度传感器</v>
          </cell>
        </row>
        <row r="10886">
          <cell r="O10886" t="str">
            <v>SC4011SO-N</v>
          </cell>
          <cell r="P10886" t="str">
            <v>STC4011B</v>
          </cell>
          <cell r="Q10886" t="str">
            <v>磁性位置传感器</v>
          </cell>
        </row>
        <row r="10887">
          <cell r="O10887" t="str">
            <v>SC2242SO</v>
          </cell>
          <cell r="P10887" t="str">
            <v>STC9906H</v>
          </cell>
          <cell r="Q10887" t="str">
            <v>磁性位置传感器</v>
          </cell>
        </row>
        <row r="10888">
          <cell r="O10888" t="str">
            <v>SC2242SO</v>
          </cell>
          <cell r="P10888" t="str">
            <v>STC9906H</v>
          </cell>
          <cell r="Q10888" t="str">
            <v>磁性位置传感器</v>
          </cell>
        </row>
        <row r="10889">
          <cell r="O10889" t="str">
            <v>SC2402UA-G</v>
          </cell>
          <cell r="P10889" t="str">
            <v>STC9G002B</v>
          </cell>
          <cell r="Q10889" t="str">
            <v>磁性位置传感器</v>
          </cell>
        </row>
        <row r="10890">
          <cell r="O10890" t="str">
            <v>SC2402UA-G</v>
          </cell>
          <cell r="P10890" t="str">
            <v>STC9G002B</v>
          </cell>
          <cell r="Q10890" t="str">
            <v>磁性位置传感器</v>
          </cell>
        </row>
        <row r="10891">
          <cell r="O10891" t="str">
            <v>SC2402UA-G</v>
          </cell>
          <cell r="P10891" t="str">
            <v>STC9G002B</v>
          </cell>
          <cell r="Q10891" t="str">
            <v>磁性位置传感器</v>
          </cell>
        </row>
        <row r="10892">
          <cell r="O10892" t="str">
            <v>SC2063UA</v>
          </cell>
          <cell r="P10892" t="str">
            <v>STC9G001C</v>
          </cell>
          <cell r="Q10892" t="str">
            <v>磁性位置传感器</v>
          </cell>
        </row>
        <row r="10893">
          <cell r="O10893" t="str">
            <v>SC2466SO</v>
          </cell>
          <cell r="P10893" t="str">
            <v>STC9906O</v>
          </cell>
          <cell r="Q10893" t="str">
            <v>磁性位置传感器</v>
          </cell>
        </row>
        <row r="10894">
          <cell r="O10894" t="str">
            <v>SC2466SO</v>
          </cell>
          <cell r="P10894" t="str">
            <v>STC9906O</v>
          </cell>
          <cell r="Q10894" t="str">
            <v>磁性位置传感器</v>
          </cell>
        </row>
        <row r="10895">
          <cell r="O10895" t="str">
            <v>SC2466SO</v>
          </cell>
          <cell r="P10895" t="str">
            <v>STC9906O</v>
          </cell>
          <cell r="Q10895" t="str">
            <v>磁性位置传感器</v>
          </cell>
        </row>
        <row r="10896">
          <cell r="O10896" t="str">
            <v>SC2466SO</v>
          </cell>
          <cell r="P10896" t="str">
            <v>STC9906O</v>
          </cell>
          <cell r="Q10896" t="str">
            <v>磁性位置传感器</v>
          </cell>
        </row>
        <row r="10897">
          <cell r="O10897" t="str">
            <v>SC2466SO</v>
          </cell>
          <cell r="P10897" t="str">
            <v>STC9906O</v>
          </cell>
          <cell r="Q10897" t="str">
            <v>磁性位置传感器</v>
          </cell>
        </row>
        <row r="10898">
          <cell r="O10898" t="str">
            <v>SC2466SO</v>
          </cell>
          <cell r="P10898" t="str">
            <v>STC9906O</v>
          </cell>
          <cell r="Q10898" t="str">
            <v>磁性位置传感器</v>
          </cell>
        </row>
        <row r="10899">
          <cell r="O10899" t="str">
            <v>SC4011SO-N</v>
          </cell>
          <cell r="P10899" t="str">
            <v>STC4011B</v>
          </cell>
          <cell r="Q10899" t="str">
            <v>磁性位置传感器</v>
          </cell>
        </row>
        <row r="10900">
          <cell r="O10900" t="str">
            <v>SC4643VB</v>
          </cell>
          <cell r="P10900" t="str">
            <v>STC9D03E</v>
          </cell>
          <cell r="Q10900" t="str">
            <v>电流传感器</v>
          </cell>
        </row>
        <row r="10901">
          <cell r="O10901" t="str">
            <v>2100</v>
          </cell>
          <cell r="P10901" t="str">
            <v>STC9D03E</v>
          </cell>
          <cell r="Q10901" t="str">
            <v>电流传感器</v>
          </cell>
        </row>
        <row r="10902">
          <cell r="O10902" t="str">
            <v>SC9625VB-L</v>
          </cell>
          <cell r="P10902" t="str">
            <v>STC9910E</v>
          </cell>
          <cell r="Q10902" t="str">
            <v>速度传感器</v>
          </cell>
        </row>
        <row r="10903">
          <cell r="O10903" t="str">
            <v>SC9625VB-L</v>
          </cell>
          <cell r="P10903" t="str">
            <v>STC9910E</v>
          </cell>
          <cell r="Q10903" t="str">
            <v>速度传感器</v>
          </cell>
        </row>
        <row r="10904">
          <cell r="O10904" t="str">
            <v>SC2442UA</v>
          </cell>
          <cell r="P10904" t="str">
            <v>STC9906P</v>
          </cell>
          <cell r="Q10904" t="str">
            <v>磁性位置传感器</v>
          </cell>
        </row>
        <row r="10905">
          <cell r="O10905" t="str">
            <v>SC9625VB</v>
          </cell>
          <cell r="P10905" t="str">
            <v>STC9910B</v>
          </cell>
          <cell r="Q10905" t="str">
            <v>速度传感器</v>
          </cell>
        </row>
        <row r="10906">
          <cell r="O10906" t="str">
            <v>SC9625VB</v>
          </cell>
          <cell r="P10906" t="str">
            <v>STC9910B</v>
          </cell>
          <cell r="Q10906" t="str">
            <v>速度传感器</v>
          </cell>
        </row>
        <row r="10907">
          <cell r="O10907" t="str">
            <v>SC9625VB</v>
          </cell>
          <cell r="P10907" t="str">
            <v>STC9910B</v>
          </cell>
          <cell r="Q10907" t="str">
            <v>速度传感器</v>
          </cell>
        </row>
        <row r="10908">
          <cell r="O10908" t="str">
            <v>SC9625VB</v>
          </cell>
          <cell r="P10908" t="str">
            <v>STC9910B</v>
          </cell>
          <cell r="Q10908" t="str">
            <v>速度传感器</v>
          </cell>
        </row>
        <row r="10909">
          <cell r="O10909" t="str">
            <v>SC4011SO-N</v>
          </cell>
          <cell r="P10909" t="str">
            <v>STC4011B</v>
          </cell>
          <cell r="Q10909" t="str">
            <v>磁性位置传感器</v>
          </cell>
        </row>
        <row r="10910">
          <cell r="O10910" t="str">
            <v>SC9625VB-L</v>
          </cell>
          <cell r="P10910" t="str">
            <v>STC9910E</v>
          </cell>
          <cell r="Q10910" t="str">
            <v>速度传感器</v>
          </cell>
        </row>
        <row r="10911">
          <cell r="O10911" t="str">
            <v>SC9641TS-P</v>
          </cell>
          <cell r="P10911" t="str">
            <v>STC9A001F</v>
          </cell>
          <cell r="Q10911" t="str">
            <v>速度传感器</v>
          </cell>
        </row>
        <row r="10912">
          <cell r="O10912" t="str">
            <v>SC9641TS-P</v>
          </cell>
          <cell r="P10912" t="str">
            <v>STC9A001F</v>
          </cell>
          <cell r="Q10912" t="str">
            <v>速度传感器</v>
          </cell>
        </row>
        <row r="10913">
          <cell r="O10913" t="str">
            <v>SC9675IM-P-HRF11</v>
          </cell>
          <cell r="P10913" t="str">
            <v>STC9A002B</v>
          </cell>
          <cell r="Q10913" t="str">
            <v>速度传感器</v>
          </cell>
        </row>
        <row r="10914">
          <cell r="O10914" t="str">
            <v>SC9675IM-P-HRF11</v>
          </cell>
          <cell r="P10914" t="str">
            <v>STC9A002B</v>
          </cell>
          <cell r="Q10914" t="str">
            <v>速度传感器</v>
          </cell>
        </row>
        <row r="10915">
          <cell r="O10915" t="str">
            <v>SC9625VB</v>
          </cell>
          <cell r="P10915" t="str">
            <v>STC9910B</v>
          </cell>
          <cell r="Q10915" t="str">
            <v>速度传感器</v>
          </cell>
        </row>
        <row r="10916">
          <cell r="O10916" t="str">
            <v>SC9625VB</v>
          </cell>
          <cell r="P10916" t="str">
            <v>STC9910B</v>
          </cell>
          <cell r="Q10916" t="str">
            <v>速度传感器</v>
          </cell>
        </row>
        <row r="10917">
          <cell r="O10917" t="str">
            <v>SC2455SO</v>
          </cell>
          <cell r="P10917" t="str">
            <v>STC9906K</v>
          </cell>
          <cell r="Q10917" t="str">
            <v>磁性位置传感器</v>
          </cell>
        </row>
        <row r="10918">
          <cell r="O10918" t="str">
            <v>SC2455SO</v>
          </cell>
          <cell r="P10918" t="str">
            <v>STC9906K</v>
          </cell>
          <cell r="Q10918" t="str">
            <v>磁性位置传感器</v>
          </cell>
        </row>
        <row r="10919">
          <cell r="O10919" t="str">
            <v>SC2455SO</v>
          </cell>
          <cell r="P10919" t="str">
            <v>STC9906K</v>
          </cell>
          <cell r="Q10919" t="str">
            <v>磁性位置传感器</v>
          </cell>
        </row>
        <row r="10920">
          <cell r="O10920" t="str">
            <v>SC2455SO</v>
          </cell>
          <cell r="P10920" t="str">
            <v>STC9906K</v>
          </cell>
          <cell r="Q10920" t="str">
            <v>磁性位置传感器</v>
          </cell>
        </row>
        <row r="10921">
          <cell r="O10921" t="str">
            <v>SC2242SO</v>
          </cell>
          <cell r="P10921" t="str">
            <v>STC9906H</v>
          </cell>
          <cell r="Q10921" t="str">
            <v>磁性位置传感器</v>
          </cell>
        </row>
        <row r="10922">
          <cell r="O10922" t="str">
            <v>SC2442SO</v>
          </cell>
          <cell r="P10922" t="str">
            <v>STC9906R</v>
          </cell>
          <cell r="Q10922" t="str">
            <v>磁性位置传感器</v>
          </cell>
        </row>
        <row r="10923">
          <cell r="O10923" t="str">
            <v>SC2442SO</v>
          </cell>
          <cell r="P10923" t="str">
            <v>STC9906R</v>
          </cell>
          <cell r="Q10923" t="str">
            <v>磁性位置传感器</v>
          </cell>
        </row>
        <row r="10924">
          <cell r="O10924" t="str">
            <v>SC9641TS-P</v>
          </cell>
          <cell r="P10924" t="str">
            <v>STC9A001F</v>
          </cell>
          <cell r="Q10924" t="str">
            <v>速度传感器</v>
          </cell>
        </row>
        <row r="10925">
          <cell r="O10925" t="str">
            <v>SC1245UA</v>
          </cell>
          <cell r="P10925" t="str">
            <v>STC1898AD</v>
          </cell>
          <cell r="Q10925" t="str">
            <v>磁性位置传感器</v>
          </cell>
        </row>
        <row r="10926">
          <cell r="O10926" t="str">
            <v>SC1245UA</v>
          </cell>
          <cell r="P10926" t="str">
            <v>STC1898AD</v>
          </cell>
          <cell r="Q10926" t="str">
            <v>磁性位置传感器</v>
          </cell>
        </row>
        <row r="10927">
          <cell r="O10927" t="str">
            <v>SC4695DC</v>
          </cell>
          <cell r="P10927" t="str">
            <v>STC9D01C</v>
          </cell>
          <cell r="Q10927" t="str">
            <v>角度传感器</v>
          </cell>
        </row>
        <row r="10928">
          <cell r="O10928" t="str">
            <v>SC4695DC</v>
          </cell>
          <cell r="P10928" t="str">
            <v>STC9D01C</v>
          </cell>
          <cell r="Q10928" t="str">
            <v>角度传感器</v>
          </cell>
        </row>
        <row r="10929">
          <cell r="O10929" t="str">
            <v>SC4695DC</v>
          </cell>
          <cell r="P10929" t="str">
            <v>STC9D01C</v>
          </cell>
          <cell r="Q10929" t="str">
            <v>角度传感器</v>
          </cell>
        </row>
        <row r="10930">
          <cell r="O10930" t="str">
            <v>SC4695DC</v>
          </cell>
          <cell r="P10930" t="str">
            <v>STC9D01C</v>
          </cell>
          <cell r="Q10930" t="str">
            <v>角度传感器</v>
          </cell>
        </row>
        <row r="10931">
          <cell r="O10931" t="str">
            <v>SC4695DC</v>
          </cell>
          <cell r="P10931" t="str">
            <v>STC9D01C</v>
          </cell>
          <cell r="Q10931" t="str">
            <v>角度传感器</v>
          </cell>
        </row>
        <row r="10932">
          <cell r="O10932" t="str">
            <v>SC2462SO</v>
          </cell>
          <cell r="P10932" t="str">
            <v>STC9906J</v>
          </cell>
          <cell r="Q10932" t="str">
            <v>磁性位置传感器</v>
          </cell>
        </row>
        <row r="10933">
          <cell r="O10933" t="str">
            <v>SC9642TS-E</v>
          </cell>
          <cell r="P10933" t="str">
            <v>STC9A001H</v>
          </cell>
          <cell r="Q10933" t="str">
            <v>速度传感器</v>
          </cell>
        </row>
        <row r="10934">
          <cell r="O10934" t="str">
            <v>SC9642TS-E</v>
          </cell>
          <cell r="P10934" t="str">
            <v>STC9A001H</v>
          </cell>
          <cell r="Q10934" t="str">
            <v>速度传感器</v>
          </cell>
        </row>
        <row r="10935">
          <cell r="O10935" t="str">
            <v>SC9625VB</v>
          </cell>
          <cell r="P10935" t="str">
            <v>STC9910B</v>
          </cell>
          <cell r="Q10935" t="str">
            <v>速度传感器</v>
          </cell>
        </row>
        <row r="10936">
          <cell r="O10936" t="str">
            <v>SC9625VB</v>
          </cell>
          <cell r="P10936" t="str">
            <v>STC9910B</v>
          </cell>
          <cell r="Q10936" t="str">
            <v>速度传感器</v>
          </cell>
        </row>
        <row r="10937">
          <cell r="O10937" t="str">
            <v>SC1002A1</v>
          </cell>
          <cell r="P10937" t="str">
            <v>STC1002AG</v>
          </cell>
          <cell r="Q10937" t="str">
            <v>磁性位置传感器</v>
          </cell>
        </row>
        <row r="10938">
          <cell r="O10938" t="str">
            <v>SC1002A1</v>
          </cell>
          <cell r="P10938" t="str">
            <v>STC1002AG</v>
          </cell>
          <cell r="Q10938" t="str">
            <v>磁性位置传感器</v>
          </cell>
        </row>
        <row r="10939">
          <cell r="O10939" t="str">
            <v>SC2432SO</v>
          </cell>
          <cell r="P10939" t="str">
            <v>STC9906I</v>
          </cell>
          <cell r="Q10939" t="str">
            <v>磁性位置传感器</v>
          </cell>
        </row>
        <row r="10940">
          <cell r="O10940" t="str">
            <v>SC2064SO</v>
          </cell>
          <cell r="P10940" t="str">
            <v>STC9G001C</v>
          </cell>
          <cell r="Q10940" t="str">
            <v>磁性位置传感器</v>
          </cell>
        </row>
        <row r="10941">
          <cell r="O10941" t="str">
            <v>SC1134UA</v>
          </cell>
          <cell r="P10941" t="str">
            <v>STC1898AI</v>
          </cell>
          <cell r="Q10941" t="str">
            <v>磁性位置传感器</v>
          </cell>
        </row>
        <row r="10942">
          <cell r="O10942" t="str">
            <v>SC1445A1</v>
          </cell>
          <cell r="P10942" t="str">
            <v>STC2899AB</v>
          </cell>
          <cell r="Q10942" t="str">
            <v>磁性位置传感器</v>
          </cell>
        </row>
        <row r="10943">
          <cell r="O10943" t="str">
            <v>SD2276</v>
          </cell>
          <cell r="P10943" t="str">
            <v>FD1014A</v>
          </cell>
          <cell r="Q10943" t="str">
            <v>电机驱动</v>
          </cell>
        </row>
        <row r="10944">
          <cell r="O10944" t="str">
            <v>SD2276</v>
          </cell>
          <cell r="P10944" t="str">
            <v>FD1014A</v>
          </cell>
          <cell r="Q10944" t="str">
            <v>电机驱动</v>
          </cell>
        </row>
        <row r="10945">
          <cell r="O10945" t="str">
            <v>SC4002UA</v>
          </cell>
          <cell r="P10945" t="str">
            <v>STC4000AA</v>
          </cell>
          <cell r="Q10945" t="str">
            <v>磁性位置传感器</v>
          </cell>
        </row>
        <row r="10946">
          <cell r="O10946" t="str">
            <v>SC2402UA-G</v>
          </cell>
          <cell r="P10946" t="str">
            <v>STC9G002B</v>
          </cell>
          <cell r="Q10946" t="str">
            <v>磁性位置传感器</v>
          </cell>
        </row>
        <row r="10947">
          <cell r="O10947" t="str">
            <v>SC69401</v>
          </cell>
          <cell r="P10947" t="str">
            <v>STC9H002D</v>
          </cell>
          <cell r="Q10947" t="str">
            <v>角度传感器</v>
          </cell>
        </row>
        <row r="10948">
          <cell r="O10948" t="str">
            <v>SC1245UA</v>
          </cell>
          <cell r="P10948" t="str">
            <v>STC1898AD</v>
          </cell>
          <cell r="Q10948" t="str">
            <v>磁性位置传感器</v>
          </cell>
        </row>
        <row r="10949">
          <cell r="O10949" t="str">
            <v>SC1245UA</v>
          </cell>
          <cell r="P10949" t="str">
            <v>STC1898AD</v>
          </cell>
          <cell r="Q10949" t="str">
            <v>磁性位置传感器</v>
          </cell>
        </row>
        <row r="10950">
          <cell r="O10950" t="str">
            <v>SC1134UA</v>
          </cell>
          <cell r="P10950" t="str">
            <v>STC1898AI</v>
          </cell>
          <cell r="Q10950" t="str">
            <v>磁性位置传感器</v>
          </cell>
        </row>
        <row r="10951">
          <cell r="O10951" t="str">
            <v>SC9642TS-EC</v>
          </cell>
          <cell r="P10951" t="str">
            <v>STC9A001H</v>
          </cell>
          <cell r="Q10951" t="str">
            <v>速度传感器</v>
          </cell>
        </row>
        <row r="10952">
          <cell r="O10952" t="str">
            <v>KH276</v>
          </cell>
          <cell r="P10952" t="str">
            <v>FD1014A</v>
          </cell>
          <cell r="Q10952" t="str">
            <v>电机驱动</v>
          </cell>
        </row>
        <row r="10953">
          <cell r="O10953" t="str">
            <v>KH276</v>
          </cell>
          <cell r="P10953" t="str">
            <v>FD1014A</v>
          </cell>
          <cell r="Q10953" t="str">
            <v>电机驱动</v>
          </cell>
        </row>
        <row r="10954">
          <cell r="O10954" t="str">
            <v>KH211</v>
          </cell>
          <cell r="P10954" t="str">
            <v>FD1016A</v>
          </cell>
          <cell r="Q10954" t="str">
            <v>电机驱动</v>
          </cell>
        </row>
        <row r="10955">
          <cell r="O10955" t="str">
            <v>KH477ST4-G</v>
          </cell>
          <cell r="P10955" t="str">
            <v>STC22304B</v>
          </cell>
          <cell r="Q10955" t="str">
            <v>电机驱动</v>
          </cell>
        </row>
        <row r="10956">
          <cell r="O10956" t="str">
            <v>SC9642TS-E</v>
          </cell>
          <cell r="P10956" t="str">
            <v>STC9A001H</v>
          </cell>
          <cell r="Q10956" t="str">
            <v>速度传感器</v>
          </cell>
        </row>
        <row r="10957">
          <cell r="O10957" t="str">
            <v>SC9642TS-E</v>
          </cell>
          <cell r="P10957" t="str">
            <v>STC9A001H</v>
          </cell>
          <cell r="Q10957" t="str">
            <v>速度传感器</v>
          </cell>
        </row>
        <row r="10958">
          <cell r="O10958" t="str">
            <v>SC9642TS-E</v>
          </cell>
          <cell r="P10958" t="str">
            <v>STC9A001H</v>
          </cell>
          <cell r="Q10958" t="str">
            <v>速度传感器</v>
          </cell>
        </row>
        <row r="10959">
          <cell r="O10959" t="str">
            <v>SC1134BU</v>
          </cell>
          <cell r="P10959" t="str">
            <v>STC1898AI</v>
          </cell>
          <cell r="Q10959" t="str">
            <v>磁性位置传感器</v>
          </cell>
        </row>
        <row r="10960">
          <cell r="O10960" t="str">
            <v>SC9641TS-PC</v>
          </cell>
          <cell r="P10960" t="str">
            <v>STC9A001I</v>
          </cell>
          <cell r="Q10960" t="str">
            <v>速度传感器</v>
          </cell>
        </row>
        <row r="10961">
          <cell r="O10961" t="str">
            <v>SC9641TS-PC</v>
          </cell>
          <cell r="P10961" t="str">
            <v>STC9A001I</v>
          </cell>
          <cell r="Q10961" t="str">
            <v>速度传感器</v>
          </cell>
        </row>
        <row r="10962">
          <cell r="O10962" t="str">
            <v>SC9642TS-E</v>
          </cell>
          <cell r="P10962" t="str">
            <v>STC9A001H</v>
          </cell>
          <cell r="Q10962" t="str">
            <v>速度传感器</v>
          </cell>
        </row>
        <row r="10963">
          <cell r="O10963" t="str">
            <v>SC2436SO</v>
          </cell>
          <cell r="P10963" t="str">
            <v>STC9906I</v>
          </cell>
          <cell r="Q10963" t="str">
            <v>磁性位置传感器</v>
          </cell>
        </row>
        <row r="10964">
          <cell r="O10964" t="str">
            <v>SC4011SO-N</v>
          </cell>
          <cell r="P10964" t="str">
            <v>STC4011B</v>
          </cell>
          <cell r="Q10964" t="str">
            <v>磁性位置传感器</v>
          </cell>
        </row>
        <row r="10965">
          <cell r="O10965" t="str">
            <v>SC1134UA</v>
          </cell>
          <cell r="P10965" t="str">
            <v>STC1898AI</v>
          </cell>
          <cell r="Q10965" t="str">
            <v>磁性位置传感器</v>
          </cell>
        </row>
        <row r="10966">
          <cell r="O10966" t="str">
            <v>SC1134UA</v>
          </cell>
          <cell r="P10966" t="str">
            <v>STC1898AI</v>
          </cell>
          <cell r="Q10966" t="str">
            <v>磁性位置传感器</v>
          </cell>
        </row>
        <row r="10967">
          <cell r="O10967" t="str">
            <v>STC1810E</v>
          </cell>
          <cell r="P10967" t="str">
            <v>STC1810E</v>
          </cell>
          <cell r="Q10967" t="str">
            <v>其他</v>
          </cell>
        </row>
        <row r="10968">
          <cell r="O10968" t="str">
            <v>PSTC9902J</v>
          </cell>
          <cell r="P10968" t="str">
            <v>STC9902J</v>
          </cell>
          <cell r="Q10968" t="str">
            <v>磁性位置传感器</v>
          </cell>
        </row>
        <row r="10969">
          <cell r="O10969" t="str">
            <v>SC1245UA</v>
          </cell>
          <cell r="P10969" t="str">
            <v>STC1898AD</v>
          </cell>
          <cell r="Q10969" t="str">
            <v>磁性位置传感器</v>
          </cell>
        </row>
        <row r="10970">
          <cell r="O10970" t="str">
            <v>SYLMV358BPA4R</v>
          </cell>
          <cell r="P10970" t="str">
            <v>STC9G003B</v>
          </cell>
          <cell r="Q10970" t="str">
            <v>其他数模混合</v>
          </cell>
        </row>
        <row r="10971">
          <cell r="O10971" t="str">
            <v>SC2402SO-N-G</v>
          </cell>
          <cell r="P10971" t="str">
            <v>STC9G002A</v>
          </cell>
          <cell r="Q10971" t="str">
            <v>磁性位置传感器</v>
          </cell>
        </row>
        <row r="10972">
          <cell r="O10972" t="str">
            <v>SC9675IM-P-HRF00</v>
          </cell>
          <cell r="P10972" t="str">
            <v>STC9A002B</v>
          </cell>
          <cell r="Q10972" t="str">
            <v>速度传感器</v>
          </cell>
        </row>
        <row r="10973">
          <cell r="O10973" t="str">
            <v>SC9675IM-P-HRF00</v>
          </cell>
          <cell r="P10973" t="str">
            <v>STC9A002B</v>
          </cell>
          <cell r="Q10973" t="str">
            <v>速度传感器</v>
          </cell>
        </row>
        <row r="10974">
          <cell r="O10974" t="str">
            <v>SC9675IM-P-HRF00</v>
          </cell>
          <cell r="P10974" t="str">
            <v>STC9A002B</v>
          </cell>
          <cell r="Q10974" t="str">
            <v>速度传感器</v>
          </cell>
        </row>
        <row r="10975">
          <cell r="O10975" t="str">
            <v>SC4643VB-P</v>
          </cell>
          <cell r="P10975" t="str">
            <v>STC9D03E</v>
          </cell>
          <cell r="Q10975" t="str">
            <v>电流传感器</v>
          </cell>
        </row>
        <row r="10976">
          <cell r="O10976" t="str">
            <v>SC4616UA-10NV</v>
          </cell>
          <cell r="P10976" t="str">
            <v>STC9907D</v>
          </cell>
          <cell r="Q10976" t="str">
            <v>电流传感器</v>
          </cell>
        </row>
        <row r="10977">
          <cell r="O10977" t="str">
            <v>SC2242UA</v>
          </cell>
          <cell r="P10977" t="str">
            <v>STC9906H</v>
          </cell>
          <cell r="Q10977" t="str">
            <v>磁性位置传感器</v>
          </cell>
        </row>
        <row r="10978">
          <cell r="O10978" t="str">
            <v>SC9634VB</v>
          </cell>
          <cell r="P10978" t="str">
            <v>STC9905G</v>
          </cell>
          <cell r="Q10978" t="str">
            <v>速度传感器</v>
          </cell>
        </row>
        <row r="10979">
          <cell r="O10979" t="str">
            <v>SC9634VB</v>
          </cell>
          <cell r="P10979" t="str">
            <v>STC9905G</v>
          </cell>
          <cell r="Q10979" t="str">
            <v>速度传感器</v>
          </cell>
        </row>
        <row r="10980">
          <cell r="O10980" t="str">
            <v>SC1134UA</v>
          </cell>
          <cell r="P10980" t="str">
            <v>STC1898AI</v>
          </cell>
          <cell r="Q10980" t="str">
            <v>磁性位置传感器</v>
          </cell>
        </row>
        <row r="10981">
          <cell r="O10981" t="str">
            <v>SC1134UA</v>
          </cell>
          <cell r="P10981" t="str">
            <v>STC1898AI</v>
          </cell>
          <cell r="Q10981" t="str">
            <v>磁性位置传感器</v>
          </cell>
        </row>
        <row r="10982">
          <cell r="O10982" t="str">
            <v>SC1134UA</v>
          </cell>
          <cell r="P10982" t="str">
            <v>STC1898AI</v>
          </cell>
          <cell r="Q10982" t="str">
            <v>磁性位置传感器</v>
          </cell>
        </row>
        <row r="10983">
          <cell r="O10983" t="str">
            <v>SC2063SO</v>
          </cell>
          <cell r="P10983" t="str">
            <v>STC9G001C</v>
          </cell>
          <cell r="Q10983" t="str">
            <v>磁性位置传感器</v>
          </cell>
        </row>
        <row r="10984">
          <cell r="O10984" t="str">
            <v>SC2063SO</v>
          </cell>
          <cell r="P10984" t="str">
            <v>STC9G001C</v>
          </cell>
          <cell r="Q10984" t="str">
            <v>磁性位置传感器</v>
          </cell>
        </row>
        <row r="10985">
          <cell r="O10985" t="str">
            <v>SC2434UA</v>
          </cell>
          <cell r="P10985" t="str">
            <v>STC9906I</v>
          </cell>
          <cell r="Q10985" t="str">
            <v>磁性位置传感器</v>
          </cell>
        </row>
        <row r="10986">
          <cell r="O10986" t="str">
            <v>SC2033SO-N</v>
          </cell>
          <cell r="P10986" t="str">
            <v>STC9G001D</v>
          </cell>
          <cell r="Q10986" t="str">
            <v>磁性位置传感器</v>
          </cell>
        </row>
        <row r="10987">
          <cell r="O10987" t="str">
            <v>SC4011SO-N</v>
          </cell>
          <cell r="P10987" t="str">
            <v>STC4011B</v>
          </cell>
          <cell r="Q10987" t="str">
            <v>磁性位置传感器</v>
          </cell>
        </row>
        <row r="10988">
          <cell r="O10988" t="str">
            <v>SC2443SO</v>
          </cell>
          <cell r="P10988" t="str">
            <v>STC9906T</v>
          </cell>
          <cell r="Q10988" t="str">
            <v>磁性位置传感器</v>
          </cell>
        </row>
        <row r="10989">
          <cell r="O10989" t="str">
            <v>SC2443SO</v>
          </cell>
          <cell r="P10989" t="str">
            <v>STC9906T</v>
          </cell>
          <cell r="Q10989" t="str">
            <v>磁性位置传感器</v>
          </cell>
        </row>
        <row r="10990">
          <cell r="O10990" t="str">
            <v>SC9632VB</v>
          </cell>
          <cell r="P10990" t="str">
            <v>STC9905E</v>
          </cell>
          <cell r="Q10990" t="str">
            <v>速度传感器</v>
          </cell>
        </row>
        <row r="10991">
          <cell r="O10991" t="str">
            <v>SC2442SO-N</v>
          </cell>
          <cell r="P10991" t="str">
            <v>STC9906P</v>
          </cell>
          <cell r="Q10991" t="str">
            <v>磁性位置传感器</v>
          </cell>
        </row>
        <row r="10992">
          <cell r="O10992" t="str">
            <v>SC2402SO-N-H</v>
          </cell>
          <cell r="P10992" t="str">
            <v>STC9H001A</v>
          </cell>
          <cell r="Q10992" t="str">
            <v>磁性位置传感器</v>
          </cell>
        </row>
        <row r="10993">
          <cell r="O10993" t="str">
            <v>SC2402SO-N-H</v>
          </cell>
          <cell r="P10993" t="str">
            <v>STC9H001A</v>
          </cell>
          <cell r="Q10993" t="str">
            <v>磁性位置传感器</v>
          </cell>
        </row>
        <row r="10994">
          <cell r="O10994" t="str">
            <v>2100</v>
          </cell>
          <cell r="P10994" t="str">
            <v>STC9D03E</v>
          </cell>
          <cell r="Q10994" t="str">
            <v>电流传感器</v>
          </cell>
        </row>
        <row r="10995">
          <cell r="O10995" t="str">
            <v>2100</v>
          </cell>
          <cell r="P10995" t="str">
            <v>STC9D03E</v>
          </cell>
          <cell r="Q10995" t="str">
            <v>电流传感器</v>
          </cell>
        </row>
        <row r="10996">
          <cell r="O10996" t="str">
            <v>SC9625VB-L</v>
          </cell>
          <cell r="P10996" t="str">
            <v>STC9910E</v>
          </cell>
          <cell r="Q10996" t="str">
            <v>速度传感器</v>
          </cell>
        </row>
        <row r="10997">
          <cell r="O10997" t="str">
            <v>SC9625VB-L</v>
          </cell>
          <cell r="P10997" t="str">
            <v>STC9910E</v>
          </cell>
          <cell r="Q10997" t="str">
            <v>速度传感器</v>
          </cell>
        </row>
        <row r="10998">
          <cell r="O10998" t="str">
            <v>SC9625VB-L</v>
          </cell>
          <cell r="P10998" t="str">
            <v>STC9910E</v>
          </cell>
          <cell r="Q10998" t="str">
            <v>速度传感器</v>
          </cell>
        </row>
        <row r="10999">
          <cell r="O10999" t="str">
            <v>SC9625VB-L</v>
          </cell>
          <cell r="P10999" t="str">
            <v>STC9910E</v>
          </cell>
          <cell r="Q10999" t="str">
            <v>速度传感器</v>
          </cell>
        </row>
        <row r="11000">
          <cell r="O11000" t="str">
            <v>SC4011SO-N</v>
          </cell>
          <cell r="P11000" t="str">
            <v>STC4011B</v>
          </cell>
          <cell r="Q11000" t="str">
            <v>磁性位置传感器</v>
          </cell>
        </row>
        <row r="11001">
          <cell r="O11001" t="str">
            <v>SC4011SO-N</v>
          </cell>
          <cell r="P11001" t="str">
            <v>STC4011B</v>
          </cell>
          <cell r="Q11001" t="str">
            <v>磁性位置传感器</v>
          </cell>
        </row>
        <row r="11002">
          <cell r="O11002" t="str">
            <v>SC2402SO-N</v>
          </cell>
          <cell r="P11002" t="str">
            <v>STC9902J</v>
          </cell>
          <cell r="Q11002" t="str">
            <v>磁性位置传感器</v>
          </cell>
        </row>
        <row r="11003">
          <cell r="O11003" t="str">
            <v>SC2464SO</v>
          </cell>
          <cell r="P11003" t="str">
            <v>STC9906J</v>
          </cell>
          <cell r="Q11003" t="str">
            <v>磁性位置传感器</v>
          </cell>
        </row>
        <row r="11004">
          <cell r="O11004" t="str">
            <v>SC2464SO</v>
          </cell>
          <cell r="P11004" t="str">
            <v>STC9906J</v>
          </cell>
          <cell r="Q11004" t="str">
            <v>磁性位置传感器</v>
          </cell>
        </row>
        <row r="11005">
          <cell r="O11005" t="str">
            <v>SC2464SO</v>
          </cell>
          <cell r="P11005" t="str">
            <v>STC9906J</v>
          </cell>
          <cell r="Q11005" t="str">
            <v>磁性位置传感器</v>
          </cell>
        </row>
        <row r="11006">
          <cell r="O11006" t="str">
            <v>SC2442SO</v>
          </cell>
          <cell r="P11006" t="str">
            <v>STC9906R</v>
          </cell>
          <cell r="Q11006" t="str">
            <v>磁性位置传感器</v>
          </cell>
        </row>
        <row r="11007">
          <cell r="O11007" t="str">
            <v>SC2442SO</v>
          </cell>
          <cell r="P11007" t="str">
            <v>STC9906R</v>
          </cell>
          <cell r="Q11007" t="str">
            <v>磁性位置传感器</v>
          </cell>
        </row>
        <row r="11008">
          <cell r="O11008" t="str">
            <v>SC2402UA-G</v>
          </cell>
          <cell r="P11008" t="str">
            <v>STC9G002B</v>
          </cell>
          <cell r="Q11008" t="str">
            <v>磁性位置传感器</v>
          </cell>
        </row>
        <row r="11009">
          <cell r="O11009" t="str">
            <v>SC2402UA-G</v>
          </cell>
          <cell r="P11009" t="str">
            <v>STC9G002B</v>
          </cell>
          <cell r="Q11009" t="str">
            <v>磁性位置传感器</v>
          </cell>
        </row>
        <row r="11010">
          <cell r="O11010" t="str">
            <v>SC2402UA-G</v>
          </cell>
          <cell r="P11010" t="str">
            <v>STC9G002B</v>
          </cell>
          <cell r="Q11010" t="str">
            <v>磁性位置传感器</v>
          </cell>
        </row>
        <row r="11011">
          <cell r="O11011" t="str">
            <v>SC2402UA-G</v>
          </cell>
          <cell r="P11011" t="str">
            <v>STC9G002B</v>
          </cell>
          <cell r="Q11011" t="str">
            <v>磁性位置传感器</v>
          </cell>
        </row>
        <row r="11012">
          <cell r="O11012" t="str">
            <v>SC2402UA-G</v>
          </cell>
          <cell r="P11012" t="str">
            <v>STC9G002B</v>
          </cell>
          <cell r="Q11012" t="str">
            <v>磁性位置传感器</v>
          </cell>
        </row>
        <row r="11013">
          <cell r="O11013" t="str">
            <v>SC4688SA-A</v>
          </cell>
          <cell r="P11013" t="str">
            <v>STC9D01C</v>
          </cell>
          <cell r="Q11013" t="str">
            <v>角度传感器</v>
          </cell>
        </row>
        <row r="11014">
          <cell r="O11014" t="str">
            <v>SC4688SA-A</v>
          </cell>
          <cell r="P11014" t="str">
            <v>STC9D01C</v>
          </cell>
          <cell r="Q11014" t="str">
            <v>角度传感器</v>
          </cell>
        </row>
        <row r="11015">
          <cell r="O11015" t="str">
            <v>SC1445A1</v>
          </cell>
          <cell r="P11015" t="str">
            <v>STC2899AB</v>
          </cell>
          <cell r="Q11015" t="str">
            <v>磁性位置传感器</v>
          </cell>
        </row>
        <row r="11016">
          <cell r="O11016" t="str">
            <v>SC4011SO-N</v>
          </cell>
          <cell r="P11016" t="str">
            <v>STC4011B</v>
          </cell>
          <cell r="Q11016" t="str">
            <v>磁性位置传感器</v>
          </cell>
        </row>
        <row r="11017">
          <cell r="O11017" t="str">
            <v>SC4011SO-N</v>
          </cell>
          <cell r="P11017" t="str">
            <v>STC4011B</v>
          </cell>
          <cell r="Q11017" t="str">
            <v>磁性位置传感器</v>
          </cell>
        </row>
        <row r="11018">
          <cell r="O11018" t="str">
            <v>SC4011SO-N</v>
          </cell>
          <cell r="P11018" t="str">
            <v>STC4011B</v>
          </cell>
          <cell r="Q11018" t="str">
            <v>磁性位置传感器</v>
          </cell>
        </row>
        <row r="11019">
          <cell r="O11019" t="str">
            <v>SC4011SO-N</v>
          </cell>
          <cell r="P11019" t="str">
            <v>STC4011B</v>
          </cell>
          <cell r="Q11019" t="str">
            <v>磁性位置传感器</v>
          </cell>
        </row>
        <row r="11020">
          <cell r="O11020" t="str">
            <v>SC4011SO-N</v>
          </cell>
          <cell r="P11020" t="str">
            <v>STC4011B</v>
          </cell>
          <cell r="Q11020" t="str">
            <v>磁性位置传感器</v>
          </cell>
        </row>
        <row r="11021">
          <cell r="O11021" t="str">
            <v>SC4011SO-N</v>
          </cell>
          <cell r="P11021" t="str">
            <v>STC4011B</v>
          </cell>
          <cell r="Q11021" t="str">
            <v>磁性位置传感器</v>
          </cell>
        </row>
        <row r="11022">
          <cell r="O11022" t="str">
            <v>SC4011SO-N</v>
          </cell>
          <cell r="P11022" t="str">
            <v>STC4011B</v>
          </cell>
          <cell r="Q11022" t="str">
            <v>磁性位置传感器</v>
          </cell>
        </row>
        <row r="11023">
          <cell r="O11023" t="str">
            <v>SC4011SO-N</v>
          </cell>
          <cell r="P11023" t="str">
            <v>STC4011B</v>
          </cell>
          <cell r="Q11023" t="str">
            <v>磁性位置传感器</v>
          </cell>
        </row>
        <row r="11024">
          <cell r="O11024" t="str">
            <v>SC4011SO-N</v>
          </cell>
          <cell r="P11024" t="str">
            <v>STC4011B</v>
          </cell>
          <cell r="Q11024" t="str">
            <v>磁性位置传感器</v>
          </cell>
        </row>
        <row r="11025">
          <cell r="O11025" t="str">
            <v>SC4011SO-N</v>
          </cell>
          <cell r="P11025" t="str">
            <v>STC4011B</v>
          </cell>
          <cell r="Q11025" t="str">
            <v>磁性位置传感器</v>
          </cell>
        </row>
        <row r="11026">
          <cell r="O11026" t="str">
            <v>SC2442SO</v>
          </cell>
          <cell r="P11026" t="str">
            <v>STC9906R</v>
          </cell>
          <cell r="Q11026" t="str">
            <v>磁性位置传感器</v>
          </cell>
        </row>
        <row r="11027">
          <cell r="O11027" t="str">
            <v>SC4011SO-N</v>
          </cell>
          <cell r="P11027" t="str">
            <v>STC4011B</v>
          </cell>
          <cell r="Q11027" t="str">
            <v>磁性位置传感器</v>
          </cell>
        </row>
        <row r="11028">
          <cell r="O11028" t="str">
            <v>2100</v>
          </cell>
          <cell r="P11028" t="str">
            <v>STC9D03E</v>
          </cell>
          <cell r="Q11028" t="str">
            <v>电流传感器</v>
          </cell>
        </row>
        <row r="11029">
          <cell r="O11029" t="str">
            <v>SC4643VB</v>
          </cell>
          <cell r="P11029" t="str">
            <v>STC9D03E</v>
          </cell>
          <cell r="Q11029" t="str">
            <v>电流传感器</v>
          </cell>
        </row>
        <row r="11030">
          <cell r="O11030" t="str">
            <v>SC4643VB</v>
          </cell>
          <cell r="P11030" t="str">
            <v>STC9D03E</v>
          </cell>
          <cell r="Q11030" t="str">
            <v>电流传感器</v>
          </cell>
        </row>
        <row r="11031">
          <cell r="O11031" t="str">
            <v>SC4643VB</v>
          </cell>
          <cell r="P11031" t="str">
            <v>STC9D03E</v>
          </cell>
          <cell r="Q11031" t="str">
            <v>电流传感器</v>
          </cell>
        </row>
        <row r="11032">
          <cell r="O11032" t="str">
            <v>2100S</v>
          </cell>
          <cell r="P11032" t="str">
            <v>STC9D03E</v>
          </cell>
          <cell r="Q11032" t="str">
            <v>电流传感器</v>
          </cell>
        </row>
        <row r="11033">
          <cell r="O11033" t="str">
            <v>2100S</v>
          </cell>
          <cell r="P11033" t="str">
            <v>STC9D03E</v>
          </cell>
          <cell r="Q11033" t="str">
            <v>电流传感器</v>
          </cell>
        </row>
        <row r="11034">
          <cell r="O11034" t="str">
            <v>2100S</v>
          </cell>
          <cell r="P11034" t="str">
            <v>STC9D03E</v>
          </cell>
          <cell r="Q11034" t="str">
            <v>电流传感器</v>
          </cell>
        </row>
        <row r="11035">
          <cell r="O11035" t="str">
            <v>2100S</v>
          </cell>
          <cell r="P11035" t="str">
            <v>STC9D03E</v>
          </cell>
          <cell r="Q11035" t="str">
            <v>电流传感器</v>
          </cell>
        </row>
        <row r="11036">
          <cell r="O11036" t="str">
            <v>2100S</v>
          </cell>
          <cell r="P11036" t="str">
            <v>STC9D03E</v>
          </cell>
          <cell r="Q11036" t="str">
            <v>电流传感器</v>
          </cell>
        </row>
        <row r="11037">
          <cell r="O11037" t="str">
            <v>SC2455SO</v>
          </cell>
          <cell r="P11037" t="str">
            <v>STC9906K</v>
          </cell>
          <cell r="Q11037" t="str">
            <v>磁性位置传感器</v>
          </cell>
        </row>
        <row r="11038">
          <cell r="O11038" t="str">
            <v>SC2455SO</v>
          </cell>
          <cell r="P11038" t="str">
            <v>STC9906K</v>
          </cell>
          <cell r="Q11038" t="str">
            <v>磁性位置传感器</v>
          </cell>
        </row>
        <row r="11039">
          <cell r="O11039" t="str">
            <v>SC2455SO</v>
          </cell>
          <cell r="P11039" t="str">
            <v>STC9906K</v>
          </cell>
          <cell r="Q11039" t="str">
            <v>磁性位置传感器</v>
          </cell>
        </row>
        <row r="11040">
          <cell r="O11040" t="str">
            <v>SC9625VB-L</v>
          </cell>
          <cell r="P11040" t="str">
            <v>STC9910E</v>
          </cell>
          <cell r="Q11040" t="str">
            <v>速度传感器</v>
          </cell>
        </row>
        <row r="11041">
          <cell r="O11041" t="str">
            <v>SC4011SO-N</v>
          </cell>
          <cell r="P11041" t="str">
            <v>STC4011B</v>
          </cell>
          <cell r="Q11041" t="str">
            <v>磁性位置传感器</v>
          </cell>
        </row>
        <row r="11042">
          <cell r="O11042" t="str">
            <v>SC4011SO-N</v>
          </cell>
          <cell r="P11042" t="str">
            <v>STC4011B</v>
          </cell>
          <cell r="Q11042" t="str">
            <v>磁性位置传感器</v>
          </cell>
        </row>
        <row r="11043">
          <cell r="O11043" t="str">
            <v>SC4011SO-N</v>
          </cell>
          <cell r="P11043" t="str">
            <v>STC4011B</v>
          </cell>
          <cell r="Q11043" t="str">
            <v>磁性位置传感器</v>
          </cell>
        </row>
        <row r="11044">
          <cell r="O11044" t="str">
            <v>SC2443UA</v>
          </cell>
          <cell r="P11044" t="str">
            <v>STC9906W</v>
          </cell>
          <cell r="Q11044" t="str">
            <v>磁性位置传感器</v>
          </cell>
        </row>
        <row r="11045">
          <cell r="O11045" t="str">
            <v>SC2443UA</v>
          </cell>
          <cell r="P11045" t="str">
            <v>STC9906W</v>
          </cell>
          <cell r="Q11045" t="str">
            <v>磁性位置传感器</v>
          </cell>
        </row>
        <row r="11046">
          <cell r="O11046" t="str">
            <v>SC2443UA</v>
          </cell>
          <cell r="P11046" t="str">
            <v>STC9906W</v>
          </cell>
          <cell r="Q11046" t="str">
            <v>磁性位置传感器</v>
          </cell>
        </row>
        <row r="11047">
          <cell r="O11047" t="str">
            <v>SC2443UA</v>
          </cell>
          <cell r="P11047" t="str">
            <v>STC9906W</v>
          </cell>
          <cell r="Q11047" t="str">
            <v>磁性位置传感器</v>
          </cell>
        </row>
        <row r="11048">
          <cell r="O11048" t="str">
            <v>SC2443UA</v>
          </cell>
          <cell r="P11048" t="str">
            <v>STC9906W</v>
          </cell>
          <cell r="Q11048" t="str">
            <v>磁性位置传感器</v>
          </cell>
        </row>
        <row r="11049">
          <cell r="O11049" t="str">
            <v>SC2443UA</v>
          </cell>
          <cell r="P11049" t="str">
            <v>STC9906W</v>
          </cell>
          <cell r="Q11049" t="str">
            <v>磁性位置传感器</v>
          </cell>
        </row>
        <row r="11050">
          <cell r="O11050" t="str">
            <v>SC2443UA</v>
          </cell>
          <cell r="P11050" t="str">
            <v>STC9906W</v>
          </cell>
          <cell r="Q11050" t="str">
            <v>磁性位置传感器</v>
          </cell>
        </row>
        <row r="11051">
          <cell r="O11051" t="str">
            <v>SC2443UA</v>
          </cell>
          <cell r="P11051" t="str">
            <v>STC9906W</v>
          </cell>
          <cell r="Q11051" t="str">
            <v>磁性位置传感器</v>
          </cell>
        </row>
        <row r="11052">
          <cell r="O11052" t="str">
            <v>SC2064UA</v>
          </cell>
          <cell r="P11052" t="str">
            <v>STC9G001C</v>
          </cell>
          <cell r="Q11052" t="str">
            <v>磁性位置传感器</v>
          </cell>
        </row>
        <row r="11053">
          <cell r="O11053" t="str">
            <v>SC1645B1</v>
          </cell>
          <cell r="P11053" t="str">
            <v>STC2899AE</v>
          </cell>
          <cell r="Q11053" t="str">
            <v>磁性位置传感器</v>
          </cell>
        </row>
        <row r="11054">
          <cell r="O11054" t="str">
            <v>SC1645B1</v>
          </cell>
          <cell r="P11054" t="str">
            <v>STC2899AE</v>
          </cell>
          <cell r="Q11054" t="str">
            <v>磁性位置传感器</v>
          </cell>
        </row>
        <row r="11055">
          <cell r="O11055" t="str">
            <v>SC4001SE</v>
          </cell>
          <cell r="P11055" t="str">
            <v>STC4001AB</v>
          </cell>
          <cell r="Q11055" t="str">
            <v>磁性位置传感器</v>
          </cell>
        </row>
        <row r="11056">
          <cell r="O11056" t="str">
            <v>SC2202SO-N</v>
          </cell>
          <cell r="P11056" t="str">
            <v>STC9902E</v>
          </cell>
          <cell r="Q11056" t="str">
            <v>磁性位置传感器</v>
          </cell>
        </row>
        <row r="11057">
          <cell r="O11057" t="str">
            <v>SC2438UA</v>
          </cell>
          <cell r="P11057" t="str">
            <v>STC9906I</v>
          </cell>
          <cell r="Q11057" t="str">
            <v>磁性位置传感器</v>
          </cell>
        </row>
        <row r="11058">
          <cell r="O11058" t="str">
            <v>SC4011SO-N</v>
          </cell>
          <cell r="P11058" t="str">
            <v>STC4011B</v>
          </cell>
          <cell r="Q11058" t="str">
            <v>磁性位置传感器</v>
          </cell>
        </row>
        <row r="11059">
          <cell r="O11059" t="str">
            <v>SC4011SO-N</v>
          </cell>
          <cell r="P11059" t="str">
            <v>STC4011B</v>
          </cell>
          <cell r="Q11059" t="str">
            <v>磁性位置传感器</v>
          </cell>
        </row>
        <row r="11060">
          <cell r="O11060" t="str">
            <v>SC4011SO-N</v>
          </cell>
          <cell r="P11060" t="str">
            <v>STC4011B</v>
          </cell>
          <cell r="Q11060" t="str">
            <v>磁性位置传感器</v>
          </cell>
        </row>
        <row r="11061">
          <cell r="O11061" t="str">
            <v>SC4011SO-N</v>
          </cell>
          <cell r="P11061" t="str">
            <v>STC4011B</v>
          </cell>
          <cell r="Q11061" t="str">
            <v>磁性位置传感器</v>
          </cell>
        </row>
        <row r="11062">
          <cell r="O11062" t="str">
            <v>SC1134UA</v>
          </cell>
          <cell r="P11062" t="str">
            <v>STC1898AI</v>
          </cell>
          <cell r="Q11062" t="str">
            <v>磁性位置传感器</v>
          </cell>
        </row>
        <row r="11063">
          <cell r="O11063" t="str">
            <v>SYLMV324BPD2R</v>
          </cell>
          <cell r="P11063" t="str">
            <v>STC9G003B</v>
          </cell>
          <cell r="Q11063" t="str">
            <v>其他数模混合</v>
          </cell>
        </row>
        <row r="11064">
          <cell r="O11064" t="str">
            <v>SYLMV324BPD2R</v>
          </cell>
          <cell r="P11064" t="str">
            <v>STC9G003B</v>
          </cell>
          <cell r="Q11064" t="str">
            <v>其他数模混合</v>
          </cell>
        </row>
        <row r="11065">
          <cell r="O11065" t="str">
            <v>SC4011SO-N</v>
          </cell>
          <cell r="P11065" t="str">
            <v>STC4011B</v>
          </cell>
          <cell r="Q11065" t="str">
            <v>磁性位置传感器</v>
          </cell>
        </row>
        <row r="11066">
          <cell r="O11066" t="str">
            <v>SC4011SO-N</v>
          </cell>
          <cell r="P11066" t="str">
            <v>STC4011B</v>
          </cell>
          <cell r="Q11066" t="str">
            <v>磁性位置传感器</v>
          </cell>
        </row>
        <row r="11067">
          <cell r="O11067" t="str">
            <v>SC4011SO-N</v>
          </cell>
          <cell r="P11067" t="str">
            <v>STC4011B</v>
          </cell>
          <cell r="Q11067" t="str">
            <v>磁性位置传感器</v>
          </cell>
        </row>
        <row r="11068">
          <cell r="O11068" t="str">
            <v>SC4011SO-N</v>
          </cell>
          <cell r="P11068" t="str">
            <v>STC4011B</v>
          </cell>
          <cell r="Q11068" t="str">
            <v>磁性位置传感器</v>
          </cell>
        </row>
        <row r="11069">
          <cell r="O11069" t="str">
            <v>SC2442SO-N</v>
          </cell>
          <cell r="P11069" t="str">
            <v>STC9906P</v>
          </cell>
          <cell r="Q11069" t="str">
            <v>磁性位置传感器</v>
          </cell>
        </row>
        <row r="11070">
          <cell r="O11070" t="str">
            <v>KH477ST4-G</v>
          </cell>
          <cell r="P11070" t="str">
            <v>STC22304B</v>
          </cell>
          <cell r="Q11070" t="str">
            <v>电机驱动</v>
          </cell>
        </row>
        <row r="11071">
          <cell r="O11071" t="str">
            <v>KH276</v>
          </cell>
          <cell r="P11071" t="str">
            <v>FD1014A</v>
          </cell>
          <cell r="Q11071" t="str">
            <v>电机驱动</v>
          </cell>
        </row>
        <row r="11072">
          <cell r="O11072" t="str">
            <v>KH477ST4-G</v>
          </cell>
          <cell r="P11072" t="str">
            <v>STC22304B</v>
          </cell>
          <cell r="Q11072" t="str">
            <v>电机驱动</v>
          </cell>
        </row>
        <row r="11073">
          <cell r="O11073" t="str">
            <v>KH477ST4-G</v>
          </cell>
          <cell r="P11073" t="str">
            <v>STC22304B</v>
          </cell>
          <cell r="Q11073" t="str">
            <v>电机驱动</v>
          </cell>
        </row>
        <row r="11074">
          <cell r="O11074" t="str">
            <v>KH477ST4-G</v>
          </cell>
          <cell r="P11074" t="str">
            <v>STC22304B</v>
          </cell>
          <cell r="Q11074" t="str">
            <v>电机驱动</v>
          </cell>
        </row>
        <row r="11075">
          <cell r="O11075" t="str">
            <v>SC1134SO-N</v>
          </cell>
          <cell r="P11075" t="str">
            <v>STC1898AI</v>
          </cell>
          <cell r="Q11075" t="str">
            <v>磁性位置传感器</v>
          </cell>
        </row>
        <row r="11076">
          <cell r="O11076" t="str">
            <v>SC4011SO-N</v>
          </cell>
          <cell r="P11076" t="str">
            <v>STC4011B</v>
          </cell>
          <cell r="Q11076" t="str">
            <v>磁性位置传感器</v>
          </cell>
        </row>
        <row r="11077">
          <cell r="O11077" t="str">
            <v>ZH6219LB</v>
          </cell>
          <cell r="P11077" t="str">
            <v>ZH6219LB</v>
          </cell>
          <cell r="Q11077" t="str">
            <v>电机驱动</v>
          </cell>
        </row>
        <row r="11078">
          <cell r="O11078" t="str">
            <v>SC1134SO-N</v>
          </cell>
          <cell r="P11078" t="str">
            <v>STC1898AI</v>
          </cell>
          <cell r="Q11078" t="str">
            <v>磁性位置传感器</v>
          </cell>
        </row>
        <row r="11079">
          <cell r="O11079" t="str">
            <v>SC1134SO-N</v>
          </cell>
          <cell r="P11079" t="str">
            <v>STC1898AI</v>
          </cell>
          <cell r="Q11079" t="str">
            <v>磁性位置传感器</v>
          </cell>
        </row>
        <row r="11080">
          <cell r="O11080" t="str">
            <v>SC1134SO-N</v>
          </cell>
          <cell r="P11080" t="str">
            <v>STC1898AI</v>
          </cell>
          <cell r="Q11080" t="str">
            <v>磁性位置传感器</v>
          </cell>
        </row>
        <row r="11081">
          <cell r="O11081" t="str">
            <v>SC1138SO-N</v>
          </cell>
          <cell r="P11081" t="str">
            <v>STC1898AC</v>
          </cell>
          <cell r="Q11081" t="str">
            <v>磁性位置传感器</v>
          </cell>
        </row>
        <row r="11082">
          <cell r="O11082" t="str">
            <v>SC1138SO-N</v>
          </cell>
          <cell r="P11082" t="str">
            <v>STC1898AC</v>
          </cell>
          <cell r="Q11082" t="str">
            <v>磁性位置传感器</v>
          </cell>
        </row>
        <row r="11083">
          <cell r="O11083" t="str">
            <v>SC2442SO-N</v>
          </cell>
          <cell r="P11083" t="str">
            <v>STC9906P</v>
          </cell>
          <cell r="Q11083" t="str">
            <v>磁性位置传感器</v>
          </cell>
        </row>
        <row r="11084">
          <cell r="O11084" t="str">
            <v>SC2442SO</v>
          </cell>
          <cell r="P11084" t="str">
            <v>STC9906R</v>
          </cell>
          <cell r="Q11084" t="str">
            <v>磁性位置传感器</v>
          </cell>
        </row>
        <row r="11085">
          <cell r="O11085" t="str">
            <v>SC2442SO</v>
          </cell>
          <cell r="P11085" t="str">
            <v>STC9906R</v>
          </cell>
          <cell r="Q11085" t="str">
            <v>磁性位置传感器</v>
          </cell>
        </row>
        <row r="11086">
          <cell r="O11086" t="str">
            <v>SC2442SO</v>
          </cell>
          <cell r="P11086" t="str">
            <v>STC9906R</v>
          </cell>
          <cell r="Q11086" t="str">
            <v>磁性位置传感器</v>
          </cell>
        </row>
        <row r="11087">
          <cell r="O11087" t="str">
            <v>SC9642TS-E</v>
          </cell>
          <cell r="P11087" t="str">
            <v>STC9A001H</v>
          </cell>
          <cell r="Q11087" t="str">
            <v>速度传感器</v>
          </cell>
        </row>
        <row r="11088">
          <cell r="O11088" t="str">
            <v>SC9642TS-E</v>
          </cell>
          <cell r="P11088" t="str">
            <v>STC9A001H</v>
          </cell>
          <cell r="Q11088" t="str">
            <v>速度传感器</v>
          </cell>
        </row>
        <row r="11089">
          <cell r="O11089" t="str">
            <v>SC2462SO</v>
          </cell>
          <cell r="P11089" t="str">
            <v>STC9906J</v>
          </cell>
          <cell r="Q11089" t="str">
            <v>磁性位置传感器</v>
          </cell>
        </row>
        <row r="11090">
          <cell r="O11090" t="str">
            <v>SC1134UA</v>
          </cell>
          <cell r="P11090" t="str">
            <v>STC1898AI</v>
          </cell>
          <cell r="Q11090" t="str">
            <v>磁性位置传感器</v>
          </cell>
        </row>
        <row r="11091">
          <cell r="O11091" t="str">
            <v>SC1134UA</v>
          </cell>
          <cell r="P11091" t="str">
            <v>STC1898AI</v>
          </cell>
          <cell r="Q11091" t="str">
            <v>磁性位置传感器</v>
          </cell>
        </row>
        <row r="11092">
          <cell r="O11092" t="str">
            <v>SC1134UA</v>
          </cell>
          <cell r="P11092" t="str">
            <v>STC1898AI</v>
          </cell>
          <cell r="Q11092" t="str">
            <v>磁性位置传感器</v>
          </cell>
        </row>
        <row r="11093">
          <cell r="O11093" t="str">
            <v>SC929A1</v>
          </cell>
          <cell r="P11093" t="str">
            <v>STC9913D</v>
          </cell>
          <cell r="Q11093" t="str">
            <v>磁性位置传感器</v>
          </cell>
        </row>
        <row r="11094">
          <cell r="O11094" t="str">
            <v>SC929A1</v>
          </cell>
          <cell r="P11094" t="str">
            <v>STC9913D</v>
          </cell>
          <cell r="Q11094" t="str">
            <v>磁性位置传感器</v>
          </cell>
        </row>
        <row r="11095">
          <cell r="O11095" t="str">
            <v>SC929A1</v>
          </cell>
          <cell r="P11095" t="str">
            <v>STC9913D</v>
          </cell>
          <cell r="Q11095" t="str">
            <v>磁性位置传感器</v>
          </cell>
        </row>
        <row r="11096">
          <cell r="O11096" t="str">
            <v>SC4688SA-A</v>
          </cell>
          <cell r="P11096" t="str">
            <v>STC9D01C</v>
          </cell>
          <cell r="Q11096" t="str">
            <v>角度传感器</v>
          </cell>
        </row>
        <row r="11097">
          <cell r="O11097" t="str">
            <v>SC1138SO-N</v>
          </cell>
          <cell r="P11097" t="str">
            <v>STC1898AC</v>
          </cell>
          <cell r="Q11097" t="str">
            <v>磁性位置传感器</v>
          </cell>
        </row>
        <row r="11098">
          <cell r="O11098" t="str">
            <v>SD2276</v>
          </cell>
          <cell r="P11098" t="str">
            <v>FD1014A</v>
          </cell>
          <cell r="Q11098" t="str">
            <v>电机驱动</v>
          </cell>
        </row>
        <row r="11099">
          <cell r="O11099" t="str">
            <v>SD2276</v>
          </cell>
          <cell r="P11099" t="str">
            <v>FD1014A</v>
          </cell>
          <cell r="Q11099" t="str">
            <v>电机驱动</v>
          </cell>
        </row>
        <row r="11100">
          <cell r="O11100" t="str">
            <v>SD2276</v>
          </cell>
          <cell r="P11100" t="str">
            <v>FD1014A</v>
          </cell>
          <cell r="Q11100" t="str">
            <v>电机驱动</v>
          </cell>
        </row>
        <row r="11101">
          <cell r="O11101" t="str">
            <v>SD2276</v>
          </cell>
          <cell r="P11101" t="str">
            <v>FD1014A</v>
          </cell>
          <cell r="Q11101" t="str">
            <v>电机驱动</v>
          </cell>
        </row>
        <row r="11102">
          <cell r="O11102" t="str">
            <v>SC4002UA</v>
          </cell>
          <cell r="P11102" t="str">
            <v>STC4000AA</v>
          </cell>
          <cell r="Q11102" t="str">
            <v>磁性位置传感器</v>
          </cell>
        </row>
        <row r="11103">
          <cell r="O11103" t="str">
            <v>SC2442SO-E</v>
          </cell>
          <cell r="P11103" t="str">
            <v>STC9906G</v>
          </cell>
          <cell r="Q11103" t="str">
            <v>磁性位置传感器</v>
          </cell>
        </row>
        <row r="11104">
          <cell r="O11104" t="str">
            <v>SC2442SO-E</v>
          </cell>
          <cell r="P11104" t="str">
            <v>STC9906G</v>
          </cell>
          <cell r="Q11104" t="str">
            <v>磁性位置传感器</v>
          </cell>
        </row>
        <row r="11105">
          <cell r="O11105" t="str">
            <v>SC1134SO-N</v>
          </cell>
          <cell r="P11105" t="str">
            <v>STC1898AI</v>
          </cell>
          <cell r="Q11105" t="str">
            <v>磁性位置传感器</v>
          </cell>
        </row>
        <row r="11106">
          <cell r="O11106" t="str">
            <v>SC2462SO</v>
          </cell>
          <cell r="P11106" t="str">
            <v>STC9906J</v>
          </cell>
          <cell r="Q11106" t="str">
            <v>磁性位置传感器</v>
          </cell>
        </row>
        <row r="11107">
          <cell r="O11107" t="str">
            <v>SC2063SO</v>
          </cell>
          <cell r="P11107" t="str">
            <v>STC9G001C</v>
          </cell>
          <cell r="Q11107" t="str">
            <v>磁性位置传感器</v>
          </cell>
        </row>
        <row r="11108">
          <cell r="O11108" t="str">
            <v>SC2063SO</v>
          </cell>
          <cell r="P11108" t="str">
            <v>STC9G001C</v>
          </cell>
          <cell r="Q11108" t="str">
            <v>磁性位置传感器</v>
          </cell>
        </row>
        <row r="11109">
          <cell r="O11109" t="str">
            <v>SC2063SO</v>
          </cell>
          <cell r="P11109" t="str">
            <v>STC9G001C</v>
          </cell>
          <cell r="Q11109" t="str">
            <v>磁性位置传感器</v>
          </cell>
        </row>
        <row r="11110">
          <cell r="O11110" t="str">
            <v>SC2442SO-N</v>
          </cell>
          <cell r="P11110" t="str">
            <v>STC9906P</v>
          </cell>
          <cell r="Q11110" t="str">
            <v>磁性位置传感器</v>
          </cell>
        </row>
        <row r="11111">
          <cell r="O11111" t="str">
            <v>SC2402UA</v>
          </cell>
          <cell r="P11111" t="str">
            <v>STC9902J</v>
          </cell>
          <cell r="Q11111" t="str">
            <v>磁性位置传感器</v>
          </cell>
        </row>
        <row r="11112">
          <cell r="O11112" t="str">
            <v>SC2063SO</v>
          </cell>
          <cell r="P11112" t="str">
            <v>STC9G001C</v>
          </cell>
          <cell r="Q11112" t="str">
            <v>磁性位置传感器</v>
          </cell>
        </row>
        <row r="11113">
          <cell r="O11113" t="str">
            <v>SC2462SO</v>
          </cell>
          <cell r="P11113" t="str">
            <v>STC9906J</v>
          </cell>
          <cell r="Q11113" t="str">
            <v>磁性位置传感器</v>
          </cell>
        </row>
        <row r="11114">
          <cell r="O11114" t="str">
            <v>SC9675IM-P-LRF00</v>
          </cell>
          <cell r="P11114" t="str">
            <v>STC9A002B</v>
          </cell>
          <cell r="Q11114" t="str">
            <v>速度传感器</v>
          </cell>
        </row>
        <row r="11115">
          <cell r="O11115" t="str">
            <v>SC9675IM-P-LRF00</v>
          </cell>
          <cell r="P11115" t="str">
            <v>STC9A002B</v>
          </cell>
          <cell r="Q11115" t="str">
            <v>速度传感器</v>
          </cell>
        </row>
        <row r="11116">
          <cell r="O11116" t="str">
            <v>SC9675IM-P-LRF00</v>
          </cell>
          <cell r="P11116" t="str">
            <v>STC9A002B</v>
          </cell>
          <cell r="Q11116" t="str">
            <v>速度传感器</v>
          </cell>
        </row>
        <row r="11117">
          <cell r="O11117" t="str">
            <v>SC9675IM-P-LRF00</v>
          </cell>
          <cell r="P11117" t="str">
            <v>STC9A002B</v>
          </cell>
          <cell r="Q11117" t="str">
            <v>速度传感器</v>
          </cell>
        </row>
        <row r="11118">
          <cell r="O11118" t="str">
            <v>SC4002BU</v>
          </cell>
          <cell r="P11118" t="str">
            <v>STC4000AA</v>
          </cell>
          <cell r="Q11118" t="str">
            <v>磁性位置传感器</v>
          </cell>
        </row>
        <row r="11119">
          <cell r="O11119" t="str">
            <v>SC4002BU</v>
          </cell>
          <cell r="P11119" t="str">
            <v>STC4000AA</v>
          </cell>
          <cell r="Q11119" t="str">
            <v>磁性位置传感器</v>
          </cell>
        </row>
        <row r="11120">
          <cell r="O11120" t="str">
            <v>SC4002BU</v>
          </cell>
          <cell r="P11120" t="str">
            <v>STC4000AA</v>
          </cell>
          <cell r="Q11120" t="str">
            <v>磁性位置传感器</v>
          </cell>
        </row>
        <row r="11121">
          <cell r="O11121" t="str">
            <v>SC4002BU</v>
          </cell>
          <cell r="P11121" t="str">
            <v>STC4000AA</v>
          </cell>
          <cell r="Q11121" t="str">
            <v>磁性位置传感器</v>
          </cell>
        </row>
        <row r="11122">
          <cell r="O11122" t="str">
            <v>SC2402UA-G</v>
          </cell>
          <cell r="P11122" t="str">
            <v>STC9G002B</v>
          </cell>
          <cell r="Q11122" t="str">
            <v>磁性位置传感器</v>
          </cell>
        </row>
        <row r="11123">
          <cell r="O11123" t="str">
            <v>SC2462SO</v>
          </cell>
          <cell r="P11123" t="str">
            <v>STC9906J</v>
          </cell>
          <cell r="Q11123" t="str">
            <v>磁性位置传感器</v>
          </cell>
        </row>
        <row r="11124">
          <cell r="O11124" t="str">
            <v>SC2462SO</v>
          </cell>
          <cell r="P11124" t="str">
            <v>STC9906J</v>
          </cell>
          <cell r="Q11124" t="str">
            <v>磁性位置传感器</v>
          </cell>
        </row>
        <row r="11125">
          <cell r="O11125" t="str">
            <v>SC2462SO</v>
          </cell>
          <cell r="P11125" t="str">
            <v>STC9906J</v>
          </cell>
          <cell r="Q11125" t="str">
            <v>磁性位置传感器</v>
          </cell>
        </row>
        <row r="11126">
          <cell r="O11126" t="str">
            <v>SC2462SO</v>
          </cell>
          <cell r="P11126" t="str">
            <v>STC9906J</v>
          </cell>
          <cell r="Q11126" t="str">
            <v>磁性位置传感器</v>
          </cell>
        </row>
        <row r="11127">
          <cell r="O11127" t="str">
            <v>SC4616UA-10.2NF</v>
          </cell>
          <cell r="P11127" t="str">
            <v>STC9907D</v>
          </cell>
          <cell r="Q11127" t="str">
            <v>电流传感器</v>
          </cell>
        </row>
        <row r="11128">
          <cell r="O11128" t="str">
            <v>SC1133UA</v>
          </cell>
          <cell r="P11128" t="str">
            <v>STC1898AJ</v>
          </cell>
          <cell r="Q11128" t="str">
            <v>磁性位置传感器</v>
          </cell>
        </row>
        <row r="11129">
          <cell r="O11129" t="str">
            <v>SC2442UA</v>
          </cell>
          <cell r="P11129" t="str">
            <v>STC9906P</v>
          </cell>
          <cell r="Q11129" t="str">
            <v>磁性位置传感器</v>
          </cell>
        </row>
        <row r="11130">
          <cell r="O11130" t="str">
            <v>SC2442UA</v>
          </cell>
          <cell r="P11130" t="str">
            <v>STC9906P</v>
          </cell>
          <cell r="Q11130" t="str">
            <v>磁性位置传感器</v>
          </cell>
        </row>
        <row r="11131">
          <cell r="O11131" t="str">
            <v>SC2063SO</v>
          </cell>
          <cell r="P11131" t="str">
            <v>STC9G001C</v>
          </cell>
          <cell r="Q11131" t="str">
            <v>磁性位置传感器</v>
          </cell>
        </row>
        <row r="11132">
          <cell r="O11132" t="str">
            <v>SC2402SO-N-H</v>
          </cell>
          <cell r="P11132" t="str">
            <v>STC9H001A</v>
          </cell>
          <cell r="Q11132" t="str">
            <v>磁性位置传感器</v>
          </cell>
        </row>
        <row r="11133">
          <cell r="O11133" t="str">
            <v>SC4643VB-P</v>
          </cell>
          <cell r="P11133" t="str">
            <v>STC9D03E</v>
          </cell>
          <cell r="Q11133" t="str">
            <v>电流传感器</v>
          </cell>
        </row>
        <row r="11134">
          <cell r="O11134" t="str">
            <v>SC9642TS-E</v>
          </cell>
          <cell r="P11134" t="str">
            <v>STC9A001H</v>
          </cell>
          <cell r="Q11134" t="str">
            <v>速度传感器</v>
          </cell>
        </row>
        <row r="11135">
          <cell r="O11135" t="str">
            <v>SC9641TS-P</v>
          </cell>
          <cell r="P11135" t="str">
            <v>STC9A001F</v>
          </cell>
          <cell r="Q11135" t="str">
            <v>速度传感器</v>
          </cell>
        </row>
        <row r="11136">
          <cell r="O11136" t="str">
            <v>SC9641TS-P</v>
          </cell>
          <cell r="P11136" t="str">
            <v>STC9A001F</v>
          </cell>
          <cell r="Q11136" t="str">
            <v>速度传感器</v>
          </cell>
        </row>
        <row r="11137">
          <cell r="O11137" t="str">
            <v>SC9641TS-P</v>
          </cell>
          <cell r="P11137" t="str">
            <v>STC9A001F</v>
          </cell>
          <cell r="Q11137" t="str">
            <v>速度传感器</v>
          </cell>
        </row>
        <row r="11138">
          <cell r="O11138" t="str">
            <v>SC9641TS-P</v>
          </cell>
          <cell r="P11138" t="str">
            <v>STC9A001F</v>
          </cell>
          <cell r="Q11138" t="str">
            <v>速度传感器</v>
          </cell>
        </row>
        <row r="11139">
          <cell r="O11139" t="str">
            <v>SC4011SO-N</v>
          </cell>
          <cell r="P11139" t="str">
            <v>STC4011B</v>
          </cell>
          <cell r="Q11139" t="str">
            <v>磁性位置传感器</v>
          </cell>
        </row>
        <row r="11140">
          <cell r="O11140" t="str">
            <v>SC4011SO-N</v>
          </cell>
          <cell r="P11140" t="str">
            <v>STC4011B</v>
          </cell>
          <cell r="Q11140" t="str">
            <v>磁性位置传感器</v>
          </cell>
        </row>
        <row r="11141">
          <cell r="O11141" t="str">
            <v>SC2402UA</v>
          </cell>
          <cell r="P11141" t="str">
            <v>STC9902J</v>
          </cell>
          <cell r="Q11141" t="str">
            <v>磁性位置传感器</v>
          </cell>
        </row>
        <row r="11142">
          <cell r="O11142" t="str">
            <v>SC4011SO-N</v>
          </cell>
          <cell r="P11142" t="str">
            <v>STC4011B</v>
          </cell>
          <cell r="Q11142" t="str">
            <v>磁性位置传感器</v>
          </cell>
        </row>
        <row r="11143">
          <cell r="O11143" t="str">
            <v>SC4002UA</v>
          </cell>
          <cell r="P11143" t="str">
            <v>STC4000AA</v>
          </cell>
          <cell r="Q11143" t="str">
            <v>磁性位置传感器</v>
          </cell>
        </row>
        <row r="11144">
          <cell r="O11144" t="str">
            <v>SC2402UA</v>
          </cell>
          <cell r="P11144" t="str">
            <v>STC9902J</v>
          </cell>
          <cell r="Q11144" t="str">
            <v>磁性位置传感器</v>
          </cell>
        </row>
        <row r="11145">
          <cell r="O11145" t="str">
            <v>SC4643VB</v>
          </cell>
          <cell r="P11145" t="str">
            <v>STC9D03E</v>
          </cell>
          <cell r="Q11145" t="str">
            <v>电流传感器</v>
          </cell>
        </row>
        <row r="11146">
          <cell r="O11146" t="str">
            <v>SC4643VB</v>
          </cell>
          <cell r="P11146" t="str">
            <v>STC9D03E</v>
          </cell>
          <cell r="Q11146" t="str">
            <v>电流传感器</v>
          </cell>
        </row>
        <row r="11147">
          <cell r="O11147" t="str">
            <v>SC2242UA</v>
          </cell>
          <cell r="P11147" t="str">
            <v>STC9906H</v>
          </cell>
          <cell r="Q11147" t="str">
            <v>磁性位置传感器</v>
          </cell>
        </row>
        <row r="11148">
          <cell r="O11148" t="str">
            <v>SC2242UA</v>
          </cell>
          <cell r="P11148" t="str">
            <v>STC9906H</v>
          </cell>
          <cell r="Q11148" t="str">
            <v>磁性位置传感器</v>
          </cell>
        </row>
        <row r="11149">
          <cell r="O11149" t="str">
            <v>SC2242SO</v>
          </cell>
          <cell r="P11149" t="str">
            <v>STC9906H</v>
          </cell>
          <cell r="Q11149" t="str">
            <v>磁性位置传感器</v>
          </cell>
        </row>
        <row r="11150">
          <cell r="O11150" t="str">
            <v>SC2242SO</v>
          </cell>
          <cell r="P11150" t="str">
            <v>STC9906H</v>
          </cell>
          <cell r="Q11150" t="str">
            <v>磁性位置传感器</v>
          </cell>
        </row>
        <row r="11151">
          <cell r="O11151" t="str">
            <v>SC9314UA</v>
          </cell>
          <cell r="P11151" t="str">
            <v>STC9901AF</v>
          </cell>
          <cell r="Q11151" t="str">
            <v>速度传感器</v>
          </cell>
        </row>
        <row r="11152">
          <cell r="O11152" t="str">
            <v>SC25791SE-A</v>
          </cell>
          <cell r="P11152" t="str">
            <v>STC11210G</v>
          </cell>
          <cell r="Q11152" t="str">
            <v>磁性位置传感器</v>
          </cell>
        </row>
        <row r="11153">
          <cell r="O11153" t="str">
            <v>SC2464SO</v>
          </cell>
          <cell r="P11153" t="str">
            <v>STC9906J</v>
          </cell>
          <cell r="Q11153" t="str">
            <v>磁性位置传感器</v>
          </cell>
        </row>
        <row r="11154">
          <cell r="O11154" t="str">
            <v>SC2464SO</v>
          </cell>
          <cell r="P11154" t="str">
            <v>STC9906J</v>
          </cell>
          <cell r="Q11154" t="str">
            <v>磁性位置传感器</v>
          </cell>
        </row>
        <row r="11155">
          <cell r="O11155" t="str">
            <v>SC2242SO</v>
          </cell>
          <cell r="P11155" t="str">
            <v>STC9906H</v>
          </cell>
          <cell r="Q11155" t="str">
            <v>磁性位置传感器</v>
          </cell>
        </row>
        <row r="11156">
          <cell r="O11156" t="str">
            <v>SC2242SO</v>
          </cell>
          <cell r="P11156" t="str">
            <v>STC9906H</v>
          </cell>
          <cell r="Q11156" t="str">
            <v>磁性位置传感器</v>
          </cell>
        </row>
        <row r="11157">
          <cell r="O11157" t="str">
            <v>SC2464SO</v>
          </cell>
          <cell r="P11157" t="str">
            <v>STC9906J</v>
          </cell>
          <cell r="Q11157" t="str">
            <v>磁性位置传感器</v>
          </cell>
        </row>
        <row r="11158">
          <cell r="O11158" t="str">
            <v>SC1245UA</v>
          </cell>
          <cell r="P11158" t="str">
            <v>STC1898AD</v>
          </cell>
          <cell r="Q11158" t="str">
            <v>磁性位置传感器</v>
          </cell>
        </row>
        <row r="11159">
          <cell r="O11159" t="str">
            <v>SC1245UA</v>
          </cell>
          <cell r="P11159" t="str">
            <v>STC1898AD</v>
          </cell>
          <cell r="Q11159" t="str">
            <v>磁性位置传感器</v>
          </cell>
        </row>
        <row r="11160">
          <cell r="O11160" t="str">
            <v>SC1245UA</v>
          </cell>
          <cell r="P11160" t="str">
            <v>STC1898AD</v>
          </cell>
          <cell r="Q11160" t="str">
            <v>磁性位置传感器</v>
          </cell>
        </row>
        <row r="11161">
          <cell r="O11161" t="str">
            <v>PSTC9906H</v>
          </cell>
          <cell r="P11161" t="str">
            <v>STC9906H</v>
          </cell>
          <cell r="Q11161" t="str">
            <v>磁性位置传感器</v>
          </cell>
        </row>
        <row r="11162">
          <cell r="O11162" t="str">
            <v>SC2462SO</v>
          </cell>
          <cell r="P11162" t="str">
            <v>STC9906J</v>
          </cell>
          <cell r="Q11162" t="str">
            <v>磁性位置传感器</v>
          </cell>
        </row>
        <row r="11163">
          <cell r="O11163" t="str">
            <v>SC2462SO</v>
          </cell>
          <cell r="P11163" t="str">
            <v>STC9906J</v>
          </cell>
          <cell r="Q11163" t="str">
            <v>磁性位置传感器</v>
          </cell>
        </row>
        <row r="11164">
          <cell r="O11164" t="str">
            <v>SC4002UA</v>
          </cell>
          <cell r="P11164" t="str">
            <v>STC4000AA</v>
          </cell>
          <cell r="Q11164" t="str">
            <v>磁性位置传感器</v>
          </cell>
        </row>
        <row r="11165">
          <cell r="O11165" t="str">
            <v>SC4011SO-N</v>
          </cell>
          <cell r="P11165" t="str">
            <v>STC4011B</v>
          </cell>
          <cell r="Q11165" t="str">
            <v>磁性位置传感器</v>
          </cell>
        </row>
        <row r="11166">
          <cell r="O11166" t="str">
            <v>SC4011SO-N</v>
          </cell>
          <cell r="P11166" t="str">
            <v>STC4011B</v>
          </cell>
          <cell r="Q11166" t="str">
            <v>磁性位置传感器</v>
          </cell>
        </row>
        <row r="11167">
          <cell r="O11167" t="str">
            <v>SC2462SO</v>
          </cell>
          <cell r="P11167" t="str">
            <v>STC9906J</v>
          </cell>
          <cell r="Q11167" t="str">
            <v>磁性位置传感器</v>
          </cell>
        </row>
        <row r="11168">
          <cell r="O11168" t="str">
            <v>SC4011SO-N</v>
          </cell>
          <cell r="P11168" t="str">
            <v>STC4011B</v>
          </cell>
          <cell r="Q11168" t="str">
            <v>磁性位置传感器</v>
          </cell>
        </row>
        <row r="11169">
          <cell r="O11169" t="str">
            <v>SC4011SO-N</v>
          </cell>
          <cell r="P11169" t="str">
            <v>STC4011B</v>
          </cell>
          <cell r="Q11169" t="str">
            <v>磁性位置传感器</v>
          </cell>
        </row>
        <row r="11170">
          <cell r="O11170" t="str">
            <v>SC4011SO-N</v>
          </cell>
          <cell r="P11170" t="str">
            <v>STC4011B</v>
          </cell>
          <cell r="Q11170" t="str">
            <v>磁性位置传感器</v>
          </cell>
        </row>
        <row r="11171">
          <cell r="O11171" t="str">
            <v>SC2202SO-N</v>
          </cell>
          <cell r="P11171" t="str">
            <v>STC9902E</v>
          </cell>
          <cell r="Q11171" t="str">
            <v>磁性位置传感器</v>
          </cell>
        </row>
        <row r="11172">
          <cell r="O11172" t="str">
            <v>SC2498SO</v>
          </cell>
          <cell r="P11172" t="str">
            <v>SC9915C</v>
          </cell>
          <cell r="Q11172" t="str">
            <v>磁性位置传感器</v>
          </cell>
        </row>
        <row r="11173">
          <cell r="O11173" t="str">
            <v>SC2448SO</v>
          </cell>
          <cell r="P11173" t="str">
            <v>STC9906S</v>
          </cell>
          <cell r="Q11173" t="str">
            <v>磁性位置传感器</v>
          </cell>
        </row>
        <row r="11174">
          <cell r="O11174" t="str">
            <v>SC9314UA</v>
          </cell>
          <cell r="P11174" t="str">
            <v>STC9901AF</v>
          </cell>
          <cell r="Q11174" t="str">
            <v>速度传感器</v>
          </cell>
        </row>
        <row r="11175">
          <cell r="O11175" t="str">
            <v>SC9314UA</v>
          </cell>
          <cell r="P11175" t="str">
            <v>STC9901AF</v>
          </cell>
          <cell r="Q11175" t="str">
            <v>速度传感器</v>
          </cell>
        </row>
        <row r="11176">
          <cell r="O11176" t="str">
            <v>SC9314UA</v>
          </cell>
          <cell r="P11176" t="str">
            <v>STC9901AF</v>
          </cell>
          <cell r="Q11176" t="str">
            <v>速度传感器</v>
          </cell>
        </row>
        <row r="11177">
          <cell r="O11177" t="str">
            <v>SC9625VB</v>
          </cell>
          <cell r="P11177" t="str">
            <v>STC9910B</v>
          </cell>
          <cell r="Q11177" t="str">
            <v>速度传感器</v>
          </cell>
        </row>
        <row r="11178">
          <cell r="O11178" t="str">
            <v>SC9641TS-P</v>
          </cell>
          <cell r="P11178" t="str">
            <v>STC9A001F</v>
          </cell>
          <cell r="Q11178" t="str">
            <v>速度传感器</v>
          </cell>
        </row>
        <row r="11179">
          <cell r="O11179" t="str">
            <v>SC9641TS-P</v>
          </cell>
          <cell r="P11179" t="str">
            <v>STC9A001F</v>
          </cell>
          <cell r="Q11179" t="str">
            <v>速度传感器</v>
          </cell>
        </row>
        <row r="11180">
          <cell r="O11180" t="str">
            <v>SC9641TS-P</v>
          </cell>
          <cell r="P11180" t="str">
            <v>STC9A001F</v>
          </cell>
          <cell r="Q11180" t="str">
            <v>速度传感器</v>
          </cell>
        </row>
        <row r="11181">
          <cell r="O11181" t="str">
            <v>SC9641TS-P</v>
          </cell>
          <cell r="P11181" t="str">
            <v>STC9A001F</v>
          </cell>
          <cell r="Q11181" t="str">
            <v>速度传感器</v>
          </cell>
        </row>
        <row r="11182">
          <cell r="O11182" t="str">
            <v>SC9641TS-P</v>
          </cell>
          <cell r="P11182" t="str">
            <v>STC9A001F</v>
          </cell>
          <cell r="Q11182" t="str">
            <v>速度传感器</v>
          </cell>
        </row>
        <row r="11183">
          <cell r="O11183" t="str">
            <v>SC9641TS-P</v>
          </cell>
          <cell r="P11183" t="str">
            <v>STC9A001F</v>
          </cell>
          <cell r="Q11183" t="str">
            <v>速度传感器</v>
          </cell>
        </row>
        <row r="11184">
          <cell r="O11184" t="str">
            <v>SC9641TS-P</v>
          </cell>
          <cell r="P11184" t="str">
            <v>STC9A001F</v>
          </cell>
          <cell r="Q11184" t="str">
            <v>速度传感器</v>
          </cell>
        </row>
        <row r="11185">
          <cell r="O11185" t="str">
            <v>SC9625VB</v>
          </cell>
          <cell r="P11185" t="str">
            <v>STC9910B</v>
          </cell>
          <cell r="Q11185" t="str">
            <v>速度传感器</v>
          </cell>
        </row>
        <row r="11186">
          <cell r="O11186" t="str">
            <v>ZH6219LB-Mask</v>
          </cell>
          <cell r="P11186" t="str">
            <v xml:space="preserve"> </v>
          </cell>
          <cell r="Q11186" t="str">
            <v>电机驱动</v>
          </cell>
        </row>
        <row r="11187">
          <cell r="O11187" t="str">
            <v>SC2462SO</v>
          </cell>
          <cell r="P11187" t="str">
            <v>STC9906J</v>
          </cell>
          <cell r="Q11187" t="str">
            <v>磁性位置传感器</v>
          </cell>
        </row>
        <row r="11188">
          <cell r="O11188" t="str">
            <v>SC2464SO</v>
          </cell>
          <cell r="P11188" t="str">
            <v>STC9906J</v>
          </cell>
          <cell r="Q11188" t="str">
            <v>磁性位置传感器</v>
          </cell>
        </row>
        <row r="11189">
          <cell r="O11189" t="str">
            <v>SC2464SO</v>
          </cell>
          <cell r="P11189" t="str">
            <v>STC9906J</v>
          </cell>
          <cell r="Q11189" t="str">
            <v>磁性位置传感器</v>
          </cell>
        </row>
        <row r="11190">
          <cell r="O11190" t="str">
            <v>SC2464SO</v>
          </cell>
          <cell r="P11190" t="str">
            <v>STC9906J</v>
          </cell>
          <cell r="Q11190" t="str">
            <v>磁性位置传感器</v>
          </cell>
        </row>
        <row r="11191">
          <cell r="O11191" t="str">
            <v>SC1133UA</v>
          </cell>
          <cell r="P11191" t="str">
            <v>STC1898AJ</v>
          </cell>
          <cell r="Q11191" t="str">
            <v>磁性位置传感器</v>
          </cell>
        </row>
        <row r="11192">
          <cell r="O11192" t="str">
            <v>SC9625VB</v>
          </cell>
          <cell r="P11192" t="str">
            <v>STC9910B</v>
          </cell>
          <cell r="Q11192" t="str">
            <v>速度传感器</v>
          </cell>
        </row>
        <row r="11193">
          <cell r="O11193" t="str">
            <v>SC1445A1</v>
          </cell>
          <cell r="P11193" t="str">
            <v>STC2899AB</v>
          </cell>
          <cell r="Q11193" t="str">
            <v>磁性位置传感器</v>
          </cell>
        </row>
        <row r="11194">
          <cell r="O11194" t="str">
            <v>SC2438UA</v>
          </cell>
          <cell r="P11194" t="str">
            <v>STC9906I</v>
          </cell>
          <cell r="Q11194" t="str">
            <v>磁性位置传感器</v>
          </cell>
        </row>
        <row r="11195">
          <cell r="O11195" t="str">
            <v>SC4002UA</v>
          </cell>
          <cell r="P11195" t="str">
            <v>STC4000AA</v>
          </cell>
          <cell r="Q11195" t="str">
            <v>磁性位置传感器</v>
          </cell>
        </row>
        <row r="11196">
          <cell r="O11196" t="str">
            <v>SC2063SO</v>
          </cell>
          <cell r="P11196" t="str">
            <v>STC9G001C</v>
          </cell>
          <cell r="Q11196" t="str">
            <v>磁性位置传感器</v>
          </cell>
        </row>
        <row r="11197">
          <cell r="O11197" t="str">
            <v>SC4011SO-N</v>
          </cell>
          <cell r="P11197" t="str">
            <v>STC4011B</v>
          </cell>
          <cell r="Q11197" t="str">
            <v>磁性位置传感器</v>
          </cell>
        </row>
        <row r="11198">
          <cell r="O11198" t="str">
            <v>SC4011SO-N</v>
          </cell>
          <cell r="P11198" t="str">
            <v>STC4011B</v>
          </cell>
          <cell r="Q11198" t="str">
            <v>磁性位置传感器</v>
          </cell>
        </row>
        <row r="11199">
          <cell r="O11199" t="str">
            <v>SC4011SO-N</v>
          </cell>
          <cell r="P11199" t="str">
            <v>STC4011B</v>
          </cell>
          <cell r="Q11199" t="str">
            <v>磁性位置传感器</v>
          </cell>
        </row>
        <row r="11200">
          <cell r="O11200" t="str">
            <v>SC4011SO-N</v>
          </cell>
          <cell r="P11200" t="str">
            <v>STC4011B</v>
          </cell>
          <cell r="Q11200" t="str">
            <v>磁性位置传感器</v>
          </cell>
        </row>
        <row r="11201">
          <cell r="O11201" t="str">
            <v>SC4011SO-N</v>
          </cell>
          <cell r="P11201" t="str">
            <v>STC4011B</v>
          </cell>
          <cell r="Q11201" t="str">
            <v>磁性位置传感器</v>
          </cell>
        </row>
        <row r="11202">
          <cell r="O11202" t="str">
            <v>VE1430Q1VA3RADJ</v>
          </cell>
          <cell r="P11202" t="str">
            <v xml:space="preserve"> </v>
          </cell>
          <cell r="Q11202" t="str">
            <v>电源管理</v>
          </cell>
        </row>
        <row r="11203">
          <cell r="O11203" t="str">
            <v>VE1430Q1VA3RADJ</v>
          </cell>
          <cell r="P11203" t="str">
            <v xml:space="preserve"> </v>
          </cell>
          <cell r="Q11203" t="str">
            <v>电源管理</v>
          </cell>
        </row>
        <row r="11204">
          <cell r="O11204" t="str">
            <v>VE1430Q1VA3RADJ</v>
          </cell>
          <cell r="P11204" t="str">
            <v xml:space="preserve"> </v>
          </cell>
          <cell r="Q11204" t="str">
            <v>电源管理</v>
          </cell>
        </row>
        <row r="11205">
          <cell r="O11205" t="str">
            <v>SL002147</v>
          </cell>
          <cell r="P11205" t="str">
            <v>STC16100A</v>
          </cell>
          <cell r="Q11205" t="str">
            <v>电流传感器</v>
          </cell>
        </row>
        <row r="11206">
          <cell r="O11206" t="str">
            <v>SD2276</v>
          </cell>
          <cell r="P11206" t="str">
            <v>FD1014A</v>
          </cell>
          <cell r="Q11206" t="str">
            <v>电机驱动</v>
          </cell>
        </row>
        <row r="11207">
          <cell r="O11207" t="str">
            <v>SC4011SO-N</v>
          </cell>
          <cell r="P11207" t="str">
            <v>STC4011B</v>
          </cell>
          <cell r="Q11207" t="str">
            <v>磁性位置传感器</v>
          </cell>
        </row>
        <row r="11208">
          <cell r="O11208" t="str">
            <v>SC4011SO-N</v>
          </cell>
          <cell r="P11208" t="str">
            <v>STC4011B</v>
          </cell>
          <cell r="Q11208" t="str">
            <v>磁性位置传感器</v>
          </cell>
        </row>
        <row r="11209">
          <cell r="O11209" t="str">
            <v>SC4011SO-N</v>
          </cell>
          <cell r="P11209" t="str">
            <v>STC4011B</v>
          </cell>
          <cell r="Q11209" t="str">
            <v>磁性位置传感器</v>
          </cell>
        </row>
        <row r="11210">
          <cell r="O11210" t="str">
            <v>SYLMV324BPD2R</v>
          </cell>
          <cell r="P11210" t="str">
            <v>STC9G003B</v>
          </cell>
          <cell r="Q11210" t="str">
            <v>其他数模混合</v>
          </cell>
        </row>
        <row r="11211">
          <cell r="O11211" t="str">
            <v>SYLMV324BPD2R</v>
          </cell>
          <cell r="P11211" t="str">
            <v>STC9G003B</v>
          </cell>
          <cell r="Q11211" t="str">
            <v>其他数模混合</v>
          </cell>
        </row>
        <row r="11212">
          <cell r="O11212" t="str">
            <v>SC1134SO-N</v>
          </cell>
          <cell r="P11212" t="str">
            <v>STC1898AI</v>
          </cell>
          <cell r="Q11212" t="str">
            <v>磁性位置传感器</v>
          </cell>
        </row>
        <row r="11213">
          <cell r="O11213" t="str">
            <v>SC1134SO-N</v>
          </cell>
          <cell r="P11213" t="str">
            <v>STC1898AI</v>
          </cell>
          <cell r="Q11213" t="str">
            <v>磁性位置传感器</v>
          </cell>
        </row>
        <row r="11214">
          <cell r="O11214" t="str">
            <v>SC1134SO-N</v>
          </cell>
          <cell r="P11214" t="str">
            <v>STC1898AI</v>
          </cell>
          <cell r="Q11214" t="str">
            <v>磁性位置传感器</v>
          </cell>
        </row>
        <row r="11215">
          <cell r="O11215" t="str">
            <v>SC1134SO-N</v>
          </cell>
          <cell r="P11215" t="str">
            <v>STC1898AI</v>
          </cell>
          <cell r="Q11215" t="str">
            <v>磁性位置传感器</v>
          </cell>
        </row>
        <row r="11216">
          <cell r="O11216" t="str">
            <v>SC1134SO-N</v>
          </cell>
          <cell r="P11216" t="str">
            <v>STC1898AI</v>
          </cell>
          <cell r="Q11216" t="str">
            <v>磁性位置传感器</v>
          </cell>
        </row>
        <row r="11217">
          <cell r="O11217" t="str">
            <v>SC2063SO</v>
          </cell>
          <cell r="P11217" t="str">
            <v>STC9G001C</v>
          </cell>
          <cell r="Q11217" t="str">
            <v>磁性位置传感器</v>
          </cell>
        </row>
        <row r="11218">
          <cell r="O11218" t="str">
            <v>SC2063SO</v>
          </cell>
          <cell r="P11218" t="str">
            <v>STC9G001C</v>
          </cell>
          <cell r="Q11218" t="str">
            <v>磁性位置传感器</v>
          </cell>
        </row>
        <row r="11219">
          <cell r="O11219" t="str">
            <v>SC2063SO</v>
          </cell>
          <cell r="P11219" t="str">
            <v>STC9G001C</v>
          </cell>
          <cell r="Q11219" t="str">
            <v>磁性位置传感器</v>
          </cell>
        </row>
        <row r="11220">
          <cell r="O11220" t="str">
            <v>SC4011SO-N</v>
          </cell>
          <cell r="P11220" t="str">
            <v>STC4011B</v>
          </cell>
          <cell r="Q11220" t="str">
            <v>磁性位置传感器</v>
          </cell>
        </row>
        <row r="11221">
          <cell r="O11221" t="str">
            <v>SC4011SO-N</v>
          </cell>
          <cell r="P11221" t="str">
            <v>STC4011B</v>
          </cell>
          <cell r="Q11221" t="str">
            <v>磁性位置传感器</v>
          </cell>
        </row>
        <row r="11222">
          <cell r="O11222" t="str">
            <v>SC4011SO-N</v>
          </cell>
          <cell r="P11222" t="str">
            <v>STC4011B</v>
          </cell>
          <cell r="Q11222" t="str">
            <v>磁性位置传感器</v>
          </cell>
        </row>
        <row r="11223">
          <cell r="O11223" t="str">
            <v>SC9632VB</v>
          </cell>
          <cell r="P11223" t="str">
            <v>STC9905E</v>
          </cell>
          <cell r="Q11223" t="str">
            <v>速度传感器</v>
          </cell>
        </row>
        <row r="11224">
          <cell r="O11224" t="str">
            <v>SC9632VB</v>
          </cell>
          <cell r="P11224" t="str">
            <v>STC9905E</v>
          </cell>
          <cell r="Q11224" t="str">
            <v>速度传感器</v>
          </cell>
        </row>
        <row r="11225">
          <cell r="O11225" t="str">
            <v>2100</v>
          </cell>
          <cell r="P11225" t="str">
            <v>STC9D03E</v>
          </cell>
          <cell r="Q11225" t="str">
            <v>电流传感器</v>
          </cell>
        </row>
        <row r="11226">
          <cell r="O11226" t="str">
            <v>SC4688SA</v>
          </cell>
          <cell r="P11226" t="str">
            <v>STC9D01C</v>
          </cell>
          <cell r="Q11226" t="str">
            <v>角度传感器</v>
          </cell>
        </row>
        <row r="11227">
          <cell r="O11227" t="str">
            <v>SC4688SA</v>
          </cell>
          <cell r="P11227" t="str">
            <v>STC9D01C</v>
          </cell>
          <cell r="Q11227" t="str">
            <v>角度传感器</v>
          </cell>
        </row>
        <row r="11228">
          <cell r="O11228" t="str">
            <v>SC4688SA</v>
          </cell>
          <cell r="P11228" t="str">
            <v>STC9D01C</v>
          </cell>
          <cell r="Q11228" t="str">
            <v>角度传感器</v>
          </cell>
        </row>
        <row r="11229">
          <cell r="O11229" t="str">
            <v>SC4688SA</v>
          </cell>
          <cell r="P11229" t="str">
            <v>STC9D01C</v>
          </cell>
          <cell r="Q11229" t="str">
            <v>角度传感器</v>
          </cell>
        </row>
        <row r="11230">
          <cell r="O11230" t="str">
            <v>SC4643VB-A</v>
          </cell>
          <cell r="P11230" t="str">
            <v>STC9D03E</v>
          </cell>
          <cell r="Q11230" t="str">
            <v>电流传感器</v>
          </cell>
        </row>
        <row r="11231">
          <cell r="O11231" t="str">
            <v>SC9642TS-E</v>
          </cell>
          <cell r="P11231" t="str">
            <v>STC9A001H</v>
          </cell>
          <cell r="Q11231" t="str">
            <v>速度传感器</v>
          </cell>
        </row>
        <row r="11232">
          <cell r="O11232" t="str">
            <v>SC2416SE</v>
          </cell>
          <cell r="P11232" t="str">
            <v>STC9902B</v>
          </cell>
          <cell r="Q11232" t="str">
            <v>磁性位置传感器</v>
          </cell>
        </row>
        <row r="11233">
          <cell r="O11233" t="str">
            <v>SC2416SE</v>
          </cell>
          <cell r="P11233" t="str">
            <v>STC9902B</v>
          </cell>
          <cell r="Q11233" t="str">
            <v>磁性位置传感器</v>
          </cell>
        </row>
        <row r="11234">
          <cell r="O11234" t="str">
            <v>SC2416SE</v>
          </cell>
          <cell r="P11234" t="str">
            <v>STC9902B</v>
          </cell>
          <cell r="Q11234" t="str">
            <v>磁性位置传感器</v>
          </cell>
        </row>
        <row r="11235">
          <cell r="O11235" t="str">
            <v>SC69401D</v>
          </cell>
          <cell r="P11235" t="str">
            <v>STC9H002D</v>
          </cell>
          <cell r="Q11235" t="str">
            <v>角度传感器</v>
          </cell>
        </row>
        <row r="11236">
          <cell r="O11236" t="str">
            <v>SC2432HUA</v>
          </cell>
          <cell r="P11236" t="str">
            <v>STC9906I</v>
          </cell>
          <cell r="Q11236" t="str">
            <v>磁性位置传感器</v>
          </cell>
        </row>
        <row r="11237">
          <cell r="O11237" t="str">
            <v>SC1645B1</v>
          </cell>
          <cell r="P11237" t="str">
            <v>STC2899AE</v>
          </cell>
          <cell r="Q11237" t="str">
            <v>磁性位置传感器</v>
          </cell>
        </row>
        <row r="11238">
          <cell r="O11238" t="str">
            <v>SC1645B1</v>
          </cell>
          <cell r="P11238" t="str">
            <v>STC2899AE</v>
          </cell>
          <cell r="Q11238" t="str">
            <v>磁性位置传感器</v>
          </cell>
        </row>
        <row r="11239">
          <cell r="O11239" t="str">
            <v>SC1645B1</v>
          </cell>
          <cell r="P11239" t="str">
            <v>STC2899AE</v>
          </cell>
          <cell r="Q11239" t="str">
            <v>磁性位置传感器</v>
          </cell>
        </row>
        <row r="11240">
          <cell r="O11240" t="str">
            <v>SC1645B1</v>
          </cell>
          <cell r="P11240" t="str">
            <v>STC2899AE</v>
          </cell>
          <cell r="Q11240" t="str">
            <v>磁性位置传感器</v>
          </cell>
        </row>
        <row r="11241">
          <cell r="O11241" t="str">
            <v>SC1645B1</v>
          </cell>
          <cell r="P11241" t="str">
            <v>STC2899AE</v>
          </cell>
          <cell r="Q11241" t="str">
            <v>磁性位置传感器</v>
          </cell>
        </row>
        <row r="11242">
          <cell r="O11242" t="str">
            <v>SC1645A1</v>
          </cell>
          <cell r="P11242" t="str">
            <v>STC2899AE</v>
          </cell>
          <cell r="Q11242" t="str">
            <v>磁性位置传感器</v>
          </cell>
        </row>
        <row r="11243">
          <cell r="O11243" t="str">
            <v>SC1645A1</v>
          </cell>
          <cell r="P11243" t="str">
            <v>STC2899AE</v>
          </cell>
          <cell r="Q11243" t="str">
            <v>磁性位置传感器</v>
          </cell>
        </row>
        <row r="11244">
          <cell r="O11244" t="str">
            <v>SC1645A1</v>
          </cell>
          <cell r="P11244" t="str">
            <v>STC2899AE</v>
          </cell>
          <cell r="Q11244" t="str">
            <v>磁性位置传感器</v>
          </cell>
        </row>
        <row r="11245">
          <cell r="O11245" t="str">
            <v>SC1645A1</v>
          </cell>
          <cell r="P11245" t="str">
            <v>STC2899AE</v>
          </cell>
          <cell r="Q11245" t="str">
            <v>磁性位置传感器</v>
          </cell>
        </row>
        <row r="11246">
          <cell r="O11246" t="str">
            <v>SC1645A1</v>
          </cell>
          <cell r="P11246" t="str">
            <v>STC2899AE</v>
          </cell>
          <cell r="Q11246" t="str">
            <v>磁性位置传感器</v>
          </cell>
        </row>
        <row r="11247">
          <cell r="O11247" t="str">
            <v>SC1645A1</v>
          </cell>
          <cell r="P11247" t="str">
            <v>STC2899AE</v>
          </cell>
          <cell r="Q11247" t="str">
            <v>磁性位置传感器</v>
          </cell>
        </row>
        <row r="11248">
          <cell r="O11248" t="str">
            <v>SC1645A1</v>
          </cell>
          <cell r="P11248" t="str">
            <v>STC2899AE</v>
          </cell>
          <cell r="Q11248" t="str">
            <v>磁性位置传感器</v>
          </cell>
        </row>
        <row r="11249">
          <cell r="O11249" t="str">
            <v>SC1645A1</v>
          </cell>
          <cell r="P11249" t="str">
            <v>STC2899AE</v>
          </cell>
          <cell r="Q11249" t="str">
            <v>磁性位置传感器</v>
          </cell>
        </row>
        <row r="11250">
          <cell r="O11250" t="str">
            <v>SC1645A1</v>
          </cell>
          <cell r="P11250" t="str">
            <v>STC2899AE</v>
          </cell>
          <cell r="Q11250" t="str">
            <v>磁性位置传感器</v>
          </cell>
        </row>
        <row r="11251">
          <cell r="O11251" t="str">
            <v>SC1645A1</v>
          </cell>
          <cell r="P11251" t="str">
            <v>STC2899AE</v>
          </cell>
          <cell r="Q11251" t="str">
            <v>磁性位置传感器</v>
          </cell>
        </row>
        <row r="11252">
          <cell r="O11252" t="str">
            <v>SC1645A1</v>
          </cell>
          <cell r="P11252" t="str">
            <v>STC2899AE</v>
          </cell>
          <cell r="Q11252" t="str">
            <v>磁性位置传感器</v>
          </cell>
        </row>
        <row r="11253">
          <cell r="O11253" t="str">
            <v>SC60370</v>
          </cell>
          <cell r="P11253" t="str">
            <v>STC9D05B</v>
          </cell>
          <cell r="Q11253" t="str">
            <v>电机编码器</v>
          </cell>
        </row>
        <row r="11254">
          <cell r="O11254" t="str">
            <v>SC929A1</v>
          </cell>
          <cell r="P11254" t="str">
            <v>STC9913D</v>
          </cell>
          <cell r="Q11254" t="str">
            <v>磁性位置传感器</v>
          </cell>
        </row>
        <row r="11255">
          <cell r="O11255" t="str">
            <v>SC929A1</v>
          </cell>
          <cell r="P11255" t="str">
            <v>STC9913D</v>
          </cell>
          <cell r="Q11255" t="str">
            <v>磁性位置传感器</v>
          </cell>
        </row>
        <row r="11256">
          <cell r="O11256" t="str">
            <v>SC1645A2</v>
          </cell>
          <cell r="P11256" t="str">
            <v>STC2899AE</v>
          </cell>
          <cell r="Q11256" t="str">
            <v>磁性位置传感器</v>
          </cell>
        </row>
        <row r="11257">
          <cell r="O11257" t="str">
            <v>SC2064SO</v>
          </cell>
          <cell r="P11257" t="str">
            <v>STC9G001C</v>
          </cell>
          <cell r="Q11257" t="str">
            <v>磁性位置传感器</v>
          </cell>
        </row>
        <row r="11258">
          <cell r="O11258" t="str">
            <v>SC2498SO</v>
          </cell>
          <cell r="P11258" t="str">
            <v>SC9915C</v>
          </cell>
          <cell r="Q11258" t="str">
            <v>磁性位置传感器</v>
          </cell>
        </row>
        <row r="11259">
          <cell r="O11259" t="str">
            <v>SC1134SO-N</v>
          </cell>
          <cell r="P11259" t="str">
            <v>STC1898AI</v>
          </cell>
          <cell r="Q11259" t="str">
            <v>磁性位置传感器</v>
          </cell>
        </row>
        <row r="11260">
          <cell r="O11260" t="str">
            <v>SC1138SO-N</v>
          </cell>
          <cell r="P11260" t="str">
            <v>STC1898AC</v>
          </cell>
          <cell r="Q11260" t="str">
            <v>磁性位置传感器</v>
          </cell>
        </row>
        <row r="11261">
          <cell r="O11261" t="str">
            <v>SC1138SO-N</v>
          </cell>
          <cell r="P11261" t="str">
            <v>STC1898AC</v>
          </cell>
          <cell r="Q11261" t="str">
            <v>磁性位置传感器</v>
          </cell>
        </row>
        <row r="11262">
          <cell r="O11262" t="str">
            <v>SC1138SO-N</v>
          </cell>
          <cell r="P11262" t="str">
            <v>STC1898AC</v>
          </cell>
          <cell r="Q11262" t="str">
            <v>磁性位置传感器</v>
          </cell>
        </row>
        <row r="11263">
          <cell r="O11263" t="str">
            <v>SC1138SO-N</v>
          </cell>
          <cell r="P11263" t="str">
            <v>STC1898AC</v>
          </cell>
          <cell r="Q11263" t="str">
            <v>磁性位置传感器</v>
          </cell>
        </row>
        <row r="11264">
          <cell r="O11264" t="str">
            <v>SC1138SO-N</v>
          </cell>
          <cell r="P11264" t="str">
            <v>STC1898AC</v>
          </cell>
          <cell r="Q11264" t="str">
            <v>磁性位置传感器</v>
          </cell>
        </row>
        <row r="11265">
          <cell r="O11265" t="str">
            <v>SC1138SO-N</v>
          </cell>
          <cell r="P11265" t="str">
            <v>STC1898AC</v>
          </cell>
          <cell r="Q11265" t="str">
            <v>磁性位置传感器</v>
          </cell>
        </row>
        <row r="11266">
          <cell r="O11266" t="str">
            <v>SC1138SO-N</v>
          </cell>
          <cell r="P11266" t="str">
            <v>STC1898AC</v>
          </cell>
          <cell r="Q11266" t="str">
            <v>磁性位置传感器</v>
          </cell>
        </row>
        <row r="11267">
          <cell r="O11267" t="str">
            <v>SC4688SA-A</v>
          </cell>
          <cell r="P11267" t="str">
            <v>STC9D01C</v>
          </cell>
          <cell r="Q11267" t="str">
            <v>角度传感器</v>
          </cell>
        </row>
        <row r="11268">
          <cell r="O11268" t="str">
            <v>SC9633VB</v>
          </cell>
          <cell r="P11268" t="str">
            <v>STC9905F</v>
          </cell>
          <cell r="Q11268" t="str">
            <v>速度传感器</v>
          </cell>
        </row>
        <row r="11269">
          <cell r="O11269" t="str">
            <v>SC2498SO</v>
          </cell>
          <cell r="P11269" t="str">
            <v>SC9915C</v>
          </cell>
          <cell r="Q11269" t="str">
            <v>磁性位置传感器</v>
          </cell>
        </row>
        <row r="11270">
          <cell r="O11270" t="str">
            <v>SC2498SO</v>
          </cell>
          <cell r="P11270" t="str">
            <v>SC9915C</v>
          </cell>
          <cell r="Q11270" t="str">
            <v>磁性位置传感器</v>
          </cell>
        </row>
        <row r="11271">
          <cell r="O11271" t="str">
            <v>SC2402SO-N</v>
          </cell>
          <cell r="P11271" t="str">
            <v>STC9902J</v>
          </cell>
          <cell r="Q11271" t="str">
            <v>磁性位置传感器</v>
          </cell>
        </row>
        <row r="11272">
          <cell r="O11272" t="str">
            <v>SC1134UA</v>
          </cell>
          <cell r="P11272" t="str">
            <v>STC1898AI</v>
          </cell>
          <cell r="Q11272" t="str">
            <v>磁性位置传感器</v>
          </cell>
        </row>
        <row r="11273">
          <cell r="O11273" t="str">
            <v>SC4011SO-N</v>
          </cell>
          <cell r="P11273" t="str">
            <v>STC4011B</v>
          </cell>
          <cell r="Q11273" t="str">
            <v>磁性位置传感器</v>
          </cell>
        </row>
        <row r="11274">
          <cell r="O11274" t="str">
            <v>SC4011SO-N</v>
          </cell>
          <cell r="P11274" t="str">
            <v>STC4011B</v>
          </cell>
          <cell r="Q11274" t="str">
            <v>磁性位置传感器</v>
          </cell>
        </row>
        <row r="11275">
          <cell r="O11275" t="str">
            <v>SC1245SO-N</v>
          </cell>
          <cell r="P11275" t="str">
            <v>STC1898AD</v>
          </cell>
          <cell r="Q11275" t="str">
            <v>磁性位置传感器</v>
          </cell>
        </row>
        <row r="11276">
          <cell r="O11276" t="str">
            <v>SC4643VB</v>
          </cell>
          <cell r="P11276" t="str">
            <v>STC9D03E</v>
          </cell>
          <cell r="Q11276" t="str">
            <v>电流传感器</v>
          </cell>
        </row>
        <row r="11277">
          <cell r="O11277" t="str">
            <v>SC60228DC</v>
          </cell>
          <cell r="P11277" t="str">
            <v>STC9D04C</v>
          </cell>
          <cell r="Q11277" t="str">
            <v>电机编码器</v>
          </cell>
        </row>
        <row r="11278">
          <cell r="O11278" t="str">
            <v>SC2442SO-N</v>
          </cell>
          <cell r="P11278" t="str">
            <v>STC9906P</v>
          </cell>
          <cell r="Q11278" t="str">
            <v>磁性位置传感器</v>
          </cell>
        </row>
        <row r="11279">
          <cell r="O11279" t="str">
            <v>SC2442SO-N</v>
          </cell>
          <cell r="P11279" t="str">
            <v>STC9906P</v>
          </cell>
          <cell r="Q11279" t="str">
            <v>磁性位置传感器</v>
          </cell>
        </row>
        <row r="11280">
          <cell r="O11280" t="str">
            <v>SC2442SO-N</v>
          </cell>
          <cell r="P11280" t="str">
            <v>STC9906P</v>
          </cell>
          <cell r="Q11280" t="str">
            <v>磁性位置传感器</v>
          </cell>
        </row>
        <row r="11281">
          <cell r="O11281" t="str">
            <v>SC9625VB-L</v>
          </cell>
          <cell r="P11281" t="str">
            <v>STC9910E</v>
          </cell>
          <cell r="Q11281" t="str">
            <v>速度传感器</v>
          </cell>
        </row>
        <row r="11282">
          <cell r="O11282" t="str">
            <v>SC1245UA</v>
          </cell>
          <cell r="P11282" t="str">
            <v>STC1898AD</v>
          </cell>
          <cell r="Q11282" t="str">
            <v>磁性位置传感器</v>
          </cell>
        </row>
        <row r="11283">
          <cell r="O11283" t="str">
            <v>SC1245UA</v>
          </cell>
          <cell r="P11283" t="str">
            <v>STC1898AD</v>
          </cell>
          <cell r="Q11283" t="str">
            <v>磁性位置传感器</v>
          </cell>
        </row>
        <row r="11284">
          <cell r="O11284" t="str">
            <v>SC9675IM-P-HRF00</v>
          </cell>
          <cell r="P11284" t="str">
            <v>STC9A002B</v>
          </cell>
          <cell r="Q11284" t="str">
            <v>速度传感器</v>
          </cell>
        </row>
        <row r="11285">
          <cell r="O11285" t="str">
            <v>SC9641TS</v>
          </cell>
          <cell r="P11285" t="str">
            <v>STC9910BN</v>
          </cell>
          <cell r="Q11285" t="str">
            <v>速度传感器</v>
          </cell>
        </row>
        <row r="11286">
          <cell r="O11286" t="str">
            <v>SC9641TS</v>
          </cell>
          <cell r="P11286" t="str">
            <v>STC9910BN</v>
          </cell>
          <cell r="Q11286" t="str">
            <v>速度传感器</v>
          </cell>
        </row>
        <row r="11287">
          <cell r="O11287" t="str">
            <v>SC1134UA</v>
          </cell>
          <cell r="P11287" t="str">
            <v>STC1898AI</v>
          </cell>
          <cell r="Q11287" t="str">
            <v>磁性位置传感器</v>
          </cell>
        </row>
        <row r="11288">
          <cell r="O11288" t="str">
            <v>SC1134UA</v>
          </cell>
          <cell r="P11288" t="str">
            <v>STC1898AI</v>
          </cell>
          <cell r="Q11288" t="str">
            <v>磁性位置传感器</v>
          </cell>
        </row>
        <row r="11289">
          <cell r="O11289" t="str">
            <v>SC1134UA</v>
          </cell>
          <cell r="P11289" t="str">
            <v>STC1898AI</v>
          </cell>
          <cell r="Q11289" t="str">
            <v>磁性位置传感器</v>
          </cell>
        </row>
        <row r="11290">
          <cell r="O11290" t="str">
            <v>SD2276</v>
          </cell>
          <cell r="P11290" t="str">
            <v>FD1014A</v>
          </cell>
          <cell r="Q11290" t="str">
            <v>电机驱动</v>
          </cell>
        </row>
        <row r="11291">
          <cell r="O11291" t="str">
            <v>SD2276</v>
          </cell>
          <cell r="P11291" t="str">
            <v>FD1014A</v>
          </cell>
          <cell r="Q11291" t="str">
            <v>电机驱动</v>
          </cell>
        </row>
        <row r="11292">
          <cell r="O11292" t="str">
            <v>SC2448SO</v>
          </cell>
          <cell r="P11292" t="str">
            <v>STC9906S</v>
          </cell>
          <cell r="Q11292" t="str">
            <v>磁性位置传感器</v>
          </cell>
        </row>
        <row r="11293">
          <cell r="O11293" t="str">
            <v>SC2448SO</v>
          </cell>
          <cell r="P11293" t="str">
            <v>STC9906S</v>
          </cell>
          <cell r="Q11293" t="str">
            <v>磁性位置传感器</v>
          </cell>
        </row>
        <row r="11294">
          <cell r="O11294" t="str">
            <v>SC2448SO</v>
          </cell>
          <cell r="P11294" t="str">
            <v>STC9906S</v>
          </cell>
          <cell r="Q11294" t="str">
            <v>磁性位置传感器</v>
          </cell>
        </row>
        <row r="11295">
          <cell r="O11295" t="str">
            <v>SC2448SO</v>
          </cell>
          <cell r="P11295" t="str">
            <v>STC9906S</v>
          </cell>
          <cell r="Q11295" t="str">
            <v>磁性位置传感器</v>
          </cell>
        </row>
        <row r="11296">
          <cell r="O11296" t="str">
            <v>SC2448SO</v>
          </cell>
          <cell r="P11296" t="str">
            <v>STC9906S</v>
          </cell>
          <cell r="Q11296" t="str">
            <v>磁性位置传感器</v>
          </cell>
        </row>
        <row r="11297">
          <cell r="O11297" t="str">
            <v>SC2448SO</v>
          </cell>
          <cell r="P11297" t="str">
            <v>STC9906S</v>
          </cell>
          <cell r="Q11297" t="str">
            <v>磁性位置传感器</v>
          </cell>
        </row>
        <row r="11298">
          <cell r="O11298" t="str">
            <v>SC2448SO</v>
          </cell>
          <cell r="P11298" t="str">
            <v>STC9906S</v>
          </cell>
          <cell r="Q11298" t="str">
            <v>磁性位置传感器</v>
          </cell>
        </row>
        <row r="11299">
          <cell r="O11299" t="str">
            <v>SC2448SO</v>
          </cell>
          <cell r="P11299" t="str">
            <v>STC9906S</v>
          </cell>
          <cell r="Q11299" t="str">
            <v>磁性位置传感器</v>
          </cell>
        </row>
        <row r="11300">
          <cell r="O11300" t="str">
            <v>SC2402SO-N-H</v>
          </cell>
          <cell r="P11300" t="str">
            <v>STC9H001A</v>
          </cell>
          <cell r="Q11300" t="str">
            <v>磁性位置传感器</v>
          </cell>
        </row>
        <row r="11301">
          <cell r="O11301" t="str">
            <v>SC2064UA</v>
          </cell>
          <cell r="P11301" t="str">
            <v>STC9G001C</v>
          </cell>
          <cell r="Q11301" t="str">
            <v>磁性位置传感器</v>
          </cell>
        </row>
        <row r="11302">
          <cell r="O11302" t="str">
            <v>SC4011SO-N</v>
          </cell>
          <cell r="P11302" t="str">
            <v>STC4011B</v>
          </cell>
          <cell r="Q11302" t="str">
            <v>磁性位置传感器</v>
          </cell>
        </row>
        <row r="11303">
          <cell r="O11303" t="str">
            <v>SC4011SO-N</v>
          </cell>
          <cell r="P11303" t="str">
            <v>STC4011B</v>
          </cell>
          <cell r="Q11303" t="str">
            <v>磁性位置传感器</v>
          </cell>
        </row>
        <row r="11304">
          <cell r="O11304" t="str">
            <v>SC1134SO-N</v>
          </cell>
          <cell r="P11304" t="str">
            <v>STC1898AI</v>
          </cell>
          <cell r="Q11304" t="str">
            <v>磁性位置传感器</v>
          </cell>
        </row>
        <row r="11305">
          <cell r="O11305" t="str">
            <v>SC1134SO-N</v>
          </cell>
          <cell r="P11305" t="str">
            <v>STC1898AI</v>
          </cell>
          <cell r="Q11305" t="str">
            <v>磁性位置传感器</v>
          </cell>
        </row>
        <row r="11306">
          <cell r="O11306" t="str">
            <v>SC1134SO-N</v>
          </cell>
          <cell r="P11306" t="str">
            <v>STC1898AI</v>
          </cell>
          <cell r="Q11306" t="str">
            <v>磁性位置传感器</v>
          </cell>
        </row>
        <row r="11307">
          <cell r="O11307" t="str">
            <v>SC1245SO-N</v>
          </cell>
          <cell r="P11307" t="str">
            <v>STC1898AD</v>
          </cell>
          <cell r="Q11307" t="str">
            <v>磁性位置传感器</v>
          </cell>
        </row>
        <row r="11308">
          <cell r="O11308" t="str">
            <v>SC2438UA</v>
          </cell>
          <cell r="P11308" t="str">
            <v>STC9906I</v>
          </cell>
          <cell r="Q11308" t="str">
            <v>磁性位置传感器</v>
          </cell>
        </row>
        <row r="11309">
          <cell r="O11309" t="str">
            <v>SC2063UA</v>
          </cell>
          <cell r="P11309" t="str">
            <v>STC9G001C</v>
          </cell>
          <cell r="Q11309" t="str">
            <v>磁性位置传感器</v>
          </cell>
        </row>
        <row r="11310">
          <cell r="O11310" t="str">
            <v>SC4011SO-N</v>
          </cell>
          <cell r="P11310" t="str">
            <v>STC4011B</v>
          </cell>
          <cell r="Q11310" t="str">
            <v>磁性位置传感器</v>
          </cell>
        </row>
        <row r="11311">
          <cell r="O11311" t="str">
            <v>SC4011SO-N</v>
          </cell>
          <cell r="P11311" t="str">
            <v>STC4011B</v>
          </cell>
          <cell r="Q11311" t="str">
            <v>磁性位置传感器</v>
          </cell>
        </row>
        <row r="11312">
          <cell r="O11312" t="str">
            <v>SC2402SO-N-G</v>
          </cell>
          <cell r="P11312" t="str">
            <v>STC9G002A</v>
          </cell>
          <cell r="Q11312" t="str">
            <v>磁性位置传感器</v>
          </cell>
        </row>
        <row r="11313">
          <cell r="O11313" t="str">
            <v>SC2402SO-N-G</v>
          </cell>
          <cell r="P11313" t="str">
            <v>STC9G002A</v>
          </cell>
          <cell r="Q11313" t="str">
            <v>磁性位置传感器</v>
          </cell>
        </row>
        <row r="11314">
          <cell r="O11314" t="str">
            <v>SC2402SO-N-G</v>
          </cell>
          <cell r="P11314" t="str">
            <v>STC9G002A</v>
          </cell>
          <cell r="Q11314" t="str">
            <v>磁性位置传感器</v>
          </cell>
        </row>
        <row r="11315">
          <cell r="O11315" t="str">
            <v>SC69401</v>
          </cell>
          <cell r="P11315" t="str">
            <v>STC9H002D</v>
          </cell>
          <cell r="Q11315" t="str">
            <v>角度传感器</v>
          </cell>
        </row>
        <row r="11316">
          <cell r="O11316" t="str">
            <v>SC69401</v>
          </cell>
          <cell r="P11316" t="str">
            <v>STC9H002D</v>
          </cell>
          <cell r="Q11316" t="str">
            <v>角度传感器</v>
          </cell>
        </row>
        <row r="11317">
          <cell r="O11317" t="str">
            <v>3100</v>
          </cell>
          <cell r="P11317" t="str">
            <v>STC9D06G</v>
          </cell>
          <cell r="Q11317" t="str">
            <v>电流传感器</v>
          </cell>
        </row>
        <row r="11318">
          <cell r="O11318" t="str">
            <v>SC2402UA</v>
          </cell>
          <cell r="P11318" t="str">
            <v>STC9G002A</v>
          </cell>
          <cell r="Q11318" t="str">
            <v>磁性位置传感器</v>
          </cell>
        </row>
        <row r="11319">
          <cell r="O11319" t="str">
            <v>SYLMV321BSOR</v>
          </cell>
          <cell r="P11319" t="str">
            <v>STC9G003B</v>
          </cell>
          <cell r="Q11319" t="str">
            <v>其他数模混合</v>
          </cell>
        </row>
        <row r="11320">
          <cell r="O11320" t="str">
            <v>SC4643VB-A</v>
          </cell>
          <cell r="P11320" t="str">
            <v>STC9D03E</v>
          </cell>
          <cell r="Q11320" t="str">
            <v>电流传感器</v>
          </cell>
        </row>
        <row r="11321">
          <cell r="O11321" t="str">
            <v>SC4643VB-A</v>
          </cell>
          <cell r="P11321" t="str">
            <v>STC9D03E</v>
          </cell>
          <cell r="Q11321" t="str">
            <v>电流传感器</v>
          </cell>
        </row>
        <row r="11322">
          <cell r="O11322" t="str">
            <v>SC4643VB-A</v>
          </cell>
          <cell r="P11322" t="str">
            <v>STC9D03E</v>
          </cell>
          <cell r="Q11322" t="str">
            <v>电流传感器</v>
          </cell>
        </row>
        <row r="11323">
          <cell r="O11323" t="str">
            <v>SC4643VB-A</v>
          </cell>
          <cell r="P11323" t="str">
            <v>STC9D03E</v>
          </cell>
          <cell r="Q11323" t="str">
            <v>电流传感器</v>
          </cell>
        </row>
        <row r="11324">
          <cell r="O11324" t="str">
            <v>SC4616UA-10.2NF</v>
          </cell>
          <cell r="P11324" t="str">
            <v>STC9907D</v>
          </cell>
          <cell r="Q11324" t="str">
            <v>电流传感器</v>
          </cell>
        </row>
        <row r="11325">
          <cell r="O11325" t="str">
            <v>SC9621VB-A</v>
          </cell>
          <cell r="P11325" t="str">
            <v>STC9910NC-Q</v>
          </cell>
          <cell r="Q11325" t="str">
            <v>速度传感器</v>
          </cell>
        </row>
        <row r="11326">
          <cell r="O11326" t="str">
            <v>SC9675IM-P-HRF00</v>
          </cell>
          <cell r="P11326" t="str">
            <v>STC9A002B</v>
          </cell>
          <cell r="Q11326" t="str">
            <v>速度传感器</v>
          </cell>
        </row>
        <row r="11327">
          <cell r="O11327" t="str">
            <v>SC9675IM-P-HRF00</v>
          </cell>
          <cell r="P11327" t="str">
            <v>STC9A002B</v>
          </cell>
          <cell r="Q11327" t="str">
            <v>速度传感器</v>
          </cell>
        </row>
        <row r="11328">
          <cell r="O11328" t="str">
            <v>SC9314UA</v>
          </cell>
          <cell r="P11328" t="str">
            <v>STC9901AF</v>
          </cell>
          <cell r="Q11328" t="str">
            <v>速度传感器</v>
          </cell>
        </row>
        <row r="11329">
          <cell r="O11329" t="str">
            <v>SC9314UA</v>
          </cell>
          <cell r="P11329" t="str">
            <v>STC9901AF</v>
          </cell>
          <cell r="Q11329" t="str">
            <v>速度传感器</v>
          </cell>
        </row>
        <row r="11330">
          <cell r="O11330" t="str">
            <v>SC9314UA</v>
          </cell>
          <cell r="P11330" t="str">
            <v>STC9901AF</v>
          </cell>
          <cell r="Q11330" t="str">
            <v>速度传感器</v>
          </cell>
        </row>
        <row r="11331">
          <cell r="O11331" t="str">
            <v>SC9621VB-A</v>
          </cell>
          <cell r="P11331" t="str">
            <v>STC9910NC-Q</v>
          </cell>
          <cell r="Q11331" t="str">
            <v>速度传感器</v>
          </cell>
        </row>
        <row r="11332">
          <cell r="O11332" t="str">
            <v>SC9642TS-E</v>
          </cell>
          <cell r="P11332" t="str">
            <v>STC9A001H</v>
          </cell>
          <cell r="Q11332" t="str">
            <v>速度传感器</v>
          </cell>
        </row>
        <row r="11333">
          <cell r="O11333" t="str">
            <v>SC9642TS-E</v>
          </cell>
          <cell r="P11333" t="str">
            <v>STC9A001H</v>
          </cell>
          <cell r="Q11333" t="str">
            <v>速度传感器</v>
          </cell>
        </row>
        <row r="11334">
          <cell r="O11334" t="str">
            <v>SC9642TS-E</v>
          </cell>
          <cell r="P11334" t="str">
            <v>STC9A001H</v>
          </cell>
          <cell r="Q11334" t="str">
            <v>速度传感器</v>
          </cell>
        </row>
        <row r="11335">
          <cell r="O11335" t="str">
            <v>SC9642TS-E</v>
          </cell>
          <cell r="P11335" t="str">
            <v>STC9A001H</v>
          </cell>
          <cell r="Q11335" t="str">
            <v>速度传感器</v>
          </cell>
        </row>
        <row r="11336">
          <cell r="O11336" t="str">
            <v>SC9642TS-E</v>
          </cell>
          <cell r="P11336" t="str">
            <v>STC9A001H</v>
          </cell>
          <cell r="Q11336" t="str">
            <v>速度传感器</v>
          </cell>
        </row>
        <row r="11337">
          <cell r="O11337" t="str">
            <v>SC9642TS-E</v>
          </cell>
          <cell r="P11337" t="str">
            <v>STC9A001H</v>
          </cell>
          <cell r="Q11337" t="str">
            <v>速度传感器</v>
          </cell>
        </row>
        <row r="11338">
          <cell r="O11338" t="str">
            <v>SC9642TS-E</v>
          </cell>
          <cell r="P11338" t="str">
            <v>STC9A001H</v>
          </cell>
          <cell r="Q11338" t="str">
            <v>速度传感器</v>
          </cell>
        </row>
        <row r="11339">
          <cell r="O11339" t="str">
            <v>SC9642TS-E</v>
          </cell>
          <cell r="P11339" t="str">
            <v>STC9A001H</v>
          </cell>
          <cell r="Q11339" t="str">
            <v>速度传感器</v>
          </cell>
        </row>
        <row r="11340">
          <cell r="O11340" t="str">
            <v>SC9642TS-E</v>
          </cell>
          <cell r="P11340" t="str">
            <v>STC9A001H</v>
          </cell>
          <cell r="Q11340" t="str">
            <v>速度传感器</v>
          </cell>
        </row>
        <row r="11341">
          <cell r="O11341" t="str">
            <v>SC9642TS-E</v>
          </cell>
          <cell r="P11341" t="str">
            <v>STC9A001H</v>
          </cell>
          <cell r="Q11341" t="str">
            <v>速度传感器</v>
          </cell>
        </row>
        <row r="11342">
          <cell r="O11342" t="str">
            <v>SC9642TS-E</v>
          </cell>
          <cell r="P11342" t="str">
            <v>STC9A001H</v>
          </cell>
          <cell r="Q11342" t="str">
            <v>速度传感器</v>
          </cell>
        </row>
        <row r="11343">
          <cell r="O11343" t="str">
            <v>SC9642TS-E</v>
          </cell>
          <cell r="P11343" t="str">
            <v>STC9A001H</v>
          </cell>
          <cell r="Q11343" t="str">
            <v>速度传感器</v>
          </cell>
        </row>
        <row r="11344">
          <cell r="O11344" t="str">
            <v>SC60228DC</v>
          </cell>
          <cell r="P11344" t="str">
            <v>STC9D04C</v>
          </cell>
          <cell r="Q11344" t="str">
            <v>电机编码器</v>
          </cell>
        </row>
        <row r="11345">
          <cell r="O11345" t="str">
            <v>SC60228DC</v>
          </cell>
          <cell r="P11345" t="str">
            <v>STC9D04C</v>
          </cell>
          <cell r="Q11345" t="str">
            <v>电机编码器</v>
          </cell>
        </row>
        <row r="11346">
          <cell r="O11346" t="str">
            <v>SC60228DC</v>
          </cell>
          <cell r="P11346" t="str">
            <v>STC9D04C</v>
          </cell>
          <cell r="Q11346" t="str">
            <v>电机编码器</v>
          </cell>
        </row>
        <row r="11347">
          <cell r="O11347" t="str">
            <v>SC60228DC</v>
          </cell>
          <cell r="P11347" t="str">
            <v>STC9D04C</v>
          </cell>
          <cell r="Q11347" t="str">
            <v>电机编码器</v>
          </cell>
        </row>
        <row r="11348">
          <cell r="O11348" t="str">
            <v>SC60228DC</v>
          </cell>
          <cell r="P11348" t="str">
            <v>STC9D04C</v>
          </cell>
          <cell r="Q11348" t="str">
            <v>电机编码器</v>
          </cell>
        </row>
        <row r="11349">
          <cell r="O11349" t="str">
            <v>SC4645VB-12S</v>
          </cell>
          <cell r="P11349" t="str">
            <v>STC9D06F</v>
          </cell>
          <cell r="Q11349" t="str">
            <v>电流传感器</v>
          </cell>
        </row>
        <row r="11350">
          <cell r="O11350" t="str">
            <v>SC2063SO</v>
          </cell>
          <cell r="P11350" t="str">
            <v>STC9G001C</v>
          </cell>
          <cell r="Q11350" t="str">
            <v>磁性位置传感器</v>
          </cell>
        </row>
        <row r="11351">
          <cell r="O11351" t="str">
            <v>SC2063SO</v>
          </cell>
          <cell r="P11351" t="str">
            <v>STC9G001C</v>
          </cell>
          <cell r="Q11351" t="str">
            <v>磁性位置传感器</v>
          </cell>
        </row>
        <row r="11352">
          <cell r="O11352" t="str">
            <v>SD2276</v>
          </cell>
          <cell r="P11352" t="str">
            <v>FD1014A</v>
          </cell>
          <cell r="Q11352" t="str">
            <v>电机驱动</v>
          </cell>
        </row>
        <row r="11353">
          <cell r="O11353" t="str">
            <v>SD2276</v>
          </cell>
          <cell r="P11353" t="str">
            <v>FD1014A</v>
          </cell>
          <cell r="Q11353" t="str">
            <v>电机驱动</v>
          </cell>
        </row>
        <row r="11354">
          <cell r="O11354" t="str">
            <v>SD2276</v>
          </cell>
          <cell r="P11354" t="str">
            <v>FD1014A</v>
          </cell>
          <cell r="Q11354" t="str">
            <v>电机驱动</v>
          </cell>
        </row>
        <row r="11355">
          <cell r="O11355" t="str">
            <v>SD2276</v>
          </cell>
          <cell r="P11355" t="str">
            <v>FD1014A</v>
          </cell>
          <cell r="Q11355" t="str">
            <v>电机驱动</v>
          </cell>
        </row>
        <row r="11356">
          <cell r="O11356" t="str">
            <v>SD2276</v>
          </cell>
          <cell r="P11356" t="str">
            <v>FD1014A</v>
          </cell>
          <cell r="Q11356" t="str">
            <v>电机驱动</v>
          </cell>
        </row>
        <row r="11357">
          <cell r="O11357" t="str">
            <v>SD2276</v>
          </cell>
          <cell r="P11357" t="str">
            <v>FD1014A</v>
          </cell>
          <cell r="Q11357" t="str">
            <v>电机驱动</v>
          </cell>
        </row>
        <row r="11358">
          <cell r="O11358" t="str">
            <v>SD2276</v>
          </cell>
          <cell r="P11358" t="str">
            <v>FD1014A</v>
          </cell>
          <cell r="Q11358" t="str">
            <v>电机驱动</v>
          </cell>
        </row>
        <row r="11359">
          <cell r="O11359" t="str">
            <v>SD2276</v>
          </cell>
          <cell r="P11359" t="str">
            <v>FD1014A</v>
          </cell>
          <cell r="Q11359" t="str">
            <v>电机驱动</v>
          </cell>
        </row>
        <row r="11360">
          <cell r="O11360" t="str">
            <v>SD211VB</v>
          </cell>
          <cell r="P11360" t="str">
            <v>FD1016A</v>
          </cell>
          <cell r="Q11360" t="str">
            <v>电机驱动</v>
          </cell>
        </row>
        <row r="11361">
          <cell r="O11361" t="str">
            <v>SD211VB</v>
          </cell>
          <cell r="P11361" t="str">
            <v>FD1016A</v>
          </cell>
          <cell r="Q11361" t="str">
            <v>电机驱动</v>
          </cell>
        </row>
        <row r="11362">
          <cell r="O11362" t="str">
            <v>SD211VB</v>
          </cell>
          <cell r="P11362" t="str">
            <v>FD1016A</v>
          </cell>
          <cell r="Q11362" t="str">
            <v>电机驱动</v>
          </cell>
        </row>
        <row r="11363">
          <cell r="O11363" t="str">
            <v>SD211VB</v>
          </cell>
          <cell r="P11363" t="str">
            <v>FD1016A</v>
          </cell>
          <cell r="Q11363" t="str">
            <v>电机驱动</v>
          </cell>
        </row>
        <row r="11364">
          <cell r="O11364" t="str">
            <v>SD211VB</v>
          </cell>
          <cell r="P11364" t="str">
            <v>FD1016A</v>
          </cell>
          <cell r="Q11364" t="str">
            <v>电机驱动</v>
          </cell>
        </row>
        <row r="11365">
          <cell r="O11365" t="str">
            <v>SD211VB</v>
          </cell>
          <cell r="P11365" t="str">
            <v>FD1016A</v>
          </cell>
          <cell r="Q11365" t="str">
            <v>电机驱动</v>
          </cell>
        </row>
        <row r="11366">
          <cell r="O11366" t="str">
            <v>SC2442SO-N</v>
          </cell>
          <cell r="P11366" t="str">
            <v>STC9906P</v>
          </cell>
          <cell r="Q11366" t="str">
            <v>磁性位置传感器</v>
          </cell>
        </row>
        <row r="11367">
          <cell r="O11367" t="str">
            <v>SC4688SA-A</v>
          </cell>
          <cell r="P11367" t="str">
            <v>STC9D01C</v>
          </cell>
          <cell r="Q11367" t="str">
            <v>角度传感器</v>
          </cell>
        </row>
        <row r="11368">
          <cell r="O11368" t="str">
            <v>SC4688SA-A</v>
          </cell>
          <cell r="P11368" t="str">
            <v>STC9D01C</v>
          </cell>
          <cell r="Q11368" t="str">
            <v>角度传感器</v>
          </cell>
        </row>
        <row r="11369">
          <cell r="O11369" t="str">
            <v>SC4011SO-N</v>
          </cell>
          <cell r="P11369" t="str">
            <v>STC4011B</v>
          </cell>
          <cell r="Q11369" t="str">
            <v>磁性位置传感器</v>
          </cell>
        </row>
        <row r="11370">
          <cell r="O11370" t="str">
            <v>SC2434SO-N</v>
          </cell>
          <cell r="P11370" t="str">
            <v>STC9906I</v>
          </cell>
          <cell r="Q11370" t="str">
            <v>磁性位置传感器</v>
          </cell>
        </row>
        <row r="11371">
          <cell r="O11371" t="str">
            <v>SC2442UA</v>
          </cell>
          <cell r="P11371" t="str">
            <v>STC9906P</v>
          </cell>
          <cell r="Q11371" t="str">
            <v>磁性位置传感器</v>
          </cell>
        </row>
        <row r="11372">
          <cell r="O11372" t="str">
            <v>SC1245SO-N</v>
          </cell>
          <cell r="P11372" t="str">
            <v>STC1898AD</v>
          </cell>
          <cell r="Q11372" t="str">
            <v>磁性位置传感器</v>
          </cell>
        </row>
        <row r="11373">
          <cell r="O11373" t="str">
            <v>SC1245SO-N</v>
          </cell>
          <cell r="P11373" t="str">
            <v>STC1898AD</v>
          </cell>
          <cell r="Q11373" t="str">
            <v>磁性位置传感器</v>
          </cell>
        </row>
        <row r="11374">
          <cell r="O11374" t="str">
            <v>SC4011SO-N</v>
          </cell>
          <cell r="P11374" t="str">
            <v>STC4011B</v>
          </cell>
          <cell r="Q11374" t="str">
            <v>磁性位置传感器</v>
          </cell>
        </row>
        <row r="11375">
          <cell r="O11375" t="str">
            <v>SC60224-D-1024</v>
          </cell>
          <cell r="P11375" t="str">
            <v>STC9D04C</v>
          </cell>
          <cell r="Q11375" t="str">
            <v>电机编码器</v>
          </cell>
        </row>
        <row r="11376">
          <cell r="O11376" t="str">
            <v>SC2442SO-N</v>
          </cell>
          <cell r="P11376" t="str">
            <v>STC9906P</v>
          </cell>
          <cell r="Q11376" t="str">
            <v>磁性位置传感器</v>
          </cell>
        </row>
        <row r="11377">
          <cell r="O11377" t="str">
            <v>SC2442SO-N</v>
          </cell>
          <cell r="P11377" t="str">
            <v>STC9906P</v>
          </cell>
          <cell r="Q11377" t="str">
            <v>磁性位置传感器</v>
          </cell>
        </row>
        <row r="11378">
          <cell r="O11378" t="str">
            <v>SC2442SO-N</v>
          </cell>
          <cell r="P11378" t="str">
            <v>STC9906P</v>
          </cell>
          <cell r="Q11378" t="str">
            <v>磁性位置传感器</v>
          </cell>
        </row>
        <row r="11379">
          <cell r="O11379" t="str">
            <v>SC2442SO-N</v>
          </cell>
          <cell r="P11379" t="str">
            <v>STC9906P</v>
          </cell>
          <cell r="Q11379" t="str">
            <v>磁性位置传感器</v>
          </cell>
        </row>
        <row r="11380">
          <cell r="O11380" t="str">
            <v>SC2442SO-N</v>
          </cell>
          <cell r="P11380" t="str">
            <v>STC9906P</v>
          </cell>
          <cell r="Q11380" t="str">
            <v>磁性位置传感器</v>
          </cell>
        </row>
        <row r="11381">
          <cell r="O11381" t="str">
            <v>SC2442SO-N</v>
          </cell>
          <cell r="P11381" t="str">
            <v>STC9906P</v>
          </cell>
          <cell r="Q11381" t="str">
            <v>磁性位置传感器</v>
          </cell>
        </row>
        <row r="11382">
          <cell r="O11382" t="str">
            <v>SC2402UA</v>
          </cell>
          <cell r="P11382" t="str">
            <v>STC9902J</v>
          </cell>
          <cell r="Q11382" t="str">
            <v>磁性位置传感器</v>
          </cell>
        </row>
        <row r="11383">
          <cell r="O11383" t="str">
            <v>SC2402UA</v>
          </cell>
          <cell r="P11383" t="str">
            <v>STC9902J</v>
          </cell>
          <cell r="Q11383" t="str">
            <v>磁性位置传感器</v>
          </cell>
        </row>
        <row r="11384">
          <cell r="O11384" t="str">
            <v>KH477ST4-G</v>
          </cell>
          <cell r="P11384" t="str">
            <v>STC22304B</v>
          </cell>
          <cell r="Q11384" t="str">
            <v>电机驱动</v>
          </cell>
        </row>
        <row r="11385">
          <cell r="O11385" t="str">
            <v>SC9642TS-E</v>
          </cell>
          <cell r="P11385" t="str">
            <v>STC9A001H</v>
          </cell>
          <cell r="Q11385" t="str">
            <v>速度传感器</v>
          </cell>
        </row>
        <row r="11386">
          <cell r="O11386" t="str">
            <v>SC9642TS-E</v>
          </cell>
          <cell r="P11386" t="str">
            <v>STC9A001H</v>
          </cell>
          <cell r="Q11386" t="str">
            <v>速度传感器</v>
          </cell>
        </row>
        <row r="11387">
          <cell r="O11387" t="str">
            <v>2100</v>
          </cell>
          <cell r="P11387" t="str">
            <v>STC9D03E</v>
          </cell>
          <cell r="Q11387" t="str">
            <v>电流传感器</v>
          </cell>
        </row>
        <row r="11388">
          <cell r="O11388" t="str">
            <v>SC4688SA</v>
          </cell>
          <cell r="P11388" t="str">
            <v>STC9D01C</v>
          </cell>
          <cell r="Q11388" t="str">
            <v>角度传感器</v>
          </cell>
        </row>
        <row r="11389">
          <cell r="O11389" t="str">
            <v>SC2402SO-N</v>
          </cell>
          <cell r="P11389" t="str">
            <v>STC9902J</v>
          </cell>
          <cell r="Q11389" t="str">
            <v>磁性位置传感器</v>
          </cell>
        </row>
        <row r="11390">
          <cell r="O11390" t="str">
            <v>SC2402SO-N</v>
          </cell>
          <cell r="P11390" t="str">
            <v>STC9902J</v>
          </cell>
          <cell r="Q11390" t="str">
            <v>磁性位置传感器</v>
          </cell>
        </row>
        <row r="11391">
          <cell r="O11391" t="str">
            <v>SC2402SO-N</v>
          </cell>
          <cell r="P11391" t="str">
            <v>STC9902J</v>
          </cell>
          <cell r="Q11391" t="str">
            <v>磁性位置传感器</v>
          </cell>
        </row>
        <row r="11392">
          <cell r="O11392" t="str">
            <v>SC2402SO-N</v>
          </cell>
          <cell r="P11392" t="str">
            <v>STC9902J</v>
          </cell>
          <cell r="Q11392" t="str">
            <v>磁性位置传感器</v>
          </cell>
        </row>
        <row r="11393">
          <cell r="O11393" t="str">
            <v>SC2402SO-N</v>
          </cell>
          <cell r="P11393" t="str">
            <v>STC9902J</v>
          </cell>
          <cell r="Q11393" t="str">
            <v>磁性位置传感器</v>
          </cell>
        </row>
        <row r="11394">
          <cell r="O11394" t="str">
            <v>SC2402SO-N</v>
          </cell>
          <cell r="P11394" t="str">
            <v>STC9902J</v>
          </cell>
          <cell r="Q11394" t="str">
            <v>磁性位置传感器</v>
          </cell>
        </row>
        <row r="11395">
          <cell r="O11395" t="str">
            <v>SC2402SO-N</v>
          </cell>
          <cell r="P11395" t="str">
            <v>STC9902J</v>
          </cell>
          <cell r="Q11395" t="str">
            <v>磁性位置传感器</v>
          </cell>
        </row>
        <row r="11396">
          <cell r="O11396" t="str">
            <v>SC2402SO-N</v>
          </cell>
          <cell r="P11396" t="str">
            <v>STC9902J</v>
          </cell>
          <cell r="Q11396" t="str">
            <v>磁性位置传感器</v>
          </cell>
        </row>
        <row r="11397">
          <cell r="O11397" t="str">
            <v>SC2402SO-N</v>
          </cell>
          <cell r="P11397" t="str">
            <v>STC9902J</v>
          </cell>
          <cell r="Q11397" t="str">
            <v>磁性位置传感器</v>
          </cell>
        </row>
        <row r="11398">
          <cell r="O11398" t="str">
            <v>SC2402SO-N</v>
          </cell>
          <cell r="P11398" t="str">
            <v>STC9902J</v>
          </cell>
          <cell r="Q11398" t="str">
            <v>磁性位置传感器</v>
          </cell>
        </row>
        <row r="11399">
          <cell r="O11399" t="str">
            <v>SC2402SO-N</v>
          </cell>
          <cell r="P11399" t="str">
            <v>STC9902J</v>
          </cell>
          <cell r="Q11399" t="str">
            <v>磁性位置传感器</v>
          </cell>
        </row>
        <row r="11400">
          <cell r="O11400" t="str">
            <v>SC2402SO-N</v>
          </cell>
          <cell r="P11400" t="str">
            <v>STC9902J</v>
          </cell>
          <cell r="Q11400" t="str">
            <v>磁性位置传感器</v>
          </cell>
        </row>
        <row r="11401">
          <cell r="O11401" t="str">
            <v>SC1245UA</v>
          </cell>
          <cell r="P11401" t="str">
            <v>STC1898AD</v>
          </cell>
          <cell r="Q11401" t="str">
            <v>磁性位置传感器</v>
          </cell>
        </row>
        <row r="11402">
          <cell r="O11402" t="str">
            <v>SC1245UA</v>
          </cell>
          <cell r="P11402" t="str">
            <v>STC1898AD</v>
          </cell>
          <cell r="Q11402" t="str">
            <v>磁性位置传感器</v>
          </cell>
        </row>
        <row r="11403">
          <cell r="O11403" t="str">
            <v>SC2402UA</v>
          </cell>
          <cell r="P11403" t="str">
            <v>STC9902J</v>
          </cell>
          <cell r="Q11403" t="str">
            <v>磁性位置传感器</v>
          </cell>
        </row>
        <row r="11404">
          <cell r="O11404" t="str">
            <v>SC2242SO</v>
          </cell>
          <cell r="P11404" t="str">
            <v>STC9906H</v>
          </cell>
          <cell r="Q11404" t="str">
            <v>磁性位置传感器</v>
          </cell>
        </row>
        <row r="11405">
          <cell r="O11405" t="str">
            <v>SC2442SO-N</v>
          </cell>
          <cell r="P11405" t="str">
            <v>STC9906P</v>
          </cell>
          <cell r="Q11405" t="str">
            <v>磁性位置传感器</v>
          </cell>
        </row>
        <row r="11406">
          <cell r="O11406" t="str">
            <v>SC2442UA</v>
          </cell>
          <cell r="P11406" t="str">
            <v>STC9906P</v>
          </cell>
          <cell r="Q11406" t="str">
            <v>磁性位置传感器</v>
          </cell>
        </row>
        <row r="11407">
          <cell r="O11407" t="str">
            <v>SC4688SA</v>
          </cell>
          <cell r="P11407" t="str">
            <v>STC9D01C</v>
          </cell>
          <cell r="Q11407" t="str">
            <v>角度传感器</v>
          </cell>
        </row>
        <row r="11408">
          <cell r="O11408" t="str">
            <v>SC9314UA</v>
          </cell>
          <cell r="P11408" t="str">
            <v>STC9901AF</v>
          </cell>
          <cell r="Q11408" t="str">
            <v>速度传感器</v>
          </cell>
        </row>
        <row r="11409">
          <cell r="O11409" t="str">
            <v>SC4688SA-A</v>
          </cell>
          <cell r="P11409" t="str">
            <v>STC9D01C</v>
          </cell>
          <cell r="Q11409" t="str">
            <v>角度传感器</v>
          </cell>
        </row>
        <row r="11410">
          <cell r="O11410" t="str">
            <v>ZH6332C</v>
          </cell>
          <cell r="P11410" t="str">
            <v>ZH6332C</v>
          </cell>
          <cell r="Q11410" t="str">
            <v>电机驱动</v>
          </cell>
        </row>
        <row r="11411">
          <cell r="O11411" t="str">
            <v>ZH619A0</v>
          </cell>
          <cell r="P11411" t="str">
            <v>STC22303</v>
          </cell>
          <cell r="Q11411" t="str">
            <v>电机驱动</v>
          </cell>
        </row>
        <row r="11412">
          <cell r="O11412" t="str">
            <v>ZH619A0</v>
          </cell>
          <cell r="P11412" t="str">
            <v>S22302A</v>
          </cell>
          <cell r="Q11412" t="str">
            <v>电机驱动</v>
          </cell>
        </row>
        <row r="11413">
          <cell r="O11413" t="str">
            <v>SC1138SO-N</v>
          </cell>
          <cell r="P11413" t="str">
            <v>STC1898AC</v>
          </cell>
          <cell r="Q11413" t="str">
            <v>磁性位置传感器</v>
          </cell>
        </row>
        <row r="11414">
          <cell r="O11414" t="str">
            <v>SC9642TS</v>
          </cell>
          <cell r="P11414" t="str">
            <v>STC9A001G</v>
          </cell>
          <cell r="Q11414" t="str">
            <v>速度传感器</v>
          </cell>
        </row>
        <row r="11415">
          <cell r="O11415" t="str">
            <v>SC9642TS</v>
          </cell>
          <cell r="P11415" t="str">
            <v>STC9A001G</v>
          </cell>
          <cell r="Q11415" t="str">
            <v>速度传感器</v>
          </cell>
        </row>
        <row r="11416">
          <cell r="O11416" t="str">
            <v>SC60224-D-1024</v>
          </cell>
          <cell r="P11416" t="str">
            <v>STC9D04C</v>
          </cell>
          <cell r="Q11416" t="str">
            <v>电机编码器</v>
          </cell>
        </row>
        <row r="11417">
          <cell r="O11417" t="str">
            <v>SC1245UA</v>
          </cell>
          <cell r="P11417" t="str">
            <v>STC1898AD</v>
          </cell>
          <cell r="Q11417" t="str">
            <v>磁性位置传感器</v>
          </cell>
        </row>
        <row r="11418">
          <cell r="O11418" t="str">
            <v>SC1245UA</v>
          </cell>
          <cell r="P11418" t="str">
            <v>STC1898AD</v>
          </cell>
          <cell r="Q11418" t="str">
            <v>磁性位置传感器</v>
          </cell>
        </row>
        <row r="11419">
          <cell r="O11419" t="str">
            <v>SC1245UA</v>
          </cell>
          <cell r="P11419" t="str">
            <v>STC1898AD</v>
          </cell>
          <cell r="Q11419" t="str">
            <v>磁性位置传感器</v>
          </cell>
        </row>
        <row r="11420">
          <cell r="O11420" t="str">
            <v>SC1245UA</v>
          </cell>
          <cell r="P11420" t="str">
            <v>STC1898AD</v>
          </cell>
          <cell r="Q11420" t="str">
            <v>磁性位置传感器</v>
          </cell>
        </row>
        <row r="11421">
          <cell r="O11421" t="str">
            <v>SC1245UA</v>
          </cell>
          <cell r="P11421" t="str">
            <v>STC1898AD</v>
          </cell>
          <cell r="Q11421" t="str">
            <v>磁性位置传感器</v>
          </cell>
        </row>
        <row r="11422">
          <cell r="O11422" t="str">
            <v>SC1134UA</v>
          </cell>
          <cell r="P11422" t="str">
            <v>STC1898AI</v>
          </cell>
          <cell r="Q11422" t="str">
            <v>磁性位置传感器</v>
          </cell>
        </row>
        <row r="11423">
          <cell r="O11423" t="str">
            <v>SC2442SO</v>
          </cell>
          <cell r="P11423" t="str">
            <v>STC9906R</v>
          </cell>
          <cell r="Q11423" t="str">
            <v>磁性位置传感器</v>
          </cell>
        </row>
        <row r="11424">
          <cell r="O11424" t="str">
            <v>SD2276</v>
          </cell>
          <cell r="P11424" t="str">
            <v>FD1014A</v>
          </cell>
          <cell r="Q11424" t="str">
            <v>电机驱动</v>
          </cell>
        </row>
        <row r="11425">
          <cell r="O11425" t="str">
            <v>2100</v>
          </cell>
          <cell r="P11425" t="str">
            <v>STC9D03E</v>
          </cell>
          <cell r="Q11425" t="str">
            <v>电流传感器</v>
          </cell>
        </row>
        <row r="11426">
          <cell r="O11426" t="str">
            <v>SC2442SO</v>
          </cell>
          <cell r="P11426" t="str">
            <v>STC9906R</v>
          </cell>
          <cell r="Q11426" t="str">
            <v>磁性位置传感器</v>
          </cell>
        </row>
        <row r="11427">
          <cell r="O11427" t="str">
            <v>ZH653B1-Mask</v>
          </cell>
          <cell r="P11427" t="str">
            <v xml:space="preserve"> </v>
          </cell>
          <cell r="Q11427" t="str">
            <v>电机驱动</v>
          </cell>
        </row>
        <row r="11428">
          <cell r="O11428" t="str">
            <v>SC2402UA-G</v>
          </cell>
          <cell r="P11428" t="str">
            <v>STC9G002B</v>
          </cell>
          <cell r="Q11428" t="str">
            <v>磁性位置传感器</v>
          </cell>
        </row>
        <row r="11429">
          <cell r="O11429" t="str">
            <v>SC9642TS-E</v>
          </cell>
          <cell r="P11429" t="str">
            <v>STC9A001H</v>
          </cell>
          <cell r="Q11429" t="str">
            <v>速度传感器</v>
          </cell>
        </row>
        <row r="11430">
          <cell r="O11430" t="str">
            <v>SD2276</v>
          </cell>
          <cell r="P11430" t="str">
            <v>FD1014A</v>
          </cell>
          <cell r="Q11430" t="str">
            <v>电机驱动</v>
          </cell>
        </row>
        <row r="11431">
          <cell r="O11431" t="str">
            <v>PSTC9G001D-Q2020</v>
          </cell>
          <cell r="P11431" t="str">
            <v>STC9G001D</v>
          </cell>
          <cell r="Q11431" t="str">
            <v>磁性位置传感器</v>
          </cell>
        </row>
        <row r="11432">
          <cell r="O11432" t="str">
            <v>2100</v>
          </cell>
          <cell r="P11432" t="str">
            <v>STC9D03E</v>
          </cell>
          <cell r="Q11432" t="str">
            <v>电流传感器</v>
          </cell>
        </row>
        <row r="11433">
          <cell r="O11433" t="str">
            <v>SC4689SA</v>
          </cell>
          <cell r="P11433" t="str">
            <v>STC9D01F</v>
          </cell>
          <cell r="Q11433" t="str">
            <v>角度传感器</v>
          </cell>
        </row>
        <row r="11434">
          <cell r="O11434" t="str">
            <v>SC9621VB-A</v>
          </cell>
          <cell r="P11434" t="str">
            <v>STC9910NC-Q</v>
          </cell>
          <cell r="Q11434" t="str">
            <v>速度传感器</v>
          </cell>
        </row>
        <row r="11435">
          <cell r="O11435" t="str">
            <v>SC9314UA</v>
          </cell>
          <cell r="P11435" t="str">
            <v>STC9901AF</v>
          </cell>
          <cell r="Q11435" t="str">
            <v>速度传感器</v>
          </cell>
        </row>
        <row r="11436">
          <cell r="O11436" t="str">
            <v>SC4688DC-M3</v>
          </cell>
          <cell r="P11436" t="str">
            <v>STC9D01C</v>
          </cell>
          <cell r="Q11436" t="str">
            <v>角度传感器</v>
          </cell>
        </row>
        <row r="11437">
          <cell r="O11437" t="str">
            <v>SC9641TS</v>
          </cell>
          <cell r="P11437" t="str">
            <v>STC9910BN</v>
          </cell>
          <cell r="Q11437" t="str">
            <v>速度传感器</v>
          </cell>
        </row>
        <row r="11438">
          <cell r="O11438" t="str">
            <v>S41F1</v>
          </cell>
          <cell r="P11438" t="str">
            <v>STC2899AI</v>
          </cell>
          <cell r="Q11438" t="str">
            <v>磁性位置传感器</v>
          </cell>
        </row>
        <row r="11439">
          <cell r="O11439" t="str">
            <v>S41F1</v>
          </cell>
          <cell r="P11439" t="str">
            <v>STC2899AI</v>
          </cell>
          <cell r="Q11439" t="str">
            <v>磁性位置传感器</v>
          </cell>
        </row>
        <row r="11440">
          <cell r="O11440" t="str">
            <v>S41F1</v>
          </cell>
          <cell r="P11440" t="str">
            <v>STC2899AI</v>
          </cell>
          <cell r="Q11440" t="str">
            <v>磁性位置传感器</v>
          </cell>
        </row>
        <row r="11441">
          <cell r="O11441" t="str">
            <v>S41F1</v>
          </cell>
          <cell r="P11441" t="str">
            <v>STC2899AI</v>
          </cell>
          <cell r="Q11441" t="str">
            <v>磁性位置传感器</v>
          </cell>
        </row>
        <row r="11442">
          <cell r="O11442" t="str">
            <v>S41F1</v>
          </cell>
          <cell r="P11442" t="str">
            <v>STC2899AI</v>
          </cell>
          <cell r="Q11442" t="str">
            <v>磁性位置传感器</v>
          </cell>
        </row>
        <row r="11443">
          <cell r="O11443" t="str">
            <v>S41F1</v>
          </cell>
          <cell r="P11443" t="str">
            <v>STC2899AI</v>
          </cell>
          <cell r="Q11443" t="str">
            <v>磁性位置传感器</v>
          </cell>
        </row>
        <row r="11444">
          <cell r="O11444" t="str">
            <v>S41F1</v>
          </cell>
          <cell r="P11444" t="str">
            <v>STC2899AI</v>
          </cell>
          <cell r="Q11444" t="str">
            <v>磁性位置传感器</v>
          </cell>
        </row>
        <row r="11445">
          <cell r="O11445" t="str">
            <v>S41F1</v>
          </cell>
          <cell r="P11445" t="str">
            <v>STC2899AI</v>
          </cell>
          <cell r="Q11445" t="str">
            <v>磁性位置传感器</v>
          </cell>
        </row>
        <row r="11446">
          <cell r="O11446" t="str">
            <v>S41F1</v>
          </cell>
          <cell r="P11446" t="str">
            <v>STC2899AI</v>
          </cell>
          <cell r="Q11446" t="str">
            <v>磁性位置传感器</v>
          </cell>
        </row>
        <row r="11447">
          <cell r="O11447" t="str">
            <v>S41F1</v>
          </cell>
          <cell r="P11447" t="str">
            <v>STC2899AI</v>
          </cell>
          <cell r="Q11447" t="str">
            <v>磁性位置传感器</v>
          </cell>
        </row>
        <row r="11448">
          <cell r="O11448" t="str">
            <v>S41F1</v>
          </cell>
          <cell r="P11448" t="str">
            <v>STC2899AI</v>
          </cell>
          <cell r="Q11448" t="str">
            <v>磁性位置传感器</v>
          </cell>
        </row>
        <row r="11449">
          <cell r="O11449" t="str">
            <v>S41F1</v>
          </cell>
          <cell r="P11449" t="str">
            <v>STC2899AI</v>
          </cell>
          <cell r="Q11449" t="str">
            <v>磁性位置传感器</v>
          </cell>
        </row>
        <row r="11450">
          <cell r="O11450" t="str">
            <v>S41F1</v>
          </cell>
          <cell r="P11450" t="str">
            <v>STC2899AI</v>
          </cell>
          <cell r="Q11450" t="str">
            <v>磁性位置传感器</v>
          </cell>
        </row>
        <row r="11451">
          <cell r="O11451" t="str">
            <v>SC2430UA</v>
          </cell>
          <cell r="P11451" t="str">
            <v>STC9906I</v>
          </cell>
          <cell r="Q11451" t="str">
            <v>磁性位置传感器</v>
          </cell>
        </row>
        <row r="11452">
          <cell r="O11452" t="str">
            <v>SC9641TS</v>
          </cell>
          <cell r="P11452" t="str">
            <v>STC9910BN</v>
          </cell>
          <cell r="Q11452" t="str">
            <v>速度传感器</v>
          </cell>
        </row>
        <row r="11453">
          <cell r="O11453" t="str">
            <v>SC4616UA-10NV</v>
          </cell>
          <cell r="P11453" t="str">
            <v>STC9907D</v>
          </cell>
          <cell r="Q11453" t="str">
            <v>电流传感器</v>
          </cell>
        </row>
        <row r="11454">
          <cell r="O11454" t="str">
            <v>SC2432UA</v>
          </cell>
          <cell r="P11454" t="str">
            <v>STC9906I</v>
          </cell>
          <cell r="Q11454" t="str">
            <v>磁性位置传感器</v>
          </cell>
        </row>
        <row r="11455">
          <cell r="O11455" t="str">
            <v>SC9641TS</v>
          </cell>
          <cell r="P11455" t="str">
            <v>STC9910BN</v>
          </cell>
          <cell r="Q11455" t="str">
            <v>速度传感器</v>
          </cell>
        </row>
        <row r="11456">
          <cell r="O11456" t="str">
            <v>SC1645A2</v>
          </cell>
          <cell r="P11456" t="str">
            <v>STC2899AE</v>
          </cell>
          <cell r="Q11456" t="str">
            <v>磁性位置传感器</v>
          </cell>
        </row>
        <row r="11457">
          <cell r="O11457" t="str">
            <v>SC1645A2</v>
          </cell>
          <cell r="P11457" t="str">
            <v>STC2899AE</v>
          </cell>
          <cell r="Q11457" t="str">
            <v>磁性位置传感器</v>
          </cell>
        </row>
        <row r="11458">
          <cell r="O11458" t="str">
            <v>SC1645A2</v>
          </cell>
          <cell r="P11458" t="str">
            <v>STC2899AE</v>
          </cell>
          <cell r="Q11458" t="str">
            <v>磁性位置传感器</v>
          </cell>
        </row>
        <row r="11459">
          <cell r="O11459" t="str">
            <v>SC1645A2</v>
          </cell>
          <cell r="P11459" t="str">
            <v>STC2899AE</v>
          </cell>
          <cell r="Q11459" t="str">
            <v>磁性位置传感器</v>
          </cell>
        </row>
        <row r="11460">
          <cell r="O11460" t="str">
            <v>SC1645A2</v>
          </cell>
          <cell r="P11460" t="str">
            <v>STC2899AE</v>
          </cell>
          <cell r="Q11460" t="str">
            <v>磁性位置传感器</v>
          </cell>
        </row>
        <row r="11461">
          <cell r="O11461" t="str">
            <v>SC1645A2</v>
          </cell>
          <cell r="P11461" t="str">
            <v>STC2899AE</v>
          </cell>
          <cell r="Q11461" t="str">
            <v>磁性位置传感器</v>
          </cell>
        </row>
        <row r="11462">
          <cell r="O11462" t="str">
            <v>SC1645A2</v>
          </cell>
          <cell r="P11462" t="str">
            <v>STC2899AE</v>
          </cell>
          <cell r="Q11462" t="str">
            <v>磁性位置传感器</v>
          </cell>
        </row>
        <row r="11463">
          <cell r="O11463" t="str">
            <v>SC1645A2</v>
          </cell>
          <cell r="P11463" t="str">
            <v>STC2899AE</v>
          </cell>
          <cell r="Q11463" t="str">
            <v>磁性位置传感器</v>
          </cell>
        </row>
        <row r="11464">
          <cell r="O11464" t="str">
            <v>SC1645A2</v>
          </cell>
          <cell r="P11464" t="str">
            <v>STC2899AE</v>
          </cell>
          <cell r="Q11464" t="str">
            <v>磁性位置传感器</v>
          </cell>
        </row>
        <row r="11465">
          <cell r="O11465" t="str">
            <v>SC1645A2</v>
          </cell>
          <cell r="P11465" t="str">
            <v>STC2899AE</v>
          </cell>
          <cell r="Q11465" t="str">
            <v>磁性位置传感器</v>
          </cell>
        </row>
        <row r="11466">
          <cell r="O11466" t="str">
            <v>SC1645A2</v>
          </cell>
          <cell r="P11466" t="str">
            <v>STC2899AE</v>
          </cell>
          <cell r="Q11466" t="str">
            <v>磁性位置传感器</v>
          </cell>
        </row>
        <row r="11467">
          <cell r="O11467" t="str">
            <v>SC1645A2</v>
          </cell>
          <cell r="P11467" t="str">
            <v>STC2899AE</v>
          </cell>
          <cell r="Q11467" t="str">
            <v>磁性位置传感器</v>
          </cell>
        </row>
        <row r="11468">
          <cell r="O11468" t="str">
            <v>SC1245UA</v>
          </cell>
          <cell r="P11468" t="str">
            <v>STC1898AD</v>
          </cell>
          <cell r="Q11468" t="str">
            <v>磁性位置传感器</v>
          </cell>
        </row>
        <row r="11469">
          <cell r="O11469" t="str">
            <v>SD2276</v>
          </cell>
          <cell r="P11469" t="str">
            <v>FD1014A</v>
          </cell>
          <cell r="Q11469" t="str">
            <v>电机驱动</v>
          </cell>
        </row>
        <row r="11470">
          <cell r="O11470" t="str">
            <v>SC1945N1</v>
          </cell>
          <cell r="P11470" t="str">
            <v>STC2899AJ</v>
          </cell>
          <cell r="Q11470" t="str">
            <v>磁性位置传感器</v>
          </cell>
        </row>
        <row r="11471">
          <cell r="O11471" t="str">
            <v>SC1945N1</v>
          </cell>
          <cell r="P11471" t="str">
            <v>STC2899AJ</v>
          </cell>
          <cell r="Q11471" t="str">
            <v>磁性位置传感器</v>
          </cell>
        </row>
        <row r="11472">
          <cell r="O11472" t="str">
            <v>SC1945N1</v>
          </cell>
          <cell r="P11472" t="str">
            <v>STC2899AJ</v>
          </cell>
          <cell r="Q11472" t="str">
            <v>磁性位置传感器</v>
          </cell>
        </row>
        <row r="11473">
          <cell r="O11473" t="str">
            <v>SC1945N1</v>
          </cell>
          <cell r="P11473" t="str">
            <v>STC2899AJ</v>
          </cell>
          <cell r="Q11473" t="str">
            <v>磁性位置传感器</v>
          </cell>
        </row>
        <row r="11474">
          <cell r="O11474" t="str">
            <v>SC2442SO-E</v>
          </cell>
          <cell r="P11474" t="str">
            <v>STC9906G</v>
          </cell>
          <cell r="Q11474" t="str">
            <v>磁性位置传感器</v>
          </cell>
        </row>
        <row r="11475">
          <cell r="O11475" t="str">
            <v>SC2442SO-E</v>
          </cell>
          <cell r="P11475" t="str">
            <v>STC9906G</v>
          </cell>
          <cell r="Q11475" t="str">
            <v>磁性位置传感器</v>
          </cell>
        </row>
        <row r="11476">
          <cell r="O11476" t="str">
            <v>SC1134UA</v>
          </cell>
          <cell r="P11476" t="str">
            <v>STC1898AI</v>
          </cell>
          <cell r="Q11476" t="str">
            <v>磁性位置传感器</v>
          </cell>
        </row>
        <row r="11477">
          <cell r="O11477" t="str">
            <v>SC2242SO</v>
          </cell>
          <cell r="P11477" t="str">
            <v>STC9906H</v>
          </cell>
          <cell r="Q11477" t="str">
            <v>磁性位置传感器</v>
          </cell>
        </row>
        <row r="11478">
          <cell r="O11478" t="str">
            <v>SC2242SO</v>
          </cell>
          <cell r="P11478" t="str">
            <v>STC9906H</v>
          </cell>
          <cell r="Q11478" t="str">
            <v>磁性位置传感器</v>
          </cell>
        </row>
        <row r="11479">
          <cell r="O11479" t="str">
            <v>SC2063UA</v>
          </cell>
          <cell r="P11479" t="str">
            <v>STC9G001C</v>
          </cell>
          <cell r="Q11479" t="str">
            <v>磁性位置传感器</v>
          </cell>
        </row>
        <row r="11480">
          <cell r="O11480" t="str">
            <v>SC1245SO-N</v>
          </cell>
          <cell r="P11480" t="str">
            <v>STC1898AD</v>
          </cell>
          <cell r="Q11480" t="str">
            <v>磁性位置传感器</v>
          </cell>
        </row>
        <row r="11481">
          <cell r="O11481" t="str">
            <v>SC2443UA</v>
          </cell>
          <cell r="P11481" t="str">
            <v>STC9906G</v>
          </cell>
          <cell r="Q11481" t="str">
            <v>磁性位置传感器</v>
          </cell>
        </row>
        <row r="11482">
          <cell r="O11482" t="str">
            <v>KH477ST4-G</v>
          </cell>
          <cell r="P11482" t="str">
            <v>STC22304B</v>
          </cell>
          <cell r="Q11482" t="str">
            <v>电机驱动</v>
          </cell>
        </row>
        <row r="11483">
          <cell r="O11483" t="str">
            <v>SC9621VB</v>
          </cell>
          <cell r="P11483" t="str">
            <v>STC9910C</v>
          </cell>
          <cell r="Q11483" t="str">
            <v>速度传感器</v>
          </cell>
        </row>
        <row r="11484">
          <cell r="O11484" t="str">
            <v>SC9633VB</v>
          </cell>
          <cell r="P11484" t="str">
            <v>STC9905F</v>
          </cell>
          <cell r="Q11484" t="str">
            <v>速度传感器</v>
          </cell>
        </row>
        <row r="11485">
          <cell r="O11485" t="str">
            <v>2100</v>
          </cell>
          <cell r="P11485" t="str">
            <v>STC9D03E</v>
          </cell>
          <cell r="Q11485" t="str">
            <v>电流传感器</v>
          </cell>
        </row>
        <row r="11486">
          <cell r="O11486" t="str">
            <v>2100</v>
          </cell>
          <cell r="P11486" t="str">
            <v>STC9D03E</v>
          </cell>
          <cell r="Q11486" t="str">
            <v>电流传感器</v>
          </cell>
        </row>
        <row r="11487">
          <cell r="O11487" t="str">
            <v>2100</v>
          </cell>
          <cell r="P11487" t="str">
            <v>STC9D03E</v>
          </cell>
          <cell r="Q11487" t="str">
            <v>电流传感器</v>
          </cell>
        </row>
        <row r="11488">
          <cell r="O11488" t="str">
            <v>2100</v>
          </cell>
          <cell r="P11488" t="str">
            <v>STC9D03E</v>
          </cell>
          <cell r="Q11488" t="str">
            <v>电流传感器</v>
          </cell>
        </row>
        <row r="11489">
          <cell r="O11489" t="str">
            <v>2100S</v>
          </cell>
          <cell r="P11489" t="str">
            <v>STC9D03E</v>
          </cell>
          <cell r="Q11489" t="str">
            <v>电流传感器</v>
          </cell>
        </row>
        <row r="11490">
          <cell r="O11490" t="str">
            <v>SC9625VB-L</v>
          </cell>
          <cell r="P11490" t="str">
            <v>STC9910E</v>
          </cell>
          <cell r="Q11490" t="str">
            <v>速度传感器</v>
          </cell>
        </row>
        <row r="11491">
          <cell r="O11491" t="str">
            <v>SC9625VB</v>
          </cell>
          <cell r="P11491" t="str">
            <v>STC9910B</v>
          </cell>
          <cell r="Q11491" t="str">
            <v>速度传感器</v>
          </cell>
        </row>
        <row r="11492">
          <cell r="O11492" t="str">
            <v>SC9625VB</v>
          </cell>
          <cell r="P11492" t="str">
            <v>STC9910B</v>
          </cell>
          <cell r="Q11492" t="str">
            <v>速度传感器</v>
          </cell>
        </row>
        <row r="11493">
          <cell r="O11493" t="str">
            <v>SC9625VB</v>
          </cell>
          <cell r="P11493" t="str">
            <v>STC9910B</v>
          </cell>
          <cell r="Q11493" t="str">
            <v>速度传感器</v>
          </cell>
        </row>
        <row r="11494">
          <cell r="O11494" t="str">
            <v>SC9675IM-P-LRF00</v>
          </cell>
          <cell r="P11494" t="str">
            <v>STC9A002B</v>
          </cell>
          <cell r="Q11494" t="str">
            <v>速度传感器</v>
          </cell>
        </row>
        <row r="11495">
          <cell r="O11495" t="str">
            <v>SC4688SA-A</v>
          </cell>
          <cell r="P11495" t="str">
            <v>STC9D01C</v>
          </cell>
          <cell r="Q11495" t="str">
            <v>角度传感器</v>
          </cell>
        </row>
        <row r="11496">
          <cell r="O11496" t="str">
            <v>SC9625VB</v>
          </cell>
          <cell r="P11496" t="str">
            <v>STC9910B</v>
          </cell>
          <cell r="Q11496" t="str">
            <v>速度传感器</v>
          </cell>
        </row>
        <row r="11497">
          <cell r="O11497" t="str">
            <v>SC1138SO-N</v>
          </cell>
          <cell r="P11497" t="str">
            <v>STC1898AC</v>
          </cell>
          <cell r="Q11497" t="str">
            <v>磁性位置传感器</v>
          </cell>
        </row>
        <row r="11498">
          <cell r="O11498" t="str">
            <v>SC1138SO-N</v>
          </cell>
          <cell r="P11498" t="str">
            <v>STC1898AC</v>
          </cell>
          <cell r="Q11498" t="str">
            <v>磁性位置传感器</v>
          </cell>
        </row>
        <row r="11499">
          <cell r="O11499" t="str">
            <v>SC2242SO</v>
          </cell>
          <cell r="P11499" t="str">
            <v>STC9906H</v>
          </cell>
          <cell r="Q11499" t="str">
            <v>磁性位置传感器</v>
          </cell>
        </row>
        <row r="11500">
          <cell r="O11500" t="str">
            <v>SC2242SO</v>
          </cell>
          <cell r="P11500" t="str">
            <v>STC9906H</v>
          </cell>
          <cell r="Q11500" t="str">
            <v>磁性位置传感器</v>
          </cell>
        </row>
        <row r="11501">
          <cell r="O11501" t="str">
            <v>SC2242SO</v>
          </cell>
          <cell r="P11501" t="str">
            <v>STC9906H</v>
          </cell>
          <cell r="Q11501" t="str">
            <v>磁性位置传感器</v>
          </cell>
        </row>
        <row r="11502">
          <cell r="O11502" t="str">
            <v>SC9641TS-P</v>
          </cell>
          <cell r="P11502" t="str">
            <v>STC9A001I</v>
          </cell>
          <cell r="Q11502" t="str">
            <v>速度传感器</v>
          </cell>
        </row>
        <row r="11503">
          <cell r="O11503" t="str">
            <v>STC4001AB</v>
          </cell>
          <cell r="P11503" t="str">
            <v>STC4001AB</v>
          </cell>
          <cell r="Q11503" t="str">
            <v>磁性位置传感器</v>
          </cell>
        </row>
        <row r="11504">
          <cell r="O11504" t="str">
            <v>SC9675IM-P-LRF00</v>
          </cell>
          <cell r="P11504" t="str">
            <v>STC9A002B</v>
          </cell>
          <cell r="Q11504" t="str">
            <v>速度传感器</v>
          </cell>
        </row>
        <row r="11505">
          <cell r="O11505" t="str">
            <v>SC1645A1</v>
          </cell>
          <cell r="P11505" t="str">
            <v>STC2899AE</v>
          </cell>
          <cell r="Q11505" t="str">
            <v>磁性位置传感器</v>
          </cell>
        </row>
        <row r="11506">
          <cell r="O11506" t="str">
            <v>SC1645A1</v>
          </cell>
          <cell r="P11506" t="str">
            <v>STC2899AE</v>
          </cell>
          <cell r="Q11506" t="str">
            <v>磁性位置传感器</v>
          </cell>
        </row>
        <row r="11507">
          <cell r="O11507" t="str">
            <v>SC1645A1</v>
          </cell>
          <cell r="P11507" t="str">
            <v>STC2899AE</v>
          </cell>
          <cell r="Q11507" t="str">
            <v>磁性位置传感器</v>
          </cell>
        </row>
        <row r="11508">
          <cell r="O11508" t="str">
            <v>SC1245B1</v>
          </cell>
          <cell r="P11508" t="str">
            <v>STC1898AD</v>
          </cell>
          <cell r="Q11508" t="str">
            <v>磁性位置传感器</v>
          </cell>
        </row>
        <row r="11509">
          <cell r="O11509" t="str">
            <v>SC1245B1</v>
          </cell>
          <cell r="P11509" t="str">
            <v>STC1898AD</v>
          </cell>
          <cell r="Q11509" t="str">
            <v>磁性位置传感器</v>
          </cell>
        </row>
        <row r="11510">
          <cell r="O11510" t="str">
            <v>SC1645B1</v>
          </cell>
          <cell r="P11510" t="str">
            <v>STC2899AE</v>
          </cell>
          <cell r="Q11510" t="str">
            <v>磁性位置传感器</v>
          </cell>
        </row>
        <row r="11511">
          <cell r="O11511" t="str">
            <v>SC1645B1</v>
          </cell>
          <cell r="P11511" t="str">
            <v>STC2899AE</v>
          </cell>
          <cell r="Q11511" t="str">
            <v>磁性位置传感器</v>
          </cell>
        </row>
        <row r="11512">
          <cell r="O11512" t="str">
            <v>SC1645B1</v>
          </cell>
          <cell r="P11512" t="str">
            <v>STC2899AE</v>
          </cell>
          <cell r="Q11512" t="str">
            <v>磁性位置传感器</v>
          </cell>
        </row>
        <row r="11513">
          <cell r="O11513" t="str">
            <v>SC1645A1</v>
          </cell>
          <cell r="P11513" t="str">
            <v>STC2899AE</v>
          </cell>
          <cell r="Q11513" t="str">
            <v>磁性位置传感器</v>
          </cell>
        </row>
        <row r="11514">
          <cell r="O11514" t="str">
            <v>SC1645B1</v>
          </cell>
          <cell r="P11514" t="str">
            <v>STC2899AE</v>
          </cell>
          <cell r="Q11514" t="str">
            <v>磁性位置传感器</v>
          </cell>
        </row>
        <row r="11515">
          <cell r="O11515" t="str">
            <v>SC1645B1</v>
          </cell>
          <cell r="P11515" t="str">
            <v>STC2899AE</v>
          </cell>
          <cell r="Q11515" t="str">
            <v>磁性位置传感器</v>
          </cell>
        </row>
        <row r="11516">
          <cell r="O11516" t="str">
            <v>SC1645B1</v>
          </cell>
          <cell r="P11516" t="str">
            <v>STC2899AE</v>
          </cell>
          <cell r="Q11516" t="str">
            <v>磁性位置传感器</v>
          </cell>
        </row>
        <row r="11517">
          <cell r="O11517" t="str">
            <v>SC1645A1</v>
          </cell>
          <cell r="P11517" t="str">
            <v>STC2899AE</v>
          </cell>
          <cell r="Q11517" t="str">
            <v>磁性位置传感器</v>
          </cell>
        </row>
        <row r="11518">
          <cell r="O11518" t="str">
            <v>SC243X编程器</v>
          </cell>
          <cell r="P11518" t="str">
            <v xml:space="preserve"> </v>
          </cell>
          <cell r="Q11518" t="str">
            <v>磁性位置传感器</v>
          </cell>
        </row>
        <row r="11519">
          <cell r="O11519" t="str">
            <v>SC9625VB</v>
          </cell>
          <cell r="P11519" t="str">
            <v>STC9910B</v>
          </cell>
          <cell r="Q11519" t="str">
            <v>速度传感器</v>
          </cell>
        </row>
        <row r="11520">
          <cell r="O11520" t="str">
            <v>SC4011SO-N</v>
          </cell>
          <cell r="P11520" t="str">
            <v>STC4011B</v>
          </cell>
          <cell r="Q11520" t="str">
            <v>磁性位置传感器</v>
          </cell>
        </row>
        <row r="11521">
          <cell r="O11521" t="str">
            <v>SC2063SO</v>
          </cell>
          <cell r="P11521" t="str">
            <v>STC9G001C</v>
          </cell>
          <cell r="Q11521" t="str">
            <v>磁性位置传感器</v>
          </cell>
        </row>
        <row r="11522">
          <cell r="O11522" t="str">
            <v>SC2063SO</v>
          </cell>
          <cell r="P11522" t="str">
            <v>STC9G001C</v>
          </cell>
          <cell r="Q11522" t="str">
            <v>磁性位置传感器</v>
          </cell>
        </row>
        <row r="11523">
          <cell r="O11523" t="str">
            <v>SC4011SO-N</v>
          </cell>
          <cell r="P11523" t="str">
            <v>STC4011B</v>
          </cell>
          <cell r="Q11523" t="str">
            <v>磁性位置传感器</v>
          </cell>
        </row>
        <row r="11524">
          <cell r="O11524" t="str">
            <v>SC4011SO-N</v>
          </cell>
          <cell r="P11524" t="str">
            <v>STC4011B</v>
          </cell>
          <cell r="Q11524" t="str">
            <v>磁性位置传感器</v>
          </cell>
        </row>
        <row r="11525">
          <cell r="O11525" t="str">
            <v>SC4011SO-N</v>
          </cell>
          <cell r="P11525" t="str">
            <v>STC4011B</v>
          </cell>
          <cell r="Q11525" t="str">
            <v>磁性位置传感器</v>
          </cell>
        </row>
        <row r="11526">
          <cell r="O11526" t="str">
            <v>SC4011SO-N</v>
          </cell>
          <cell r="P11526" t="str">
            <v>STC4011B</v>
          </cell>
          <cell r="Q11526" t="str">
            <v>磁性位置传感器</v>
          </cell>
        </row>
        <row r="11527">
          <cell r="O11527" t="str">
            <v>SC4011SO-N</v>
          </cell>
          <cell r="P11527" t="str">
            <v>STC4011B</v>
          </cell>
          <cell r="Q11527" t="str">
            <v>磁性位置传感器</v>
          </cell>
        </row>
        <row r="11528">
          <cell r="O11528" t="str">
            <v>SC4011SO-N</v>
          </cell>
          <cell r="P11528" t="str">
            <v>STC4011B</v>
          </cell>
          <cell r="Q11528" t="str">
            <v>磁性位置传感器</v>
          </cell>
        </row>
        <row r="11529">
          <cell r="O11529" t="str">
            <v>SC4011SO-N</v>
          </cell>
          <cell r="P11529" t="str">
            <v>STC4011B</v>
          </cell>
          <cell r="Q11529" t="str">
            <v>磁性位置传感器</v>
          </cell>
        </row>
        <row r="11530">
          <cell r="O11530" t="str">
            <v>SC4011SO-N</v>
          </cell>
          <cell r="P11530" t="str">
            <v>STC4011B</v>
          </cell>
          <cell r="Q11530" t="str">
            <v>磁性位置传感器</v>
          </cell>
        </row>
        <row r="11531">
          <cell r="O11531" t="str">
            <v>SC2442UA</v>
          </cell>
          <cell r="P11531" t="str">
            <v>STC9906P</v>
          </cell>
          <cell r="Q11531" t="str">
            <v>磁性位置传感器</v>
          </cell>
        </row>
        <row r="11532">
          <cell r="O11532" t="str">
            <v>2100S</v>
          </cell>
          <cell r="P11532" t="str">
            <v>STC9D03E</v>
          </cell>
          <cell r="Q11532" t="str">
            <v>电流传感器</v>
          </cell>
        </row>
        <row r="11533">
          <cell r="O11533" t="str">
            <v>2100S</v>
          </cell>
          <cell r="P11533" t="str">
            <v>STC9D03E</v>
          </cell>
          <cell r="Q11533" t="str">
            <v>电流传感器</v>
          </cell>
        </row>
        <row r="11534">
          <cell r="O11534" t="str">
            <v>2100S</v>
          </cell>
          <cell r="P11534" t="str">
            <v>STC9D03E</v>
          </cell>
          <cell r="Q11534" t="str">
            <v>电流传感器</v>
          </cell>
        </row>
        <row r="11535">
          <cell r="O11535" t="str">
            <v>SC9621VB-A</v>
          </cell>
          <cell r="P11535" t="str">
            <v>STC9910NC-Q</v>
          </cell>
          <cell r="Q11535" t="str">
            <v>速度传感器</v>
          </cell>
        </row>
        <row r="11536">
          <cell r="O11536" t="str">
            <v>SC9621VB-A</v>
          </cell>
          <cell r="P11536" t="str">
            <v>STC9910NC-Q</v>
          </cell>
          <cell r="Q11536" t="str">
            <v>速度传感器</v>
          </cell>
        </row>
        <row r="11537">
          <cell r="O11537" t="str">
            <v>SC1134UA</v>
          </cell>
          <cell r="P11537" t="str">
            <v>STC1898AI</v>
          </cell>
          <cell r="Q11537" t="str">
            <v>磁性位置传感器</v>
          </cell>
        </row>
        <row r="11538">
          <cell r="O11538" t="str">
            <v>SC9625VB</v>
          </cell>
          <cell r="P11538" t="str">
            <v>STC9910B</v>
          </cell>
          <cell r="Q11538" t="str">
            <v>速度传感器</v>
          </cell>
        </row>
        <row r="11539">
          <cell r="O11539" t="str">
            <v>SC4011SO-N</v>
          </cell>
          <cell r="P11539" t="str">
            <v>STC4011B</v>
          </cell>
          <cell r="Q11539" t="str">
            <v>磁性位置传感器</v>
          </cell>
        </row>
        <row r="11540">
          <cell r="O11540" t="str">
            <v>SC4011SO-N</v>
          </cell>
          <cell r="P11540" t="str">
            <v>STC4011B</v>
          </cell>
          <cell r="Q11540" t="str">
            <v>磁性位置传感器</v>
          </cell>
        </row>
        <row r="11541">
          <cell r="O11541" t="str">
            <v>SC9625VB</v>
          </cell>
          <cell r="P11541" t="str">
            <v>STC9910B</v>
          </cell>
          <cell r="Q11541" t="str">
            <v>速度传感器</v>
          </cell>
        </row>
        <row r="11542">
          <cell r="O11542" t="str">
            <v>SC9641TS-P</v>
          </cell>
          <cell r="P11542" t="str">
            <v>STC9A001F</v>
          </cell>
          <cell r="Q11542" t="str">
            <v>速度传感器</v>
          </cell>
        </row>
        <row r="11543">
          <cell r="O11543" t="str">
            <v>SC9641TS-P</v>
          </cell>
          <cell r="P11543" t="str">
            <v>STC9A001F</v>
          </cell>
          <cell r="Q11543" t="str">
            <v>速度传感器</v>
          </cell>
        </row>
        <row r="11544">
          <cell r="O11544" t="str">
            <v>SC9641TS-P</v>
          </cell>
          <cell r="P11544" t="str">
            <v>STC9A001F</v>
          </cell>
          <cell r="Q11544" t="str">
            <v>速度传感器</v>
          </cell>
        </row>
        <row r="11545">
          <cell r="O11545" t="str">
            <v>SC9641TS-P</v>
          </cell>
          <cell r="P11545" t="str">
            <v>STC9A001F</v>
          </cell>
          <cell r="Q11545" t="str">
            <v>速度传感器</v>
          </cell>
        </row>
        <row r="11546">
          <cell r="O11546" t="str">
            <v>SC9641TS-P</v>
          </cell>
          <cell r="P11546" t="str">
            <v>STC9A001F</v>
          </cell>
          <cell r="Q11546" t="str">
            <v>速度传感器</v>
          </cell>
        </row>
        <row r="11547">
          <cell r="O11547" t="str">
            <v>SC69401</v>
          </cell>
          <cell r="P11547" t="str">
            <v>STC9H002D</v>
          </cell>
          <cell r="Q11547" t="str">
            <v>角度传感器</v>
          </cell>
        </row>
        <row r="11548">
          <cell r="O11548" t="str">
            <v>SC2464SO</v>
          </cell>
          <cell r="P11548" t="str">
            <v>STC9906J</v>
          </cell>
          <cell r="Q11548" t="str">
            <v>磁性位置传感器</v>
          </cell>
        </row>
        <row r="11549">
          <cell r="O11549" t="str">
            <v>SC4616UA-10.2NF</v>
          </cell>
          <cell r="P11549" t="str">
            <v>STC9907D</v>
          </cell>
          <cell r="Q11549" t="str">
            <v>电流传感器</v>
          </cell>
        </row>
        <row r="11550">
          <cell r="O11550" t="str">
            <v>SC2464SO</v>
          </cell>
          <cell r="P11550" t="str">
            <v>STC9906J</v>
          </cell>
          <cell r="Q11550" t="str">
            <v>磁性位置传感器</v>
          </cell>
        </row>
        <row r="11551">
          <cell r="O11551" t="str">
            <v>SC9625VB</v>
          </cell>
          <cell r="P11551" t="str">
            <v>STC9910B</v>
          </cell>
          <cell r="Q11551" t="str">
            <v>速度传感器</v>
          </cell>
        </row>
        <row r="11552">
          <cell r="O11552" t="str">
            <v>SC4688SA</v>
          </cell>
          <cell r="P11552" t="str">
            <v>STC9D01C</v>
          </cell>
          <cell r="Q11552" t="str">
            <v>角度传感器</v>
          </cell>
        </row>
        <row r="11553">
          <cell r="O11553" t="str">
            <v>SC4688SA</v>
          </cell>
          <cell r="P11553" t="str">
            <v>STC9D01C</v>
          </cell>
          <cell r="Q11553" t="str">
            <v>角度传感器</v>
          </cell>
        </row>
        <row r="11554">
          <cell r="O11554" t="str">
            <v>SC9642TS-E</v>
          </cell>
          <cell r="P11554" t="str">
            <v>STC9A001H</v>
          </cell>
          <cell r="Q11554" t="str">
            <v>速度传感器</v>
          </cell>
        </row>
        <row r="11555">
          <cell r="O11555" t="str">
            <v>SC9642TS-E</v>
          </cell>
          <cell r="P11555" t="str">
            <v>STC9A001H</v>
          </cell>
          <cell r="Q11555" t="str">
            <v>速度传感器</v>
          </cell>
        </row>
        <row r="11556">
          <cell r="O11556" t="str">
            <v>SC60224-U-P4-1024</v>
          </cell>
          <cell r="P11556" t="str">
            <v>STC9D04C</v>
          </cell>
          <cell r="Q11556" t="str">
            <v>电机编码器</v>
          </cell>
        </row>
        <row r="11557">
          <cell r="O11557" t="str">
            <v>SC60224-U-P1-1024</v>
          </cell>
          <cell r="P11557" t="str">
            <v>STC9D04C</v>
          </cell>
          <cell r="Q11557" t="str">
            <v>电机编码器</v>
          </cell>
        </row>
        <row r="11558">
          <cell r="O11558" t="str">
            <v>SC60224-U-P1-1024</v>
          </cell>
          <cell r="P11558" t="str">
            <v>STC9D04C</v>
          </cell>
          <cell r="Q11558" t="str">
            <v>电机编码器</v>
          </cell>
        </row>
        <row r="11559">
          <cell r="O11559" t="str">
            <v>SC9625VB</v>
          </cell>
          <cell r="P11559" t="str">
            <v>STC9910B</v>
          </cell>
          <cell r="Q11559" t="str">
            <v>速度传感器</v>
          </cell>
        </row>
        <row r="11560">
          <cell r="O11560" t="str">
            <v>SC9314UA</v>
          </cell>
          <cell r="P11560" t="str">
            <v>STC9901AF</v>
          </cell>
          <cell r="Q11560" t="str">
            <v>速度传感器</v>
          </cell>
        </row>
        <row r="11561">
          <cell r="O11561" t="str">
            <v>SC1134UA</v>
          </cell>
          <cell r="P11561" t="str">
            <v>STC1898AI</v>
          </cell>
          <cell r="Q11561" t="str">
            <v>磁性位置传感器</v>
          </cell>
        </row>
        <row r="11562">
          <cell r="O11562" t="str">
            <v>SD2276</v>
          </cell>
          <cell r="P11562" t="str">
            <v>FD1014A</v>
          </cell>
          <cell r="Q11562" t="str">
            <v>电机驱动</v>
          </cell>
        </row>
        <row r="11563">
          <cell r="O11563" t="str">
            <v>SD2276</v>
          </cell>
          <cell r="P11563" t="str">
            <v>FD1014A</v>
          </cell>
          <cell r="Q11563" t="str">
            <v>电机驱动</v>
          </cell>
        </row>
        <row r="11564">
          <cell r="O11564" t="str">
            <v>SC2442SO</v>
          </cell>
          <cell r="P11564" t="str">
            <v>STC9906R</v>
          </cell>
          <cell r="Q11564" t="str">
            <v>磁性位置传感器</v>
          </cell>
        </row>
        <row r="11565">
          <cell r="O11565" t="str">
            <v>SC2442SO</v>
          </cell>
          <cell r="P11565" t="str">
            <v>STC9906R</v>
          </cell>
          <cell r="Q11565" t="str">
            <v>磁性位置传感器</v>
          </cell>
        </row>
        <row r="11566">
          <cell r="O11566" t="str">
            <v>SC2434SO-N</v>
          </cell>
          <cell r="P11566" t="str">
            <v>STC9906I</v>
          </cell>
          <cell r="Q11566" t="str">
            <v>磁性位置传感器</v>
          </cell>
        </row>
        <row r="11567">
          <cell r="O11567" t="str">
            <v>SC4011SO-N</v>
          </cell>
          <cell r="P11567" t="str">
            <v>STC4011B</v>
          </cell>
          <cell r="Q11567" t="str">
            <v>磁性位置传感器</v>
          </cell>
        </row>
        <row r="11568">
          <cell r="O11568" t="str">
            <v>SC4011SO-N</v>
          </cell>
          <cell r="P11568" t="str">
            <v>STC4011B</v>
          </cell>
          <cell r="Q11568" t="str">
            <v>磁性位置传感器</v>
          </cell>
        </row>
        <row r="11569">
          <cell r="O11569" t="str">
            <v>SC4011SO-N</v>
          </cell>
          <cell r="P11569" t="str">
            <v>STC4011B</v>
          </cell>
          <cell r="Q11569" t="str">
            <v>磁性位置传感器</v>
          </cell>
        </row>
        <row r="11570">
          <cell r="O11570" t="str">
            <v>SC2434SO-N</v>
          </cell>
          <cell r="P11570" t="str">
            <v>STC9906I</v>
          </cell>
          <cell r="Q11570" t="str">
            <v>磁性位置传感器</v>
          </cell>
        </row>
        <row r="11571">
          <cell r="O11571" t="str">
            <v>SC2434SO-N</v>
          </cell>
          <cell r="P11571" t="str">
            <v>STC9906I</v>
          </cell>
          <cell r="Q11571" t="str">
            <v>磁性位置传感器</v>
          </cell>
        </row>
        <row r="11572">
          <cell r="O11572" t="str">
            <v>SC1134UA</v>
          </cell>
          <cell r="P11572" t="str">
            <v>STC1898AI</v>
          </cell>
          <cell r="Q11572" t="str">
            <v>磁性位置传感器</v>
          </cell>
        </row>
        <row r="11573">
          <cell r="O11573" t="str">
            <v>SC1134SO-N</v>
          </cell>
          <cell r="P11573" t="str">
            <v>STC1898AI</v>
          </cell>
          <cell r="Q11573" t="str">
            <v>磁性位置传感器</v>
          </cell>
        </row>
        <row r="11574">
          <cell r="O11574" t="str">
            <v>SC1134SO-N</v>
          </cell>
          <cell r="P11574" t="str">
            <v>STC1898AI</v>
          </cell>
          <cell r="Q11574" t="str">
            <v>磁性位置传感器</v>
          </cell>
        </row>
        <row r="11575">
          <cell r="O11575" t="str">
            <v>SC1134SO-N</v>
          </cell>
          <cell r="P11575" t="str">
            <v>STC1898AI</v>
          </cell>
          <cell r="Q11575" t="str">
            <v>磁性位置传感器</v>
          </cell>
        </row>
        <row r="11576">
          <cell r="O11576" t="str">
            <v>SC1134SO-N</v>
          </cell>
          <cell r="P11576" t="str">
            <v>STC1898AI</v>
          </cell>
          <cell r="Q11576" t="str">
            <v>磁性位置传感器</v>
          </cell>
        </row>
        <row r="11577">
          <cell r="O11577" t="str">
            <v>SC1134SO-N</v>
          </cell>
          <cell r="P11577" t="str">
            <v>STC1898AI</v>
          </cell>
          <cell r="Q11577" t="str">
            <v>磁性位置传感器</v>
          </cell>
        </row>
        <row r="11578">
          <cell r="O11578" t="str">
            <v>SC2442SO</v>
          </cell>
          <cell r="P11578" t="str">
            <v>STC9906R</v>
          </cell>
          <cell r="Q11578" t="str">
            <v>磁性位置传感器</v>
          </cell>
        </row>
        <row r="11579">
          <cell r="O11579" t="str">
            <v>SC9634VB</v>
          </cell>
          <cell r="P11579" t="str">
            <v>STC9905G</v>
          </cell>
          <cell r="Q11579" t="str">
            <v>速度传感器</v>
          </cell>
        </row>
        <row r="11580">
          <cell r="O11580" t="str">
            <v>SC9633VB</v>
          </cell>
          <cell r="P11580" t="str">
            <v>STC9905F</v>
          </cell>
          <cell r="Q11580" t="str">
            <v>速度传感器</v>
          </cell>
        </row>
        <row r="11581">
          <cell r="O11581" t="str">
            <v>KH477ST4-G</v>
          </cell>
          <cell r="P11581" t="str">
            <v>STC22304B</v>
          </cell>
          <cell r="Q11581" t="str">
            <v>电机驱动</v>
          </cell>
        </row>
        <row r="11582">
          <cell r="O11582" t="str">
            <v>SC2442SO</v>
          </cell>
          <cell r="P11582" t="str">
            <v>STC9906R</v>
          </cell>
          <cell r="Q11582" t="str">
            <v>磁性位置传感器</v>
          </cell>
        </row>
        <row r="11583">
          <cell r="O11583" t="str">
            <v>SC2442SO-N</v>
          </cell>
          <cell r="P11583" t="str">
            <v>STC9906P</v>
          </cell>
          <cell r="Q11583" t="str">
            <v>磁性位置传感器</v>
          </cell>
        </row>
        <row r="11584">
          <cell r="O11584" t="str">
            <v>SC2063SO</v>
          </cell>
          <cell r="P11584" t="str">
            <v>STC9G001C</v>
          </cell>
          <cell r="Q11584" t="str">
            <v>磁性位置传感器</v>
          </cell>
        </row>
        <row r="11585">
          <cell r="O11585" t="str">
            <v>2100</v>
          </cell>
          <cell r="P11585" t="str">
            <v>STC9D03E</v>
          </cell>
          <cell r="Q11585" t="str">
            <v>电流传感器</v>
          </cell>
        </row>
        <row r="11586">
          <cell r="O11586" t="str">
            <v>2100</v>
          </cell>
          <cell r="P11586" t="str">
            <v>STC9D03E</v>
          </cell>
          <cell r="Q11586" t="str">
            <v>电流传感器</v>
          </cell>
        </row>
        <row r="11587">
          <cell r="O11587" t="str">
            <v>SC2442SO</v>
          </cell>
          <cell r="P11587" t="str">
            <v>STC9906R</v>
          </cell>
          <cell r="Q11587" t="str">
            <v>磁性位置传感器</v>
          </cell>
        </row>
        <row r="11588">
          <cell r="O11588" t="str">
            <v>SC2402SO-N-H</v>
          </cell>
          <cell r="P11588" t="str">
            <v>STC9H001A</v>
          </cell>
          <cell r="Q11588" t="str">
            <v>磁性位置传感器</v>
          </cell>
        </row>
        <row r="11589">
          <cell r="O11589" t="str">
            <v>SC2402SO-N-H</v>
          </cell>
          <cell r="P11589" t="str">
            <v>STC9H001A</v>
          </cell>
          <cell r="Q11589" t="str">
            <v>磁性位置传感器</v>
          </cell>
        </row>
        <row r="11590">
          <cell r="O11590" t="str">
            <v>SC2402SO-N-H</v>
          </cell>
          <cell r="P11590" t="str">
            <v>STC9H001A</v>
          </cell>
          <cell r="Q11590" t="str">
            <v>磁性位置传感器</v>
          </cell>
        </row>
        <row r="11591">
          <cell r="O11591" t="str">
            <v>SC2434SO-N</v>
          </cell>
          <cell r="P11591" t="str">
            <v>STC9906I</v>
          </cell>
          <cell r="Q11591" t="str">
            <v>磁性位置传感器</v>
          </cell>
        </row>
        <row r="11592">
          <cell r="O11592" t="str">
            <v>SC2434SO-N</v>
          </cell>
          <cell r="P11592" t="str">
            <v>STC9906I</v>
          </cell>
          <cell r="Q11592" t="str">
            <v>磁性位置传感器</v>
          </cell>
        </row>
        <row r="11593">
          <cell r="O11593" t="str">
            <v>SC2434SO-N</v>
          </cell>
          <cell r="P11593" t="str">
            <v>STC9906I</v>
          </cell>
          <cell r="Q11593" t="str">
            <v>磁性位置传感器</v>
          </cell>
        </row>
        <row r="11594">
          <cell r="O11594" t="str">
            <v>SC2434SO-N</v>
          </cell>
          <cell r="P11594" t="str">
            <v>STC9906I</v>
          </cell>
          <cell r="Q11594" t="str">
            <v>磁性位置传感器</v>
          </cell>
        </row>
        <row r="11595">
          <cell r="O11595" t="str">
            <v>SC2464SO</v>
          </cell>
          <cell r="P11595" t="str">
            <v>STC9906J</v>
          </cell>
          <cell r="Q11595" t="str">
            <v>磁性位置传感器</v>
          </cell>
        </row>
        <row r="11596">
          <cell r="O11596" t="str">
            <v>SC2464SO</v>
          </cell>
          <cell r="P11596" t="str">
            <v>STC9906J</v>
          </cell>
          <cell r="Q11596" t="str">
            <v>磁性位置传感器</v>
          </cell>
        </row>
        <row r="11597">
          <cell r="O11597" t="str">
            <v>SC2442SO</v>
          </cell>
          <cell r="P11597" t="str">
            <v>STC9906R</v>
          </cell>
          <cell r="Q11597" t="str">
            <v>磁性位置传感器</v>
          </cell>
        </row>
        <row r="11598">
          <cell r="O11598" t="str">
            <v>SC9632VB</v>
          </cell>
          <cell r="P11598" t="str">
            <v>STC9905E</v>
          </cell>
          <cell r="Q11598" t="str">
            <v>速度传感器</v>
          </cell>
        </row>
        <row r="11599">
          <cell r="O11599" t="str">
            <v>SC2442SO</v>
          </cell>
          <cell r="P11599" t="str">
            <v>STC9906R</v>
          </cell>
          <cell r="Q11599" t="str">
            <v>磁性位置传感器</v>
          </cell>
        </row>
        <row r="11600">
          <cell r="O11600" t="str">
            <v>SC2442SO</v>
          </cell>
          <cell r="P11600" t="str">
            <v>STC9906R</v>
          </cell>
          <cell r="Q11600" t="str">
            <v>磁性位置传感器</v>
          </cell>
        </row>
        <row r="11601">
          <cell r="O11601" t="str">
            <v>SC2442SO</v>
          </cell>
          <cell r="P11601" t="str">
            <v>STC9906R</v>
          </cell>
          <cell r="Q11601" t="str">
            <v>磁性位置传感器</v>
          </cell>
        </row>
        <row r="11602">
          <cell r="O11602" t="str">
            <v>SC2442SO</v>
          </cell>
          <cell r="P11602" t="str">
            <v>STC9906R</v>
          </cell>
          <cell r="Q11602" t="str">
            <v>磁性位置传感器</v>
          </cell>
        </row>
        <row r="11603">
          <cell r="O11603" t="str">
            <v>SC4695DC</v>
          </cell>
          <cell r="P11603" t="str">
            <v>STC9D01C</v>
          </cell>
          <cell r="Q11603" t="str">
            <v>角度传感器</v>
          </cell>
        </row>
        <row r="11604">
          <cell r="O11604" t="str">
            <v>SC4695DC</v>
          </cell>
          <cell r="P11604" t="str">
            <v>STC9D01C</v>
          </cell>
          <cell r="Q11604" t="str">
            <v>角度传感器</v>
          </cell>
        </row>
        <row r="11605">
          <cell r="O11605" t="str">
            <v>SC4695DC</v>
          </cell>
          <cell r="P11605" t="str">
            <v>STC9D01C</v>
          </cell>
          <cell r="Q11605" t="str">
            <v>角度传感器</v>
          </cell>
        </row>
        <row r="11606">
          <cell r="O11606" t="str">
            <v>SC4695DC</v>
          </cell>
          <cell r="P11606" t="str">
            <v>STC9D01C</v>
          </cell>
          <cell r="Q11606" t="str">
            <v>角度传感器</v>
          </cell>
        </row>
        <row r="11607">
          <cell r="O11607" t="str">
            <v>SC4695DC</v>
          </cell>
          <cell r="P11607" t="str">
            <v>STC9D01C</v>
          </cell>
          <cell r="Q11607" t="str">
            <v>角度传感器</v>
          </cell>
        </row>
        <row r="11608">
          <cell r="O11608" t="str">
            <v>SC4695DC</v>
          </cell>
          <cell r="P11608" t="str">
            <v>STC9D01C</v>
          </cell>
          <cell r="Q11608" t="str">
            <v>角度传感器</v>
          </cell>
        </row>
        <row r="11609">
          <cell r="O11609" t="str">
            <v>SC4695DC</v>
          </cell>
          <cell r="P11609" t="str">
            <v>STC9D01C</v>
          </cell>
          <cell r="Q11609" t="str">
            <v>角度传感器</v>
          </cell>
        </row>
        <row r="11610">
          <cell r="O11610" t="str">
            <v>SC1245UA</v>
          </cell>
          <cell r="P11610" t="str">
            <v>STC1898AD</v>
          </cell>
          <cell r="Q11610" t="str">
            <v>磁性位置传感器</v>
          </cell>
        </row>
        <row r="11611">
          <cell r="O11611" t="str">
            <v>SC1134SO-N</v>
          </cell>
          <cell r="P11611" t="str">
            <v>STC1898AI</v>
          </cell>
          <cell r="Q11611" t="str">
            <v>磁性位置传感器</v>
          </cell>
        </row>
        <row r="11612">
          <cell r="O11612" t="str">
            <v>SC2434SO-N</v>
          </cell>
          <cell r="P11612" t="str">
            <v>STC9906I</v>
          </cell>
          <cell r="Q11612" t="str">
            <v>磁性位置传感器</v>
          </cell>
        </row>
        <row r="11613">
          <cell r="O11613" t="str">
            <v>SC2442SO</v>
          </cell>
          <cell r="P11613" t="str">
            <v>STC9906R</v>
          </cell>
          <cell r="Q11613" t="str">
            <v>磁性位置传感器</v>
          </cell>
        </row>
        <row r="11614">
          <cell r="O11614" t="str">
            <v>SC2063SO</v>
          </cell>
          <cell r="P11614" t="str">
            <v>STC9G001C</v>
          </cell>
          <cell r="Q11614" t="str">
            <v>磁性位置传感器</v>
          </cell>
        </row>
        <row r="11615">
          <cell r="O11615" t="str">
            <v>SC4688SA</v>
          </cell>
          <cell r="P11615" t="str">
            <v>STC9D01C</v>
          </cell>
          <cell r="Q11615" t="str">
            <v>角度传感器</v>
          </cell>
        </row>
        <row r="11616">
          <cell r="O11616" t="str">
            <v>SD2276</v>
          </cell>
          <cell r="P11616" t="str">
            <v>FD1014A</v>
          </cell>
          <cell r="Q11616" t="str">
            <v>电机驱动</v>
          </cell>
        </row>
        <row r="11617">
          <cell r="O11617" t="str">
            <v>SD2276</v>
          </cell>
          <cell r="P11617" t="str">
            <v>FD1014A</v>
          </cell>
          <cell r="Q11617" t="str">
            <v>电机驱动</v>
          </cell>
        </row>
        <row r="11618">
          <cell r="O11618" t="str">
            <v>SD2276</v>
          </cell>
          <cell r="P11618" t="str">
            <v>FD1014A</v>
          </cell>
          <cell r="Q11618" t="str">
            <v>电机驱动</v>
          </cell>
        </row>
        <row r="11619">
          <cell r="O11619" t="str">
            <v>SD2276</v>
          </cell>
          <cell r="P11619" t="str">
            <v>FD1014A</v>
          </cell>
          <cell r="Q11619" t="str">
            <v>电机驱动</v>
          </cell>
        </row>
        <row r="11620">
          <cell r="O11620" t="str">
            <v>SD2276</v>
          </cell>
          <cell r="P11620" t="str">
            <v>FD1014A</v>
          </cell>
          <cell r="Q11620" t="str">
            <v>电机驱动</v>
          </cell>
        </row>
        <row r="11621">
          <cell r="O11621" t="str">
            <v>SC9641TS-P</v>
          </cell>
          <cell r="P11621" t="str">
            <v>STC9A001I</v>
          </cell>
          <cell r="Q11621" t="str">
            <v>速度传感器</v>
          </cell>
        </row>
        <row r="11622">
          <cell r="O11622" t="str">
            <v>SC9641TS-P</v>
          </cell>
          <cell r="P11622" t="str">
            <v>STC9A001I</v>
          </cell>
          <cell r="Q11622" t="str">
            <v>速度传感器</v>
          </cell>
        </row>
        <row r="11623">
          <cell r="O11623" t="str">
            <v>SC9641TS-P</v>
          </cell>
          <cell r="P11623" t="str">
            <v>STC9A001I</v>
          </cell>
          <cell r="Q11623" t="str">
            <v>速度传感器</v>
          </cell>
        </row>
        <row r="11624">
          <cell r="O11624" t="str">
            <v>SC4011SO-N</v>
          </cell>
          <cell r="P11624" t="str">
            <v>STC4011B</v>
          </cell>
          <cell r="Q11624" t="str">
            <v>磁性位置传感器</v>
          </cell>
        </row>
        <row r="11625">
          <cell r="O11625" t="str">
            <v>SC4011SO-N</v>
          </cell>
          <cell r="P11625" t="str">
            <v>STC4011B</v>
          </cell>
          <cell r="Q11625" t="str">
            <v>磁性位置传感器</v>
          </cell>
        </row>
        <row r="11626">
          <cell r="O11626" t="str">
            <v>SC4011SO-N</v>
          </cell>
          <cell r="P11626" t="str">
            <v>STC4011B</v>
          </cell>
          <cell r="Q11626" t="str">
            <v>磁性位置传感器</v>
          </cell>
        </row>
        <row r="11627">
          <cell r="O11627" t="str">
            <v>SD477S</v>
          </cell>
          <cell r="P11627" t="str">
            <v>STC22304B</v>
          </cell>
          <cell r="Q11627" t="str">
            <v>电机驱动</v>
          </cell>
        </row>
        <row r="11628">
          <cell r="O11628" t="str">
            <v>SC1134UA</v>
          </cell>
          <cell r="P11628" t="str">
            <v>STC1898AI</v>
          </cell>
          <cell r="Q11628" t="str">
            <v>磁性位置传感器</v>
          </cell>
        </row>
        <row r="11629">
          <cell r="O11629" t="str">
            <v>SC1134UA</v>
          </cell>
          <cell r="P11629" t="str">
            <v>STC1898AI</v>
          </cell>
          <cell r="Q11629" t="str">
            <v>磁性位置传感器</v>
          </cell>
        </row>
        <row r="11630">
          <cell r="O11630" t="str">
            <v>2100</v>
          </cell>
          <cell r="P11630" t="str">
            <v>STC9D03E</v>
          </cell>
          <cell r="Q11630" t="str">
            <v>电流传感器</v>
          </cell>
        </row>
        <row r="11631">
          <cell r="O11631" t="str">
            <v>2100</v>
          </cell>
          <cell r="P11631" t="str">
            <v>STC9D03E</v>
          </cell>
          <cell r="Q11631" t="str">
            <v>电流传感器</v>
          </cell>
        </row>
        <row r="11632">
          <cell r="O11632" t="str">
            <v>SC4011SO-N</v>
          </cell>
          <cell r="P11632" t="str">
            <v>STC4011B</v>
          </cell>
          <cell r="Q11632" t="str">
            <v>磁性位置传感器</v>
          </cell>
        </row>
        <row r="11633">
          <cell r="O11633" t="str">
            <v>SC4011SO-N</v>
          </cell>
          <cell r="P11633" t="str">
            <v>STC4011B</v>
          </cell>
          <cell r="Q11633" t="str">
            <v>磁性位置传感器</v>
          </cell>
        </row>
        <row r="11634">
          <cell r="O11634" t="str">
            <v>SC4011SO-N</v>
          </cell>
          <cell r="P11634" t="str">
            <v>STC4011B</v>
          </cell>
          <cell r="Q11634" t="str">
            <v>磁性位置传感器</v>
          </cell>
        </row>
        <row r="11635">
          <cell r="O11635" t="str">
            <v>SC1134UA</v>
          </cell>
          <cell r="P11635" t="str">
            <v>STC1898AI</v>
          </cell>
          <cell r="Q11635" t="str">
            <v>磁性位置传感器</v>
          </cell>
        </row>
        <row r="11636">
          <cell r="O11636" t="str">
            <v>SC1134SO-N</v>
          </cell>
          <cell r="P11636" t="str">
            <v>STC1898AI</v>
          </cell>
          <cell r="Q11636" t="str">
            <v>磁性位置传感器</v>
          </cell>
        </row>
        <row r="11637">
          <cell r="O11637" t="str">
            <v>SC1134UA</v>
          </cell>
          <cell r="P11637" t="str">
            <v>STC1898AI</v>
          </cell>
          <cell r="Q11637" t="str">
            <v>磁性位置传感器</v>
          </cell>
        </row>
        <row r="11638">
          <cell r="O11638" t="str">
            <v>SC2402SO-N</v>
          </cell>
          <cell r="P11638" t="str">
            <v>STC9H001A</v>
          </cell>
          <cell r="Q11638" t="str">
            <v>磁性位置传感器</v>
          </cell>
        </row>
        <row r="11639">
          <cell r="O11639" t="str">
            <v>SC2443UA</v>
          </cell>
          <cell r="P11639" t="str">
            <v>STC9906W</v>
          </cell>
          <cell r="Q11639" t="str">
            <v>磁性位置传感器</v>
          </cell>
        </row>
        <row r="11640">
          <cell r="O11640" t="str">
            <v>SC1138SO-N</v>
          </cell>
          <cell r="P11640" t="str">
            <v>STC1898AC</v>
          </cell>
          <cell r="Q11640" t="str">
            <v>磁性位置传感器</v>
          </cell>
        </row>
        <row r="11641">
          <cell r="O11641" t="str">
            <v>SC2498UA-N</v>
          </cell>
          <cell r="P11641" t="str">
            <v>SC9915C</v>
          </cell>
          <cell r="Q11641" t="str">
            <v>磁性位置传感器</v>
          </cell>
        </row>
        <row r="11642">
          <cell r="O11642" t="str">
            <v>SC2498UA-N</v>
          </cell>
          <cell r="P11642" t="str">
            <v>SC9915C</v>
          </cell>
          <cell r="Q11642" t="str">
            <v>磁性位置传感器</v>
          </cell>
        </row>
        <row r="11643">
          <cell r="O11643" t="str">
            <v>SC2498UA-N</v>
          </cell>
          <cell r="P11643" t="str">
            <v>SC9915C</v>
          </cell>
          <cell r="Q11643" t="str">
            <v>磁性位置传感器</v>
          </cell>
        </row>
        <row r="11644">
          <cell r="O11644" t="str">
            <v>SC9641TS-P</v>
          </cell>
          <cell r="P11644" t="str">
            <v>STC9A001F</v>
          </cell>
          <cell r="Q11644" t="str">
            <v>速度传感器</v>
          </cell>
        </row>
        <row r="11645">
          <cell r="O11645" t="str">
            <v>SC9641TS-P</v>
          </cell>
          <cell r="P11645" t="str">
            <v>STC9A001F</v>
          </cell>
          <cell r="Q11645" t="str">
            <v>速度传感器</v>
          </cell>
        </row>
        <row r="11646">
          <cell r="O11646" t="str">
            <v>SC9641TS-P</v>
          </cell>
          <cell r="P11646" t="str">
            <v>STC9A001I</v>
          </cell>
          <cell r="Q11646" t="str">
            <v>速度传感器</v>
          </cell>
        </row>
        <row r="11647">
          <cell r="O11647" t="str">
            <v>SC9641TS-P</v>
          </cell>
          <cell r="P11647" t="str">
            <v>STC9A001I</v>
          </cell>
          <cell r="Q11647" t="str">
            <v>速度传感器</v>
          </cell>
        </row>
        <row r="11648">
          <cell r="O11648" t="str">
            <v>SC9641TS-P</v>
          </cell>
          <cell r="P11648" t="str">
            <v>STC9A001I</v>
          </cell>
          <cell r="Q11648" t="str">
            <v>速度传感器</v>
          </cell>
        </row>
        <row r="11649">
          <cell r="O11649" t="str">
            <v>SC9641TS-P</v>
          </cell>
          <cell r="P11649" t="str">
            <v>STC9A001I</v>
          </cell>
          <cell r="Q11649" t="str">
            <v>速度传感器</v>
          </cell>
        </row>
        <row r="11650">
          <cell r="O11650" t="str">
            <v>SC9641TS-P</v>
          </cell>
          <cell r="P11650" t="str">
            <v>STC9A001I</v>
          </cell>
          <cell r="Q11650" t="str">
            <v>速度传感器</v>
          </cell>
        </row>
        <row r="11651">
          <cell r="O11651" t="str">
            <v>SC9641TS-P</v>
          </cell>
          <cell r="P11651" t="str">
            <v>STC9A001I</v>
          </cell>
          <cell r="Q11651" t="str">
            <v>速度传感器</v>
          </cell>
        </row>
        <row r="11652">
          <cell r="O11652" t="str">
            <v>SC2432HUA</v>
          </cell>
          <cell r="P11652" t="str">
            <v>STC9906I</v>
          </cell>
          <cell r="Q11652" t="str">
            <v>磁性位置传感器</v>
          </cell>
        </row>
        <row r="11653">
          <cell r="O11653" t="str">
            <v>SC1645B1</v>
          </cell>
          <cell r="P11653" t="str">
            <v>STC2899AE</v>
          </cell>
          <cell r="Q11653" t="str">
            <v>磁性位置传感器</v>
          </cell>
        </row>
        <row r="11654">
          <cell r="O11654" t="str">
            <v>SC1645B1</v>
          </cell>
          <cell r="P11654" t="str">
            <v>STC2899AE</v>
          </cell>
          <cell r="Q11654" t="str">
            <v>磁性位置传感器</v>
          </cell>
        </row>
        <row r="11655">
          <cell r="O11655" t="str">
            <v>SC1645B1</v>
          </cell>
          <cell r="P11655" t="str">
            <v>STC2899AE</v>
          </cell>
          <cell r="Q11655" t="str">
            <v>磁性位置传感器</v>
          </cell>
        </row>
        <row r="11656">
          <cell r="O11656" t="str">
            <v>SC1645B1</v>
          </cell>
          <cell r="P11656" t="str">
            <v>STC2899AE</v>
          </cell>
          <cell r="Q11656" t="str">
            <v>磁性位置传感器</v>
          </cell>
        </row>
        <row r="11657">
          <cell r="O11657" t="str">
            <v>SC1645B1</v>
          </cell>
          <cell r="P11657" t="str">
            <v>STC2899AE</v>
          </cell>
          <cell r="Q11657" t="str">
            <v>磁性位置传感器</v>
          </cell>
        </row>
        <row r="11658">
          <cell r="O11658" t="str">
            <v>SC1445A1</v>
          </cell>
          <cell r="P11658" t="str">
            <v>STC2899AB</v>
          </cell>
          <cell r="Q11658" t="str">
            <v>磁性位置传感器</v>
          </cell>
        </row>
        <row r="11659">
          <cell r="O11659" t="str">
            <v>SC1445A1</v>
          </cell>
          <cell r="P11659" t="str">
            <v>STC2899AB</v>
          </cell>
          <cell r="Q11659" t="str">
            <v>磁性位置传感器</v>
          </cell>
        </row>
        <row r="11660">
          <cell r="O11660" t="str">
            <v>SC1445A1</v>
          </cell>
          <cell r="P11660" t="str">
            <v>STC2899AB</v>
          </cell>
          <cell r="Q11660" t="str">
            <v>磁性位置传感器</v>
          </cell>
        </row>
        <row r="11661">
          <cell r="O11661" t="str">
            <v>SC2526HVB</v>
          </cell>
          <cell r="P11661" t="str">
            <v>STC9904C</v>
          </cell>
          <cell r="Q11661" t="str">
            <v>磁性位置传感器</v>
          </cell>
        </row>
        <row r="11662">
          <cell r="O11662" t="str">
            <v>SD2276</v>
          </cell>
          <cell r="P11662" t="str">
            <v>FD1014A</v>
          </cell>
          <cell r="Q11662" t="str">
            <v>电机驱动</v>
          </cell>
        </row>
        <row r="11663">
          <cell r="O11663" t="str">
            <v>PFD1014A</v>
          </cell>
          <cell r="P11663" t="str">
            <v>FD1014A</v>
          </cell>
          <cell r="Q11663" t="str">
            <v>电机驱动</v>
          </cell>
        </row>
        <row r="11664">
          <cell r="O11664" t="str">
            <v>PFD1014A</v>
          </cell>
          <cell r="P11664" t="str">
            <v>FD1014A</v>
          </cell>
          <cell r="Q11664" t="str">
            <v>电机驱动</v>
          </cell>
        </row>
        <row r="11665">
          <cell r="O11665" t="str">
            <v>SC2442SO-N</v>
          </cell>
          <cell r="P11665" t="str">
            <v>STC9906P</v>
          </cell>
          <cell r="Q11665" t="str">
            <v>磁性位置传感器</v>
          </cell>
        </row>
        <row r="11666">
          <cell r="O11666" t="str">
            <v>SC1134UA</v>
          </cell>
          <cell r="P11666" t="str">
            <v>STC1898AI</v>
          </cell>
          <cell r="Q11666" t="str">
            <v>磁性位置传感器</v>
          </cell>
        </row>
        <row r="11667">
          <cell r="O11667" t="str">
            <v>KH477ST4-G</v>
          </cell>
          <cell r="P11667" t="str">
            <v>STC22304B</v>
          </cell>
          <cell r="Q11667" t="str">
            <v>电机驱动</v>
          </cell>
        </row>
        <row r="11668">
          <cell r="O11668" t="str">
            <v>2100</v>
          </cell>
          <cell r="P11668" t="str">
            <v>STC9D03E</v>
          </cell>
          <cell r="Q11668" t="str">
            <v>电流传感器</v>
          </cell>
        </row>
        <row r="11669">
          <cell r="O11669" t="str">
            <v>SC4645VB</v>
          </cell>
          <cell r="P11669" t="str">
            <v>STC9D06F</v>
          </cell>
          <cell r="Q11669" t="str">
            <v>电流传感器</v>
          </cell>
        </row>
        <row r="11670">
          <cell r="O11670" t="str">
            <v>SC9625VB-L</v>
          </cell>
          <cell r="P11670" t="str">
            <v>STC9910E</v>
          </cell>
          <cell r="Q11670" t="str">
            <v>速度传感器</v>
          </cell>
        </row>
        <row r="11671">
          <cell r="O11671" t="str">
            <v>SC9625VB-L</v>
          </cell>
          <cell r="P11671" t="str">
            <v>STC9910E</v>
          </cell>
          <cell r="Q11671" t="str">
            <v>速度传感器</v>
          </cell>
        </row>
        <row r="11672">
          <cell r="O11672" t="str">
            <v>SC9625VB-L</v>
          </cell>
          <cell r="P11672" t="str">
            <v>STC9910E</v>
          </cell>
          <cell r="Q11672" t="str">
            <v>速度传感器</v>
          </cell>
        </row>
        <row r="11673">
          <cell r="O11673" t="str">
            <v>SC9625VB-L</v>
          </cell>
          <cell r="P11673" t="str">
            <v>STC9910E</v>
          </cell>
          <cell r="Q11673" t="str">
            <v>速度传感器</v>
          </cell>
        </row>
        <row r="11674">
          <cell r="O11674" t="str">
            <v>SC2432SO</v>
          </cell>
          <cell r="P11674" t="str">
            <v>STC9906I</v>
          </cell>
          <cell r="Q11674" t="str">
            <v>磁性位置传感器</v>
          </cell>
        </row>
        <row r="11675">
          <cell r="O11675" t="str">
            <v>SC2642SO</v>
          </cell>
          <cell r="P11675" t="str">
            <v>STC9906H</v>
          </cell>
          <cell r="Q11675" t="str">
            <v>磁性位置传感器</v>
          </cell>
        </row>
        <row r="11676">
          <cell r="O11676" t="str">
            <v>SC2642SO</v>
          </cell>
          <cell r="P11676" t="str">
            <v>STC9906H</v>
          </cell>
          <cell r="Q11676" t="str">
            <v>磁性位置传感器</v>
          </cell>
        </row>
        <row r="11677">
          <cell r="O11677" t="str">
            <v>SC2642SO</v>
          </cell>
          <cell r="P11677" t="str">
            <v>STC9906H</v>
          </cell>
          <cell r="Q11677" t="str">
            <v>磁性位置传感器</v>
          </cell>
        </row>
        <row r="11678">
          <cell r="O11678" t="str">
            <v>SC2462UA</v>
          </cell>
          <cell r="P11678" t="str">
            <v>STC9906J</v>
          </cell>
          <cell r="Q11678" t="str">
            <v>磁性位置传感器</v>
          </cell>
        </row>
        <row r="11679">
          <cell r="O11679" t="str">
            <v>SC2462UA</v>
          </cell>
          <cell r="P11679" t="str">
            <v>STC9906J</v>
          </cell>
          <cell r="Q11679" t="str">
            <v>磁性位置传感器</v>
          </cell>
        </row>
        <row r="11680">
          <cell r="O11680" t="str">
            <v>SC1245UA</v>
          </cell>
          <cell r="P11680" t="str">
            <v>STC1898AD</v>
          </cell>
          <cell r="Q11680" t="str">
            <v>磁性位置传感器</v>
          </cell>
        </row>
        <row r="11681">
          <cell r="O11681" t="str">
            <v>SC1245UA</v>
          </cell>
          <cell r="P11681" t="str">
            <v>STC1898AD</v>
          </cell>
          <cell r="Q11681" t="str">
            <v>磁性位置传感器</v>
          </cell>
        </row>
        <row r="11682">
          <cell r="O11682" t="str">
            <v>SC1245UA</v>
          </cell>
          <cell r="P11682" t="str">
            <v>STC1898AD</v>
          </cell>
          <cell r="Q11682" t="str">
            <v>磁性位置传感器</v>
          </cell>
        </row>
        <row r="11683">
          <cell r="O11683" t="str">
            <v>SC1245UA</v>
          </cell>
          <cell r="P11683" t="str">
            <v>STC1898AD</v>
          </cell>
          <cell r="Q11683" t="str">
            <v>磁性位置传感器</v>
          </cell>
        </row>
        <row r="11684">
          <cell r="O11684" t="str">
            <v>SC1645A2</v>
          </cell>
          <cell r="P11684" t="str">
            <v>STC2899AE</v>
          </cell>
          <cell r="Q11684" t="str">
            <v>磁性位置传感器</v>
          </cell>
        </row>
        <row r="11685">
          <cell r="O11685" t="str">
            <v>SC1645A2</v>
          </cell>
          <cell r="P11685" t="str">
            <v>STC2899AE</v>
          </cell>
          <cell r="Q11685" t="str">
            <v>磁性位置传感器</v>
          </cell>
        </row>
        <row r="11686">
          <cell r="O11686" t="str">
            <v>SC1645A2</v>
          </cell>
          <cell r="P11686" t="str">
            <v>STC2899AE</v>
          </cell>
          <cell r="Q11686" t="str">
            <v>磁性位置传感器</v>
          </cell>
        </row>
        <row r="11687">
          <cell r="O11687" t="str">
            <v>SC1645A2</v>
          </cell>
          <cell r="P11687" t="str">
            <v>STC2899AE</v>
          </cell>
          <cell r="Q11687" t="str">
            <v>磁性位置传感器</v>
          </cell>
        </row>
        <row r="11688">
          <cell r="O11688" t="str">
            <v>SC1645A2</v>
          </cell>
          <cell r="P11688" t="str">
            <v>STC2899AE</v>
          </cell>
          <cell r="Q11688" t="str">
            <v>磁性位置传感器</v>
          </cell>
        </row>
        <row r="11689">
          <cell r="O11689" t="str">
            <v>SC1645A2</v>
          </cell>
          <cell r="P11689" t="str">
            <v>STC2899AE</v>
          </cell>
          <cell r="Q11689" t="str">
            <v>磁性位置传感器</v>
          </cell>
        </row>
        <row r="11690">
          <cell r="O11690" t="str">
            <v>SC1645A2</v>
          </cell>
          <cell r="P11690" t="str">
            <v>STC2899AE</v>
          </cell>
          <cell r="Q11690" t="str">
            <v>磁性位置传感器</v>
          </cell>
        </row>
        <row r="11691">
          <cell r="O11691" t="str">
            <v>SC1645A2</v>
          </cell>
          <cell r="P11691" t="str">
            <v>STC2899AE</v>
          </cell>
          <cell r="Q11691" t="str">
            <v>磁性位置传感器</v>
          </cell>
        </row>
        <row r="11692">
          <cell r="O11692" t="str">
            <v>SC1645A2</v>
          </cell>
          <cell r="P11692" t="str">
            <v>STC2899AE</v>
          </cell>
          <cell r="Q11692" t="str">
            <v>磁性位置传感器</v>
          </cell>
        </row>
        <row r="11693">
          <cell r="O11693" t="str">
            <v>SC1645A2</v>
          </cell>
          <cell r="P11693" t="str">
            <v>STC2899AE</v>
          </cell>
          <cell r="Q11693" t="str">
            <v>磁性位置传感器</v>
          </cell>
        </row>
        <row r="11694">
          <cell r="O11694" t="str">
            <v>SC1645A2</v>
          </cell>
          <cell r="P11694" t="str">
            <v>STC2899AE</v>
          </cell>
          <cell r="Q11694" t="str">
            <v>磁性位置传感器</v>
          </cell>
        </row>
        <row r="11695">
          <cell r="O11695" t="str">
            <v>SC41H</v>
          </cell>
          <cell r="P11695" t="str">
            <v>STC1002AG</v>
          </cell>
          <cell r="Q11695" t="str">
            <v>磁性位置传感器</v>
          </cell>
        </row>
        <row r="11696">
          <cell r="O11696" t="str">
            <v>SC1002A1</v>
          </cell>
          <cell r="P11696" t="str">
            <v>STC1002AG</v>
          </cell>
          <cell r="Q11696" t="str">
            <v>磁性位置传感器</v>
          </cell>
        </row>
        <row r="11697">
          <cell r="O11697" t="str">
            <v>SC1002A1</v>
          </cell>
          <cell r="P11697" t="str">
            <v>STC1002AG</v>
          </cell>
          <cell r="Q11697" t="str">
            <v>磁性位置传感器</v>
          </cell>
        </row>
        <row r="11698">
          <cell r="O11698" t="str">
            <v>SC1002A1</v>
          </cell>
          <cell r="P11698" t="str">
            <v>STC1002AG</v>
          </cell>
          <cell r="Q11698" t="str">
            <v>磁性位置传感器</v>
          </cell>
        </row>
        <row r="11699">
          <cell r="O11699" t="str">
            <v>SC1002A1</v>
          </cell>
          <cell r="P11699" t="str">
            <v>STC1002AG</v>
          </cell>
          <cell r="Q11699" t="str">
            <v>磁性位置传感器</v>
          </cell>
        </row>
        <row r="11700">
          <cell r="O11700" t="str">
            <v>SC2432SO</v>
          </cell>
          <cell r="P11700" t="str">
            <v>STC9906I</v>
          </cell>
          <cell r="Q11700" t="str">
            <v>磁性位置传感器</v>
          </cell>
        </row>
        <row r="11701">
          <cell r="O11701" t="str">
            <v>SD2276</v>
          </cell>
          <cell r="P11701" t="str">
            <v>FD1014A</v>
          </cell>
          <cell r="Q11701" t="str">
            <v>电机驱动</v>
          </cell>
        </row>
        <row r="11702">
          <cell r="O11702" t="str">
            <v>SC2432SO</v>
          </cell>
          <cell r="P11702" t="str">
            <v>STC9906I</v>
          </cell>
          <cell r="Q11702" t="str">
            <v>磁性位置传感器</v>
          </cell>
        </row>
        <row r="11703">
          <cell r="O11703" t="str">
            <v>SC2432SO</v>
          </cell>
          <cell r="P11703" t="str">
            <v>STC9906I</v>
          </cell>
          <cell r="Q11703" t="str">
            <v>磁性位置传感器</v>
          </cell>
        </row>
        <row r="11704">
          <cell r="O11704" t="str">
            <v>SC2432SO</v>
          </cell>
          <cell r="P11704" t="str">
            <v>STC9906I</v>
          </cell>
          <cell r="Q11704" t="str">
            <v>磁性位置传感器</v>
          </cell>
        </row>
        <row r="11705">
          <cell r="O11705" t="str">
            <v>SC4011SO-N</v>
          </cell>
          <cell r="P11705" t="str">
            <v>STC4011B</v>
          </cell>
          <cell r="Q11705" t="str">
            <v>磁性位置传感器</v>
          </cell>
        </row>
        <row r="11706">
          <cell r="O11706" t="str">
            <v>SC4011SO-N</v>
          </cell>
          <cell r="P11706" t="str">
            <v>STC4011B</v>
          </cell>
          <cell r="Q11706" t="str">
            <v>磁性位置传感器</v>
          </cell>
        </row>
        <row r="11707">
          <cell r="O11707" t="str">
            <v>SC4011SO-N</v>
          </cell>
          <cell r="P11707" t="str">
            <v>STC4011B</v>
          </cell>
          <cell r="Q11707" t="str">
            <v>磁性位置传感器</v>
          </cell>
        </row>
        <row r="11708">
          <cell r="O11708" t="str">
            <v>SC1133UA</v>
          </cell>
          <cell r="P11708" t="str">
            <v>STC1898AJ</v>
          </cell>
          <cell r="Q11708" t="str">
            <v>磁性位置传感器</v>
          </cell>
        </row>
        <row r="11709">
          <cell r="O11709" t="str">
            <v>SYLMV324BPD2R</v>
          </cell>
          <cell r="P11709" t="str">
            <v>STC9G003B</v>
          </cell>
          <cell r="Q11709" t="str">
            <v>其他数模混合</v>
          </cell>
        </row>
        <row r="11710">
          <cell r="O11710" t="str">
            <v>SC2402SO-N-G</v>
          </cell>
          <cell r="P11710" t="str">
            <v>STC9G002A</v>
          </cell>
          <cell r="Q11710" t="str">
            <v>磁性位置传感器</v>
          </cell>
        </row>
        <row r="11711">
          <cell r="O11711" t="str">
            <v>2100</v>
          </cell>
          <cell r="P11711" t="str">
            <v>STC9D03E</v>
          </cell>
          <cell r="Q11711" t="str">
            <v>电流传感器</v>
          </cell>
        </row>
        <row r="11712">
          <cell r="O11712" t="str">
            <v>SC4011SO-N</v>
          </cell>
          <cell r="P11712" t="str">
            <v>STC4011B</v>
          </cell>
          <cell r="Q11712" t="str">
            <v>磁性位置传感器</v>
          </cell>
        </row>
        <row r="11713">
          <cell r="O11713" t="str">
            <v>SC4011SO-N</v>
          </cell>
          <cell r="P11713" t="str">
            <v>STC4011B</v>
          </cell>
          <cell r="Q11713" t="str">
            <v>磁性位置传感器</v>
          </cell>
        </row>
        <row r="11714">
          <cell r="O11714" t="str">
            <v>SC4011SO-N</v>
          </cell>
          <cell r="P11714" t="str">
            <v>STC4011B</v>
          </cell>
          <cell r="Q11714" t="str">
            <v>磁性位置传感器</v>
          </cell>
        </row>
        <row r="11715">
          <cell r="O11715" t="str">
            <v>SC9675IM-P-LRF00</v>
          </cell>
          <cell r="P11715" t="str">
            <v>STC9A002B</v>
          </cell>
          <cell r="Q11715" t="str">
            <v>速度传感器</v>
          </cell>
        </row>
        <row r="11716">
          <cell r="O11716" t="str">
            <v>SC9641TS-P</v>
          </cell>
          <cell r="P11716" t="str">
            <v>STC9A001F</v>
          </cell>
          <cell r="Q11716" t="str">
            <v>速度传感器</v>
          </cell>
        </row>
        <row r="11717">
          <cell r="O11717" t="str">
            <v>SC9641TS-P</v>
          </cell>
          <cell r="P11717" t="str">
            <v>STC9A001F</v>
          </cell>
          <cell r="Q11717" t="str">
            <v>速度传感器</v>
          </cell>
        </row>
        <row r="11718">
          <cell r="O11718" t="str">
            <v>SC9641TS-P</v>
          </cell>
          <cell r="P11718" t="str">
            <v>STC9A001F</v>
          </cell>
          <cell r="Q11718" t="str">
            <v>速度传感器</v>
          </cell>
        </row>
        <row r="11719">
          <cell r="O11719" t="str">
            <v>PSTC9G003B</v>
          </cell>
          <cell r="P11719" t="str">
            <v>STC9G003B</v>
          </cell>
          <cell r="Q11719" t="str">
            <v>其他数模混合</v>
          </cell>
        </row>
        <row r="11720">
          <cell r="O11720" t="str">
            <v>PSTC9G005C</v>
          </cell>
          <cell r="P11720" t="str">
            <v>STC9G005C</v>
          </cell>
          <cell r="Q11720" t="str">
            <v>其他数模混合</v>
          </cell>
        </row>
        <row r="11721">
          <cell r="O11721" t="str">
            <v>SC2402SO-N-G</v>
          </cell>
          <cell r="P11721" t="str">
            <v>STC9G002A</v>
          </cell>
          <cell r="Q11721" t="str">
            <v>磁性位置传感器</v>
          </cell>
        </row>
        <row r="11722">
          <cell r="O11722" t="str">
            <v>SC2402SO-N-G</v>
          </cell>
          <cell r="P11722" t="str">
            <v>STC9G002A</v>
          </cell>
          <cell r="Q11722" t="str">
            <v>磁性位置传感器</v>
          </cell>
        </row>
        <row r="11723">
          <cell r="O11723" t="str">
            <v>SC2402SO-N-G</v>
          </cell>
          <cell r="P11723" t="str">
            <v>STC9G002A</v>
          </cell>
          <cell r="Q11723" t="str">
            <v>磁性位置传感器</v>
          </cell>
        </row>
        <row r="11724">
          <cell r="O11724" t="str">
            <v>SC2402UA</v>
          </cell>
          <cell r="P11724" t="str">
            <v>STC9G002A</v>
          </cell>
          <cell r="Q11724" t="str">
            <v>磁性位置传感器</v>
          </cell>
        </row>
        <row r="11725">
          <cell r="O11725" t="str">
            <v>SC1134SO-N</v>
          </cell>
          <cell r="P11725" t="str">
            <v>STC1898AI</v>
          </cell>
          <cell r="Q11725" t="str">
            <v>磁性位置传感器</v>
          </cell>
        </row>
        <row r="11726">
          <cell r="O11726" t="str">
            <v>PSTC9902B</v>
          </cell>
          <cell r="P11726" t="str">
            <v>STC9902B</v>
          </cell>
          <cell r="Q11726" t="str">
            <v>磁性位置传感器</v>
          </cell>
        </row>
        <row r="11727">
          <cell r="O11727" t="str">
            <v>SC9621VB-A</v>
          </cell>
          <cell r="P11727" t="str">
            <v>STC9910NC-Q</v>
          </cell>
          <cell r="Q11727" t="str">
            <v>速度传感器</v>
          </cell>
        </row>
        <row r="11728">
          <cell r="O11728" t="str">
            <v>SC9641TS-P</v>
          </cell>
          <cell r="P11728" t="str">
            <v>STC9A001I</v>
          </cell>
          <cell r="Q11728" t="str">
            <v>速度传感器</v>
          </cell>
        </row>
        <row r="11729">
          <cell r="O11729" t="str">
            <v>SC9641TS-P</v>
          </cell>
          <cell r="P11729" t="str">
            <v>STC9A001I</v>
          </cell>
          <cell r="Q11729" t="str">
            <v>速度传感器</v>
          </cell>
        </row>
        <row r="11730">
          <cell r="O11730" t="str">
            <v>SC9641TS-P</v>
          </cell>
          <cell r="P11730" t="str">
            <v>STC9A001I</v>
          </cell>
          <cell r="Q11730" t="str">
            <v>速度传感器</v>
          </cell>
        </row>
        <row r="11731">
          <cell r="O11731" t="str">
            <v>SC9641TS-P</v>
          </cell>
          <cell r="P11731" t="str">
            <v>STC9A001I</v>
          </cell>
          <cell r="Q11731" t="str">
            <v>速度传感器</v>
          </cell>
        </row>
        <row r="11732">
          <cell r="O11732" t="str">
            <v>SC9641TS-P</v>
          </cell>
          <cell r="P11732" t="str">
            <v>STC9A001I</v>
          </cell>
          <cell r="Q11732" t="str">
            <v>速度传感器</v>
          </cell>
        </row>
        <row r="11733">
          <cell r="O11733" t="str">
            <v>SC9641TS-P</v>
          </cell>
          <cell r="P11733" t="str">
            <v>STC9A001I</v>
          </cell>
          <cell r="Q11733" t="str">
            <v>速度传感器</v>
          </cell>
        </row>
        <row r="11734">
          <cell r="O11734" t="str">
            <v>SC9675IM-P-HRF00</v>
          </cell>
          <cell r="P11734" t="str">
            <v>STC9A002B</v>
          </cell>
          <cell r="Q11734" t="str">
            <v>速度传感器</v>
          </cell>
        </row>
        <row r="11735">
          <cell r="O11735" t="str">
            <v>SC9675IM-P-HRF00</v>
          </cell>
          <cell r="P11735" t="str">
            <v>STC9A002B</v>
          </cell>
          <cell r="Q11735" t="str">
            <v>速度传感器</v>
          </cell>
        </row>
        <row r="11736">
          <cell r="O11736" t="str">
            <v>SC69401D</v>
          </cell>
          <cell r="P11736" t="str">
            <v>STC9H002D</v>
          </cell>
          <cell r="Q11736" t="str">
            <v>角度传感器</v>
          </cell>
        </row>
        <row r="11737">
          <cell r="O11737" t="str">
            <v>SD477S</v>
          </cell>
          <cell r="P11737" t="str">
            <v>STC22304B</v>
          </cell>
          <cell r="Q11737" t="str">
            <v>电机驱动</v>
          </cell>
        </row>
        <row r="11738">
          <cell r="O11738" t="str">
            <v>SD477S</v>
          </cell>
          <cell r="P11738" t="str">
            <v>STC22304B</v>
          </cell>
          <cell r="Q11738" t="str">
            <v>电机驱动</v>
          </cell>
        </row>
        <row r="11739">
          <cell r="O11739" t="str">
            <v>SD477S</v>
          </cell>
          <cell r="P11739" t="str">
            <v>STC22304B</v>
          </cell>
          <cell r="Q11739" t="str">
            <v>电机驱动</v>
          </cell>
        </row>
        <row r="11740">
          <cell r="O11740" t="str">
            <v>SD477S</v>
          </cell>
          <cell r="P11740" t="str">
            <v>STC22304B</v>
          </cell>
          <cell r="Q11740" t="str">
            <v>电机驱动</v>
          </cell>
        </row>
        <row r="11741">
          <cell r="O11741" t="str">
            <v>SD477S</v>
          </cell>
          <cell r="P11741" t="str">
            <v>STC22304B</v>
          </cell>
          <cell r="Q11741" t="str">
            <v>电机驱动</v>
          </cell>
        </row>
        <row r="11742">
          <cell r="O11742" t="str">
            <v>SD477S</v>
          </cell>
          <cell r="P11742" t="str">
            <v>STC22304B</v>
          </cell>
          <cell r="Q11742" t="str">
            <v>电机驱动</v>
          </cell>
        </row>
        <row r="11743">
          <cell r="O11743" t="str">
            <v>SC9314UA</v>
          </cell>
          <cell r="P11743" t="str">
            <v>STC9901AF</v>
          </cell>
          <cell r="Q11743" t="str">
            <v>速度传感器</v>
          </cell>
        </row>
        <row r="11744">
          <cell r="O11744" t="str">
            <v>SC2448SO</v>
          </cell>
          <cell r="P11744" t="str">
            <v>STC9906S</v>
          </cell>
          <cell r="Q11744" t="str">
            <v>磁性位置传感器</v>
          </cell>
        </row>
        <row r="11745">
          <cell r="O11745" t="str">
            <v>SC2448SO</v>
          </cell>
          <cell r="P11745" t="str">
            <v>STC9906S</v>
          </cell>
          <cell r="Q11745" t="str">
            <v>磁性位置传感器</v>
          </cell>
        </row>
        <row r="11746">
          <cell r="O11746" t="str">
            <v>SC2448SO</v>
          </cell>
          <cell r="P11746" t="str">
            <v>STC9906S</v>
          </cell>
          <cell r="Q11746" t="str">
            <v>磁性位置传感器</v>
          </cell>
        </row>
        <row r="11747">
          <cell r="O11747" t="str">
            <v>SC1645A1</v>
          </cell>
          <cell r="P11747" t="str">
            <v>STC2899AE</v>
          </cell>
          <cell r="Q11747" t="str">
            <v>磁性位置传感器</v>
          </cell>
        </row>
        <row r="11748">
          <cell r="O11748" t="str">
            <v>PSTC9G003B</v>
          </cell>
          <cell r="P11748" t="str">
            <v>STC9G003B</v>
          </cell>
          <cell r="Q11748" t="str">
            <v>其他数模混合</v>
          </cell>
        </row>
        <row r="11749">
          <cell r="O11749" t="str">
            <v>SC2438SO</v>
          </cell>
          <cell r="P11749" t="str">
            <v>STC9906I</v>
          </cell>
          <cell r="Q11749" t="str">
            <v>磁性位置传感器</v>
          </cell>
        </row>
        <row r="11750">
          <cell r="O11750" t="str">
            <v>SC2438SO</v>
          </cell>
          <cell r="P11750" t="str">
            <v>STC9906I</v>
          </cell>
          <cell r="Q11750" t="str">
            <v>磁性位置传感器</v>
          </cell>
        </row>
        <row r="11751">
          <cell r="O11751" t="str">
            <v>SC2438SO</v>
          </cell>
          <cell r="P11751" t="str">
            <v>STC9906I</v>
          </cell>
          <cell r="Q11751" t="str">
            <v>磁性位置传感器</v>
          </cell>
        </row>
        <row r="11752">
          <cell r="O11752" t="str">
            <v>SC2438SO</v>
          </cell>
          <cell r="P11752" t="str">
            <v>STC9906I</v>
          </cell>
          <cell r="Q11752" t="str">
            <v>磁性位置传感器</v>
          </cell>
        </row>
        <row r="11753">
          <cell r="O11753" t="str">
            <v>2100</v>
          </cell>
          <cell r="P11753" t="str">
            <v>STC9D03E</v>
          </cell>
          <cell r="Q11753" t="str">
            <v>电流传感器</v>
          </cell>
        </row>
        <row r="11754">
          <cell r="O11754" t="str">
            <v>SC4011SO-N</v>
          </cell>
          <cell r="P11754" t="str">
            <v>STC4011B</v>
          </cell>
          <cell r="Q11754" t="str">
            <v>磁性位置传感器</v>
          </cell>
        </row>
        <row r="11755">
          <cell r="O11755" t="str">
            <v>SC4011SO-N</v>
          </cell>
          <cell r="P11755" t="str">
            <v>STC4011B</v>
          </cell>
          <cell r="Q11755" t="str">
            <v>磁性位置传感器</v>
          </cell>
        </row>
        <row r="11756">
          <cell r="O11756" t="str">
            <v>SC4011SO-N</v>
          </cell>
          <cell r="P11756" t="str">
            <v>STC4011B</v>
          </cell>
          <cell r="Q11756" t="str">
            <v>磁性位置传感器</v>
          </cell>
        </row>
        <row r="11757">
          <cell r="O11757" t="str">
            <v>SC9625VB-L</v>
          </cell>
          <cell r="P11757" t="str">
            <v>STC9910E</v>
          </cell>
          <cell r="Q11757" t="str">
            <v>速度传感器</v>
          </cell>
        </row>
        <row r="11758">
          <cell r="O11758" t="str">
            <v>SC9625VB-L</v>
          </cell>
          <cell r="P11758" t="str">
            <v>STC9910E</v>
          </cell>
          <cell r="Q11758" t="str">
            <v>速度传感器</v>
          </cell>
        </row>
        <row r="11759">
          <cell r="O11759" t="str">
            <v>SC9625VB-L</v>
          </cell>
          <cell r="P11759" t="str">
            <v>STC9910E</v>
          </cell>
          <cell r="Q11759" t="str">
            <v>速度传感器</v>
          </cell>
        </row>
        <row r="11760">
          <cell r="O11760" t="str">
            <v>SC9625VB-L</v>
          </cell>
          <cell r="P11760" t="str">
            <v>STC9910E</v>
          </cell>
          <cell r="Q11760" t="str">
            <v>速度传感器</v>
          </cell>
        </row>
        <row r="11761">
          <cell r="O11761" t="str">
            <v>SC9625VB-L</v>
          </cell>
          <cell r="P11761" t="str">
            <v>STC9910E</v>
          </cell>
          <cell r="Q11761" t="str">
            <v>速度传感器</v>
          </cell>
        </row>
        <row r="11762">
          <cell r="O11762" t="str">
            <v>SC9625VB-L</v>
          </cell>
          <cell r="P11762" t="str">
            <v>STC9910E</v>
          </cell>
          <cell r="Q11762" t="str">
            <v>速度传感器</v>
          </cell>
        </row>
        <row r="11763">
          <cell r="O11763" t="str">
            <v>SC9625VB</v>
          </cell>
          <cell r="P11763" t="str">
            <v>STC9910B</v>
          </cell>
          <cell r="Q11763" t="str">
            <v>速度传感器</v>
          </cell>
        </row>
        <row r="11764">
          <cell r="O11764" t="str">
            <v>SC9625VB</v>
          </cell>
          <cell r="P11764" t="str">
            <v>STC9910B</v>
          </cell>
          <cell r="Q11764" t="str">
            <v>速度传感器</v>
          </cell>
        </row>
        <row r="11765">
          <cell r="O11765" t="str">
            <v>SC69401</v>
          </cell>
          <cell r="P11765" t="str">
            <v>STC9H002D</v>
          </cell>
          <cell r="Q11765" t="str">
            <v>角度传感器</v>
          </cell>
        </row>
        <row r="11766">
          <cell r="O11766" t="str">
            <v>SC2448UA-N</v>
          </cell>
          <cell r="P11766" t="str">
            <v>STC9906S</v>
          </cell>
          <cell r="Q11766" t="str">
            <v>磁性位置传感器</v>
          </cell>
        </row>
        <row r="11767">
          <cell r="O11767" t="str">
            <v>SC2448UA-N</v>
          </cell>
          <cell r="P11767" t="str">
            <v>STC9906S</v>
          </cell>
          <cell r="Q11767" t="str">
            <v>磁性位置传感器</v>
          </cell>
        </row>
        <row r="11768">
          <cell r="O11768" t="str">
            <v>SC2438SO</v>
          </cell>
          <cell r="P11768" t="str">
            <v>STC9906I</v>
          </cell>
          <cell r="Q11768" t="str">
            <v>磁性位置传感器</v>
          </cell>
        </row>
        <row r="11769">
          <cell r="O11769" t="str">
            <v>SC2438SO</v>
          </cell>
          <cell r="P11769" t="str">
            <v>STC9906I</v>
          </cell>
          <cell r="Q11769" t="str">
            <v>磁性位置传感器</v>
          </cell>
        </row>
        <row r="11770">
          <cell r="O11770" t="str">
            <v>SC2438SO</v>
          </cell>
          <cell r="P11770" t="str">
            <v>STC9906I</v>
          </cell>
          <cell r="Q11770" t="str">
            <v>磁性位置传感器</v>
          </cell>
        </row>
        <row r="11771">
          <cell r="O11771" t="str">
            <v>SC1245UA</v>
          </cell>
          <cell r="P11771" t="str">
            <v>STC1898AD</v>
          </cell>
          <cell r="Q11771" t="str">
            <v>磁性位置传感器</v>
          </cell>
        </row>
        <row r="11772">
          <cell r="O11772" t="str">
            <v>SC1245UA</v>
          </cell>
          <cell r="P11772" t="str">
            <v>STC1898AD</v>
          </cell>
          <cell r="Q11772" t="str">
            <v>磁性位置传感器</v>
          </cell>
        </row>
        <row r="11773">
          <cell r="O11773" t="str">
            <v>SC1245UA</v>
          </cell>
          <cell r="P11773" t="str">
            <v>STC1898AD</v>
          </cell>
          <cell r="Q11773" t="str">
            <v>磁性位置传感器</v>
          </cell>
        </row>
        <row r="11774">
          <cell r="O11774" t="str">
            <v>SC1245UA</v>
          </cell>
          <cell r="P11774" t="str">
            <v>STC1898AD</v>
          </cell>
          <cell r="Q11774" t="str">
            <v>磁性位置传感器</v>
          </cell>
        </row>
        <row r="11775">
          <cell r="O11775" t="str">
            <v>SC4643VB-P</v>
          </cell>
          <cell r="P11775" t="str">
            <v>STC9D03E</v>
          </cell>
          <cell r="Q11775" t="str">
            <v>电流传感器</v>
          </cell>
        </row>
        <row r="11776">
          <cell r="O11776" t="str">
            <v>SC4643VB-P</v>
          </cell>
          <cell r="P11776" t="str">
            <v>STC9D03E</v>
          </cell>
          <cell r="Q11776" t="str">
            <v>电流传感器</v>
          </cell>
        </row>
        <row r="11777">
          <cell r="O11777" t="str">
            <v>SC4643VB-P</v>
          </cell>
          <cell r="P11777" t="str">
            <v>STC9D03E</v>
          </cell>
          <cell r="Q11777" t="str">
            <v>电流传感器</v>
          </cell>
        </row>
        <row r="11778">
          <cell r="O11778" t="str">
            <v>SC9314UA</v>
          </cell>
          <cell r="P11778" t="str">
            <v>STC9901AF</v>
          </cell>
          <cell r="Q11778" t="str">
            <v>速度传感器</v>
          </cell>
        </row>
        <row r="11779">
          <cell r="O11779" t="str">
            <v>SC1645B1</v>
          </cell>
          <cell r="P11779" t="str">
            <v>STC2899AE</v>
          </cell>
          <cell r="Q11779" t="str">
            <v>磁性位置传感器</v>
          </cell>
        </row>
        <row r="11780">
          <cell r="O11780" t="str">
            <v>SC1645B1</v>
          </cell>
          <cell r="P11780" t="str">
            <v>STC2899AE</v>
          </cell>
          <cell r="Q11780" t="str">
            <v>磁性位置传感器</v>
          </cell>
        </row>
        <row r="11781">
          <cell r="O11781" t="str">
            <v>SC1645A1</v>
          </cell>
          <cell r="P11781" t="str">
            <v>STC2899AE</v>
          </cell>
          <cell r="Q11781" t="str">
            <v>磁性位置传感器</v>
          </cell>
        </row>
        <row r="11782">
          <cell r="O11782" t="str">
            <v>SC1645A1</v>
          </cell>
          <cell r="P11782" t="str">
            <v>STC2899AE</v>
          </cell>
          <cell r="Q11782" t="str">
            <v>磁性位置传感器</v>
          </cell>
        </row>
        <row r="11783">
          <cell r="O11783" t="str">
            <v>SC1645A1</v>
          </cell>
          <cell r="P11783" t="str">
            <v>STC2899AE</v>
          </cell>
          <cell r="Q11783" t="str">
            <v>磁性位置传感器</v>
          </cell>
        </row>
        <row r="11784">
          <cell r="O11784" t="str">
            <v>SC4688SA-A</v>
          </cell>
          <cell r="P11784" t="str">
            <v>STC9D01C</v>
          </cell>
          <cell r="Q11784" t="str">
            <v>角度传感器</v>
          </cell>
        </row>
        <row r="11785">
          <cell r="O11785" t="str">
            <v>SC4688SA-A</v>
          </cell>
          <cell r="P11785" t="str">
            <v>STC9D01C</v>
          </cell>
          <cell r="Q11785" t="str">
            <v>角度传感器</v>
          </cell>
        </row>
        <row r="11786">
          <cell r="O11786" t="str">
            <v>SC4011SO-N</v>
          </cell>
          <cell r="P11786" t="str">
            <v>STC4011B</v>
          </cell>
          <cell r="Q11786" t="str">
            <v>磁性位置传感器</v>
          </cell>
        </row>
        <row r="11787">
          <cell r="O11787" t="str">
            <v>SC4011SO-N</v>
          </cell>
          <cell r="P11787" t="str">
            <v>STC4011B</v>
          </cell>
          <cell r="Q11787" t="str">
            <v>磁性位置传感器</v>
          </cell>
        </row>
        <row r="11788">
          <cell r="O11788" t="str">
            <v>SC4001SE</v>
          </cell>
          <cell r="P11788" t="str">
            <v>STC4001AB</v>
          </cell>
          <cell r="Q11788" t="str">
            <v>磁性位置传感器</v>
          </cell>
        </row>
        <row r="11789">
          <cell r="O11789" t="str">
            <v>SYLMV324BPD2R</v>
          </cell>
          <cell r="P11789" t="str">
            <v>STC9G003B</v>
          </cell>
          <cell r="Q11789" t="str">
            <v>其他数模混合</v>
          </cell>
        </row>
        <row r="11790">
          <cell r="O11790" t="str">
            <v>SC2402SO-N-G</v>
          </cell>
          <cell r="P11790" t="str">
            <v>STC9G002A</v>
          </cell>
          <cell r="Q11790" t="str">
            <v>磁性位置传感器</v>
          </cell>
        </row>
        <row r="11791">
          <cell r="O11791" t="str">
            <v>2100</v>
          </cell>
          <cell r="P11791" t="str">
            <v>STC9D03E</v>
          </cell>
          <cell r="Q11791" t="str">
            <v>电流传感器</v>
          </cell>
        </row>
        <row r="11792">
          <cell r="O11792" t="str">
            <v>2100</v>
          </cell>
          <cell r="P11792" t="str">
            <v>STC9D03E</v>
          </cell>
          <cell r="Q11792" t="str">
            <v>电流传感器</v>
          </cell>
        </row>
        <row r="11793">
          <cell r="O11793" t="str">
            <v>2100S</v>
          </cell>
          <cell r="P11793" t="str">
            <v>STC9D03E</v>
          </cell>
          <cell r="Q11793" t="str">
            <v>电流传感器</v>
          </cell>
        </row>
        <row r="11794">
          <cell r="O11794" t="str">
            <v>SC9621VB-A</v>
          </cell>
          <cell r="P11794" t="str">
            <v>STC9910NC-Q</v>
          </cell>
          <cell r="Q11794" t="str">
            <v>速度传感器</v>
          </cell>
        </row>
        <row r="11795">
          <cell r="O11795" t="str">
            <v>SC4688SA</v>
          </cell>
          <cell r="P11795" t="str">
            <v>STC9D01C</v>
          </cell>
          <cell r="Q11795" t="str">
            <v>角度传感器</v>
          </cell>
        </row>
        <row r="11796">
          <cell r="O11796" t="str">
            <v>SC9642TS-EC</v>
          </cell>
          <cell r="P11796" t="str">
            <v>STC9A001H</v>
          </cell>
          <cell r="Q11796" t="str">
            <v>速度传感器</v>
          </cell>
        </row>
        <row r="11797">
          <cell r="O11797" t="str">
            <v>SC9641TS-PC</v>
          </cell>
          <cell r="P11797" t="str">
            <v>STC9A001I</v>
          </cell>
          <cell r="Q11797" t="str">
            <v>速度传感器</v>
          </cell>
        </row>
        <row r="11798">
          <cell r="O11798" t="str">
            <v>SC9641TS-PC</v>
          </cell>
          <cell r="P11798" t="str">
            <v>STC9A001I</v>
          </cell>
          <cell r="Q11798" t="str">
            <v>速度传感器</v>
          </cell>
        </row>
        <row r="11799">
          <cell r="O11799" t="str">
            <v>ZH6350A</v>
          </cell>
          <cell r="P11799" t="str">
            <v>ZH6350A</v>
          </cell>
          <cell r="Q11799" t="str">
            <v>电机驱动</v>
          </cell>
        </row>
        <row r="11800">
          <cell r="O11800" t="str">
            <v>ZH6350A</v>
          </cell>
          <cell r="P11800" t="str">
            <v>ZH6350A</v>
          </cell>
          <cell r="Q11800" t="str">
            <v>电机驱动</v>
          </cell>
        </row>
        <row r="11801">
          <cell r="O11801" t="str">
            <v>ZH619A0</v>
          </cell>
          <cell r="P11801" t="str">
            <v>S22302A</v>
          </cell>
          <cell r="Q11801" t="str">
            <v>电机驱动</v>
          </cell>
        </row>
        <row r="11802">
          <cell r="O11802" t="str">
            <v>ZH619A0</v>
          </cell>
          <cell r="P11802" t="str">
            <v>S22302A</v>
          </cell>
          <cell r="Q11802" t="str">
            <v>电机驱动</v>
          </cell>
        </row>
        <row r="11803">
          <cell r="O11803" t="str">
            <v>SC2464SO</v>
          </cell>
          <cell r="P11803" t="str">
            <v>STC9906J</v>
          </cell>
          <cell r="Q11803" t="str">
            <v>磁性位置传感器</v>
          </cell>
        </row>
        <row r="11804">
          <cell r="O11804" t="str">
            <v>SC9642TS-EC</v>
          </cell>
          <cell r="P11804" t="str">
            <v>STC9A001H</v>
          </cell>
          <cell r="Q11804" t="str">
            <v>速度传感器</v>
          </cell>
        </row>
        <row r="11805">
          <cell r="O11805" t="str">
            <v>SC9641TS-P</v>
          </cell>
          <cell r="P11805" t="str">
            <v>STC9A001F</v>
          </cell>
          <cell r="Q11805" t="str">
            <v>速度传感器</v>
          </cell>
        </row>
        <row r="11806">
          <cell r="O11806" t="str">
            <v>SC2462SO</v>
          </cell>
          <cell r="P11806" t="str">
            <v>STC9906J</v>
          </cell>
          <cell r="Q11806" t="str">
            <v>磁性位置传感器</v>
          </cell>
        </row>
        <row r="11807">
          <cell r="O11807" t="str">
            <v>SC2063UA</v>
          </cell>
          <cell r="P11807" t="str">
            <v>STC9G001C</v>
          </cell>
          <cell r="Q11807" t="str">
            <v>磁性位置传感器</v>
          </cell>
        </row>
        <row r="11808">
          <cell r="O11808" t="str">
            <v>SC1134UA</v>
          </cell>
          <cell r="P11808" t="str">
            <v>STC1898AI</v>
          </cell>
          <cell r="Q11808" t="str">
            <v>磁性位置传感器</v>
          </cell>
        </row>
        <row r="11809">
          <cell r="O11809" t="str">
            <v>SC2064UA</v>
          </cell>
          <cell r="P11809" t="str">
            <v>STC9G001C</v>
          </cell>
          <cell r="Q11809" t="str">
            <v>磁性位置传感器</v>
          </cell>
        </row>
        <row r="11810">
          <cell r="O11810" t="str">
            <v>SC69401</v>
          </cell>
          <cell r="P11810" t="str">
            <v>STC9H002D</v>
          </cell>
          <cell r="Q11810" t="str">
            <v>角度传感器</v>
          </cell>
        </row>
        <row r="11811">
          <cell r="O11811" t="str">
            <v>SC69401</v>
          </cell>
          <cell r="P11811" t="str">
            <v>STC9H002D</v>
          </cell>
          <cell r="Q11811" t="str">
            <v>角度传感器</v>
          </cell>
        </row>
        <row r="11812">
          <cell r="O11812" t="str">
            <v>SC4011SO-N</v>
          </cell>
          <cell r="P11812" t="str">
            <v>STC4011B</v>
          </cell>
          <cell r="Q11812" t="str">
            <v>磁性位置传感器</v>
          </cell>
        </row>
        <row r="11813">
          <cell r="O11813" t="str">
            <v>SC4011SO-N</v>
          </cell>
          <cell r="P11813" t="str">
            <v>STC4011B</v>
          </cell>
          <cell r="Q11813" t="str">
            <v>磁性位置传感器</v>
          </cell>
        </row>
        <row r="11814">
          <cell r="O11814" t="str">
            <v>SC4011SO-N</v>
          </cell>
          <cell r="P11814" t="str">
            <v>STC4011B</v>
          </cell>
          <cell r="Q11814" t="str">
            <v>磁性位置传感器</v>
          </cell>
        </row>
        <row r="11815">
          <cell r="O11815" t="str">
            <v>SC2442UA</v>
          </cell>
          <cell r="P11815" t="str">
            <v>STC9906P</v>
          </cell>
          <cell r="Q11815" t="str">
            <v>磁性位置传感器</v>
          </cell>
        </row>
        <row r="11816">
          <cell r="O11816" t="str">
            <v>SC2464SO</v>
          </cell>
          <cell r="P11816" t="str">
            <v>STC9906J</v>
          </cell>
          <cell r="Q11816" t="str">
            <v>磁性位置传感器</v>
          </cell>
        </row>
        <row r="11817">
          <cell r="O11817" t="str">
            <v>SC2442UA</v>
          </cell>
          <cell r="P11817" t="str">
            <v>STC9906P</v>
          </cell>
          <cell r="Q11817" t="str">
            <v>磁性位置传感器</v>
          </cell>
        </row>
        <row r="11818">
          <cell r="O11818" t="str">
            <v>2100S</v>
          </cell>
          <cell r="P11818" t="str">
            <v>STC9D03E</v>
          </cell>
          <cell r="Q11818" t="str">
            <v>电流传感器</v>
          </cell>
        </row>
        <row r="11819">
          <cell r="O11819" t="str">
            <v>2100</v>
          </cell>
          <cell r="P11819" t="str">
            <v>STC9D03E</v>
          </cell>
          <cell r="Q11819" t="str">
            <v>电流传感器</v>
          </cell>
        </row>
        <row r="11820">
          <cell r="O11820" t="str">
            <v>2100</v>
          </cell>
          <cell r="P11820" t="str">
            <v>STC9D03E</v>
          </cell>
          <cell r="Q11820" t="str">
            <v>电流传感器</v>
          </cell>
        </row>
        <row r="11821">
          <cell r="O11821" t="str">
            <v>2100S</v>
          </cell>
          <cell r="P11821" t="str">
            <v>STC9D03E</v>
          </cell>
          <cell r="Q11821" t="str">
            <v>电流传感器</v>
          </cell>
        </row>
        <row r="11822">
          <cell r="O11822" t="str">
            <v>SD477S</v>
          </cell>
          <cell r="P11822" t="str">
            <v>STC22304B</v>
          </cell>
          <cell r="Q11822" t="str">
            <v>电机驱动</v>
          </cell>
        </row>
        <row r="11823">
          <cell r="O11823" t="str">
            <v>ZH6200C</v>
          </cell>
          <cell r="P11823" t="str">
            <v>ZH6200C</v>
          </cell>
          <cell r="Q11823" t="str">
            <v>电机驱动</v>
          </cell>
        </row>
        <row r="11824">
          <cell r="O11824" t="str">
            <v>SC2462SO</v>
          </cell>
          <cell r="P11824" t="str">
            <v>STC9906J</v>
          </cell>
          <cell r="Q11824" t="str">
            <v>磁性位置传感器</v>
          </cell>
        </row>
        <row r="11825">
          <cell r="O11825" t="str">
            <v>SC2436SO</v>
          </cell>
          <cell r="P11825" t="str">
            <v>STC9906I</v>
          </cell>
          <cell r="Q11825" t="str">
            <v>磁性位置传感器</v>
          </cell>
        </row>
        <row r="11826">
          <cell r="O11826" t="str">
            <v>SC1138SO-N</v>
          </cell>
          <cell r="P11826" t="str">
            <v>STC1898AC</v>
          </cell>
          <cell r="Q11826" t="str">
            <v>磁性位置传感器</v>
          </cell>
        </row>
        <row r="11827">
          <cell r="O11827" t="str">
            <v>SC1138SO-N</v>
          </cell>
          <cell r="P11827" t="str">
            <v>STC1898AC</v>
          </cell>
          <cell r="Q11827" t="str">
            <v>磁性位置传感器</v>
          </cell>
        </row>
        <row r="11828">
          <cell r="O11828" t="str">
            <v>SC1138SO-N</v>
          </cell>
          <cell r="P11828" t="str">
            <v>STC1898AC</v>
          </cell>
          <cell r="Q11828" t="str">
            <v>磁性位置传感器</v>
          </cell>
        </row>
        <row r="11829">
          <cell r="O11829" t="str">
            <v>SC2464SO</v>
          </cell>
          <cell r="P11829" t="str">
            <v>STC9906J</v>
          </cell>
          <cell r="Q11829" t="str">
            <v>磁性位置传感器</v>
          </cell>
        </row>
        <row r="11830">
          <cell r="O11830" t="str">
            <v>SC2464SO</v>
          </cell>
          <cell r="P11830" t="str">
            <v>STC9906J</v>
          </cell>
          <cell r="Q11830" t="str">
            <v>磁性位置传感器</v>
          </cell>
        </row>
        <row r="11831">
          <cell r="O11831" t="str">
            <v>SC2402SO-N-H</v>
          </cell>
          <cell r="P11831" t="str">
            <v>STC9H001A</v>
          </cell>
          <cell r="Q11831" t="str">
            <v>磁性位置传感器</v>
          </cell>
        </row>
        <row r="11832">
          <cell r="O11832" t="str">
            <v>SC9641TS-PC</v>
          </cell>
          <cell r="P11832" t="str">
            <v>STC9A001I</v>
          </cell>
          <cell r="Q11832" t="str">
            <v>速度传感器</v>
          </cell>
        </row>
        <row r="11833">
          <cell r="O11833" t="str">
            <v>SC9641TS-PC</v>
          </cell>
          <cell r="P11833" t="str">
            <v>STC9A001I</v>
          </cell>
          <cell r="Q11833" t="str">
            <v>速度传感器</v>
          </cell>
        </row>
        <row r="11834">
          <cell r="O11834" t="str">
            <v>SC9641TS-PC</v>
          </cell>
          <cell r="P11834" t="str">
            <v>STC9A001I</v>
          </cell>
          <cell r="Q11834" t="str">
            <v>速度传感器</v>
          </cell>
        </row>
        <row r="11835">
          <cell r="O11835" t="str">
            <v>SC9641TS-P</v>
          </cell>
          <cell r="P11835" t="str">
            <v>STC9A001F</v>
          </cell>
          <cell r="Q11835" t="str">
            <v>速度传感器</v>
          </cell>
        </row>
        <row r="11836">
          <cell r="O11836" t="str">
            <v>SC69401工程编程器套装</v>
          </cell>
          <cell r="P11836" t="str">
            <v xml:space="preserve"> </v>
          </cell>
          <cell r="Q11836" t="str">
            <v>角度传感器</v>
          </cell>
        </row>
        <row r="11837">
          <cell r="O11837" t="str">
            <v>SC2432HUA</v>
          </cell>
          <cell r="P11837" t="str">
            <v>STC9906I</v>
          </cell>
          <cell r="Q11837" t="str">
            <v>磁性位置传感器</v>
          </cell>
        </row>
        <row r="11838">
          <cell r="O11838" t="str">
            <v>SC2432HUA</v>
          </cell>
          <cell r="P11838" t="str">
            <v>STC9906I</v>
          </cell>
          <cell r="Q11838" t="str">
            <v>磁性位置传感器</v>
          </cell>
        </row>
        <row r="11839">
          <cell r="O11839" t="str">
            <v>SC1945NB1</v>
          </cell>
          <cell r="P11839" t="str">
            <v>STC2899AM</v>
          </cell>
          <cell r="Q11839" t="str">
            <v>磁性位置传感器</v>
          </cell>
        </row>
        <row r="11840">
          <cell r="O11840" t="str">
            <v>SC1945NB1</v>
          </cell>
          <cell r="P11840" t="str">
            <v>STC2899AM</v>
          </cell>
          <cell r="Q11840" t="str">
            <v>磁性位置传感器</v>
          </cell>
        </row>
        <row r="11841">
          <cell r="O11841" t="str">
            <v>SC1945NB1</v>
          </cell>
          <cell r="P11841" t="str">
            <v>STC2899AM</v>
          </cell>
          <cell r="Q11841" t="str">
            <v>磁性位置传感器</v>
          </cell>
        </row>
        <row r="11842">
          <cell r="O11842" t="str">
            <v>SC1945NB1</v>
          </cell>
          <cell r="P11842" t="str">
            <v>STC2899AM</v>
          </cell>
          <cell r="Q11842" t="str">
            <v>磁性位置传感器</v>
          </cell>
        </row>
        <row r="11843">
          <cell r="O11843" t="str">
            <v>SC1945NB1</v>
          </cell>
          <cell r="P11843" t="str">
            <v>STC2899AM</v>
          </cell>
          <cell r="Q11843" t="str">
            <v>磁性位置传感器</v>
          </cell>
        </row>
        <row r="11844">
          <cell r="O11844" t="str">
            <v>SC60224-D-1024</v>
          </cell>
          <cell r="P11844" t="str">
            <v>STC9D04C</v>
          </cell>
          <cell r="Q11844" t="str">
            <v>电机编码器</v>
          </cell>
        </row>
        <row r="11845">
          <cell r="O11845" t="str">
            <v>SC60221-D-360</v>
          </cell>
          <cell r="P11845" t="str">
            <v>STC9D04C</v>
          </cell>
          <cell r="Q11845" t="str">
            <v>电机编码器</v>
          </cell>
        </row>
        <row r="11846">
          <cell r="O11846" t="str">
            <v>SC60220</v>
          </cell>
          <cell r="P11846" t="str">
            <v>STC9D04C</v>
          </cell>
          <cell r="Q11846" t="str">
            <v>电机编码器</v>
          </cell>
        </row>
        <row r="11847">
          <cell r="O11847" t="str">
            <v>SC1133UA</v>
          </cell>
          <cell r="P11847" t="str">
            <v>STC1898AJ</v>
          </cell>
          <cell r="Q11847" t="str">
            <v>磁性位置传感器</v>
          </cell>
        </row>
        <row r="11848">
          <cell r="O11848" t="str">
            <v>SC4688SA-A</v>
          </cell>
          <cell r="P11848" t="str">
            <v>STC9D01C</v>
          </cell>
          <cell r="Q11848" t="str">
            <v>角度传感器</v>
          </cell>
        </row>
        <row r="11849">
          <cell r="O11849" t="str">
            <v>SC1138UA</v>
          </cell>
          <cell r="P11849" t="str">
            <v>STC1898AC</v>
          </cell>
          <cell r="Q11849" t="str">
            <v>磁性位置传感器</v>
          </cell>
        </row>
        <row r="11850">
          <cell r="O11850" t="str">
            <v>SC9641TS-P</v>
          </cell>
          <cell r="P11850" t="str">
            <v>STC9A001I</v>
          </cell>
          <cell r="Q11850" t="str">
            <v>速度传感器</v>
          </cell>
        </row>
        <row r="11851">
          <cell r="O11851" t="str">
            <v>SC9641TS-P</v>
          </cell>
          <cell r="P11851" t="str">
            <v>STC9A001I</v>
          </cell>
          <cell r="Q11851" t="str">
            <v>速度传感器</v>
          </cell>
        </row>
        <row r="11852">
          <cell r="O11852" t="str">
            <v>SC9641TS-P</v>
          </cell>
          <cell r="P11852" t="str">
            <v>STC9A001I</v>
          </cell>
          <cell r="Q11852" t="str">
            <v>速度传感器</v>
          </cell>
        </row>
        <row r="11853">
          <cell r="O11853" t="str">
            <v>SC9641TS-P</v>
          </cell>
          <cell r="P11853" t="str">
            <v>STC9A001I</v>
          </cell>
          <cell r="Q11853" t="str">
            <v>速度传感器</v>
          </cell>
        </row>
        <row r="11854">
          <cell r="O11854" t="str">
            <v>SC4011SO-N</v>
          </cell>
          <cell r="P11854" t="str">
            <v>STC4011B</v>
          </cell>
          <cell r="Q11854" t="str">
            <v>磁性位置传感器</v>
          </cell>
        </row>
        <row r="11855">
          <cell r="O11855" t="str">
            <v>SC4011SO-N</v>
          </cell>
          <cell r="P11855" t="str">
            <v>STC4011B</v>
          </cell>
          <cell r="Q11855" t="str">
            <v>磁性位置传感器</v>
          </cell>
        </row>
        <row r="11856">
          <cell r="O11856" t="str">
            <v>SC4011SO-N</v>
          </cell>
          <cell r="P11856" t="str">
            <v>STC4011B</v>
          </cell>
          <cell r="Q11856" t="str">
            <v>磁性位置传感器</v>
          </cell>
        </row>
        <row r="11857">
          <cell r="O11857" t="str">
            <v>SC9642TS-E</v>
          </cell>
          <cell r="P11857" t="str">
            <v>STC9A001H</v>
          </cell>
          <cell r="Q11857" t="str">
            <v>速度传感器</v>
          </cell>
        </row>
        <row r="11858">
          <cell r="O11858" t="str">
            <v>2100</v>
          </cell>
          <cell r="P11858" t="str">
            <v>STC9D03E</v>
          </cell>
          <cell r="Q11858" t="str">
            <v>电流传感器</v>
          </cell>
        </row>
        <row r="11859">
          <cell r="O11859" t="str">
            <v>SC9642TS-E</v>
          </cell>
          <cell r="P11859" t="str">
            <v>STC9A001H</v>
          </cell>
          <cell r="Q11859" t="str">
            <v>速度传感器</v>
          </cell>
        </row>
        <row r="11860">
          <cell r="O11860" t="str">
            <v>SC9642TS-E</v>
          </cell>
          <cell r="P11860" t="str">
            <v>STC9A001H</v>
          </cell>
          <cell r="Q11860" t="str">
            <v>速度传感器</v>
          </cell>
        </row>
        <row r="11861">
          <cell r="O11861" t="str">
            <v>SC9642TS-E</v>
          </cell>
          <cell r="P11861" t="str">
            <v>STC9A001H</v>
          </cell>
          <cell r="Q11861" t="str">
            <v>速度传感器</v>
          </cell>
        </row>
        <row r="11862">
          <cell r="O11862" t="str">
            <v>SC9642TS-E</v>
          </cell>
          <cell r="P11862" t="str">
            <v>STC9A001H</v>
          </cell>
          <cell r="Q11862" t="str">
            <v>速度传感器</v>
          </cell>
        </row>
        <row r="11863">
          <cell r="O11863" t="str">
            <v>SC1133UA</v>
          </cell>
          <cell r="P11863" t="str">
            <v>STC1898AJ</v>
          </cell>
          <cell r="Q11863" t="str">
            <v>磁性位置传感器</v>
          </cell>
        </row>
        <row r="11864">
          <cell r="O11864" t="str">
            <v>SC9625VB</v>
          </cell>
          <cell r="P11864" t="str">
            <v>STC9910B</v>
          </cell>
          <cell r="Q11864" t="str">
            <v>速度传感器</v>
          </cell>
        </row>
        <row r="11865">
          <cell r="O11865" t="str">
            <v>SC69401</v>
          </cell>
          <cell r="P11865" t="str">
            <v>STC9H002D</v>
          </cell>
          <cell r="Q11865" t="str">
            <v>角度传感器</v>
          </cell>
        </row>
        <row r="11866">
          <cell r="O11866" t="str">
            <v>SC69401</v>
          </cell>
          <cell r="P11866" t="str">
            <v>STC9H002D</v>
          </cell>
          <cell r="Q11866" t="str">
            <v>角度传感器</v>
          </cell>
        </row>
        <row r="11867">
          <cell r="O11867" t="str">
            <v>SC9625VB</v>
          </cell>
          <cell r="P11867" t="str">
            <v>STC9910B</v>
          </cell>
          <cell r="Q11867" t="str">
            <v>速度传感器</v>
          </cell>
        </row>
        <row r="11868">
          <cell r="O11868" t="str">
            <v>SC2443UA</v>
          </cell>
          <cell r="P11868" t="str">
            <v>STC9906W</v>
          </cell>
          <cell r="Q11868" t="str">
            <v>磁性位置传感器</v>
          </cell>
        </row>
        <row r="11869">
          <cell r="O11869" t="str">
            <v>SC2498UA-N</v>
          </cell>
          <cell r="P11869" t="str">
            <v>SC9915C</v>
          </cell>
          <cell r="Q11869" t="str">
            <v>磁性位置传感器</v>
          </cell>
        </row>
        <row r="11870">
          <cell r="O11870" t="str">
            <v>PSTC9D04C</v>
          </cell>
          <cell r="P11870" t="str">
            <v>STC9D04C</v>
          </cell>
          <cell r="Q11870" t="str">
            <v>电机编码器</v>
          </cell>
        </row>
        <row r="11871">
          <cell r="O11871" t="str">
            <v>PSTC9D04C</v>
          </cell>
          <cell r="P11871" t="str">
            <v>STC9D04C</v>
          </cell>
          <cell r="Q11871" t="str">
            <v>电机编码器</v>
          </cell>
        </row>
        <row r="11872">
          <cell r="O11872" t="str">
            <v>PSTC9D04C</v>
          </cell>
          <cell r="P11872" t="str">
            <v>STC9D04C</v>
          </cell>
          <cell r="Q11872" t="str">
            <v>电机编码器</v>
          </cell>
        </row>
        <row r="11873">
          <cell r="O11873" t="str">
            <v>SC69401</v>
          </cell>
          <cell r="P11873" t="str">
            <v>STC9H002D</v>
          </cell>
          <cell r="Q11873" t="str">
            <v>角度传感器</v>
          </cell>
        </row>
        <row r="11874">
          <cell r="O11874" t="str">
            <v>SC9642TS-E</v>
          </cell>
          <cell r="P11874" t="str">
            <v>STC9A001H</v>
          </cell>
          <cell r="Q11874" t="str">
            <v>速度传感器</v>
          </cell>
        </row>
        <row r="11875">
          <cell r="O11875" t="str">
            <v>SC9642TS-E</v>
          </cell>
          <cell r="P11875" t="str">
            <v>STC9A001H</v>
          </cell>
          <cell r="Q11875" t="str">
            <v>速度传感器</v>
          </cell>
        </row>
        <row r="11876">
          <cell r="O11876" t="str">
            <v>SC9642TS-E</v>
          </cell>
          <cell r="P11876" t="str">
            <v>STC9A001H</v>
          </cell>
          <cell r="Q11876" t="str">
            <v>速度传感器</v>
          </cell>
        </row>
        <row r="11877">
          <cell r="O11877" t="str">
            <v>SC9642TS-E</v>
          </cell>
          <cell r="P11877" t="str">
            <v>STC9A001H</v>
          </cell>
          <cell r="Q11877" t="str">
            <v>速度传感器</v>
          </cell>
        </row>
        <row r="11878">
          <cell r="O11878" t="str">
            <v>SC9642TS-E</v>
          </cell>
          <cell r="P11878" t="str">
            <v>STC9A001H</v>
          </cell>
          <cell r="Q11878" t="str">
            <v>速度传感器</v>
          </cell>
        </row>
        <row r="11879">
          <cell r="O11879" t="str">
            <v>SC9641TS-P</v>
          </cell>
          <cell r="P11879" t="str">
            <v>STC9A001I</v>
          </cell>
          <cell r="Q11879" t="str">
            <v>速度传感器</v>
          </cell>
        </row>
        <row r="11880">
          <cell r="O11880" t="str">
            <v>SC9641TS-P</v>
          </cell>
          <cell r="P11880" t="str">
            <v>STC9A001I</v>
          </cell>
          <cell r="Q11880" t="str">
            <v>速度传感器</v>
          </cell>
        </row>
        <row r="11881">
          <cell r="O11881" t="str">
            <v>SC9641TS-P</v>
          </cell>
          <cell r="P11881" t="str">
            <v>STC9A001I</v>
          </cell>
          <cell r="Q11881" t="str">
            <v>速度传感器</v>
          </cell>
        </row>
        <row r="11882">
          <cell r="O11882" t="str">
            <v>SC9641TS-P</v>
          </cell>
          <cell r="P11882" t="str">
            <v>STC9A001I</v>
          </cell>
          <cell r="Q11882" t="str">
            <v>速度传感器</v>
          </cell>
        </row>
        <row r="11883">
          <cell r="O11883" t="str">
            <v>SC9641TS-P</v>
          </cell>
          <cell r="P11883" t="str">
            <v>STC9A001I</v>
          </cell>
          <cell r="Q11883" t="str">
            <v>速度传感器</v>
          </cell>
        </row>
        <row r="11884">
          <cell r="O11884" t="str">
            <v>SC9641TS-P</v>
          </cell>
          <cell r="P11884" t="str">
            <v>STC9A001I</v>
          </cell>
          <cell r="Q11884" t="str">
            <v>速度传感器</v>
          </cell>
        </row>
        <row r="11885">
          <cell r="O11885" t="str">
            <v>SC9641TS-P</v>
          </cell>
          <cell r="P11885" t="str">
            <v>STC9A001I</v>
          </cell>
          <cell r="Q11885" t="str">
            <v>速度传感器</v>
          </cell>
        </row>
        <row r="11886">
          <cell r="O11886" t="str">
            <v>SC9641TS-P</v>
          </cell>
          <cell r="P11886" t="str">
            <v>STC9A001I</v>
          </cell>
          <cell r="Q11886" t="str">
            <v>速度传感器</v>
          </cell>
        </row>
        <row r="11887">
          <cell r="O11887" t="str">
            <v>SC9641TS-P</v>
          </cell>
          <cell r="P11887" t="str">
            <v>STC9A001I</v>
          </cell>
          <cell r="Q11887" t="str">
            <v>速度传感器</v>
          </cell>
        </row>
        <row r="11888">
          <cell r="O11888" t="str">
            <v>SC69401</v>
          </cell>
          <cell r="P11888" t="str">
            <v>STC9H002D</v>
          </cell>
          <cell r="Q11888" t="str">
            <v>角度传感器</v>
          </cell>
        </row>
        <row r="11889">
          <cell r="O11889" t="str">
            <v>SC9625VB</v>
          </cell>
          <cell r="P11889" t="str">
            <v>STC9910B</v>
          </cell>
          <cell r="Q11889" t="str">
            <v>速度传感器</v>
          </cell>
        </row>
        <row r="11890">
          <cell r="O11890" t="str">
            <v>SC60228DC</v>
          </cell>
          <cell r="P11890" t="str">
            <v>STC9D04C</v>
          </cell>
          <cell r="Q11890" t="str">
            <v>电机编码器</v>
          </cell>
        </row>
        <row r="11891">
          <cell r="O11891" t="str">
            <v>SC1134UA</v>
          </cell>
          <cell r="P11891" t="str">
            <v>STC1898AI</v>
          </cell>
          <cell r="Q11891" t="str">
            <v>磁性位置传感器</v>
          </cell>
        </row>
        <row r="11892">
          <cell r="O11892" t="str">
            <v>SC4011SO-N</v>
          </cell>
          <cell r="P11892" t="str">
            <v>STC4011B</v>
          </cell>
          <cell r="Q11892" t="str">
            <v>磁性位置传感器</v>
          </cell>
        </row>
        <row r="11893">
          <cell r="O11893" t="str">
            <v>SC4011SO-N</v>
          </cell>
          <cell r="P11893" t="str">
            <v>STC4011B</v>
          </cell>
          <cell r="Q11893" t="str">
            <v>磁性位置传感器</v>
          </cell>
        </row>
        <row r="11894">
          <cell r="O11894" t="str">
            <v>SC2063UA</v>
          </cell>
          <cell r="P11894" t="str">
            <v>STC9G001C</v>
          </cell>
          <cell r="Q11894" t="str">
            <v>磁性位置传感器</v>
          </cell>
        </row>
        <row r="11895">
          <cell r="O11895" t="str">
            <v>2100</v>
          </cell>
          <cell r="P11895" t="str">
            <v>STC9D03E</v>
          </cell>
          <cell r="Q11895" t="str">
            <v>电流传感器</v>
          </cell>
        </row>
        <row r="11896">
          <cell r="O11896" t="str">
            <v>2100</v>
          </cell>
          <cell r="P11896" t="str">
            <v>STC9D03E</v>
          </cell>
          <cell r="Q11896" t="str">
            <v>电流传感器</v>
          </cell>
        </row>
        <row r="11897">
          <cell r="O11897" t="str">
            <v>SC4688SA</v>
          </cell>
          <cell r="P11897" t="str">
            <v>STC9D01C</v>
          </cell>
          <cell r="Q11897" t="str">
            <v>角度传感器</v>
          </cell>
        </row>
        <row r="11898">
          <cell r="O11898" t="str">
            <v>SC4643VB</v>
          </cell>
          <cell r="P11898" t="str">
            <v>STC9D03E</v>
          </cell>
          <cell r="Q11898" t="str">
            <v>电流传感器</v>
          </cell>
        </row>
        <row r="11899">
          <cell r="O11899" t="str">
            <v>SC2442UA</v>
          </cell>
          <cell r="P11899" t="str">
            <v>STC9906P</v>
          </cell>
          <cell r="Q11899" t="str">
            <v>磁性位置传感器</v>
          </cell>
        </row>
        <row r="11900">
          <cell r="O11900" t="str">
            <v>SC9625VB-L</v>
          </cell>
          <cell r="P11900" t="str">
            <v>STC9910E</v>
          </cell>
          <cell r="Q11900" t="str">
            <v>速度传感器</v>
          </cell>
        </row>
        <row r="11901">
          <cell r="O11901" t="str">
            <v>SC4688SA-A</v>
          </cell>
          <cell r="P11901" t="str">
            <v>STC9D01C</v>
          </cell>
          <cell r="Q11901" t="str">
            <v>角度传感器</v>
          </cell>
        </row>
        <row r="11902">
          <cell r="O11902" t="str">
            <v>SC9314UA</v>
          </cell>
          <cell r="P11902" t="str">
            <v>STC9901AF</v>
          </cell>
          <cell r="Q11902" t="str">
            <v>速度传感器</v>
          </cell>
        </row>
        <row r="11903">
          <cell r="O11903" t="str">
            <v>SC9314UA</v>
          </cell>
          <cell r="P11903" t="str">
            <v>STC9901AF</v>
          </cell>
          <cell r="Q11903" t="str">
            <v>速度传感器</v>
          </cell>
        </row>
        <row r="11904">
          <cell r="O11904" t="str">
            <v>SC4011SO-N</v>
          </cell>
          <cell r="P11904" t="str">
            <v>STC4011B</v>
          </cell>
          <cell r="Q11904" t="str">
            <v>磁性位置传感器</v>
          </cell>
        </row>
        <row r="11905">
          <cell r="O11905" t="str">
            <v>SC4011SO-N</v>
          </cell>
          <cell r="P11905" t="str">
            <v>STC4011B</v>
          </cell>
          <cell r="Q11905" t="str">
            <v>磁性位置传感器</v>
          </cell>
        </row>
        <row r="11906">
          <cell r="O11906" t="str">
            <v>SC9625VB-L</v>
          </cell>
          <cell r="P11906" t="str">
            <v>STC9910E</v>
          </cell>
          <cell r="Q11906" t="str">
            <v>速度传感器</v>
          </cell>
        </row>
        <row r="11907">
          <cell r="O11907" t="str">
            <v>ZH6338B</v>
          </cell>
          <cell r="P11907" t="str">
            <v>ZH6338B</v>
          </cell>
          <cell r="Q11907" t="str">
            <v>电机驱动</v>
          </cell>
        </row>
        <row r="11908">
          <cell r="O11908" t="str">
            <v>SC2443SO</v>
          </cell>
          <cell r="P11908" t="str">
            <v>STC9906T</v>
          </cell>
          <cell r="Q11908" t="str">
            <v>磁性位置传感器</v>
          </cell>
        </row>
        <row r="11909">
          <cell r="O11909" t="str">
            <v>SYLMV321BSOR</v>
          </cell>
          <cell r="P11909" t="str">
            <v>STC9G003B</v>
          </cell>
          <cell r="Q11909" t="str">
            <v>其他数模混合</v>
          </cell>
        </row>
        <row r="11910">
          <cell r="O11910" t="str">
            <v>SC9621VB-A</v>
          </cell>
          <cell r="P11910" t="str">
            <v>STC9910NC-Q</v>
          </cell>
          <cell r="Q11910" t="str">
            <v>速度传感器</v>
          </cell>
        </row>
        <row r="11911">
          <cell r="O11911" t="str">
            <v>SC9625VB</v>
          </cell>
          <cell r="P11911" t="str">
            <v>STC9910B</v>
          </cell>
          <cell r="Q11911" t="str">
            <v>速度传感器</v>
          </cell>
        </row>
        <row r="11912">
          <cell r="O11912" t="str">
            <v>SC2498UA-N</v>
          </cell>
          <cell r="P11912" t="str">
            <v>SC9915C</v>
          </cell>
          <cell r="Q11912" t="str">
            <v>磁性位置传感器</v>
          </cell>
        </row>
        <row r="11913">
          <cell r="O11913" t="str">
            <v>SC2498UA-N</v>
          </cell>
          <cell r="P11913" t="str">
            <v>SC9915C</v>
          </cell>
          <cell r="Q11913" t="str">
            <v>磁性位置传感器</v>
          </cell>
        </row>
        <row r="11914">
          <cell r="O11914" t="str">
            <v>SC9641TS</v>
          </cell>
          <cell r="P11914" t="str">
            <v>STC9910BN</v>
          </cell>
          <cell r="Q11914" t="str">
            <v>速度传感器</v>
          </cell>
        </row>
        <row r="11915">
          <cell r="O11915" t="str">
            <v>SC2443UA</v>
          </cell>
          <cell r="P11915" t="str">
            <v>STC9906G</v>
          </cell>
          <cell r="Q11915" t="str">
            <v>磁性位置传感器</v>
          </cell>
        </row>
        <row r="11916">
          <cell r="O11916" t="str">
            <v>PSTC9D04C</v>
          </cell>
          <cell r="P11916" t="str">
            <v>STC9D04C</v>
          </cell>
          <cell r="Q11916" t="str">
            <v>电机编码器</v>
          </cell>
        </row>
        <row r="11917">
          <cell r="O11917" t="str">
            <v>PSTC9D04C</v>
          </cell>
          <cell r="P11917" t="str">
            <v>STC9D04C</v>
          </cell>
          <cell r="Q11917" t="str">
            <v>电机编码器</v>
          </cell>
        </row>
        <row r="11918">
          <cell r="O11918" t="str">
            <v>SC2242UA</v>
          </cell>
          <cell r="P11918" t="str">
            <v>STC9906H</v>
          </cell>
          <cell r="Q11918" t="str">
            <v>磁性位置传感器</v>
          </cell>
        </row>
        <row r="11919">
          <cell r="O11919" t="str">
            <v>SC2242UA</v>
          </cell>
          <cell r="P11919" t="str">
            <v>STC9906H</v>
          </cell>
          <cell r="Q11919" t="str">
            <v>磁性位置传感器</v>
          </cell>
        </row>
        <row r="11920">
          <cell r="O11920" t="str">
            <v>SC9641TS</v>
          </cell>
          <cell r="P11920" t="str">
            <v>STC9910BN</v>
          </cell>
          <cell r="Q11920" t="str">
            <v>速度传感器</v>
          </cell>
        </row>
        <row r="11921">
          <cell r="O11921" t="str">
            <v>SC9641TS</v>
          </cell>
          <cell r="P11921" t="str">
            <v>STC9910BN</v>
          </cell>
          <cell r="Q11921" t="str">
            <v>速度传感器</v>
          </cell>
        </row>
        <row r="11922">
          <cell r="O11922" t="str">
            <v>SC69401工程编程器套装</v>
          </cell>
          <cell r="P11922" t="str">
            <v xml:space="preserve"> </v>
          </cell>
          <cell r="Q11922" t="str">
            <v>角度传感器</v>
          </cell>
        </row>
        <row r="11923">
          <cell r="O11923" t="str">
            <v>SC9641TS</v>
          </cell>
          <cell r="P11923" t="str">
            <v>STC9910BN</v>
          </cell>
          <cell r="Q11923" t="str">
            <v>速度传感器</v>
          </cell>
        </row>
        <row r="11924">
          <cell r="O11924" t="str">
            <v>SC9641TS</v>
          </cell>
          <cell r="P11924" t="str">
            <v>STC9910BN</v>
          </cell>
          <cell r="Q11924" t="str">
            <v>速度传感器</v>
          </cell>
        </row>
        <row r="11925">
          <cell r="O11925" t="str">
            <v>SC9641TS</v>
          </cell>
          <cell r="P11925" t="str">
            <v>STC9910BN</v>
          </cell>
          <cell r="Q11925" t="str">
            <v>速度传感器</v>
          </cell>
        </row>
        <row r="11926">
          <cell r="O11926" t="str">
            <v>SC9641TS</v>
          </cell>
          <cell r="P11926" t="str">
            <v>STC9910BN</v>
          </cell>
          <cell r="Q11926" t="str">
            <v>速度传感器</v>
          </cell>
        </row>
        <row r="11927">
          <cell r="O11927" t="str">
            <v>SC4643VB</v>
          </cell>
          <cell r="P11927" t="str">
            <v>STC9D03E</v>
          </cell>
          <cell r="Q11927" t="str">
            <v>电流传感器</v>
          </cell>
        </row>
        <row r="11928">
          <cell r="O11928" t="str">
            <v>SC6022X编程器</v>
          </cell>
          <cell r="P11928" t="str">
            <v xml:space="preserve"> </v>
          </cell>
          <cell r="Q11928" t="str">
            <v>电机编码器</v>
          </cell>
        </row>
        <row r="11929">
          <cell r="O11929" t="str">
            <v>SC60104</v>
          </cell>
          <cell r="P11929" t="str">
            <v>STC9D02C</v>
          </cell>
          <cell r="Q11929" t="str">
            <v>电机编码器</v>
          </cell>
        </row>
        <row r="11930">
          <cell r="O11930" t="str">
            <v>SC60104</v>
          </cell>
          <cell r="P11930" t="str">
            <v>STC9D02C</v>
          </cell>
          <cell r="Q11930" t="str">
            <v>电机编码器</v>
          </cell>
        </row>
        <row r="11931">
          <cell r="O11931" t="str">
            <v>SC2448SO</v>
          </cell>
          <cell r="P11931" t="str">
            <v>STC9906S</v>
          </cell>
          <cell r="Q11931" t="str">
            <v>磁性位置传感器</v>
          </cell>
        </row>
        <row r="11932">
          <cell r="O11932" t="str">
            <v>SC1134BU</v>
          </cell>
          <cell r="P11932" t="str">
            <v>STC1898AI</v>
          </cell>
          <cell r="Q11932" t="str">
            <v>磁性位置传感器</v>
          </cell>
        </row>
        <row r="11933">
          <cell r="O11933" t="str">
            <v>SC1134UA</v>
          </cell>
          <cell r="P11933" t="str">
            <v>STC1898AI</v>
          </cell>
          <cell r="Q11933" t="str">
            <v>磁性位置传感器</v>
          </cell>
        </row>
        <row r="11934">
          <cell r="O11934" t="str">
            <v>SC1134BU</v>
          </cell>
          <cell r="P11934" t="str">
            <v>STC1898AI</v>
          </cell>
          <cell r="Q11934" t="str">
            <v>磁性位置传感器</v>
          </cell>
        </row>
        <row r="11935">
          <cell r="O11935" t="str">
            <v>SC1134BU</v>
          </cell>
          <cell r="P11935" t="str">
            <v>STC1898AI</v>
          </cell>
          <cell r="Q11935" t="str">
            <v>磁性位置传感器</v>
          </cell>
        </row>
        <row r="11936">
          <cell r="O11936" t="str">
            <v>SC2443SO</v>
          </cell>
          <cell r="P11936" t="str">
            <v>STC9906T</v>
          </cell>
          <cell r="Q11936" t="str">
            <v>磁性位置传感器</v>
          </cell>
        </row>
        <row r="11937">
          <cell r="O11937" t="str">
            <v>SC2443SO</v>
          </cell>
          <cell r="P11937" t="str">
            <v>STC9906T</v>
          </cell>
          <cell r="Q11937" t="str">
            <v>磁性位置传感器</v>
          </cell>
        </row>
        <row r="11938">
          <cell r="O11938" t="str">
            <v>KH477ST4-G</v>
          </cell>
          <cell r="P11938" t="str">
            <v>STC22304B</v>
          </cell>
          <cell r="Q11938" t="str">
            <v>电机驱动</v>
          </cell>
        </row>
        <row r="11939">
          <cell r="O11939" t="str">
            <v>2100</v>
          </cell>
          <cell r="P11939" t="str">
            <v>STC9D03E</v>
          </cell>
          <cell r="Q11939" t="str">
            <v>电流传感器</v>
          </cell>
        </row>
        <row r="11940">
          <cell r="O11940" t="str">
            <v>SC4643VB</v>
          </cell>
          <cell r="P11940" t="str">
            <v>STC9D03E</v>
          </cell>
          <cell r="Q11940" t="str">
            <v>电流传感器</v>
          </cell>
        </row>
        <row r="11941">
          <cell r="O11941" t="str">
            <v>SC4643VB</v>
          </cell>
          <cell r="P11941" t="str">
            <v>STC9D03E</v>
          </cell>
          <cell r="Q11941" t="str">
            <v>电流传感器</v>
          </cell>
        </row>
        <row r="11942">
          <cell r="O11942" t="str">
            <v>SC4643VB</v>
          </cell>
          <cell r="P11942" t="str">
            <v>STC9D03E</v>
          </cell>
          <cell r="Q11942" t="str">
            <v>电流传感器</v>
          </cell>
        </row>
        <row r="11943">
          <cell r="O11943" t="str">
            <v>SC4643VB</v>
          </cell>
          <cell r="P11943" t="str">
            <v>STC9D03E</v>
          </cell>
          <cell r="Q11943" t="str">
            <v>电流传感器</v>
          </cell>
        </row>
        <row r="11944">
          <cell r="O11944" t="str">
            <v>SC1138SO-N</v>
          </cell>
          <cell r="P11944" t="str">
            <v>STC1898AC</v>
          </cell>
          <cell r="Q11944" t="str">
            <v>磁性位置传感器</v>
          </cell>
        </row>
        <row r="11945">
          <cell r="O11945" t="str">
            <v>SC1138SO-N</v>
          </cell>
          <cell r="P11945" t="str">
            <v>STC1898AC</v>
          </cell>
          <cell r="Q11945" t="str">
            <v>磁性位置传感器</v>
          </cell>
        </row>
        <row r="11946">
          <cell r="O11946" t="str">
            <v>SC1138SO-N</v>
          </cell>
          <cell r="P11946" t="str">
            <v>STC1898AC</v>
          </cell>
          <cell r="Q11946" t="str">
            <v>磁性位置传感器</v>
          </cell>
        </row>
        <row r="11947">
          <cell r="O11947" t="str">
            <v>SC1138SO-N</v>
          </cell>
          <cell r="P11947" t="str">
            <v>STC1898AC</v>
          </cell>
          <cell r="Q11947" t="str">
            <v>磁性位置传感器</v>
          </cell>
        </row>
        <row r="11948">
          <cell r="O11948" t="str">
            <v>SC4643VB-A</v>
          </cell>
          <cell r="P11948" t="str">
            <v>STC9D03E</v>
          </cell>
          <cell r="Q11948" t="str">
            <v>电流传感器</v>
          </cell>
        </row>
        <row r="11949">
          <cell r="O11949" t="str">
            <v>SC4643VB-A</v>
          </cell>
          <cell r="P11949" t="str">
            <v>STC9D03E</v>
          </cell>
          <cell r="Q11949" t="str">
            <v>电流传感器</v>
          </cell>
        </row>
        <row r="11950">
          <cell r="O11950" t="str">
            <v>SC4643VB-A</v>
          </cell>
          <cell r="P11950" t="str">
            <v>STC9D03E</v>
          </cell>
          <cell r="Q11950" t="str">
            <v>电流传感器</v>
          </cell>
        </row>
        <row r="11951">
          <cell r="O11951" t="str">
            <v>SC4643VB-A</v>
          </cell>
          <cell r="P11951" t="str">
            <v>STC9D03E</v>
          </cell>
          <cell r="Q11951" t="str">
            <v>电流传感器</v>
          </cell>
        </row>
        <row r="11952">
          <cell r="O11952" t="str">
            <v>SC4643VB-A</v>
          </cell>
          <cell r="P11952" t="str">
            <v>STC9D03E</v>
          </cell>
          <cell r="Q11952" t="str">
            <v>电流传感器</v>
          </cell>
        </row>
        <row r="11953">
          <cell r="O11953" t="str">
            <v>SC4643VB-A</v>
          </cell>
          <cell r="P11953" t="str">
            <v>STC9D03E</v>
          </cell>
          <cell r="Q11953" t="str">
            <v>电流传感器</v>
          </cell>
        </row>
        <row r="11954">
          <cell r="O11954" t="str">
            <v>SC2443UA</v>
          </cell>
          <cell r="P11954" t="str">
            <v>STC9906G</v>
          </cell>
          <cell r="Q11954" t="str">
            <v>磁性位置传感器</v>
          </cell>
        </row>
        <row r="11955">
          <cell r="O11955" t="str">
            <v>SC2443UA</v>
          </cell>
          <cell r="P11955" t="str">
            <v>STC9906G</v>
          </cell>
          <cell r="Q11955" t="str">
            <v>磁性位置传感器</v>
          </cell>
        </row>
        <row r="11956">
          <cell r="O11956" t="str">
            <v>SC1445A2</v>
          </cell>
          <cell r="P11956" t="str">
            <v>STC2899AB</v>
          </cell>
          <cell r="Q11956" t="str">
            <v>磁性位置传感器</v>
          </cell>
        </row>
        <row r="11957">
          <cell r="O11957" t="str">
            <v>SC9641TS-P</v>
          </cell>
          <cell r="P11957" t="str">
            <v>STC9A001F</v>
          </cell>
          <cell r="Q11957" t="str">
            <v>速度传感器</v>
          </cell>
        </row>
        <row r="11958">
          <cell r="O11958" t="str">
            <v>SC9641TS-P</v>
          </cell>
          <cell r="P11958" t="str">
            <v>STC9A001F</v>
          </cell>
          <cell r="Q11958" t="str">
            <v>速度传感器</v>
          </cell>
        </row>
        <row r="11959">
          <cell r="O11959" t="str">
            <v>SC9641TS-P</v>
          </cell>
          <cell r="P11959" t="str">
            <v>STC9A001F</v>
          </cell>
          <cell r="Q11959" t="str">
            <v>速度传感器</v>
          </cell>
        </row>
        <row r="11960">
          <cell r="O11960" t="str">
            <v>SC9641TS-P</v>
          </cell>
          <cell r="P11960" t="str">
            <v>STC9A001I</v>
          </cell>
          <cell r="Q11960" t="str">
            <v>速度传感器</v>
          </cell>
        </row>
        <row r="11961">
          <cell r="O11961" t="str">
            <v>SC9641TS-P</v>
          </cell>
          <cell r="P11961" t="str">
            <v>STC9A001I</v>
          </cell>
          <cell r="Q11961" t="str">
            <v>速度传感器</v>
          </cell>
        </row>
        <row r="11962">
          <cell r="O11962" t="str">
            <v>SC4643VB</v>
          </cell>
          <cell r="P11962" t="str">
            <v>STC9D03E</v>
          </cell>
          <cell r="Q11962" t="str">
            <v>电流传感器</v>
          </cell>
        </row>
        <row r="11963">
          <cell r="O11963" t="str">
            <v>SC1245UA</v>
          </cell>
          <cell r="P11963" t="str">
            <v>STC1898AD</v>
          </cell>
          <cell r="Q11963" t="str">
            <v>磁性位置传感器</v>
          </cell>
        </row>
        <row r="11964">
          <cell r="O11964" t="str">
            <v>SC1245UA</v>
          </cell>
          <cell r="P11964" t="str">
            <v>STC1898AD</v>
          </cell>
          <cell r="Q11964" t="str">
            <v>磁性位置传感器</v>
          </cell>
        </row>
        <row r="11965">
          <cell r="O11965" t="str">
            <v>SC1245UA</v>
          </cell>
          <cell r="P11965" t="str">
            <v>STC1898AD</v>
          </cell>
          <cell r="Q11965" t="str">
            <v>磁性位置传感器</v>
          </cell>
        </row>
        <row r="11966">
          <cell r="O11966" t="str">
            <v>SC1245UA</v>
          </cell>
          <cell r="P11966" t="str">
            <v>STC1898AD</v>
          </cell>
          <cell r="Q11966" t="str">
            <v>磁性位置传感器</v>
          </cell>
        </row>
        <row r="11967">
          <cell r="O11967" t="str">
            <v>SC1245UA</v>
          </cell>
          <cell r="P11967" t="str">
            <v>STC1898AD</v>
          </cell>
          <cell r="Q11967" t="str">
            <v>磁性位置传感器</v>
          </cell>
        </row>
        <row r="11968">
          <cell r="O11968" t="str">
            <v>SC1245UA</v>
          </cell>
          <cell r="P11968" t="str">
            <v>STC1898AD</v>
          </cell>
          <cell r="Q11968" t="str">
            <v>磁性位置传感器</v>
          </cell>
        </row>
        <row r="11969">
          <cell r="O11969" t="str">
            <v>SC1245UA</v>
          </cell>
          <cell r="P11969" t="str">
            <v>STC1898AD</v>
          </cell>
          <cell r="Q11969" t="str">
            <v>磁性位置传感器</v>
          </cell>
        </row>
        <row r="11970">
          <cell r="O11970" t="str">
            <v>SC1245UA</v>
          </cell>
          <cell r="P11970" t="str">
            <v>STC1898AD</v>
          </cell>
          <cell r="Q11970" t="str">
            <v>磁性位置传感器</v>
          </cell>
        </row>
        <row r="11971">
          <cell r="O11971" t="str">
            <v>SC1245UA</v>
          </cell>
          <cell r="P11971" t="str">
            <v>STC1898AD</v>
          </cell>
          <cell r="Q11971" t="str">
            <v>磁性位置传感器</v>
          </cell>
        </row>
        <row r="11972">
          <cell r="O11972" t="str">
            <v>SC1245UA</v>
          </cell>
          <cell r="P11972" t="str">
            <v>STC1898AD</v>
          </cell>
          <cell r="Q11972" t="str">
            <v>磁性位置传感器</v>
          </cell>
        </row>
        <row r="11973">
          <cell r="O11973" t="str">
            <v>SC1245UA</v>
          </cell>
          <cell r="P11973" t="str">
            <v>STC1898AD</v>
          </cell>
          <cell r="Q11973" t="str">
            <v>磁性位置传感器</v>
          </cell>
        </row>
        <row r="11974">
          <cell r="O11974" t="str">
            <v>SC1245UA</v>
          </cell>
          <cell r="P11974" t="str">
            <v>STC1898AD</v>
          </cell>
          <cell r="Q11974" t="str">
            <v>磁性位置传感器</v>
          </cell>
        </row>
        <row r="11975">
          <cell r="O11975" t="str">
            <v>SC41H</v>
          </cell>
          <cell r="P11975" t="str">
            <v>STC1002AG</v>
          </cell>
          <cell r="Q11975" t="str">
            <v>磁性位置传感器</v>
          </cell>
        </row>
        <row r="11976">
          <cell r="O11976" t="str">
            <v>SC41H</v>
          </cell>
          <cell r="P11976" t="str">
            <v>STC1002AG</v>
          </cell>
          <cell r="Q11976" t="str">
            <v>磁性位置传感器</v>
          </cell>
        </row>
        <row r="11977">
          <cell r="O11977" t="str">
            <v>SC41H</v>
          </cell>
          <cell r="P11977" t="str">
            <v>STC1002AG</v>
          </cell>
          <cell r="Q11977" t="str">
            <v>磁性位置传感器</v>
          </cell>
        </row>
        <row r="11978">
          <cell r="O11978" t="str">
            <v>SC41H</v>
          </cell>
          <cell r="P11978" t="str">
            <v>STC1002AG</v>
          </cell>
          <cell r="Q11978" t="str">
            <v>磁性位置传感器</v>
          </cell>
        </row>
        <row r="11979">
          <cell r="O11979" t="str">
            <v>SC41H</v>
          </cell>
          <cell r="P11979" t="str">
            <v>STC1002AG</v>
          </cell>
          <cell r="Q11979" t="str">
            <v>磁性位置传感器</v>
          </cell>
        </row>
        <row r="11980">
          <cell r="O11980" t="str">
            <v>SC41HN1W</v>
          </cell>
          <cell r="P11980" t="str">
            <v>STC1002AL</v>
          </cell>
          <cell r="Q11980" t="str">
            <v>磁性位置传感器</v>
          </cell>
        </row>
        <row r="11981">
          <cell r="O11981" t="str">
            <v>SC41HN1W</v>
          </cell>
          <cell r="P11981" t="str">
            <v>STC1002AL</v>
          </cell>
          <cell r="Q11981" t="str">
            <v>磁性位置传感器</v>
          </cell>
        </row>
        <row r="11982">
          <cell r="O11982" t="str">
            <v>SC1134BU</v>
          </cell>
          <cell r="P11982" t="str">
            <v>STC1898AI</v>
          </cell>
          <cell r="Q11982" t="str">
            <v>磁性位置传感器</v>
          </cell>
        </row>
        <row r="11983">
          <cell r="O11983" t="str">
            <v>SC1134BU</v>
          </cell>
          <cell r="P11983" t="str">
            <v>STC1898AI</v>
          </cell>
          <cell r="Q11983" t="str">
            <v>磁性位置传感器</v>
          </cell>
        </row>
        <row r="11984">
          <cell r="O11984" t="str">
            <v>SC1134UA</v>
          </cell>
          <cell r="P11984" t="str">
            <v>STC1898AI</v>
          </cell>
          <cell r="Q11984" t="str">
            <v>磁性位置传感器</v>
          </cell>
        </row>
        <row r="11985">
          <cell r="O11985" t="str">
            <v>SC9641TS-P</v>
          </cell>
          <cell r="P11985" t="str">
            <v>STC9A001F</v>
          </cell>
          <cell r="Q11985" t="str">
            <v>速度传感器</v>
          </cell>
        </row>
        <row r="11986">
          <cell r="O11986" t="str">
            <v>SC2064SO</v>
          </cell>
          <cell r="P11986" t="str">
            <v>STC9G001C</v>
          </cell>
          <cell r="Q11986" t="str">
            <v>磁性位置传感器</v>
          </cell>
        </row>
        <row r="11987">
          <cell r="O11987" t="str">
            <v>SC2064SO</v>
          </cell>
          <cell r="P11987" t="str">
            <v>STC9G001C</v>
          </cell>
          <cell r="Q11987" t="str">
            <v>磁性位置传感器</v>
          </cell>
        </row>
        <row r="11988">
          <cell r="O11988" t="str">
            <v>SC2064SO</v>
          </cell>
          <cell r="P11988" t="str">
            <v>STC9G001C</v>
          </cell>
          <cell r="Q11988" t="str">
            <v>磁性位置传感器</v>
          </cell>
        </row>
        <row r="11989">
          <cell r="O11989" t="str">
            <v>SC2402UA</v>
          </cell>
          <cell r="P11989" t="str">
            <v>STC9902J</v>
          </cell>
          <cell r="Q11989" t="str">
            <v>磁性位置传感器</v>
          </cell>
        </row>
        <row r="11990">
          <cell r="O11990" t="str">
            <v>SC2402UA</v>
          </cell>
          <cell r="P11990" t="str">
            <v>STC9902J</v>
          </cell>
          <cell r="Q11990" t="str">
            <v>磁性位置传感器</v>
          </cell>
        </row>
        <row r="11991">
          <cell r="O11991" t="str">
            <v>SC2402UA</v>
          </cell>
          <cell r="P11991" t="str">
            <v>STC9902J</v>
          </cell>
          <cell r="Q11991" t="str">
            <v>磁性位置传感器</v>
          </cell>
        </row>
        <row r="11992">
          <cell r="O11992" t="str">
            <v>SC9632VB</v>
          </cell>
          <cell r="P11992" t="str">
            <v>STC9905E</v>
          </cell>
          <cell r="Q11992" t="str">
            <v>速度传感器</v>
          </cell>
        </row>
        <row r="11993">
          <cell r="O11993" t="str">
            <v>SC9632VB</v>
          </cell>
          <cell r="P11993" t="str">
            <v>STC9905E</v>
          </cell>
          <cell r="Q11993" t="str">
            <v>速度传感器</v>
          </cell>
        </row>
        <row r="11994">
          <cell r="O11994" t="str">
            <v>SC2442SO-N</v>
          </cell>
          <cell r="P11994" t="str">
            <v>STC9906P</v>
          </cell>
          <cell r="Q11994" t="str">
            <v>磁性位置传感器</v>
          </cell>
        </row>
        <row r="11995">
          <cell r="O11995" t="str">
            <v>SC2442SO-N</v>
          </cell>
          <cell r="P11995" t="str">
            <v>STC9906P</v>
          </cell>
          <cell r="Q11995" t="str">
            <v>磁性位置传感器</v>
          </cell>
        </row>
        <row r="11996">
          <cell r="O11996" t="str">
            <v>SC2434SO</v>
          </cell>
          <cell r="P11996" t="str">
            <v>STC9906I</v>
          </cell>
          <cell r="Q11996" t="str">
            <v>磁性位置传感器</v>
          </cell>
        </row>
        <row r="11997">
          <cell r="O11997" t="str">
            <v>SC2402SO-N</v>
          </cell>
          <cell r="P11997" t="str">
            <v>STC9902J</v>
          </cell>
          <cell r="Q11997" t="str">
            <v>磁性位置传感器</v>
          </cell>
        </row>
        <row r="11998">
          <cell r="O11998" t="str">
            <v>SC2402SO-N</v>
          </cell>
          <cell r="P11998" t="str">
            <v>STC9902J</v>
          </cell>
          <cell r="Q11998" t="str">
            <v>磁性位置传感器</v>
          </cell>
        </row>
        <row r="11999">
          <cell r="O11999" t="str">
            <v>SC2402SO-N</v>
          </cell>
          <cell r="P11999" t="str">
            <v>STC9902J</v>
          </cell>
          <cell r="Q11999" t="str">
            <v>磁性位置传感器</v>
          </cell>
        </row>
        <row r="12000">
          <cell r="O12000" t="str">
            <v>SC2402SO-N</v>
          </cell>
          <cell r="P12000" t="str">
            <v>STC9902J</v>
          </cell>
          <cell r="Q12000" t="str">
            <v>磁性位置传感器</v>
          </cell>
        </row>
        <row r="12001">
          <cell r="O12001" t="str">
            <v>SC2402SO-N</v>
          </cell>
          <cell r="P12001" t="str">
            <v>STC9902J</v>
          </cell>
          <cell r="Q12001" t="str">
            <v>磁性位置传感器</v>
          </cell>
        </row>
        <row r="12002">
          <cell r="O12002" t="str">
            <v>SC2402SO-N</v>
          </cell>
          <cell r="P12002" t="str">
            <v>STC9902J</v>
          </cell>
          <cell r="Q12002" t="str">
            <v>磁性位置传感器</v>
          </cell>
        </row>
        <row r="12003">
          <cell r="O12003" t="str">
            <v>SC2402SO-N</v>
          </cell>
          <cell r="P12003" t="str">
            <v>STC9902J</v>
          </cell>
          <cell r="Q12003" t="str">
            <v>磁性位置传感器</v>
          </cell>
        </row>
        <row r="12004">
          <cell r="O12004" t="str">
            <v>SC2402SO-N</v>
          </cell>
          <cell r="P12004" t="str">
            <v>STC9902J</v>
          </cell>
          <cell r="Q12004" t="str">
            <v>磁性位置传感器</v>
          </cell>
        </row>
        <row r="12005">
          <cell r="O12005" t="str">
            <v>SC2402SO-N</v>
          </cell>
          <cell r="P12005" t="str">
            <v>STC9902J</v>
          </cell>
          <cell r="Q12005" t="str">
            <v>磁性位置传感器</v>
          </cell>
        </row>
        <row r="12006">
          <cell r="O12006" t="str">
            <v>SC2402SO-N</v>
          </cell>
          <cell r="P12006" t="str">
            <v>STC9H001A</v>
          </cell>
          <cell r="Q12006" t="str">
            <v>磁性位置传感器</v>
          </cell>
        </row>
        <row r="12007">
          <cell r="O12007" t="str">
            <v>SC2402SO-N</v>
          </cell>
          <cell r="P12007" t="str">
            <v>STC9H001A</v>
          </cell>
          <cell r="Q12007" t="str">
            <v>磁性位置传感器</v>
          </cell>
        </row>
        <row r="12008">
          <cell r="O12008" t="str">
            <v>SC2402SO-N</v>
          </cell>
          <cell r="P12008" t="str">
            <v>STC9H001A</v>
          </cell>
          <cell r="Q12008" t="str">
            <v>磁性位置传感器</v>
          </cell>
        </row>
        <row r="12009">
          <cell r="O12009" t="str">
            <v>SC2466SO</v>
          </cell>
          <cell r="P12009" t="str">
            <v>STC9906O</v>
          </cell>
          <cell r="Q12009" t="str">
            <v>磁性位置传感器</v>
          </cell>
        </row>
        <row r="12010">
          <cell r="O12010" t="str">
            <v>SC2466SO</v>
          </cell>
          <cell r="P12010" t="str">
            <v>STC9906O</v>
          </cell>
          <cell r="Q12010" t="str">
            <v>磁性位置传感器</v>
          </cell>
        </row>
        <row r="12011">
          <cell r="O12011" t="str">
            <v>SC2466SO</v>
          </cell>
          <cell r="P12011" t="str">
            <v>STC9906O</v>
          </cell>
          <cell r="Q12011" t="str">
            <v>磁性位置传感器</v>
          </cell>
        </row>
        <row r="12012">
          <cell r="O12012" t="str">
            <v>SC9625VB</v>
          </cell>
          <cell r="P12012" t="str">
            <v>STC9910B</v>
          </cell>
          <cell r="Q12012" t="str">
            <v>速度传感器</v>
          </cell>
        </row>
        <row r="12013">
          <cell r="O12013" t="str">
            <v>SC9625VB</v>
          </cell>
          <cell r="P12013" t="str">
            <v>STC9910B</v>
          </cell>
          <cell r="Q12013" t="str">
            <v>速度传感器</v>
          </cell>
        </row>
        <row r="12014">
          <cell r="O12014" t="str">
            <v>SC9625VB</v>
          </cell>
          <cell r="P12014" t="str">
            <v>STC9910B</v>
          </cell>
          <cell r="Q12014" t="str">
            <v>速度传感器</v>
          </cell>
        </row>
        <row r="12015">
          <cell r="O12015" t="str">
            <v>SC9625VB</v>
          </cell>
          <cell r="P12015" t="str">
            <v>STC9910B</v>
          </cell>
          <cell r="Q12015" t="str">
            <v>速度传感器</v>
          </cell>
        </row>
        <row r="12016">
          <cell r="O12016" t="str">
            <v>SC1138SO-N</v>
          </cell>
          <cell r="P12016" t="str">
            <v>STC1898AC</v>
          </cell>
          <cell r="Q12016" t="str">
            <v>磁性位置传感器</v>
          </cell>
        </row>
        <row r="12017">
          <cell r="O12017" t="str">
            <v>SC2064SO</v>
          </cell>
          <cell r="P12017" t="str">
            <v>STC9G001C</v>
          </cell>
          <cell r="Q12017" t="str">
            <v>磁性位置传感器</v>
          </cell>
        </row>
        <row r="12018">
          <cell r="O12018" t="str">
            <v>SC2242UA</v>
          </cell>
          <cell r="P12018" t="str">
            <v>STC9906H</v>
          </cell>
          <cell r="Q12018" t="str">
            <v>磁性位置传感器</v>
          </cell>
        </row>
        <row r="12019">
          <cell r="O12019" t="str">
            <v>SC1134BU</v>
          </cell>
          <cell r="P12019" t="str">
            <v>STC1898AI</v>
          </cell>
          <cell r="Q12019" t="str">
            <v>磁性位置传感器</v>
          </cell>
        </row>
        <row r="12020">
          <cell r="O12020" t="str">
            <v>SC1134BU</v>
          </cell>
          <cell r="P12020" t="str">
            <v>STC1898AI</v>
          </cell>
          <cell r="Q12020" t="str">
            <v>磁性位置传感器</v>
          </cell>
        </row>
        <row r="12021">
          <cell r="O12021" t="str">
            <v>SC1134BU</v>
          </cell>
          <cell r="P12021" t="str">
            <v>STC1898AI</v>
          </cell>
          <cell r="Q12021" t="str">
            <v>磁性位置传感器</v>
          </cell>
        </row>
        <row r="12022">
          <cell r="O12022" t="str">
            <v>SC1445A1</v>
          </cell>
          <cell r="P12022" t="str">
            <v>STC2899AB</v>
          </cell>
          <cell r="Q12022" t="str">
            <v>磁性位置传感器</v>
          </cell>
        </row>
        <row r="12023">
          <cell r="O12023" t="str">
            <v>SC243XUA</v>
          </cell>
          <cell r="P12023" t="str">
            <v>STC9906I</v>
          </cell>
          <cell r="Q12023" t="str">
            <v>磁性位置传感器</v>
          </cell>
        </row>
        <row r="12024">
          <cell r="O12024" t="str">
            <v>SC4645VB</v>
          </cell>
          <cell r="P12024" t="str">
            <v>STC9D06F</v>
          </cell>
          <cell r="Q12024" t="str">
            <v>电流传感器</v>
          </cell>
        </row>
        <row r="12025">
          <cell r="O12025" t="str">
            <v>SC9632VB</v>
          </cell>
          <cell r="P12025" t="str">
            <v>STC9905E</v>
          </cell>
          <cell r="Q12025" t="str">
            <v>速度传感器</v>
          </cell>
        </row>
        <row r="12026">
          <cell r="O12026" t="str">
            <v>SC4011SO-N</v>
          </cell>
          <cell r="P12026" t="str">
            <v>STC4011B</v>
          </cell>
          <cell r="Q12026" t="str">
            <v>磁性位置传感器</v>
          </cell>
        </row>
        <row r="12027">
          <cell r="O12027" t="str">
            <v>SC4011SO-N</v>
          </cell>
          <cell r="P12027" t="str">
            <v>STC4011B</v>
          </cell>
          <cell r="Q12027" t="str">
            <v>磁性位置传感器</v>
          </cell>
        </row>
        <row r="12028">
          <cell r="O12028" t="str">
            <v>SC4011SO-N</v>
          </cell>
          <cell r="P12028" t="str">
            <v>STC4011B</v>
          </cell>
          <cell r="Q12028" t="str">
            <v>磁性位置传感器</v>
          </cell>
        </row>
        <row r="12029">
          <cell r="O12029" t="str">
            <v>SC4011SO-N</v>
          </cell>
          <cell r="P12029" t="str">
            <v>STC4011B</v>
          </cell>
          <cell r="Q12029" t="str">
            <v>磁性位置传感器</v>
          </cell>
        </row>
        <row r="12030">
          <cell r="O12030" t="str">
            <v>SC4011SO-N</v>
          </cell>
          <cell r="P12030" t="str">
            <v>STC4011B</v>
          </cell>
          <cell r="Q12030" t="str">
            <v>磁性位置传感器</v>
          </cell>
        </row>
        <row r="12031">
          <cell r="O12031" t="str">
            <v>SC4011SO-N</v>
          </cell>
          <cell r="P12031" t="str">
            <v>STC4011B</v>
          </cell>
          <cell r="Q12031" t="str">
            <v>磁性位置传感器</v>
          </cell>
        </row>
        <row r="12032">
          <cell r="O12032" t="str">
            <v>SC4645VB</v>
          </cell>
          <cell r="P12032" t="str">
            <v>STC9D06F</v>
          </cell>
          <cell r="Q12032" t="str">
            <v>电流传感器</v>
          </cell>
        </row>
        <row r="12033">
          <cell r="O12033" t="str">
            <v>2100</v>
          </cell>
          <cell r="P12033" t="str">
            <v>STC9D03E</v>
          </cell>
          <cell r="Q12033" t="str">
            <v>电流传感器</v>
          </cell>
        </row>
        <row r="12034">
          <cell r="O12034" t="str">
            <v>SC4011SO-N</v>
          </cell>
          <cell r="P12034" t="str">
            <v>STC4011B</v>
          </cell>
          <cell r="Q12034" t="str">
            <v>磁性位置传感器</v>
          </cell>
        </row>
        <row r="12035">
          <cell r="O12035" t="str">
            <v>SC4011SO-N</v>
          </cell>
          <cell r="P12035" t="str">
            <v>STC4011B</v>
          </cell>
          <cell r="Q12035" t="str">
            <v>磁性位置传感器</v>
          </cell>
        </row>
        <row r="12036">
          <cell r="O12036" t="str">
            <v>SC4011SO-N</v>
          </cell>
          <cell r="P12036" t="str">
            <v>STC4011B</v>
          </cell>
          <cell r="Q12036" t="str">
            <v>磁性位置传感器</v>
          </cell>
        </row>
        <row r="12037">
          <cell r="O12037" t="str">
            <v>SC4011SO-N</v>
          </cell>
          <cell r="P12037" t="str">
            <v>STC4011B</v>
          </cell>
          <cell r="Q12037" t="str">
            <v>磁性位置传感器</v>
          </cell>
        </row>
        <row r="12038">
          <cell r="O12038" t="str">
            <v>SC9642TS-E</v>
          </cell>
          <cell r="P12038" t="str">
            <v>STC9A001H</v>
          </cell>
          <cell r="Q12038" t="str">
            <v>速度传感器</v>
          </cell>
        </row>
        <row r="12039">
          <cell r="O12039" t="str">
            <v>ZH6530</v>
          </cell>
          <cell r="P12039" t="str">
            <v>ZH6530</v>
          </cell>
          <cell r="Q12039" t="str">
            <v>电机驱动</v>
          </cell>
        </row>
        <row r="12040">
          <cell r="O12040" t="str">
            <v>SC69401工程编程器套装</v>
          </cell>
          <cell r="P12040" t="str">
            <v xml:space="preserve"> </v>
          </cell>
          <cell r="Q12040" t="str">
            <v>角度传感器</v>
          </cell>
        </row>
        <row r="12041">
          <cell r="O12041" t="str">
            <v>ZH6531B</v>
          </cell>
          <cell r="P12041" t="str">
            <v>ZH6531B</v>
          </cell>
          <cell r="Q12041" t="str">
            <v>电机驱动</v>
          </cell>
        </row>
        <row r="12042">
          <cell r="O12042" t="str">
            <v>2100</v>
          </cell>
          <cell r="P12042" t="str">
            <v>STC9D03E</v>
          </cell>
          <cell r="Q12042" t="str">
            <v>电流传感器</v>
          </cell>
        </row>
        <row r="12043">
          <cell r="O12043" t="str">
            <v>2100</v>
          </cell>
          <cell r="P12043" t="str">
            <v>STC9D03E</v>
          </cell>
          <cell r="Q12043" t="str">
            <v>电流传感器</v>
          </cell>
        </row>
        <row r="12044">
          <cell r="O12044" t="str">
            <v>2100</v>
          </cell>
          <cell r="P12044" t="str">
            <v>STC9D03E</v>
          </cell>
          <cell r="Q12044" t="str">
            <v>电流传感器</v>
          </cell>
        </row>
        <row r="12045">
          <cell r="O12045" t="str">
            <v>KH276</v>
          </cell>
          <cell r="P12045" t="str">
            <v>FD1014A</v>
          </cell>
          <cell r="Q12045" t="str">
            <v>电机驱动</v>
          </cell>
        </row>
        <row r="12046">
          <cell r="O12046" t="str">
            <v>KH276</v>
          </cell>
          <cell r="P12046" t="str">
            <v>FD1014A</v>
          </cell>
          <cell r="Q12046" t="str">
            <v>电机驱动</v>
          </cell>
        </row>
        <row r="12047">
          <cell r="O12047" t="str">
            <v>KH276</v>
          </cell>
          <cell r="P12047" t="str">
            <v>FD1014A</v>
          </cell>
          <cell r="Q12047" t="str">
            <v>电机驱动</v>
          </cell>
        </row>
        <row r="12048">
          <cell r="O12048" t="str">
            <v>2100</v>
          </cell>
          <cell r="P12048" t="str">
            <v>STC9D03E</v>
          </cell>
          <cell r="Q12048" t="str">
            <v>电流传感器</v>
          </cell>
        </row>
        <row r="12049">
          <cell r="O12049" t="str">
            <v>2100</v>
          </cell>
          <cell r="P12049" t="str">
            <v>STC9D03E</v>
          </cell>
          <cell r="Q12049" t="str">
            <v>电流传感器</v>
          </cell>
        </row>
        <row r="12050">
          <cell r="O12050" t="str">
            <v>SC1138SO-N</v>
          </cell>
          <cell r="P12050" t="str">
            <v>STC1898AC</v>
          </cell>
          <cell r="Q12050" t="str">
            <v>磁性位置传感器</v>
          </cell>
        </row>
        <row r="12051">
          <cell r="O12051" t="str">
            <v>SD95109B</v>
          </cell>
          <cell r="P12051" t="str">
            <v>S22302A</v>
          </cell>
          <cell r="Q12051" t="str">
            <v>电机驱动</v>
          </cell>
        </row>
        <row r="12052">
          <cell r="O12052" t="str">
            <v>SD95109B</v>
          </cell>
          <cell r="P12052" t="str">
            <v>S22302A</v>
          </cell>
          <cell r="Q12052" t="str">
            <v>电机驱动</v>
          </cell>
        </row>
        <row r="12053">
          <cell r="O12053" t="str">
            <v>SD95109B</v>
          </cell>
          <cell r="P12053" t="str">
            <v>S22302A</v>
          </cell>
          <cell r="Q12053" t="str">
            <v>电机驱动</v>
          </cell>
        </row>
        <row r="12054">
          <cell r="O12054" t="str">
            <v>SD95109B</v>
          </cell>
          <cell r="P12054" t="str">
            <v>S22302A</v>
          </cell>
          <cell r="Q12054" t="str">
            <v>电机驱动</v>
          </cell>
        </row>
        <row r="12055">
          <cell r="O12055" t="str">
            <v>SD95109B</v>
          </cell>
          <cell r="P12055" t="str">
            <v>S22302A</v>
          </cell>
          <cell r="Q12055" t="str">
            <v>电机驱动</v>
          </cell>
        </row>
        <row r="12056">
          <cell r="O12056" t="str">
            <v>SD95109B</v>
          </cell>
          <cell r="P12056" t="str">
            <v>S22302A</v>
          </cell>
          <cell r="Q12056" t="str">
            <v>电机驱动</v>
          </cell>
        </row>
        <row r="12057">
          <cell r="O12057" t="str">
            <v>SC724SP30B5</v>
          </cell>
          <cell r="P12057" t="str">
            <v>STC9D06F</v>
          </cell>
          <cell r="Q12057" t="str">
            <v>电流传感器</v>
          </cell>
        </row>
        <row r="12058">
          <cell r="O12058" t="str">
            <v>SC724SP30B5</v>
          </cell>
          <cell r="P12058" t="str">
            <v>STC9D06F</v>
          </cell>
          <cell r="Q12058" t="str">
            <v>电流传感器</v>
          </cell>
        </row>
        <row r="12059">
          <cell r="O12059" t="str">
            <v>SC724SP30B5</v>
          </cell>
          <cell r="P12059" t="str">
            <v>STC9D06F</v>
          </cell>
          <cell r="Q12059" t="str">
            <v>电流传感器</v>
          </cell>
        </row>
        <row r="12060">
          <cell r="O12060" t="str">
            <v>SC724SP30B5</v>
          </cell>
          <cell r="P12060" t="str">
            <v>STC9D06F</v>
          </cell>
          <cell r="Q12060" t="str">
            <v>电流传感器</v>
          </cell>
        </row>
        <row r="12061">
          <cell r="O12061" t="str">
            <v>SC724SP30B5</v>
          </cell>
          <cell r="P12061" t="str">
            <v>STC9D06F</v>
          </cell>
          <cell r="Q12061" t="str">
            <v>电流传感器</v>
          </cell>
        </row>
        <row r="12062">
          <cell r="O12062" t="str">
            <v>SC724SP30B5</v>
          </cell>
          <cell r="P12062" t="str">
            <v>STC9D06F</v>
          </cell>
          <cell r="Q12062" t="str">
            <v>电流传感器</v>
          </cell>
        </row>
        <row r="12063">
          <cell r="O12063" t="str">
            <v>SC4643VB</v>
          </cell>
          <cell r="P12063" t="str">
            <v>STC9D03E</v>
          </cell>
          <cell r="Q12063" t="str">
            <v>电流传感器</v>
          </cell>
        </row>
        <row r="12064">
          <cell r="O12064" t="str">
            <v>SC60224-U-P1-1024</v>
          </cell>
          <cell r="P12064" t="str">
            <v>STC9D04C</v>
          </cell>
          <cell r="Q12064" t="str">
            <v>电机编码器</v>
          </cell>
        </row>
        <row r="12065">
          <cell r="O12065" t="str">
            <v>SC2438UA</v>
          </cell>
          <cell r="P12065" t="str">
            <v>STC9906I</v>
          </cell>
          <cell r="Q12065" t="str">
            <v>磁性位置传感器</v>
          </cell>
        </row>
        <row r="12066">
          <cell r="O12066" t="str">
            <v>SC2064UA</v>
          </cell>
          <cell r="P12066" t="str">
            <v>STC9G001C</v>
          </cell>
          <cell r="Q12066" t="str">
            <v>磁性位置传感器</v>
          </cell>
        </row>
        <row r="12067">
          <cell r="O12067" t="str">
            <v>SC4011SO-N</v>
          </cell>
          <cell r="P12067" t="str">
            <v>STC4011B</v>
          </cell>
          <cell r="Q12067" t="str">
            <v>磁性位置传感器</v>
          </cell>
        </row>
        <row r="12068">
          <cell r="O12068" t="str">
            <v>SC4011SO-N</v>
          </cell>
          <cell r="P12068" t="str">
            <v>STC4011B</v>
          </cell>
          <cell r="Q12068" t="str">
            <v>磁性位置传感器</v>
          </cell>
        </row>
        <row r="12069">
          <cell r="O12069" t="str">
            <v>SC2436UA</v>
          </cell>
          <cell r="P12069" t="str">
            <v>STC9906I</v>
          </cell>
          <cell r="Q12069" t="str">
            <v>磁性位置传感器</v>
          </cell>
        </row>
        <row r="12070">
          <cell r="O12070" t="str">
            <v>SC2063UA</v>
          </cell>
          <cell r="P12070" t="str">
            <v>STC9G001C</v>
          </cell>
          <cell r="Q12070" t="str">
            <v>磁性位置传感器</v>
          </cell>
        </row>
        <row r="12071">
          <cell r="O12071" t="str">
            <v>SC2402SO-N</v>
          </cell>
          <cell r="P12071" t="str">
            <v>STC9H001A</v>
          </cell>
          <cell r="Q12071" t="str">
            <v>磁性位置传感器</v>
          </cell>
        </row>
        <row r="12072">
          <cell r="O12072" t="str">
            <v>2100</v>
          </cell>
          <cell r="P12072" t="str">
            <v>STC9D03E</v>
          </cell>
          <cell r="Q12072" t="str">
            <v>电流传感器</v>
          </cell>
        </row>
        <row r="12073">
          <cell r="O12073" t="str">
            <v>2100</v>
          </cell>
          <cell r="P12073" t="str">
            <v>STC9D03E</v>
          </cell>
          <cell r="Q12073" t="str">
            <v>电流传感器</v>
          </cell>
        </row>
        <row r="12074">
          <cell r="O12074" t="str">
            <v>2100</v>
          </cell>
          <cell r="P12074" t="str">
            <v>STC9D03E</v>
          </cell>
          <cell r="Q12074" t="str">
            <v>电流传感器</v>
          </cell>
        </row>
        <row r="12075">
          <cell r="O12075" t="str">
            <v>2100</v>
          </cell>
          <cell r="P12075" t="str">
            <v>STC9D03E</v>
          </cell>
          <cell r="Q12075" t="str">
            <v>电流传感器</v>
          </cell>
        </row>
        <row r="12076">
          <cell r="O12076" t="str">
            <v>SC2442UA</v>
          </cell>
          <cell r="P12076" t="str">
            <v>STC9906P</v>
          </cell>
          <cell r="Q12076" t="str">
            <v>磁性位置传感器</v>
          </cell>
        </row>
        <row r="12077">
          <cell r="O12077" t="str">
            <v>SC1245UA</v>
          </cell>
          <cell r="P12077" t="str">
            <v>STC1898AD</v>
          </cell>
          <cell r="Q12077" t="str">
            <v>磁性位置传感器</v>
          </cell>
        </row>
        <row r="12078">
          <cell r="O12078" t="str">
            <v>SC2442SO-N</v>
          </cell>
          <cell r="P12078" t="str">
            <v>STC9906P</v>
          </cell>
          <cell r="Q12078" t="str">
            <v>磁性位置传感器</v>
          </cell>
        </row>
        <row r="12079">
          <cell r="O12079" t="str">
            <v>SC2442SO-N</v>
          </cell>
          <cell r="P12079" t="str">
            <v>STC9906P</v>
          </cell>
          <cell r="Q12079" t="str">
            <v>磁性位置传感器</v>
          </cell>
        </row>
        <row r="12080">
          <cell r="O12080" t="str">
            <v>SC2442SO-N</v>
          </cell>
          <cell r="P12080" t="str">
            <v>STC9906P</v>
          </cell>
          <cell r="Q12080" t="str">
            <v>磁性位置传感器</v>
          </cell>
        </row>
        <row r="12081">
          <cell r="O12081" t="str">
            <v>SC2442SO-N</v>
          </cell>
          <cell r="P12081" t="str">
            <v>STC9906P</v>
          </cell>
          <cell r="Q12081" t="str">
            <v>磁性位置传感器</v>
          </cell>
        </row>
        <row r="12082">
          <cell r="O12082" t="str">
            <v>SC4645VB</v>
          </cell>
          <cell r="P12082" t="str">
            <v>STC9D06F</v>
          </cell>
          <cell r="Q12082" t="str">
            <v>电流传感器</v>
          </cell>
        </row>
        <row r="12083">
          <cell r="O12083" t="str">
            <v>SC9625VB</v>
          </cell>
          <cell r="P12083" t="str">
            <v>STC9910B</v>
          </cell>
          <cell r="Q12083" t="str">
            <v>速度传感器</v>
          </cell>
        </row>
        <row r="12084">
          <cell r="O12084" t="str">
            <v>SC9641TS-P</v>
          </cell>
          <cell r="P12084" t="str">
            <v>STC9A001I</v>
          </cell>
          <cell r="Q12084" t="str">
            <v>速度传感器</v>
          </cell>
        </row>
        <row r="12085">
          <cell r="O12085" t="str">
            <v>SC9641TS-P</v>
          </cell>
          <cell r="P12085" t="str">
            <v>STC9A001I</v>
          </cell>
          <cell r="Q12085" t="str">
            <v>速度传感器</v>
          </cell>
        </row>
        <row r="12086">
          <cell r="O12086" t="str">
            <v>SC9642TS-E</v>
          </cell>
          <cell r="P12086" t="str">
            <v>STC9A001H</v>
          </cell>
          <cell r="Q12086" t="str">
            <v>速度传感器</v>
          </cell>
        </row>
        <row r="12087">
          <cell r="O12087" t="str">
            <v>SC9625VB-L</v>
          </cell>
          <cell r="P12087" t="str">
            <v>STC9910E</v>
          </cell>
          <cell r="Q12087" t="str">
            <v>速度传感器</v>
          </cell>
        </row>
        <row r="12088">
          <cell r="O12088" t="str">
            <v>SC9625VB</v>
          </cell>
          <cell r="P12088" t="str">
            <v>STC9910B</v>
          </cell>
          <cell r="Q12088" t="str">
            <v>速度传感器</v>
          </cell>
        </row>
        <row r="12089">
          <cell r="O12089" t="str">
            <v>SC2434SO-N</v>
          </cell>
          <cell r="P12089" t="str">
            <v>STC9906I</v>
          </cell>
          <cell r="Q12089" t="str">
            <v>磁性位置传感器</v>
          </cell>
        </row>
        <row r="12090">
          <cell r="O12090" t="str">
            <v>SC4616UA-10.2NF</v>
          </cell>
          <cell r="P12090" t="str">
            <v>STC9907D</v>
          </cell>
          <cell r="Q12090" t="str">
            <v>电流传感器</v>
          </cell>
        </row>
        <row r="12091">
          <cell r="O12091" t="str">
            <v>STC1009C</v>
          </cell>
          <cell r="P12091" t="str">
            <v>STC1009C</v>
          </cell>
          <cell r="Q12091" t="str">
            <v>磁性位置传感器</v>
          </cell>
        </row>
        <row r="12092">
          <cell r="O12092" t="str">
            <v>PSTC1002AG</v>
          </cell>
          <cell r="P12092" t="str">
            <v>STC1002AG</v>
          </cell>
          <cell r="Q12092" t="str">
            <v>磁性位置传感器</v>
          </cell>
        </row>
        <row r="12093">
          <cell r="O12093" t="str">
            <v>SC2434UA</v>
          </cell>
          <cell r="P12093" t="str">
            <v>STC9906I</v>
          </cell>
          <cell r="Q12093" t="str">
            <v>磁性位置传感器</v>
          </cell>
        </row>
        <row r="12094">
          <cell r="O12094" t="str">
            <v>SC60224-D-16</v>
          </cell>
          <cell r="P12094" t="str">
            <v>STC9D04C</v>
          </cell>
          <cell r="Q12094" t="str">
            <v>电机编码器</v>
          </cell>
        </row>
        <row r="12095">
          <cell r="O12095" t="str">
            <v>SC60224-D-16</v>
          </cell>
          <cell r="P12095" t="str">
            <v>STC9D04C</v>
          </cell>
          <cell r="Q12095" t="str">
            <v>电机编码器</v>
          </cell>
        </row>
        <row r="12096">
          <cell r="O12096" t="str">
            <v>SC60221-D-400</v>
          </cell>
          <cell r="P12096" t="str">
            <v>STC9D04C</v>
          </cell>
          <cell r="Q12096" t="str">
            <v>电机编码器</v>
          </cell>
        </row>
        <row r="12097">
          <cell r="O12097" t="str">
            <v>SD211VB</v>
          </cell>
          <cell r="P12097" t="str">
            <v>FD1016A</v>
          </cell>
          <cell r="Q12097" t="str">
            <v>电机驱动</v>
          </cell>
        </row>
        <row r="12098">
          <cell r="O12098" t="str">
            <v>SD211VB</v>
          </cell>
          <cell r="P12098" t="str">
            <v>FD1016A</v>
          </cell>
          <cell r="Q12098" t="str">
            <v>电机驱动</v>
          </cell>
        </row>
        <row r="12099">
          <cell r="O12099" t="str">
            <v>SC2064SO</v>
          </cell>
          <cell r="P12099" t="str">
            <v>STC9G001C</v>
          </cell>
          <cell r="Q12099" t="str">
            <v>磁性位置传感器</v>
          </cell>
        </row>
        <row r="12100">
          <cell r="O12100" t="str">
            <v>SC2064UA</v>
          </cell>
          <cell r="P12100" t="str">
            <v>STC9G001C</v>
          </cell>
          <cell r="Q12100" t="str">
            <v>磁性位置传感器</v>
          </cell>
        </row>
        <row r="12101">
          <cell r="O12101" t="str">
            <v>SC4011SO-N</v>
          </cell>
          <cell r="P12101" t="str">
            <v>STC4011B</v>
          </cell>
          <cell r="Q12101" t="str">
            <v>磁性位置传感器</v>
          </cell>
        </row>
        <row r="12102">
          <cell r="O12102" t="str">
            <v>SC2462SO</v>
          </cell>
          <cell r="P12102" t="str">
            <v>STC9906J</v>
          </cell>
          <cell r="Q12102" t="str">
            <v>磁性位置传感器</v>
          </cell>
        </row>
        <row r="12103">
          <cell r="O12103" t="str">
            <v>SC2462SO</v>
          </cell>
          <cell r="P12103" t="str">
            <v>STC9906J</v>
          </cell>
          <cell r="Q12103" t="str">
            <v>磁性位置传感器</v>
          </cell>
        </row>
        <row r="12104">
          <cell r="O12104" t="str">
            <v>SC1134UA</v>
          </cell>
          <cell r="P12104" t="str">
            <v>STC1898AI</v>
          </cell>
          <cell r="Q12104" t="str">
            <v>磁性位置传感器</v>
          </cell>
        </row>
        <row r="12105">
          <cell r="O12105" t="str">
            <v>2100</v>
          </cell>
          <cell r="P12105" t="str">
            <v>STC9D03E</v>
          </cell>
          <cell r="Q12105" t="str">
            <v>电流传感器</v>
          </cell>
        </row>
        <row r="12106">
          <cell r="O12106" t="str">
            <v>2100</v>
          </cell>
          <cell r="P12106" t="str">
            <v>STC9D03E</v>
          </cell>
          <cell r="Q12106" t="str">
            <v>电流传感器</v>
          </cell>
        </row>
        <row r="12107">
          <cell r="O12107" t="str">
            <v>2100</v>
          </cell>
          <cell r="P12107" t="str">
            <v>STC9D03E</v>
          </cell>
          <cell r="Q12107" t="str">
            <v>电流传感器</v>
          </cell>
        </row>
        <row r="12108">
          <cell r="O12108" t="str">
            <v>SC2462SO</v>
          </cell>
          <cell r="P12108" t="str">
            <v>STC9906J</v>
          </cell>
          <cell r="Q12108" t="str">
            <v>磁性位置传感器</v>
          </cell>
        </row>
        <row r="12109">
          <cell r="O12109" t="str">
            <v>SC9625VB</v>
          </cell>
          <cell r="P12109" t="str">
            <v>STC9910B</v>
          </cell>
          <cell r="Q12109" t="str">
            <v>速度传感器</v>
          </cell>
        </row>
        <row r="12110">
          <cell r="O12110" t="str">
            <v>SC1138SO-N</v>
          </cell>
          <cell r="P12110" t="str">
            <v>STC1898AC</v>
          </cell>
          <cell r="Q12110" t="str">
            <v>磁性位置传感器</v>
          </cell>
        </row>
        <row r="12111">
          <cell r="O12111" t="str">
            <v>SC1138SO-N</v>
          </cell>
          <cell r="P12111" t="str">
            <v>STC1898AC</v>
          </cell>
          <cell r="Q12111" t="str">
            <v>磁性位置传感器</v>
          </cell>
        </row>
        <row r="12112">
          <cell r="O12112" t="str">
            <v>SC4643VB-A</v>
          </cell>
          <cell r="P12112" t="str">
            <v>STC9D03E</v>
          </cell>
          <cell r="Q12112" t="str">
            <v>电流传感器</v>
          </cell>
        </row>
        <row r="12113">
          <cell r="O12113" t="str">
            <v>SC4643VB-A</v>
          </cell>
          <cell r="P12113" t="str">
            <v>STC9D03E</v>
          </cell>
          <cell r="Q12113" t="str">
            <v>电流传感器</v>
          </cell>
        </row>
        <row r="12114">
          <cell r="O12114" t="str">
            <v>SC4643VB-A</v>
          </cell>
          <cell r="P12114" t="str">
            <v>STC9D03E</v>
          </cell>
          <cell r="Q12114" t="str">
            <v>电流传感器</v>
          </cell>
        </row>
        <row r="12115">
          <cell r="O12115" t="str">
            <v>SC4643VB-A</v>
          </cell>
          <cell r="P12115" t="str">
            <v>STC9D03E</v>
          </cell>
          <cell r="Q12115" t="str">
            <v>电流传感器</v>
          </cell>
        </row>
        <row r="12116">
          <cell r="O12116" t="str">
            <v>SC4643VB-A</v>
          </cell>
          <cell r="P12116" t="str">
            <v>STC9D03E</v>
          </cell>
          <cell r="Q12116" t="str">
            <v>电流传感器</v>
          </cell>
        </row>
        <row r="12117">
          <cell r="O12117" t="str">
            <v>SC4643VB-A</v>
          </cell>
          <cell r="P12117" t="str">
            <v>STC9D03E</v>
          </cell>
          <cell r="Q12117" t="str">
            <v>电流传感器</v>
          </cell>
        </row>
        <row r="12118">
          <cell r="O12118" t="str">
            <v>SC4643VB-A</v>
          </cell>
          <cell r="P12118" t="str">
            <v>STC9D03E</v>
          </cell>
          <cell r="Q12118" t="str">
            <v>电流传感器</v>
          </cell>
        </row>
        <row r="12119">
          <cell r="O12119" t="str">
            <v>SC4643VB-A</v>
          </cell>
          <cell r="P12119" t="str">
            <v>STC9D03E</v>
          </cell>
          <cell r="Q12119" t="str">
            <v>电流传感器</v>
          </cell>
        </row>
        <row r="12120">
          <cell r="O12120" t="str">
            <v>SC4688编程板</v>
          </cell>
          <cell r="P12120" t="str">
            <v xml:space="preserve"> </v>
          </cell>
          <cell r="Q12120" t="str">
            <v>角度传感器</v>
          </cell>
        </row>
        <row r="12121">
          <cell r="O12121" t="str">
            <v>SC9642TS</v>
          </cell>
          <cell r="P12121" t="str">
            <v>STC9A001G</v>
          </cell>
          <cell r="Q12121" t="str">
            <v>速度传感器</v>
          </cell>
        </row>
        <row r="12122">
          <cell r="O12122" t="str">
            <v>SC9642TS</v>
          </cell>
          <cell r="P12122" t="str">
            <v>STC9A001G</v>
          </cell>
          <cell r="Q12122" t="str">
            <v>速度传感器</v>
          </cell>
        </row>
        <row r="12123">
          <cell r="O12123" t="str">
            <v>SC9642TS</v>
          </cell>
          <cell r="P12123" t="str">
            <v>STC9A001G</v>
          </cell>
          <cell r="Q12123" t="str">
            <v>速度传感器</v>
          </cell>
        </row>
        <row r="12124">
          <cell r="O12124" t="str">
            <v>SC60221-D-400</v>
          </cell>
          <cell r="P12124" t="str">
            <v>STC9D04C</v>
          </cell>
          <cell r="Q12124" t="str">
            <v>电机编码器</v>
          </cell>
        </row>
        <row r="12125">
          <cell r="O12125" t="str">
            <v>SC9625VB</v>
          </cell>
          <cell r="P12125" t="str">
            <v>STC9910B</v>
          </cell>
          <cell r="Q12125" t="str">
            <v>速度传感器</v>
          </cell>
        </row>
        <row r="12126">
          <cell r="O12126" t="str">
            <v>SC60104</v>
          </cell>
          <cell r="P12126" t="str">
            <v>STC9D02C</v>
          </cell>
          <cell r="Q12126" t="str">
            <v>电机编码器</v>
          </cell>
        </row>
        <row r="12127">
          <cell r="O12127" t="str">
            <v>SC2442SO-N</v>
          </cell>
          <cell r="P12127" t="str">
            <v>STC9906P</v>
          </cell>
          <cell r="Q12127" t="str">
            <v>磁性位置传感器</v>
          </cell>
        </row>
        <row r="12128">
          <cell r="O12128" t="str">
            <v>SC9633VB</v>
          </cell>
          <cell r="P12128" t="str">
            <v>STC9905F</v>
          </cell>
          <cell r="Q12128" t="str">
            <v>速度传感器</v>
          </cell>
        </row>
        <row r="12129">
          <cell r="O12129" t="str">
            <v>PSTC1898AH</v>
          </cell>
          <cell r="P12129" t="str">
            <v>STC1898AH</v>
          </cell>
          <cell r="Q12129" t="str">
            <v>磁性位置传感器</v>
          </cell>
        </row>
        <row r="12130">
          <cell r="O12130" t="str">
            <v>PSTC1898AH</v>
          </cell>
          <cell r="P12130" t="str">
            <v>STC1898AH</v>
          </cell>
          <cell r="Q12130" t="str">
            <v>磁性位置传感器</v>
          </cell>
        </row>
        <row r="12131">
          <cell r="O12131" t="str">
            <v>SC4688编程板</v>
          </cell>
          <cell r="P12131" t="str">
            <v xml:space="preserve"> </v>
          </cell>
          <cell r="Q12131" t="str">
            <v>角度传感器</v>
          </cell>
        </row>
        <row r="12132">
          <cell r="O12132" t="str">
            <v>SC2402SO-N</v>
          </cell>
          <cell r="P12132" t="str">
            <v>STC9H001A</v>
          </cell>
          <cell r="Q12132" t="str">
            <v>磁性位置传感器</v>
          </cell>
        </row>
        <row r="12133">
          <cell r="O12133" t="str">
            <v>SC2402SO-N</v>
          </cell>
          <cell r="P12133" t="str">
            <v>STC9H001A</v>
          </cell>
          <cell r="Q12133" t="str">
            <v>磁性位置传感器</v>
          </cell>
        </row>
        <row r="12134">
          <cell r="O12134" t="str">
            <v>SC2442SO-N</v>
          </cell>
          <cell r="P12134" t="str">
            <v>STC9906P</v>
          </cell>
          <cell r="Q12134" t="str">
            <v>磁性位置传感器</v>
          </cell>
        </row>
        <row r="12135">
          <cell r="O12135" t="str">
            <v>SC2442SO-N</v>
          </cell>
          <cell r="P12135" t="str">
            <v>STC9906P</v>
          </cell>
          <cell r="Q12135" t="str">
            <v>磁性位置传感器</v>
          </cell>
        </row>
        <row r="12136">
          <cell r="O12136" t="str">
            <v>SD211VB</v>
          </cell>
          <cell r="P12136" t="str">
            <v>FD1016A</v>
          </cell>
          <cell r="Q12136" t="str">
            <v>电机驱动</v>
          </cell>
        </row>
        <row r="12137">
          <cell r="O12137" t="str">
            <v>SD211VB</v>
          </cell>
          <cell r="P12137" t="str">
            <v>FD1016A</v>
          </cell>
          <cell r="Q12137" t="str">
            <v>电机驱动</v>
          </cell>
        </row>
        <row r="12138">
          <cell r="O12138" t="str">
            <v>SC2442SO-N</v>
          </cell>
          <cell r="P12138" t="str">
            <v>STC9906P</v>
          </cell>
          <cell r="Q12138" t="str">
            <v>磁性位置传感器</v>
          </cell>
        </row>
        <row r="12139">
          <cell r="O12139" t="str">
            <v>SC9641TS-P</v>
          </cell>
          <cell r="P12139" t="str">
            <v>STC9A001I</v>
          </cell>
          <cell r="Q12139" t="str">
            <v>速度传感器</v>
          </cell>
        </row>
        <row r="12140">
          <cell r="O12140" t="str">
            <v>SC9641TS-P</v>
          </cell>
          <cell r="P12140" t="str">
            <v>STC9A001I</v>
          </cell>
          <cell r="Q12140" t="str">
            <v>速度传感器</v>
          </cell>
        </row>
        <row r="12141">
          <cell r="O12141" t="str">
            <v>SC9641TS-P</v>
          </cell>
          <cell r="P12141" t="str">
            <v>STC9A001I</v>
          </cell>
          <cell r="Q12141" t="str">
            <v>速度传感器</v>
          </cell>
        </row>
        <row r="12142">
          <cell r="O12142" t="str">
            <v>SC9641TS-P</v>
          </cell>
          <cell r="P12142" t="str">
            <v>STC9A001I</v>
          </cell>
          <cell r="Q12142" t="str">
            <v>速度传感器</v>
          </cell>
        </row>
        <row r="12143">
          <cell r="O12143" t="str">
            <v>SC9641TS-P</v>
          </cell>
          <cell r="P12143" t="str">
            <v>STC9A001I</v>
          </cell>
          <cell r="Q12143" t="str">
            <v>速度传感器</v>
          </cell>
        </row>
        <row r="12144">
          <cell r="O12144" t="str">
            <v>SC9641TS-P</v>
          </cell>
          <cell r="P12144" t="str">
            <v>STC9A001I</v>
          </cell>
          <cell r="Q12144" t="str">
            <v>速度传感器</v>
          </cell>
        </row>
        <row r="12145">
          <cell r="O12145" t="str">
            <v>SC9641TS-P</v>
          </cell>
          <cell r="P12145" t="str">
            <v>STC9A001I</v>
          </cell>
          <cell r="Q12145" t="str">
            <v>速度传感器</v>
          </cell>
        </row>
        <row r="12146">
          <cell r="O12146" t="str">
            <v>SC9641TS-P</v>
          </cell>
          <cell r="P12146" t="str">
            <v>STC9A001I</v>
          </cell>
          <cell r="Q12146" t="str">
            <v>速度传感器</v>
          </cell>
        </row>
        <row r="12147">
          <cell r="O12147" t="str">
            <v>SC9641TS-P</v>
          </cell>
          <cell r="P12147" t="str">
            <v>STC9A001I</v>
          </cell>
          <cell r="Q12147" t="str">
            <v>速度传感器</v>
          </cell>
        </row>
        <row r="12148">
          <cell r="O12148" t="str">
            <v>SC4688SA</v>
          </cell>
          <cell r="P12148" t="str">
            <v>STC9D01C</v>
          </cell>
          <cell r="Q12148" t="str">
            <v>角度传感器</v>
          </cell>
        </row>
        <row r="12149">
          <cell r="O12149" t="str">
            <v>SC2402SO-N</v>
          </cell>
          <cell r="P12149" t="str">
            <v>STC9902J</v>
          </cell>
          <cell r="Q12149" t="str">
            <v>磁性位置传感器</v>
          </cell>
        </row>
        <row r="12150">
          <cell r="O12150" t="str">
            <v>SC2242SO</v>
          </cell>
          <cell r="P12150" t="str">
            <v>STC9906H</v>
          </cell>
          <cell r="Q12150" t="str">
            <v>磁性位置传感器</v>
          </cell>
        </row>
        <row r="12151">
          <cell r="O12151" t="str">
            <v>SC2442UA</v>
          </cell>
          <cell r="P12151" t="str">
            <v>STC9906P</v>
          </cell>
          <cell r="Q12151" t="str">
            <v>磁性位置传感器</v>
          </cell>
        </row>
        <row r="12152">
          <cell r="O12152" t="str">
            <v>SC2462SO</v>
          </cell>
          <cell r="P12152" t="str">
            <v>STC9906J</v>
          </cell>
          <cell r="Q12152" t="str">
            <v>磁性位置传感器</v>
          </cell>
        </row>
        <row r="12153">
          <cell r="O12153" t="str">
            <v>SC2462SO</v>
          </cell>
          <cell r="P12153" t="str">
            <v>STC9906J</v>
          </cell>
          <cell r="Q12153" t="str">
            <v>磁性位置传感器</v>
          </cell>
        </row>
        <row r="12154">
          <cell r="O12154" t="str">
            <v>SC2462SO</v>
          </cell>
          <cell r="P12154" t="str">
            <v>STC9906J</v>
          </cell>
          <cell r="Q12154" t="str">
            <v>磁性位置传感器</v>
          </cell>
        </row>
        <row r="12155">
          <cell r="O12155" t="str">
            <v>PSTC9G001C</v>
          </cell>
          <cell r="P12155" t="str">
            <v>STC9G001C</v>
          </cell>
          <cell r="Q12155" t="str">
            <v>磁性位置传感器</v>
          </cell>
        </row>
        <row r="12156">
          <cell r="O12156" t="str">
            <v>SC2442SO-N</v>
          </cell>
          <cell r="P12156" t="str">
            <v>STC9906P</v>
          </cell>
          <cell r="Q12156" t="str">
            <v>磁性位置传感器</v>
          </cell>
        </row>
        <row r="12157">
          <cell r="O12157" t="str">
            <v>SC2402SO-N</v>
          </cell>
          <cell r="P12157" t="str">
            <v>STC9H001A</v>
          </cell>
          <cell r="Q12157" t="str">
            <v>磁性位置传感器</v>
          </cell>
        </row>
        <row r="12158">
          <cell r="O12158" t="str">
            <v>SC2442SO-N</v>
          </cell>
          <cell r="P12158" t="str">
            <v>STC9906P</v>
          </cell>
          <cell r="Q12158" t="str">
            <v>磁性位置传感器</v>
          </cell>
        </row>
        <row r="12159">
          <cell r="O12159" t="str">
            <v>SC2442SO-N</v>
          </cell>
          <cell r="P12159" t="str">
            <v>STC9906P</v>
          </cell>
          <cell r="Q12159" t="str">
            <v>磁性位置传感器</v>
          </cell>
        </row>
        <row r="12160">
          <cell r="O12160" t="str">
            <v>SC2442SO-N</v>
          </cell>
          <cell r="P12160" t="str">
            <v>STC9906P</v>
          </cell>
          <cell r="Q12160" t="str">
            <v>磁性位置传感器</v>
          </cell>
        </row>
        <row r="12161">
          <cell r="O12161" t="str">
            <v>SC2442SO-N</v>
          </cell>
          <cell r="P12161" t="str">
            <v>STC9906P</v>
          </cell>
          <cell r="Q12161" t="str">
            <v>磁性位置传感器</v>
          </cell>
        </row>
        <row r="12162">
          <cell r="O12162" t="str">
            <v>SC2402UA</v>
          </cell>
          <cell r="P12162" t="str">
            <v>STC9902J</v>
          </cell>
          <cell r="Q12162" t="str">
            <v>磁性位置传感器</v>
          </cell>
        </row>
        <row r="12163">
          <cell r="O12163" t="str">
            <v>SC2402UA</v>
          </cell>
          <cell r="P12163" t="str">
            <v>STC9902J</v>
          </cell>
          <cell r="Q12163" t="str">
            <v>磁性位置传感器</v>
          </cell>
        </row>
        <row r="12164">
          <cell r="O12164" t="str">
            <v>SC2402UA</v>
          </cell>
          <cell r="P12164" t="str">
            <v>STC9902J</v>
          </cell>
          <cell r="Q12164" t="str">
            <v>磁性位置传感器</v>
          </cell>
        </row>
        <row r="12165">
          <cell r="O12165" t="str">
            <v>2100</v>
          </cell>
          <cell r="P12165" t="str">
            <v>STC9D03E</v>
          </cell>
          <cell r="Q12165" t="str">
            <v>电流传感器</v>
          </cell>
        </row>
        <row r="12166">
          <cell r="O12166" t="str">
            <v>2100</v>
          </cell>
          <cell r="P12166" t="str">
            <v>STC9D03E</v>
          </cell>
          <cell r="Q12166" t="str">
            <v>电流传感器</v>
          </cell>
        </row>
        <row r="12167">
          <cell r="O12167" t="str">
            <v>SC2462SO</v>
          </cell>
          <cell r="P12167" t="str">
            <v>STC9906J</v>
          </cell>
          <cell r="Q12167" t="str">
            <v>磁性位置传感器</v>
          </cell>
        </row>
        <row r="12168">
          <cell r="O12168" t="str">
            <v>SC2442SO-N</v>
          </cell>
          <cell r="P12168" t="str">
            <v>STC9906P</v>
          </cell>
          <cell r="Q12168" t="str">
            <v>磁性位置传感器</v>
          </cell>
        </row>
        <row r="12169">
          <cell r="O12169" t="str">
            <v>SC2442SO-N</v>
          </cell>
          <cell r="P12169" t="str">
            <v>STC9906P</v>
          </cell>
          <cell r="Q12169" t="str">
            <v>磁性位置传感器</v>
          </cell>
        </row>
        <row r="12170">
          <cell r="O12170" t="str">
            <v>SC2442SO-N</v>
          </cell>
          <cell r="P12170" t="str">
            <v>STC9906P</v>
          </cell>
          <cell r="Q12170" t="str">
            <v>磁性位置传感器</v>
          </cell>
        </row>
        <row r="12171">
          <cell r="O12171" t="str">
            <v>SC2442SO-N</v>
          </cell>
          <cell r="P12171" t="str">
            <v>STC9906P</v>
          </cell>
          <cell r="Q12171" t="str">
            <v>磁性位置传感器</v>
          </cell>
        </row>
        <row r="12172">
          <cell r="O12172" t="str">
            <v>SC2442SO-N</v>
          </cell>
          <cell r="P12172" t="str">
            <v>STC9906P</v>
          </cell>
          <cell r="Q12172" t="str">
            <v>磁性位置传感器</v>
          </cell>
        </row>
        <row r="12173">
          <cell r="O12173" t="str">
            <v>SC2442SO-N</v>
          </cell>
          <cell r="P12173" t="str">
            <v>STC9906P</v>
          </cell>
          <cell r="Q12173" t="str">
            <v>磁性位置传感器</v>
          </cell>
        </row>
        <row r="12174">
          <cell r="O12174" t="str">
            <v>SC2242SO</v>
          </cell>
          <cell r="P12174" t="str">
            <v>STC9906H</v>
          </cell>
          <cell r="Q12174" t="str">
            <v>磁性位置传感器</v>
          </cell>
        </row>
        <row r="12175">
          <cell r="O12175" t="str">
            <v>SC2402UA</v>
          </cell>
          <cell r="P12175" t="str">
            <v>STC9902J</v>
          </cell>
          <cell r="Q12175" t="str">
            <v>磁性位置传感器</v>
          </cell>
        </row>
        <row r="12176">
          <cell r="O12176" t="str">
            <v>SC2402SO-N</v>
          </cell>
          <cell r="P12176" t="str">
            <v>STC9G002A</v>
          </cell>
          <cell r="Q12176" t="str">
            <v>磁性位置传感器</v>
          </cell>
        </row>
        <row r="12177">
          <cell r="O12177" t="str">
            <v>SC2402SO-N</v>
          </cell>
          <cell r="P12177" t="str">
            <v>STC9G002A</v>
          </cell>
          <cell r="Q12177" t="str">
            <v>磁性位置传感器</v>
          </cell>
        </row>
        <row r="12178">
          <cell r="O12178" t="str">
            <v>SC2402SO-N</v>
          </cell>
          <cell r="P12178" t="str">
            <v>STC9G002A</v>
          </cell>
          <cell r="Q12178" t="str">
            <v>磁性位置传感器</v>
          </cell>
        </row>
        <row r="12179">
          <cell r="O12179" t="str">
            <v>SC2402SO-N</v>
          </cell>
          <cell r="P12179" t="str">
            <v>STC9G002A</v>
          </cell>
          <cell r="Q12179" t="str">
            <v>磁性位置传感器</v>
          </cell>
        </row>
        <row r="12180">
          <cell r="O12180" t="str">
            <v>SC2402SO-N</v>
          </cell>
          <cell r="P12180" t="str">
            <v>STC9G002A</v>
          </cell>
          <cell r="Q12180" t="str">
            <v>磁性位置传感器</v>
          </cell>
        </row>
        <row r="12181">
          <cell r="O12181" t="str">
            <v>SC2402SO-N</v>
          </cell>
          <cell r="P12181" t="str">
            <v>STC9902J</v>
          </cell>
          <cell r="Q12181" t="str">
            <v>磁性位置传感器</v>
          </cell>
        </row>
        <row r="12182">
          <cell r="O12182" t="str">
            <v>SC2402SO-N</v>
          </cell>
          <cell r="P12182" t="str">
            <v>STC9902J</v>
          </cell>
          <cell r="Q12182" t="str">
            <v>磁性位置传感器</v>
          </cell>
        </row>
        <row r="12183">
          <cell r="O12183" t="str">
            <v>SC2402SO-N</v>
          </cell>
          <cell r="P12183" t="str">
            <v>STC9902J</v>
          </cell>
          <cell r="Q12183" t="str">
            <v>磁性位置传感器</v>
          </cell>
        </row>
        <row r="12184">
          <cell r="O12184" t="str">
            <v>SC69401D</v>
          </cell>
          <cell r="P12184" t="str">
            <v>STC9H002D</v>
          </cell>
          <cell r="Q12184" t="str">
            <v>角度传感器</v>
          </cell>
        </row>
        <row r="12185">
          <cell r="O12185" t="str">
            <v>SC69401D</v>
          </cell>
          <cell r="P12185" t="str">
            <v>STC9H002D</v>
          </cell>
          <cell r="Q12185" t="str">
            <v>角度传感器</v>
          </cell>
        </row>
        <row r="12186">
          <cell r="O12186" t="str">
            <v>SC9641TS-P</v>
          </cell>
          <cell r="P12186" t="str">
            <v>STC9A001F</v>
          </cell>
          <cell r="Q12186" t="str">
            <v>速度传感器</v>
          </cell>
        </row>
        <row r="12187">
          <cell r="O12187" t="str">
            <v>SC9641TS-P</v>
          </cell>
          <cell r="P12187" t="str">
            <v>STC9A001F</v>
          </cell>
          <cell r="Q12187" t="str">
            <v>速度传感器</v>
          </cell>
        </row>
        <row r="12188">
          <cell r="O12188" t="str">
            <v>SC9641TS-P</v>
          </cell>
          <cell r="P12188" t="str">
            <v>STC9A001F</v>
          </cell>
          <cell r="Q12188" t="str">
            <v>速度传感器</v>
          </cell>
        </row>
        <row r="12189">
          <cell r="O12189" t="str">
            <v>SC9641TS-P</v>
          </cell>
          <cell r="P12189" t="str">
            <v>STC9A001F</v>
          </cell>
          <cell r="Q12189" t="str">
            <v>速度传感器</v>
          </cell>
        </row>
        <row r="12190">
          <cell r="O12190" t="str">
            <v>SC9625VB-L</v>
          </cell>
          <cell r="P12190" t="str">
            <v>STC9910E</v>
          </cell>
          <cell r="Q12190" t="str">
            <v>速度传感器</v>
          </cell>
        </row>
        <row r="12191">
          <cell r="O12191" t="str">
            <v>SC2402UA</v>
          </cell>
          <cell r="P12191" t="str">
            <v>STC9G002A</v>
          </cell>
          <cell r="Q12191" t="str">
            <v>磁性位置传感器</v>
          </cell>
        </row>
        <row r="12192">
          <cell r="O12192" t="str">
            <v>SC2462SO</v>
          </cell>
          <cell r="P12192" t="str">
            <v>STC9906J</v>
          </cell>
          <cell r="Q12192" t="str">
            <v>磁性位置传感器</v>
          </cell>
        </row>
        <row r="12193">
          <cell r="O12193" t="str">
            <v>SC2443UA</v>
          </cell>
          <cell r="P12193" t="str">
            <v>STC9906W</v>
          </cell>
          <cell r="Q12193" t="str">
            <v>磁性位置传感器</v>
          </cell>
        </row>
        <row r="12194">
          <cell r="O12194" t="str">
            <v>SC2462SO</v>
          </cell>
          <cell r="P12194" t="str">
            <v>STC9906J</v>
          </cell>
          <cell r="Q12194" t="str">
            <v>磁性位置传感器</v>
          </cell>
        </row>
        <row r="12195">
          <cell r="O12195" t="str">
            <v>SC2442SO</v>
          </cell>
          <cell r="P12195" t="str">
            <v>STC9906R</v>
          </cell>
          <cell r="Q12195" t="str">
            <v>磁性位置传感器</v>
          </cell>
        </row>
        <row r="12196">
          <cell r="O12196" t="str">
            <v>SC2442SO</v>
          </cell>
          <cell r="P12196" t="str">
            <v>STC9906R</v>
          </cell>
          <cell r="Q12196" t="str">
            <v>磁性位置传感器</v>
          </cell>
        </row>
        <row r="12197">
          <cell r="O12197" t="str">
            <v>SC4688SA</v>
          </cell>
          <cell r="P12197" t="str">
            <v>STC9D01C</v>
          </cell>
          <cell r="Q12197" t="str">
            <v>角度传感器</v>
          </cell>
        </row>
        <row r="12198">
          <cell r="O12198" t="str">
            <v>SC9641TS-P</v>
          </cell>
          <cell r="P12198" t="str">
            <v>STC9A001I</v>
          </cell>
          <cell r="Q12198" t="str">
            <v>速度传感器</v>
          </cell>
        </row>
        <row r="12199">
          <cell r="O12199" t="str">
            <v>SC9633VB</v>
          </cell>
          <cell r="P12199" t="str">
            <v>STC9905F</v>
          </cell>
          <cell r="Q12199" t="str">
            <v>速度传感器</v>
          </cell>
        </row>
        <row r="12200">
          <cell r="O12200" t="str">
            <v>SC2442SO</v>
          </cell>
          <cell r="P12200" t="str">
            <v>STC9906R</v>
          </cell>
          <cell r="Q12200" t="str">
            <v>磁性位置传感器</v>
          </cell>
        </row>
        <row r="12201">
          <cell r="O12201" t="str">
            <v>SC2442SO</v>
          </cell>
          <cell r="P12201" t="str">
            <v>STC9906R</v>
          </cell>
          <cell r="Q12201" t="str">
            <v>磁性位置传感器</v>
          </cell>
        </row>
        <row r="12202">
          <cell r="O12202" t="str">
            <v>SC4011SO-N</v>
          </cell>
          <cell r="P12202" t="str">
            <v>STC4011B</v>
          </cell>
          <cell r="Q12202" t="str">
            <v>磁性位置传感器</v>
          </cell>
        </row>
        <row r="12203">
          <cell r="O12203" t="str">
            <v>SC4011SO-N</v>
          </cell>
          <cell r="P12203" t="str">
            <v>STC4011B</v>
          </cell>
          <cell r="Q12203" t="str">
            <v>磁性位置传感器</v>
          </cell>
        </row>
        <row r="12204">
          <cell r="O12204" t="str">
            <v>SC4011SO-N</v>
          </cell>
          <cell r="P12204" t="str">
            <v>STC4011B</v>
          </cell>
          <cell r="Q12204" t="str">
            <v>磁性位置传感器</v>
          </cell>
        </row>
        <row r="12205">
          <cell r="O12205" t="str">
            <v>SC4011SO-N</v>
          </cell>
          <cell r="P12205" t="str">
            <v>STC4011B</v>
          </cell>
          <cell r="Q12205" t="str">
            <v>磁性位置传感器</v>
          </cell>
        </row>
        <row r="12206">
          <cell r="O12206" t="str">
            <v>SC4011SO-N</v>
          </cell>
          <cell r="P12206" t="str">
            <v>STC4011B</v>
          </cell>
          <cell r="Q12206" t="str">
            <v>磁性位置传感器</v>
          </cell>
        </row>
        <row r="12207">
          <cell r="O12207" t="str">
            <v>SC4011SO-N</v>
          </cell>
          <cell r="P12207" t="str">
            <v>STC4011B</v>
          </cell>
          <cell r="Q12207" t="str">
            <v>磁性位置传感器</v>
          </cell>
        </row>
        <row r="12208">
          <cell r="O12208" t="str">
            <v>SC4011SO-N</v>
          </cell>
          <cell r="P12208" t="str">
            <v>STC4011B</v>
          </cell>
          <cell r="Q12208" t="str">
            <v>磁性位置传感器</v>
          </cell>
        </row>
        <row r="12209">
          <cell r="O12209" t="str">
            <v>2100S</v>
          </cell>
          <cell r="P12209" t="str">
            <v>STC9D03E</v>
          </cell>
          <cell r="Q12209" t="str">
            <v>电流传感器</v>
          </cell>
        </row>
        <row r="12210">
          <cell r="O12210" t="str">
            <v>2100S</v>
          </cell>
          <cell r="P12210" t="str">
            <v>STC9D03E</v>
          </cell>
          <cell r="Q12210" t="str">
            <v>电流传感器</v>
          </cell>
        </row>
        <row r="12211">
          <cell r="O12211" t="str">
            <v>SC4645VB</v>
          </cell>
          <cell r="P12211" t="str">
            <v>STC9D06F</v>
          </cell>
          <cell r="Q12211" t="str">
            <v>电流传感器</v>
          </cell>
        </row>
        <row r="12212">
          <cell r="O12212" t="str">
            <v>SC2462SO</v>
          </cell>
          <cell r="P12212" t="str">
            <v>STC9906J</v>
          </cell>
          <cell r="Q12212" t="str">
            <v>磁性位置传感器</v>
          </cell>
        </row>
        <row r="12213">
          <cell r="O12213" t="str">
            <v>SC2462SO</v>
          </cell>
          <cell r="P12213" t="str">
            <v>STC9906J</v>
          </cell>
          <cell r="Q12213" t="str">
            <v>磁性位置传感器</v>
          </cell>
        </row>
        <row r="12214">
          <cell r="O12214" t="str">
            <v>SC2455SO</v>
          </cell>
          <cell r="P12214" t="str">
            <v>STC9906K</v>
          </cell>
          <cell r="Q12214" t="str">
            <v>磁性位置传感器</v>
          </cell>
        </row>
        <row r="12215">
          <cell r="O12215" t="str">
            <v>SC9675IM-P-LRF00</v>
          </cell>
          <cell r="P12215" t="str">
            <v>STC9A002B</v>
          </cell>
          <cell r="Q12215" t="str">
            <v>速度传感器</v>
          </cell>
        </row>
        <row r="12216">
          <cell r="O12216" t="str">
            <v>SC2442SO</v>
          </cell>
          <cell r="P12216" t="str">
            <v>STC9906R</v>
          </cell>
          <cell r="Q12216" t="str">
            <v>磁性位置传感器</v>
          </cell>
        </row>
        <row r="12217">
          <cell r="O12217" t="str">
            <v>SC2442SO</v>
          </cell>
          <cell r="P12217" t="str">
            <v>STC9906R</v>
          </cell>
          <cell r="Q12217" t="str">
            <v>磁性位置传感器</v>
          </cell>
        </row>
        <row r="12218">
          <cell r="O12218" t="str">
            <v>SC2442SO</v>
          </cell>
          <cell r="P12218" t="str">
            <v>STC9906R</v>
          </cell>
          <cell r="Q12218" t="str">
            <v>磁性位置传感器</v>
          </cell>
        </row>
        <row r="12219">
          <cell r="O12219" t="str">
            <v>SC2442SO</v>
          </cell>
          <cell r="P12219" t="str">
            <v>STC9906R</v>
          </cell>
          <cell r="Q12219" t="str">
            <v>磁性位置传感器</v>
          </cell>
        </row>
        <row r="12220">
          <cell r="O12220" t="str">
            <v>SC2442SO</v>
          </cell>
          <cell r="P12220" t="str">
            <v>STC9906R</v>
          </cell>
          <cell r="Q12220" t="str">
            <v>磁性位置传感器</v>
          </cell>
        </row>
        <row r="12221">
          <cell r="O12221" t="str">
            <v>SC2442SO</v>
          </cell>
          <cell r="P12221" t="str">
            <v>STC9906R</v>
          </cell>
          <cell r="Q12221" t="str">
            <v>磁性位置传感器</v>
          </cell>
        </row>
        <row r="12222">
          <cell r="O12222" t="str">
            <v>SC4688SA</v>
          </cell>
          <cell r="P12222" t="str">
            <v>STC9D01C</v>
          </cell>
          <cell r="Q12222" t="str">
            <v>角度传感器</v>
          </cell>
        </row>
        <row r="12223">
          <cell r="O12223" t="str">
            <v>SC2442UA</v>
          </cell>
          <cell r="P12223" t="str">
            <v>STC9906P</v>
          </cell>
          <cell r="Q12223" t="str">
            <v>磁性位置传感器</v>
          </cell>
        </row>
        <row r="12224">
          <cell r="O12224" t="str">
            <v>SC2402SO-N</v>
          </cell>
          <cell r="P12224" t="str">
            <v>STC9902J</v>
          </cell>
          <cell r="Q12224" t="str">
            <v>磁性位置传感器</v>
          </cell>
        </row>
        <row r="12225">
          <cell r="O12225" t="str">
            <v>SC2402SO-N</v>
          </cell>
          <cell r="P12225" t="str">
            <v>STC9902J</v>
          </cell>
          <cell r="Q12225" t="str">
            <v>磁性位置传感器</v>
          </cell>
        </row>
        <row r="12226">
          <cell r="O12226" t="str">
            <v>2100S</v>
          </cell>
          <cell r="P12226" t="str">
            <v>STC9D03E</v>
          </cell>
          <cell r="Q12226" t="str">
            <v>电流传感器</v>
          </cell>
        </row>
        <row r="12227">
          <cell r="O12227" t="str">
            <v>2100</v>
          </cell>
          <cell r="P12227" t="str">
            <v>STC9D03E</v>
          </cell>
          <cell r="Q12227" t="str">
            <v>电流传感器</v>
          </cell>
        </row>
        <row r="12228">
          <cell r="O12228" t="str">
            <v>2100</v>
          </cell>
          <cell r="P12228" t="str">
            <v>STC9D03E</v>
          </cell>
          <cell r="Q12228" t="str">
            <v>电流传感器</v>
          </cell>
        </row>
        <row r="12229">
          <cell r="O12229" t="str">
            <v>SC2546VB</v>
          </cell>
          <cell r="P12229" t="str">
            <v>STC9906H</v>
          </cell>
          <cell r="Q12229" t="str">
            <v>磁性位置传感器</v>
          </cell>
        </row>
        <row r="12230">
          <cell r="O12230" t="str">
            <v>SC2402SO-N</v>
          </cell>
          <cell r="P12230" t="str">
            <v>STC9H001A</v>
          </cell>
          <cell r="Q12230" t="str">
            <v>磁性位置传感器</v>
          </cell>
        </row>
        <row r="12231">
          <cell r="O12231" t="str">
            <v>SC2402SO-N</v>
          </cell>
          <cell r="P12231" t="str">
            <v>STC9H001A</v>
          </cell>
          <cell r="Q12231" t="str">
            <v>磁性位置传感器</v>
          </cell>
        </row>
        <row r="12232">
          <cell r="O12232" t="str">
            <v>SC2464SO</v>
          </cell>
          <cell r="P12232" t="str">
            <v>STC9906J</v>
          </cell>
          <cell r="Q12232" t="str">
            <v>磁性位置传感器</v>
          </cell>
        </row>
        <row r="12233">
          <cell r="O12233" t="str">
            <v>SC69401D</v>
          </cell>
          <cell r="P12233" t="str">
            <v>STC9H002D</v>
          </cell>
          <cell r="Q12233" t="str">
            <v>角度传感器</v>
          </cell>
        </row>
        <row r="12234">
          <cell r="O12234" t="str">
            <v>SC2434UA</v>
          </cell>
          <cell r="P12234" t="str">
            <v>STC9906I</v>
          </cell>
          <cell r="Q12234" t="str">
            <v>磁性位置传感器</v>
          </cell>
        </row>
        <row r="12235">
          <cell r="O12235" t="str">
            <v>SC1134UA</v>
          </cell>
          <cell r="P12235" t="str">
            <v>STC1898AI</v>
          </cell>
          <cell r="Q12235" t="str">
            <v>磁性位置传感器</v>
          </cell>
        </row>
        <row r="12236">
          <cell r="O12236" t="str">
            <v>SC1134UA</v>
          </cell>
          <cell r="P12236" t="str">
            <v>STC1898AI</v>
          </cell>
          <cell r="Q12236" t="str">
            <v>磁性位置传感器</v>
          </cell>
        </row>
        <row r="12237">
          <cell r="O12237" t="str">
            <v>SC9641TS</v>
          </cell>
          <cell r="P12237" t="str">
            <v>STC9910BN</v>
          </cell>
          <cell r="Q12237" t="str">
            <v>速度传感器</v>
          </cell>
        </row>
        <row r="12238">
          <cell r="O12238" t="str">
            <v>SC9641TS</v>
          </cell>
          <cell r="P12238" t="str">
            <v>STC9910BN</v>
          </cell>
          <cell r="Q12238" t="str">
            <v>速度传感器</v>
          </cell>
        </row>
        <row r="12239">
          <cell r="O12239" t="str">
            <v>SC9641TS</v>
          </cell>
          <cell r="P12239" t="str">
            <v>STC9910BN</v>
          </cell>
          <cell r="Q12239" t="str">
            <v>速度传感器</v>
          </cell>
        </row>
        <row r="12240">
          <cell r="O12240" t="str">
            <v>SC919H</v>
          </cell>
          <cell r="P12240" t="str">
            <v>STC9909A</v>
          </cell>
          <cell r="Q12240" t="str">
            <v>磁性位置传感器</v>
          </cell>
        </row>
        <row r="12241">
          <cell r="O12241" t="str">
            <v>SC919H</v>
          </cell>
          <cell r="P12241" t="str">
            <v>STC9909A</v>
          </cell>
          <cell r="Q12241" t="str">
            <v>磁性位置传感器</v>
          </cell>
        </row>
        <row r="12242">
          <cell r="O12242" t="str">
            <v>SC919H</v>
          </cell>
          <cell r="P12242" t="str">
            <v>STC9909A</v>
          </cell>
          <cell r="Q12242" t="str">
            <v>磁性位置传感器</v>
          </cell>
        </row>
        <row r="12243">
          <cell r="O12243" t="str">
            <v>SC41H</v>
          </cell>
          <cell r="P12243" t="str">
            <v>STC1002AG</v>
          </cell>
          <cell r="Q12243" t="str">
            <v>磁性位置传感器</v>
          </cell>
        </row>
        <row r="12244">
          <cell r="O12244" t="str">
            <v>SC41H</v>
          </cell>
          <cell r="P12244" t="str">
            <v>STC1002AG</v>
          </cell>
          <cell r="Q12244" t="str">
            <v>磁性位置传感器</v>
          </cell>
        </row>
        <row r="12245">
          <cell r="O12245" t="str">
            <v>SC2402SO-N</v>
          </cell>
          <cell r="P12245" t="str">
            <v>STC9902J</v>
          </cell>
          <cell r="Q12245" t="str">
            <v>磁性位置传感器</v>
          </cell>
        </row>
        <row r="12246">
          <cell r="O12246" t="str">
            <v>SC4011SO-N</v>
          </cell>
          <cell r="P12246" t="str">
            <v>STC4011B</v>
          </cell>
          <cell r="Q12246" t="str">
            <v>磁性位置传感器</v>
          </cell>
        </row>
        <row r="12247">
          <cell r="O12247" t="str">
            <v>SC4011SO-N</v>
          </cell>
          <cell r="P12247" t="str">
            <v>STC4011B</v>
          </cell>
          <cell r="Q12247" t="str">
            <v>磁性位置传感器</v>
          </cell>
        </row>
        <row r="12248">
          <cell r="O12248" t="str">
            <v>SC2464SO</v>
          </cell>
          <cell r="P12248" t="str">
            <v>STC9906J</v>
          </cell>
          <cell r="Q12248" t="str">
            <v>磁性位置传感器</v>
          </cell>
        </row>
        <row r="12249">
          <cell r="O12249" t="str">
            <v>SC2464SO</v>
          </cell>
          <cell r="P12249" t="str">
            <v>STC9906J</v>
          </cell>
          <cell r="Q12249" t="str">
            <v>磁性位置传感器</v>
          </cell>
        </row>
        <row r="12250">
          <cell r="O12250" t="str">
            <v>SC2064SO</v>
          </cell>
          <cell r="P12250" t="str">
            <v>STC9G001C</v>
          </cell>
          <cell r="Q12250" t="str">
            <v>磁性位置传感器</v>
          </cell>
        </row>
        <row r="12251">
          <cell r="O12251" t="str">
            <v>SC9632VB</v>
          </cell>
          <cell r="P12251" t="str">
            <v>STC9905E</v>
          </cell>
          <cell r="Q12251" t="str">
            <v>速度传感器</v>
          </cell>
        </row>
        <row r="12252">
          <cell r="O12252" t="str">
            <v>2100</v>
          </cell>
          <cell r="P12252" t="str">
            <v>STC9D03E</v>
          </cell>
          <cell r="Q12252" t="str">
            <v>电流传感器</v>
          </cell>
        </row>
        <row r="12253">
          <cell r="O12253" t="str">
            <v>2100</v>
          </cell>
          <cell r="P12253" t="str">
            <v>STC9D03E</v>
          </cell>
          <cell r="Q12253" t="str">
            <v>电流传感器</v>
          </cell>
        </row>
        <row r="12254">
          <cell r="O12254" t="str">
            <v>2100</v>
          </cell>
          <cell r="P12254" t="str">
            <v>STC9D03E</v>
          </cell>
          <cell r="Q12254" t="str">
            <v>电流传感器</v>
          </cell>
        </row>
        <row r="12255">
          <cell r="O12255" t="str">
            <v>SC9641TS-PC</v>
          </cell>
          <cell r="P12255" t="str">
            <v>STC9A001I</v>
          </cell>
          <cell r="Q12255" t="str">
            <v>速度传感器</v>
          </cell>
        </row>
        <row r="12256">
          <cell r="O12256" t="str">
            <v>SC9641TS-PC</v>
          </cell>
          <cell r="P12256" t="str">
            <v>STC9A001I</v>
          </cell>
          <cell r="Q12256" t="str">
            <v>速度传感器</v>
          </cell>
        </row>
        <row r="12257">
          <cell r="O12257" t="str">
            <v>SC9625VB-L</v>
          </cell>
          <cell r="P12257" t="str">
            <v>STC9910E</v>
          </cell>
          <cell r="Q12257" t="str">
            <v>速度传感器</v>
          </cell>
        </row>
        <row r="12258">
          <cell r="O12258" t="str">
            <v>SC9675IM-P-LRF00</v>
          </cell>
          <cell r="P12258" t="str">
            <v>STC9A002B</v>
          </cell>
          <cell r="Q12258" t="str">
            <v>速度传感器</v>
          </cell>
        </row>
        <row r="12259">
          <cell r="O12259" t="str">
            <v>SC2064SO</v>
          </cell>
          <cell r="P12259" t="str">
            <v>STC9G001C</v>
          </cell>
          <cell r="Q12259" t="str">
            <v>磁性位置传感器</v>
          </cell>
        </row>
        <row r="12260">
          <cell r="O12260" t="str">
            <v>S42A1N</v>
          </cell>
          <cell r="P12260" t="str">
            <v>STC2899AJ</v>
          </cell>
          <cell r="Q12260" t="str">
            <v>磁性位置传感器</v>
          </cell>
        </row>
        <row r="12261">
          <cell r="O12261" t="str">
            <v>S42A1N</v>
          </cell>
          <cell r="P12261" t="str">
            <v>STC2899AJ</v>
          </cell>
          <cell r="Q12261" t="str">
            <v>磁性位置传感器</v>
          </cell>
        </row>
        <row r="12262">
          <cell r="O12262" t="str">
            <v>S42A1N</v>
          </cell>
          <cell r="P12262" t="str">
            <v>STC2899AJ</v>
          </cell>
          <cell r="Q12262" t="str">
            <v>磁性位置传感器</v>
          </cell>
        </row>
        <row r="12263">
          <cell r="O12263" t="str">
            <v>S42A1N</v>
          </cell>
          <cell r="P12263" t="str">
            <v>STC2899AJ</v>
          </cell>
          <cell r="Q12263" t="str">
            <v>磁性位置传感器</v>
          </cell>
        </row>
        <row r="12264">
          <cell r="O12264" t="str">
            <v>S42A1N</v>
          </cell>
          <cell r="P12264" t="str">
            <v>STC2899AJ</v>
          </cell>
          <cell r="Q12264" t="str">
            <v>磁性位置传感器</v>
          </cell>
        </row>
        <row r="12265">
          <cell r="O12265" t="str">
            <v>S42A1N</v>
          </cell>
          <cell r="P12265" t="str">
            <v>STC2899AJ</v>
          </cell>
          <cell r="Q12265" t="str">
            <v>磁性位置传感器</v>
          </cell>
        </row>
        <row r="12266">
          <cell r="O12266" t="str">
            <v>S42A1N</v>
          </cell>
          <cell r="P12266" t="str">
            <v>STC2899AJ</v>
          </cell>
          <cell r="Q12266" t="str">
            <v>磁性位置传感器</v>
          </cell>
        </row>
        <row r="12267">
          <cell r="O12267" t="str">
            <v>S42A1N</v>
          </cell>
          <cell r="P12267" t="str">
            <v>STC2899AJ</v>
          </cell>
          <cell r="Q12267" t="str">
            <v>磁性位置传感器</v>
          </cell>
        </row>
        <row r="12268">
          <cell r="O12268" t="str">
            <v>S42A1N</v>
          </cell>
          <cell r="P12268" t="str">
            <v>STC2899AJ</v>
          </cell>
          <cell r="Q12268" t="str">
            <v>磁性位置传感器</v>
          </cell>
        </row>
        <row r="12269">
          <cell r="O12269" t="str">
            <v>SC9641TS-PC</v>
          </cell>
          <cell r="P12269" t="str">
            <v>STC9A001I</v>
          </cell>
          <cell r="Q12269" t="str">
            <v>速度传感器</v>
          </cell>
        </row>
        <row r="12270">
          <cell r="O12270" t="str">
            <v>SC9641TS-PC</v>
          </cell>
          <cell r="P12270" t="str">
            <v>STC9A001I</v>
          </cell>
          <cell r="Q12270" t="str">
            <v>速度传感器</v>
          </cell>
        </row>
        <row r="12271">
          <cell r="O12271" t="str">
            <v>SC1245B1</v>
          </cell>
          <cell r="P12271" t="str">
            <v>STC1898AD</v>
          </cell>
          <cell r="Q12271" t="str">
            <v>磁性位置传感器</v>
          </cell>
        </row>
        <row r="12272">
          <cell r="O12272" t="str">
            <v>SC1245B1</v>
          </cell>
          <cell r="P12272" t="str">
            <v>STC1898AD</v>
          </cell>
          <cell r="Q12272" t="str">
            <v>磁性位置传感器</v>
          </cell>
        </row>
        <row r="12273">
          <cell r="O12273" t="str">
            <v>SC1245B1</v>
          </cell>
          <cell r="P12273" t="str">
            <v>STC1898AD</v>
          </cell>
          <cell r="Q12273" t="str">
            <v>磁性位置传感器</v>
          </cell>
        </row>
        <row r="12274">
          <cell r="O12274" t="str">
            <v>SC1245B1</v>
          </cell>
          <cell r="P12274" t="str">
            <v>STC1898AD</v>
          </cell>
          <cell r="Q12274" t="str">
            <v>磁性位置传感器</v>
          </cell>
        </row>
        <row r="12275">
          <cell r="O12275" t="str">
            <v>SC1245B1</v>
          </cell>
          <cell r="P12275" t="str">
            <v>STC1898AD</v>
          </cell>
          <cell r="Q12275" t="str">
            <v>磁性位置传感器</v>
          </cell>
        </row>
        <row r="12276">
          <cell r="O12276" t="str">
            <v>SC1245B1</v>
          </cell>
          <cell r="P12276" t="str">
            <v>STC1898AD</v>
          </cell>
          <cell r="Q12276" t="str">
            <v>磁性位置传感器</v>
          </cell>
        </row>
        <row r="12277">
          <cell r="O12277" t="str">
            <v>SC1245B1</v>
          </cell>
          <cell r="P12277" t="str">
            <v>STC1898AD</v>
          </cell>
          <cell r="Q12277" t="str">
            <v>磁性位置传感器</v>
          </cell>
        </row>
        <row r="12278">
          <cell r="O12278" t="str">
            <v>SC1245B1</v>
          </cell>
          <cell r="P12278" t="str">
            <v>STC1898AD</v>
          </cell>
          <cell r="Q12278" t="str">
            <v>磁性位置传感器</v>
          </cell>
        </row>
        <row r="12279">
          <cell r="O12279" t="str">
            <v>SC1245B1</v>
          </cell>
          <cell r="P12279" t="str">
            <v>STC1898AD</v>
          </cell>
          <cell r="Q12279" t="str">
            <v>磁性位置传感器</v>
          </cell>
        </row>
        <row r="12280">
          <cell r="O12280" t="str">
            <v>SC1245B1</v>
          </cell>
          <cell r="P12280" t="str">
            <v>STC1898AD</v>
          </cell>
          <cell r="Q12280" t="str">
            <v>磁性位置传感器</v>
          </cell>
        </row>
        <row r="12281">
          <cell r="O12281" t="str">
            <v>SC1245B1</v>
          </cell>
          <cell r="P12281" t="str">
            <v>STC1898AD</v>
          </cell>
          <cell r="Q12281" t="str">
            <v>磁性位置传感器</v>
          </cell>
        </row>
        <row r="12282">
          <cell r="O12282" t="str">
            <v>SC1245B1</v>
          </cell>
          <cell r="P12282" t="str">
            <v>STC1898AD</v>
          </cell>
          <cell r="Q12282" t="str">
            <v>磁性位置传感器</v>
          </cell>
        </row>
        <row r="12283">
          <cell r="O12283" t="str">
            <v>SC1645B1</v>
          </cell>
          <cell r="P12283" t="str">
            <v>STC2899AE</v>
          </cell>
          <cell r="Q12283" t="str">
            <v>磁性位置传感器</v>
          </cell>
        </row>
        <row r="12284">
          <cell r="O12284" t="str">
            <v>SC1645B1</v>
          </cell>
          <cell r="P12284" t="str">
            <v>STC2899AE</v>
          </cell>
          <cell r="Q12284" t="str">
            <v>磁性位置传感器</v>
          </cell>
        </row>
        <row r="12285">
          <cell r="O12285" t="str">
            <v>SC1645B1</v>
          </cell>
          <cell r="P12285" t="str">
            <v>STC2899AE</v>
          </cell>
          <cell r="Q12285" t="str">
            <v>磁性位置传感器</v>
          </cell>
        </row>
        <row r="12286">
          <cell r="O12286" t="str">
            <v>SC2442UA</v>
          </cell>
          <cell r="P12286" t="str">
            <v>STC9906P</v>
          </cell>
          <cell r="Q12286" t="str">
            <v>磁性位置传感器</v>
          </cell>
        </row>
        <row r="12287">
          <cell r="O12287" t="str">
            <v>SC2442UA</v>
          </cell>
          <cell r="P12287" t="str">
            <v>STC9906P</v>
          </cell>
          <cell r="Q12287" t="str">
            <v>磁性位置传感器</v>
          </cell>
        </row>
        <row r="12288">
          <cell r="O12288" t="str">
            <v>SC2438UA</v>
          </cell>
          <cell r="P12288" t="str">
            <v>STC9906I</v>
          </cell>
          <cell r="Q12288" t="str">
            <v>磁性位置传感器</v>
          </cell>
        </row>
        <row r="12289">
          <cell r="O12289" t="str">
            <v>SC2438UA</v>
          </cell>
          <cell r="P12289" t="str">
            <v>STC9906I</v>
          </cell>
          <cell r="Q12289" t="str">
            <v>磁性位置传感器</v>
          </cell>
        </row>
        <row r="12290">
          <cell r="O12290" t="str">
            <v>SC2438UA</v>
          </cell>
          <cell r="P12290" t="str">
            <v>STC9906I</v>
          </cell>
          <cell r="Q12290" t="str">
            <v>磁性位置传感器</v>
          </cell>
        </row>
        <row r="12291">
          <cell r="O12291" t="str">
            <v>SC2438UA</v>
          </cell>
          <cell r="P12291" t="str">
            <v>STC9906I</v>
          </cell>
          <cell r="Q12291" t="str">
            <v>磁性位置传感器</v>
          </cell>
        </row>
        <row r="12292">
          <cell r="O12292" t="str">
            <v>SC2438UA</v>
          </cell>
          <cell r="P12292" t="str">
            <v>STC9906I</v>
          </cell>
          <cell r="Q12292" t="str">
            <v>磁性位置传感器</v>
          </cell>
        </row>
        <row r="12293">
          <cell r="O12293" t="str">
            <v>SD211VB</v>
          </cell>
          <cell r="P12293" t="str">
            <v>FD1016A</v>
          </cell>
          <cell r="Q12293" t="str">
            <v>电机驱动</v>
          </cell>
        </row>
        <row r="12294">
          <cell r="O12294" t="str">
            <v>SC4688SA</v>
          </cell>
          <cell r="P12294" t="str">
            <v>STC9D01C</v>
          </cell>
          <cell r="Q12294" t="str">
            <v>角度传感器</v>
          </cell>
        </row>
        <row r="12295">
          <cell r="O12295" t="str">
            <v>PSTC9G001C</v>
          </cell>
          <cell r="P12295" t="str">
            <v>STC9G001C</v>
          </cell>
          <cell r="Q12295" t="str">
            <v>磁性位置传感器</v>
          </cell>
        </row>
        <row r="12296">
          <cell r="O12296" t="str">
            <v>SYLMV321BSOR</v>
          </cell>
          <cell r="P12296" t="str">
            <v>STC9G003B</v>
          </cell>
          <cell r="Q12296" t="str">
            <v>其他数模混合</v>
          </cell>
        </row>
        <row r="12297">
          <cell r="O12297" t="str">
            <v>SC4645VB</v>
          </cell>
          <cell r="P12297" t="str">
            <v>STC9D06F</v>
          </cell>
          <cell r="Q12297" t="str">
            <v>电流传感器</v>
          </cell>
        </row>
        <row r="12298">
          <cell r="O12298" t="str">
            <v>SC4689SA</v>
          </cell>
          <cell r="P12298" t="str">
            <v>STC9D01F</v>
          </cell>
          <cell r="Q12298" t="str">
            <v>角度传感器</v>
          </cell>
        </row>
        <row r="12299">
          <cell r="O12299" t="str">
            <v>ZH6332C</v>
          </cell>
          <cell r="P12299" t="str">
            <v>ZH6332C</v>
          </cell>
          <cell r="Q12299" t="str">
            <v>电机驱动</v>
          </cell>
        </row>
        <row r="12300">
          <cell r="O12300" t="str">
            <v>ZH6332C-Mask</v>
          </cell>
          <cell r="P12300" t="str">
            <v xml:space="preserve"> </v>
          </cell>
          <cell r="Q12300" t="str">
            <v>电机驱动</v>
          </cell>
        </row>
        <row r="12301">
          <cell r="O12301" t="str">
            <v>SC9641TS</v>
          </cell>
          <cell r="P12301" t="str">
            <v>STC9910BN</v>
          </cell>
          <cell r="Q12301" t="str">
            <v>速度传感器</v>
          </cell>
        </row>
        <row r="12302">
          <cell r="O12302" t="str">
            <v>SC9641TS</v>
          </cell>
          <cell r="P12302" t="str">
            <v>STC9910BN</v>
          </cell>
          <cell r="Q12302" t="str">
            <v>速度传感器</v>
          </cell>
        </row>
        <row r="12303">
          <cell r="O12303" t="str">
            <v>SC69401工程编程器套装</v>
          </cell>
          <cell r="P12303" t="str">
            <v xml:space="preserve"> </v>
          </cell>
          <cell r="Q12303" t="str">
            <v>角度传感器</v>
          </cell>
        </row>
        <row r="12304">
          <cell r="O12304" t="str">
            <v>SC243X编程器</v>
          </cell>
          <cell r="P12304" t="str">
            <v xml:space="preserve"> </v>
          </cell>
          <cell r="Q12304" t="str">
            <v>磁性位置传感器</v>
          </cell>
        </row>
        <row r="12305">
          <cell r="O12305" t="str">
            <v>SC9641TS</v>
          </cell>
          <cell r="P12305" t="str">
            <v>STC9910BN</v>
          </cell>
          <cell r="Q12305" t="str">
            <v>速度传感器</v>
          </cell>
        </row>
        <row r="12306">
          <cell r="O12306" t="str">
            <v>SC9675IM-P-HRF00</v>
          </cell>
          <cell r="P12306" t="str">
            <v>STC9A002B</v>
          </cell>
          <cell r="Q12306" t="str">
            <v>速度传感器</v>
          </cell>
        </row>
        <row r="12307">
          <cell r="O12307" t="str">
            <v>SC9675IM-P-HRF00</v>
          </cell>
          <cell r="P12307" t="str">
            <v>STC9A002B</v>
          </cell>
          <cell r="Q12307" t="str">
            <v>速度传感器</v>
          </cell>
        </row>
        <row r="12308">
          <cell r="O12308" t="str">
            <v>SC2430UA</v>
          </cell>
          <cell r="P12308" t="str">
            <v>STC9906I</v>
          </cell>
          <cell r="Q12308" t="str">
            <v>磁性位置传感器</v>
          </cell>
        </row>
        <row r="12309">
          <cell r="O12309" t="str">
            <v>SC9641TS</v>
          </cell>
          <cell r="P12309" t="str">
            <v>STC9910BN</v>
          </cell>
          <cell r="Q12309" t="str">
            <v>速度传感器</v>
          </cell>
        </row>
        <row r="12310">
          <cell r="O12310" t="str">
            <v>SC9641TS</v>
          </cell>
          <cell r="P12310" t="str">
            <v>STC9910BN</v>
          </cell>
          <cell r="Q12310" t="str">
            <v>速度传感器</v>
          </cell>
        </row>
        <row r="12311">
          <cell r="O12311" t="str">
            <v>SC9641TS</v>
          </cell>
          <cell r="P12311" t="str">
            <v>STC9910BN</v>
          </cell>
          <cell r="Q12311" t="str">
            <v>速度传感器</v>
          </cell>
        </row>
        <row r="12312">
          <cell r="O12312" t="str">
            <v>SC9642TS</v>
          </cell>
          <cell r="P12312" t="str">
            <v>STC9A001G</v>
          </cell>
          <cell r="Q12312" t="str">
            <v>速度传感器</v>
          </cell>
        </row>
        <row r="12313">
          <cell r="O12313" t="str">
            <v>SC9642TS</v>
          </cell>
          <cell r="P12313" t="str">
            <v>STC9A001G</v>
          </cell>
          <cell r="Q12313" t="str">
            <v>速度传感器</v>
          </cell>
        </row>
        <row r="12314">
          <cell r="O12314" t="str">
            <v>SC9642TS</v>
          </cell>
          <cell r="P12314" t="str">
            <v>STC9A001G</v>
          </cell>
          <cell r="Q12314" t="str">
            <v>速度传感器</v>
          </cell>
        </row>
        <row r="12315">
          <cell r="O12315" t="str">
            <v>SC9642TS</v>
          </cell>
          <cell r="P12315" t="str">
            <v>STC9A001G</v>
          </cell>
          <cell r="Q12315" t="str">
            <v>速度传感器</v>
          </cell>
        </row>
        <row r="12316">
          <cell r="O12316" t="str">
            <v>SC9642TS</v>
          </cell>
          <cell r="P12316" t="str">
            <v>STC9A001G</v>
          </cell>
          <cell r="Q12316" t="str">
            <v>速度传感器</v>
          </cell>
        </row>
        <row r="12317">
          <cell r="O12317" t="str">
            <v>SC9642TS</v>
          </cell>
          <cell r="P12317" t="str">
            <v>STC9A001G</v>
          </cell>
          <cell r="Q12317" t="str">
            <v>速度传感器</v>
          </cell>
        </row>
        <row r="12318">
          <cell r="O12318" t="str">
            <v>SC2436UA</v>
          </cell>
          <cell r="P12318" t="str">
            <v>STC9906I</v>
          </cell>
          <cell r="Q12318" t="str">
            <v>磁性位置传感器</v>
          </cell>
        </row>
        <row r="12319">
          <cell r="O12319" t="str">
            <v>SC4688编程板</v>
          </cell>
          <cell r="P12319" t="str">
            <v xml:space="preserve"> </v>
          </cell>
          <cell r="Q12319" t="str">
            <v>角度传感器</v>
          </cell>
        </row>
        <row r="12320">
          <cell r="O12320" t="str">
            <v>SC1134UA</v>
          </cell>
          <cell r="P12320" t="str">
            <v>STC1898AI</v>
          </cell>
          <cell r="Q12320" t="str">
            <v>磁性位置传感器</v>
          </cell>
        </row>
        <row r="12321">
          <cell r="O12321" t="str">
            <v>SC4011SO-N</v>
          </cell>
          <cell r="P12321" t="str">
            <v>STC4011B</v>
          </cell>
          <cell r="Q12321" t="str">
            <v>磁性位置传感器</v>
          </cell>
        </row>
        <row r="12322">
          <cell r="O12322" t="str">
            <v>SC4011SO-N</v>
          </cell>
          <cell r="P12322" t="str">
            <v>STC4011B</v>
          </cell>
          <cell r="Q12322" t="str">
            <v>磁性位置传感器</v>
          </cell>
        </row>
        <row r="12323">
          <cell r="O12323" t="str">
            <v>SC1134UA</v>
          </cell>
          <cell r="P12323" t="str">
            <v>STC1898AI</v>
          </cell>
          <cell r="Q12323" t="str">
            <v>磁性位置传感器</v>
          </cell>
        </row>
        <row r="12324">
          <cell r="O12324" t="str">
            <v>SC1134UA</v>
          </cell>
          <cell r="P12324" t="str">
            <v>STC1898AI</v>
          </cell>
          <cell r="Q12324" t="str">
            <v>磁性位置传感器</v>
          </cell>
        </row>
        <row r="12325">
          <cell r="O12325" t="str">
            <v>SC4011SO-N</v>
          </cell>
          <cell r="P12325" t="str">
            <v>STC4011B</v>
          </cell>
          <cell r="Q12325" t="str">
            <v>磁性位置传感器</v>
          </cell>
        </row>
        <row r="12326">
          <cell r="O12326" t="str">
            <v>SC4011SO-N</v>
          </cell>
          <cell r="P12326" t="str">
            <v>STC4011B</v>
          </cell>
          <cell r="Q12326" t="str">
            <v>磁性位置传感器</v>
          </cell>
        </row>
        <row r="12327">
          <cell r="O12327" t="str">
            <v>SC9621VB</v>
          </cell>
          <cell r="P12327" t="str">
            <v>STC9910C</v>
          </cell>
          <cell r="Q12327" t="str">
            <v>速度传感器</v>
          </cell>
        </row>
        <row r="12328">
          <cell r="O12328" t="str">
            <v>SC4643VB</v>
          </cell>
          <cell r="P12328" t="str">
            <v>STC9D03E</v>
          </cell>
          <cell r="Q12328" t="str">
            <v>电流传感器</v>
          </cell>
        </row>
        <row r="12329">
          <cell r="O12329" t="str">
            <v>SC4643VB</v>
          </cell>
          <cell r="P12329" t="str">
            <v>STC9D03E</v>
          </cell>
          <cell r="Q12329" t="str">
            <v>电流传感器</v>
          </cell>
        </row>
        <row r="12330">
          <cell r="O12330" t="str">
            <v>SC2402SO-N</v>
          </cell>
          <cell r="P12330" t="str">
            <v>STC9902J</v>
          </cell>
          <cell r="Q12330" t="str">
            <v>磁性位置传感器</v>
          </cell>
        </row>
        <row r="12331">
          <cell r="O12331" t="str">
            <v>SC9625VB-L</v>
          </cell>
          <cell r="P12331" t="str">
            <v>STC9910E</v>
          </cell>
          <cell r="Q12331" t="str">
            <v>速度传感器</v>
          </cell>
        </row>
        <row r="12332">
          <cell r="O12332" t="str">
            <v>SC2443UA</v>
          </cell>
          <cell r="P12332" t="str">
            <v>STC9906W</v>
          </cell>
          <cell r="Q12332" t="str">
            <v>磁性位置传感器</v>
          </cell>
        </row>
        <row r="12333">
          <cell r="O12333" t="str">
            <v>SC2443UA</v>
          </cell>
          <cell r="P12333" t="str">
            <v>STC9906W</v>
          </cell>
          <cell r="Q12333" t="str">
            <v>磁性位置传感器</v>
          </cell>
        </row>
        <row r="12334">
          <cell r="O12334" t="str">
            <v>SC2464SO</v>
          </cell>
          <cell r="P12334" t="str">
            <v>STC9906J</v>
          </cell>
          <cell r="Q12334" t="str">
            <v>磁性位置传感器</v>
          </cell>
        </row>
        <row r="12335">
          <cell r="O12335" t="str">
            <v>SC2464SO</v>
          </cell>
          <cell r="P12335" t="str">
            <v>STC9906J</v>
          </cell>
          <cell r="Q12335" t="str">
            <v>磁性位置传感器</v>
          </cell>
        </row>
        <row r="12336">
          <cell r="O12336" t="str">
            <v>SC2464SO</v>
          </cell>
          <cell r="P12336" t="str">
            <v>STC9906J</v>
          </cell>
          <cell r="Q12336" t="str">
            <v>磁性位置传感器</v>
          </cell>
        </row>
        <row r="12337">
          <cell r="O12337" t="str">
            <v>SC2464SO</v>
          </cell>
          <cell r="P12337" t="str">
            <v>STC9906J</v>
          </cell>
          <cell r="Q12337" t="str">
            <v>磁性位置传感器</v>
          </cell>
        </row>
        <row r="12338">
          <cell r="O12338" t="str">
            <v>SC4616UA-10.2NF</v>
          </cell>
          <cell r="P12338" t="str">
            <v>STC9907D</v>
          </cell>
          <cell r="Q12338" t="str">
            <v>电流传感器</v>
          </cell>
        </row>
        <row r="12339">
          <cell r="O12339" t="str">
            <v>SC4616UA-10.2NF</v>
          </cell>
          <cell r="P12339" t="str">
            <v>STC9907D</v>
          </cell>
          <cell r="Q12339" t="str">
            <v>电流传感器</v>
          </cell>
        </row>
        <row r="12340">
          <cell r="O12340" t="str">
            <v>SC2464SO</v>
          </cell>
          <cell r="P12340" t="str">
            <v>STC9906J</v>
          </cell>
          <cell r="Q12340" t="str">
            <v>磁性位置传感器</v>
          </cell>
        </row>
        <row r="12341">
          <cell r="O12341" t="str">
            <v>SD95109B</v>
          </cell>
          <cell r="P12341" t="str">
            <v>S22302A</v>
          </cell>
          <cell r="Q12341" t="str">
            <v>电机驱动</v>
          </cell>
        </row>
        <row r="12342">
          <cell r="O12342" t="str">
            <v>SC2416SE</v>
          </cell>
          <cell r="P12342" t="str">
            <v>STC9902B</v>
          </cell>
          <cell r="Q12342" t="str">
            <v>磁性位置传感器</v>
          </cell>
        </row>
        <row r="12343">
          <cell r="O12343" t="str">
            <v>SC9625VB-L</v>
          </cell>
          <cell r="P12343" t="str">
            <v>STC9910E</v>
          </cell>
          <cell r="Q12343" t="str">
            <v>速度传感器</v>
          </cell>
        </row>
        <row r="12344">
          <cell r="O12344" t="str">
            <v>SC9625VB-L</v>
          </cell>
          <cell r="P12344" t="str">
            <v>STC9910E</v>
          </cell>
          <cell r="Q12344" t="str">
            <v>速度传感器</v>
          </cell>
        </row>
        <row r="12345">
          <cell r="O12345" t="str">
            <v>SC9625VB-L</v>
          </cell>
          <cell r="P12345" t="str">
            <v>STC9910E</v>
          </cell>
          <cell r="Q12345" t="str">
            <v>速度传感器</v>
          </cell>
        </row>
        <row r="12346">
          <cell r="O12346" t="str">
            <v>SC9642TS-EC</v>
          </cell>
          <cell r="P12346" t="str">
            <v>STC9A001H</v>
          </cell>
          <cell r="Q12346" t="str">
            <v>速度传感器</v>
          </cell>
        </row>
        <row r="12347">
          <cell r="O12347" t="str">
            <v>SC9675IM-P-HRF00</v>
          </cell>
          <cell r="P12347" t="str">
            <v>STC9A002B</v>
          </cell>
          <cell r="Q12347" t="str">
            <v>速度传感器</v>
          </cell>
        </row>
        <row r="12348">
          <cell r="O12348" t="str">
            <v>SC9675IM-P-HRF00</v>
          </cell>
          <cell r="P12348" t="str">
            <v>STC9A002B</v>
          </cell>
          <cell r="Q12348" t="str">
            <v>速度传感器</v>
          </cell>
        </row>
        <row r="12349">
          <cell r="O12349" t="str">
            <v>SC9642TS-EC</v>
          </cell>
          <cell r="P12349" t="str">
            <v>STC9A001H</v>
          </cell>
          <cell r="Q12349" t="str">
            <v>速度传感器</v>
          </cell>
        </row>
        <row r="12350">
          <cell r="O12350" t="str">
            <v>SC2402SO-N</v>
          </cell>
          <cell r="P12350" t="str">
            <v>STC9902J</v>
          </cell>
          <cell r="Q12350" t="str">
            <v>磁性位置传感器</v>
          </cell>
        </row>
        <row r="12351">
          <cell r="O12351" t="str">
            <v>SC2402SO-N</v>
          </cell>
          <cell r="P12351" t="str">
            <v>STC9902J</v>
          </cell>
          <cell r="Q12351" t="str">
            <v>磁性位置传感器</v>
          </cell>
        </row>
        <row r="12352">
          <cell r="O12352" t="str">
            <v>SC4689SA</v>
          </cell>
          <cell r="P12352" t="str">
            <v>STC9D01F</v>
          </cell>
          <cell r="Q12352" t="str">
            <v>角度传感器</v>
          </cell>
        </row>
        <row r="12353">
          <cell r="O12353" t="str">
            <v>SC2455SO</v>
          </cell>
          <cell r="P12353" t="str">
            <v>STC9906K</v>
          </cell>
          <cell r="Q12353" t="str">
            <v>磁性位置传感器</v>
          </cell>
        </row>
        <row r="12354">
          <cell r="O12354" t="str">
            <v>SC2498UA-N</v>
          </cell>
          <cell r="P12354" t="str">
            <v>SC9915C</v>
          </cell>
          <cell r="Q12354" t="str">
            <v>磁性位置传感器</v>
          </cell>
        </row>
        <row r="12355">
          <cell r="O12355" t="str">
            <v>SC1245UA</v>
          </cell>
          <cell r="P12355" t="str">
            <v>STC1898AD</v>
          </cell>
          <cell r="Q12355" t="str">
            <v>磁性位置传感器</v>
          </cell>
        </row>
        <row r="12356">
          <cell r="O12356" t="str">
            <v>SC724SP30B5</v>
          </cell>
          <cell r="P12356" t="str">
            <v>STC9D06F</v>
          </cell>
          <cell r="Q12356" t="str">
            <v>电流传感器</v>
          </cell>
        </row>
        <row r="12357">
          <cell r="O12357" t="str">
            <v>SC724SP30B5</v>
          </cell>
          <cell r="P12357" t="str">
            <v>STC9D06F</v>
          </cell>
          <cell r="Q12357" t="str">
            <v>电流传感器</v>
          </cell>
        </row>
        <row r="12358">
          <cell r="O12358" t="str">
            <v>SC724SP30B5</v>
          </cell>
          <cell r="P12358" t="str">
            <v>STC9D06F</v>
          </cell>
          <cell r="Q12358" t="str">
            <v>电流传感器</v>
          </cell>
        </row>
        <row r="12359">
          <cell r="O12359" t="str">
            <v>SC724SP30B5</v>
          </cell>
          <cell r="P12359" t="str">
            <v>STC9D06F</v>
          </cell>
          <cell r="Q12359" t="str">
            <v>电流传感器</v>
          </cell>
        </row>
        <row r="12360">
          <cell r="O12360" t="str">
            <v>SD95109B</v>
          </cell>
          <cell r="P12360" t="str">
            <v>S22302A</v>
          </cell>
          <cell r="Q12360" t="str">
            <v>电机驱动</v>
          </cell>
        </row>
        <row r="12361">
          <cell r="O12361" t="str">
            <v>SD95109B</v>
          </cell>
          <cell r="P12361" t="str">
            <v>S22302A</v>
          </cell>
          <cell r="Q12361" t="str">
            <v>电机驱动</v>
          </cell>
        </row>
        <row r="12362">
          <cell r="O12362" t="str">
            <v>SD95109B</v>
          </cell>
          <cell r="P12362" t="str">
            <v>S22302A</v>
          </cell>
          <cell r="Q12362" t="str">
            <v>电机驱动</v>
          </cell>
        </row>
        <row r="12363">
          <cell r="O12363" t="str">
            <v>SD95109B</v>
          </cell>
          <cell r="P12363" t="str">
            <v>S22302A</v>
          </cell>
          <cell r="Q12363" t="str">
            <v>电机驱动</v>
          </cell>
        </row>
        <row r="12364">
          <cell r="O12364" t="str">
            <v>SD95109B</v>
          </cell>
          <cell r="P12364" t="str">
            <v>S22302A</v>
          </cell>
          <cell r="Q12364" t="str">
            <v>电机驱动</v>
          </cell>
        </row>
        <row r="12365">
          <cell r="O12365" t="str">
            <v>SC9642TS-EC</v>
          </cell>
          <cell r="P12365" t="str">
            <v>STC9A001H</v>
          </cell>
          <cell r="Q12365" t="str">
            <v>速度传感器</v>
          </cell>
        </row>
        <row r="12366">
          <cell r="O12366" t="str">
            <v>SC4643SA-A</v>
          </cell>
          <cell r="P12366" t="str">
            <v>STC9D03E</v>
          </cell>
          <cell r="Q12366" t="str">
            <v>电流传感器</v>
          </cell>
        </row>
        <row r="12367">
          <cell r="O12367" t="str">
            <v>SC60228DC</v>
          </cell>
          <cell r="P12367" t="str">
            <v>STC9D04C</v>
          </cell>
          <cell r="Q12367" t="str">
            <v>电机编码器</v>
          </cell>
        </row>
        <row r="12368">
          <cell r="O12368" t="str">
            <v>SC60228DC</v>
          </cell>
          <cell r="P12368" t="str">
            <v>STC9D04C</v>
          </cell>
          <cell r="Q12368" t="str">
            <v>电机编码器</v>
          </cell>
        </row>
        <row r="12369">
          <cell r="O12369" t="str">
            <v>SC60228DC</v>
          </cell>
          <cell r="P12369" t="str">
            <v>STC9D04C</v>
          </cell>
          <cell r="Q12369" t="str">
            <v>电机编码器</v>
          </cell>
        </row>
        <row r="12370">
          <cell r="O12370" t="str">
            <v>SC4011UA</v>
          </cell>
          <cell r="P12370" t="str">
            <v>STC4011B</v>
          </cell>
          <cell r="Q12370" t="str">
            <v>磁性位置传感器</v>
          </cell>
        </row>
        <row r="12371">
          <cell r="O12371" t="str">
            <v>SC1134SO-N</v>
          </cell>
          <cell r="P12371" t="str">
            <v>STC1898AI</v>
          </cell>
          <cell r="Q12371" t="str">
            <v>磁性位置传感器</v>
          </cell>
        </row>
        <row r="12372">
          <cell r="O12372" t="str">
            <v>SC2434SO</v>
          </cell>
          <cell r="P12372" t="str">
            <v>STC9906I</v>
          </cell>
          <cell r="Q12372" t="str">
            <v>磁性位置传感器</v>
          </cell>
        </row>
        <row r="12373">
          <cell r="O12373" t="str">
            <v>SC2434SO</v>
          </cell>
          <cell r="P12373" t="str">
            <v>STC9906I</v>
          </cell>
          <cell r="Q12373" t="str">
            <v>磁性位置传感器</v>
          </cell>
        </row>
        <row r="12374">
          <cell r="O12374" t="str">
            <v>SC2434SO</v>
          </cell>
          <cell r="P12374" t="str">
            <v>STC9906I</v>
          </cell>
          <cell r="Q12374" t="str">
            <v>磁性位置传感器</v>
          </cell>
        </row>
        <row r="12375">
          <cell r="O12375" t="str">
            <v>SC4643VB</v>
          </cell>
          <cell r="P12375" t="str">
            <v>STC9D03E</v>
          </cell>
          <cell r="Q12375" t="str">
            <v>电流传感器</v>
          </cell>
        </row>
        <row r="12376">
          <cell r="O12376" t="str">
            <v>SC4643VB</v>
          </cell>
          <cell r="P12376" t="str">
            <v>STC9D03E</v>
          </cell>
          <cell r="Q12376" t="str">
            <v>电流传感器</v>
          </cell>
        </row>
        <row r="12377">
          <cell r="O12377" t="str">
            <v>SC4624SP20B5</v>
          </cell>
          <cell r="P12377" t="str">
            <v>STC9D06F</v>
          </cell>
          <cell r="Q12377" t="str">
            <v>电流传感器</v>
          </cell>
        </row>
        <row r="12378">
          <cell r="O12378" t="str">
            <v>SC9314UA</v>
          </cell>
          <cell r="P12378" t="str">
            <v>STC9901AF</v>
          </cell>
          <cell r="Q12378" t="str">
            <v>速度传感器</v>
          </cell>
        </row>
        <row r="12379">
          <cell r="O12379" t="str">
            <v>SC9314UA</v>
          </cell>
          <cell r="P12379" t="str">
            <v>STC9901AF</v>
          </cell>
          <cell r="Q12379" t="str">
            <v>速度传感器</v>
          </cell>
        </row>
        <row r="12380">
          <cell r="O12380" t="str">
            <v>SC9641TS-P</v>
          </cell>
          <cell r="P12380" t="str">
            <v>STC9A001I</v>
          </cell>
          <cell r="Q12380" t="str">
            <v>速度传感器</v>
          </cell>
        </row>
        <row r="12381">
          <cell r="O12381" t="str">
            <v>SC9641TS-P</v>
          </cell>
          <cell r="P12381" t="str">
            <v>STC9A001I</v>
          </cell>
          <cell r="Q12381" t="str">
            <v>速度传感器</v>
          </cell>
        </row>
        <row r="12382">
          <cell r="O12382" t="str">
            <v>SC9641TS-P</v>
          </cell>
          <cell r="P12382" t="str">
            <v>STC9A001I</v>
          </cell>
          <cell r="Q12382" t="str">
            <v>速度传感器</v>
          </cell>
        </row>
        <row r="12383">
          <cell r="O12383" t="str">
            <v>SC2546VB</v>
          </cell>
          <cell r="P12383" t="str">
            <v>STC9906H</v>
          </cell>
          <cell r="Q12383" t="str">
            <v>磁性位置传感器</v>
          </cell>
        </row>
        <row r="12384">
          <cell r="O12384" t="str">
            <v>SC2436SO</v>
          </cell>
          <cell r="P12384" t="str">
            <v>STC9906I</v>
          </cell>
          <cell r="Q12384" t="str">
            <v>磁性位置传感器</v>
          </cell>
        </row>
        <row r="12385">
          <cell r="O12385" t="str">
            <v>SC2662SO-N</v>
          </cell>
          <cell r="P12385" t="str">
            <v>STC9906P</v>
          </cell>
          <cell r="Q12385" t="str">
            <v>磁性位置传感器</v>
          </cell>
        </row>
        <row r="12386">
          <cell r="O12386" t="str">
            <v>SC2662SO-N</v>
          </cell>
          <cell r="P12386" t="str">
            <v>STC9906P</v>
          </cell>
          <cell r="Q12386" t="str">
            <v>磁性位置传感器</v>
          </cell>
        </row>
        <row r="12387">
          <cell r="O12387" t="str">
            <v>SC2443SO</v>
          </cell>
          <cell r="P12387" t="str">
            <v>STC9906T</v>
          </cell>
          <cell r="Q12387" t="str">
            <v>磁性位置传感器</v>
          </cell>
        </row>
        <row r="12388">
          <cell r="O12388" t="str">
            <v>CT6702</v>
          </cell>
          <cell r="P12388" t="str">
            <v>STC9H002D</v>
          </cell>
          <cell r="Q12388" t="str">
            <v>角度传感器</v>
          </cell>
        </row>
        <row r="12389">
          <cell r="O12389" t="str">
            <v>CT6702</v>
          </cell>
          <cell r="P12389" t="str">
            <v>STC9H002D</v>
          </cell>
          <cell r="Q12389" t="str">
            <v>角度传感器</v>
          </cell>
        </row>
        <row r="12390">
          <cell r="O12390" t="str">
            <v>SC4688DC-M4</v>
          </cell>
          <cell r="P12390" t="str">
            <v>STC9D01C</v>
          </cell>
          <cell r="Q12390" t="str">
            <v>角度传感器</v>
          </cell>
        </row>
        <row r="12391">
          <cell r="O12391" t="str">
            <v>SC4688DC-M3</v>
          </cell>
          <cell r="P12391" t="str">
            <v>STC9D01C</v>
          </cell>
          <cell r="Q12391" t="str">
            <v>角度传感器</v>
          </cell>
        </row>
        <row r="12392">
          <cell r="O12392" t="str">
            <v>SC2242SO</v>
          </cell>
          <cell r="P12392" t="str">
            <v>STC9906H</v>
          </cell>
          <cell r="Q12392" t="str">
            <v>磁性位置传感器</v>
          </cell>
        </row>
        <row r="12393">
          <cell r="O12393" t="str">
            <v>SC2442UA</v>
          </cell>
          <cell r="P12393" t="str">
            <v>STC9906P</v>
          </cell>
          <cell r="Q12393" t="str">
            <v>磁性位置传感器</v>
          </cell>
        </row>
        <row r="12394">
          <cell r="O12394" t="str">
            <v>SC2442UA</v>
          </cell>
          <cell r="P12394" t="str">
            <v>STC9906P</v>
          </cell>
          <cell r="Q12394" t="str">
            <v>磁性位置传感器</v>
          </cell>
        </row>
        <row r="12395">
          <cell r="O12395" t="str">
            <v>SC2442UA</v>
          </cell>
          <cell r="P12395" t="str">
            <v>STC9906P</v>
          </cell>
          <cell r="Q12395" t="str">
            <v>磁性位置传感器</v>
          </cell>
        </row>
        <row r="12396">
          <cell r="O12396" t="str">
            <v>SC2442UA</v>
          </cell>
          <cell r="P12396" t="str">
            <v>STC9906P</v>
          </cell>
          <cell r="Q12396" t="str">
            <v>磁性位置传感器</v>
          </cell>
        </row>
        <row r="12397">
          <cell r="O12397" t="str">
            <v>SC2442UA</v>
          </cell>
          <cell r="P12397" t="str">
            <v>STC9906P</v>
          </cell>
          <cell r="Q12397" t="str">
            <v>磁性位置传感器</v>
          </cell>
        </row>
        <row r="12398">
          <cell r="O12398" t="str">
            <v>SD2276</v>
          </cell>
          <cell r="P12398" t="str">
            <v>FD1014A</v>
          </cell>
          <cell r="Q12398" t="str">
            <v>电机驱动</v>
          </cell>
        </row>
        <row r="12399">
          <cell r="O12399" t="str">
            <v>SD2276</v>
          </cell>
          <cell r="P12399" t="str">
            <v>FD1014A</v>
          </cell>
          <cell r="Q12399" t="str">
            <v>电机驱动</v>
          </cell>
        </row>
        <row r="12400">
          <cell r="O12400" t="str">
            <v>SC1945N1</v>
          </cell>
          <cell r="P12400" t="str">
            <v>STC2899AJ</v>
          </cell>
          <cell r="Q12400" t="str">
            <v>磁性位置传感器</v>
          </cell>
        </row>
        <row r="12401">
          <cell r="O12401" t="str">
            <v>SC1945N1</v>
          </cell>
          <cell r="P12401" t="str">
            <v>STC2899AJ</v>
          </cell>
          <cell r="Q12401" t="str">
            <v>磁性位置传感器</v>
          </cell>
        </row>
        <row r="12402">
          <cell r="O12402" t="str">
            <v>SC1945N1</v>
          </cell>
          <cell r="P12402" t="str">
            <v>STC2899AJ</v>
          </cell>
          <cell r="Q12402" t="str">
            <v>磁性位置传感器</v>
          </cell>
        </row>
        <row r="12403">
          <cell r="O12403" t="str">
            <v>SC2402UA</v>
          </cell>
          <cell r="P12403" t="str">
            <v>STC9902J</v>
          </cell>
          <cell r="Q12403" t="str">
            <v>磁性位置传感器</v>
          </cell>
        </row>
        <row r="12404">
          <cell r="O12404" t="str">
            <v>SC2402UA</v>
          </cell>
          <cell r="P12404" t="str">
            <v>STC9902J</v>
          </cell>
          <cell r="Q12404" t="str">
            <v>磁性位置传感器</v>
          </cell>
        </row>
        <row r="12405">
          <cell r="O12405" t="str">
            <v>SC1134UA</v>
          </cell>
          <cell r="P12405" t="str">
            <v>STC1898AI</v>
          </cell>
          <cell r="Q12405" t="str">
            <v>磁性位置传感器</v>
          </cell>
        </row>
        <row r="12406">
          <cell r="O12406" t="str">
            <v>SC1134UA</v>
          </cell>
          <cell r="P12406" t="str">
            <v>STC1898AI</v>
          </cell>
          <cell r="Q12406" t="str">
            <v>磁性位置传感器</v>
          </cell>
        </row>
        <row r="12407">
          <cell r="O12407" t="str">
            <v>SC9642TS-E</v>
          </cell>
          <cell r="P12407" t="str">
            <v>STC9A001H</v>
          </cell>
          <cell r="Q12407" t="str">
            <v>速度传感器</v>
          </cell>
        </row>
        <row r="12408">
          <cell r="O12408" t="str">
            <v>SC1245UA</v>
          </cell>
          <cell r="P12408" t="str">
            <v>STC1898AD</v>
          </cell>
          <cell r="Q12408" t="str">
            <v>磁性位置传感器</v>
          </cell>
        </row>
        <row r="12409">
          <cell r="O12409" t="str">
            <v>SC1245UA</v>
          </cell>
          <cell r="P12409" t="str">
            <v>STC1898AD</v>
          </cell>
          <cell r="Q12409" t="str">
            <v>磁性位置传感器</v>
          </cell>
        </row>
        <row r="12410">
          <cell r="O12410" t="str">
            <v>SC69401D</v>
          </cell>
          <cell r="P12410" t="str">
            <v>STC9H002D</v>
          </cell>
          <cell r="Q12410" t="str">
            <v>角度传感器</v>
          </cell>
        </row>
        <row r="12411">
          <cell r="O12411" t="str">
            <v>SC1134SO-N</v>
          </cell>
          <cell r="P12411" t="str">
            <v>STC1898AI</v>
          </cell>
          <cell r="Q12411" t="str">
            <v>磁性位置传感器</v>
          </cell>
        </row>
        <row r="12412">
          <cell r="O12412" t="str">
            <v>SC1134SO-N</v>
          </cell>
          <cell r="P12412" t="str">
            <v>STC1898AI</v>
          </cell>
          <cell r="Q12412" t="str">
            <v>磁性位置传感器</v>
          </cell>
        </row>
        <row r="12413">
          <cell r="O12413" t="str">
            <v>SC1134SO-N</v>
          </cell>
          <cell r="P12413" t="str">
            <v>STC1898AI</v>
          </cell>
          <cell r="Q12413" t="str">
            <v>磁性位置传感器</v>
          </cell>
        </row>
        <row r="12414">
          <cell r="O12414" t="str">
            <v>SC1134SO-N</v>
          </cell>
          <cell r="P12414" t="str">
            <v>STC1898AI</v>
          </cell>
          <cell r="Q12414" t="str">
            <v>磁性位置传感器</v>
          </cell>
        </row>
        <row r="12415">
          <cell r="O12415" t="str">
            <v>SC1134SO-N</v>
          </cell>
          <cell r="P12415" t="str">
            <v>STC1898AI</v>
          </cell>
          <cell r="Q12415" t="str">
            <v>磁性位置传感器</v>
          </cell>
        </row>
        <row r="12416">
          <cell r="O12416" t="str">
            <v>SC2442UA</v>
          </cell>
          <cell r="P12416" t="str">
            <v>STC9906P</v>
          </cell>
          <cell r="Q12416" t="str">
            <v>磁性位置传感器</v>
          </cell>
        </row>
        <row r="12417">
          <cell r="O12417" t="str">
            <v>SC2442SO-N</v>
          </cell>
          <cell r="P12417" t="str">
            <v>STC9906P</v>
          </cell>
          <cell r="Q12417" t="str">
            <v>磁性位置传感器</v>
          </cell>
        </row>
        <row r="12418">
          <cell r="O12418" t="str">
            <v>SC9625VB-L</v>
          </cell>
          <cell r="P12418" t="str">
            <v>STC9910E</v>
          </cell>
          <cell r="Q12418" t="str">
            <v>速度传感器</v>
          </cell>
        </row>
        <row r="12419">
          <cell r="O12419" t="str">
            <v>SC9625VB-L</v>
          </cell>
          <cell r="P12419" t="str">
            <v>STC9910E</v>
          </cell>
          <cell r="Q12419" t="str">
            <v>速度传感器</v>
          </cell>
        </row>
        <row r="12420">
          <cell r="O12420" t="str">
            <v>SC2434SO</v>
          </cell>
          <cell r="P12420" t="str">
            <v>STC9906I</v>
          </cell>
          <cell r="Q12420" t="str">
            <v>磁性位置传感器</v>
          </cell>
        </row>
        <row r="12421">
          <cell r="O12421" t="str">
            <v>SC9641TS</v>
          </cell>
          <cell r="P12421" t="str">
            <v>STC9910BN</v>
          </cell>
          <cell r="Q12421" t="str">
            <v>速度传感器</v>
          </cell>
        </row>
        <row r="12422">
          <cell r="O12422" t="str">
            <v>SC9641TS</v>
          </cell>
          <cell r="P12422" t="str">
            <v>STC9910BN</v>
          </cell>
          <cell r="Q12422" t="str">
            <v>速度传感器</v>
          </cell>
        </row>
        <row r="12423">
          <cell r="O12423" t="str">
            <v>SC9641TS</v>
          </cell>
          <cell r="P12423" t="str">
            <v>STC9910BN</v>
          </cell>
          <cell r="Q12423" t="str">
            <v>速度传感器</v>
          </cell>
        </row>
        <row r="12424">
          <cell r="O12424" t="str">
            <v>SC9641TS</v>
          </cell>
          <cell r="P12424" t="str">
            <v>STC9910BN</v>
          </cell>
          <cell r="Q12424" t="str">
            <v>速度传感器</v>
          </cell>
        </row>
        <row r="12425">
          <cell r="O12425" t="str">
            <v>PSTC9D04C</v>
          </cell>
          <cell r="P12425" t="str">
            <v>STC9D04C</v>
          </cell>
          <cell r="Q12425" t="str">
            <v>电机编码器</v>
          </cell>
        </row>
        <row r="12426">
          <cell r="O12426" t="str">
            <v>SC9625VB-L</v>
          </cell>
          <cell r="P12426" t="str">
            <v>STC9910E</v>
          </cell>
          <cell r="Q12426" t="str">
            <v>速度传感器</v>
          </cell>
        </row>
        <row r="12427">
          <cell r="O12427" t="str">
            <v>SC9625VB-L</v>
          </cell>
          <cell r="P12427" t="str">
            <v>STC9910E</v>
          </cell>
          <cell r="Q12427" t="str">
            <v>速度传感器</v>
          </cell>
        </row>
        <row r="12428">
          <cell r="O12428" t="str">
            <v>SC1134SO-N</v>
          </cell>
          <cell r="P12428" t="str">
            <v>STC1898AI</v>
          </cell>
          <cell r="Q12428" t="str">
            <v>磁性位置传感器</v>
          </cell>
        </row>
        <row r="12429">
          <cell r="O12429" t="str">
            <v>SD2276</v>
          </cell>
          <cell r="P12429" t="str">
            <v>FD1014A</v>
          </cell>
          <cell r="Q12429" t="str">
            <v>电机驱动</v>
          </cell>
        </row>
        <row r="12430">
          <cell r="O12430" t="str">
            <v>SC2242SO</v>
          </cell>
          <cell r="P12430" t="str">
            <v>STC9906H</v>
          </cell>
          <cell r="Q12430" t="str">
            <v>磁性位置传感器</v>
          </cell>
        </row>
        <row r="12431">
          <cell r="O12431" t="str">
            <v>SC2064SO</v>
          </cell>
          <cell r="P12431" t="str">
            <v>STC9G001C</v>
          </cell>
          <cell r="Q12431" t="str">
            <v>磁性位置传感器</v>
          </cell>
        </row>
        <row r="12432">
          <cell r="O12432" t="str">
            <v>SC4011SO-N</v>
          </cell>
          <cell r="P12432" t="str">
            <v>STC4011B</v>
          </cell>
          <cell r="Q12432" t="str">
            <v>磁性位置传感器</v>
          </cell>
        </row>
        <row r="12433">
          <cell r="O12433" t="str">
            <v>SC4011SO-N</v>
          </cell>
          <cell r="P12433" t="str">
            <v>STC4011B</v>
          </cell>
          <cell r="Q12433" t="str">
            <v>磁性位置传感器</v>
          </cell>
        </row>
        <row r="12434">
          <cell r="O12434" t="str">
            <v>SC4011SO-N</v>
          </cell>
          <cell r="P12434" t="str">
            <v>STC4011B</v>
          </cell>
          <cell r="Q12434" t="str">
            <v>磁性位置传感器</v>
          </cell>
        </row>
        <row r="12435">
          <cell r="O12435" t="str">
            <v>SC2442SO-N</v>
          </cell>
          <cell r="P12435" t="str">
            <v>STC9906P</v>
          </cell>
          <cell r="Q12435" t="str">
            <v>磁性位置传感器</v>
          </cell>
        </row>
        <row r="12436">
          <cell r="O12436" t="str">
            <v>SC9633VB</v>
          </cell>
          <cell r="P12436" t="str">
            <v>STC9905F</v>
          </cell>
          <cell r="Q12436" t="str">
            <v>速度传感器</v>
          </cell>
        </row>
        <row r="12437">
          <cell r="O12437" t="str">
            <v>SC9634VB</v>
          </cell>
          <cell r="P12437" t="str">
            <v>STC9905G</v>
          </cell>
          <cell r="Q12437" t="str">
            <v>速度传感器</v>
          </cell>
        </row>
        <row r="12438">
          <cell r="O12438" t="str">
            <v>SC9632VB</v>
          </cell>
          <cell r="P12438" t="str">
            <v>STC9905E</v>
          </cell>
          <cell r="Q12438" t="str">
            <v>速度传感器</v>
          </cell>
        </row>
        <row r="12439">
          <cell r="O12439" t="str">
            <v>SC9642TS-E</v>
          </cell>
          <cell r="P12439" t="str">
            <v>STC9A001H</v>
          </cell>
          <cell r="Q12439" t="str">
            <v>速度传感器</v>
          </cell>
        </row>
        <row r="12440">
          <cell r="O12440" t="str">
            <v>SC9642TS-E</v>
          </cell>
          <cell r="P12440" t="str">
            <v>STC9A001H</v>
          </cell>
          <cell r="Q12440" t="str">
            <v>速度传感器</v>
          </cell>
        </row>
        <row r="12441">
          <cell r="O12441" t="str">
            <v>SC2063SO</v>
          </cell>
          <cell r="P12441" t="str">
            <v>STC9G001C</v>
          </cell>
          <cell r="Q12441" t="str">
            <v>磁性位置传感器</v>
          </cell>
        </row>
        <row r="12442">
          <cell r="O12442" t="str">
            <v>SC2402SO-N</v>
          </cell>
          <cell r="P12442" t="str">
            <v>STC9H001A</v>
          </cell>
          <cell r="Q12442" t="str">
            <v>磁性位置传感器</v>
          </cell>
        </row>
        <row r="12443">
          <cell r="O12443" t="str">
            <v>SC2402SO-N</v>
          </cell>
          <cell r="P12443" t="str">
            <v>STC9H001A</v>
          </cell>
          <cell r="Q12443" t="str">
            <v>磁性位置传感器</v>
          </cell>
        </row>
        <row r="12444">
          <cell r="O12444" t="str">
            <v>SC2402SO-N</v>
          </cell>
          <cell r="P12444" t="str">
            <v>STC9H001A</v>
          </cell>
          <cell r="Q12444" t="str">
            <v>磁性位置传感器</v>
          </cell>
        </row>
        <row r="12445">
          <cell r="O12445" t="str">
            <v>SC4689SA</v>
          </cell>
          <cell r="P12445" t="str">
            <v>STC9D01F</v>
          </cell>
          <cell r="Q12445" t="str">
            <v>角度传感器</v>
          </cell>
        </row>
        <row r="12446">
          <cell r="O12446" t="str">
            <v>SC9641TS-P</v>
          </cell>
          <cell r="P12446" t="str">
            <v>STC9A001F</v>
          </cell>
          <cell r="Q12446" t="str">
            <v>速度传感器</v>
          </cell>
        </row>
        <row r="12447">
          <cell r="O12447" t="str">
            <v>SC9641TS-P</v>
          </cell>
          <cell r="P12447" t="str">
            <v>STC9A001F</v>
          </cell>
          <cell r="Q12447" t="str">
            <v>速度传感器</v>
          </cell>
        </row>
        <row r="12448">
          <cell r="O12448" t="str">
            <v>SC9641TS-P</v>
          </cell>
          <cell r="P12448" t="str">
            <v>STC9A001F</v>
          </cell>
          <cell r="Q12448" t="str">
            <v>速度传感器</v>
          </cell>
        </row>
        <row r="12449">
          <cell r="O12449" t="str">
            <v>SC9641TS-P</v>
          </cell>
          <cell r="P12449" t="str">
            <v>STC9A001F</v>
          </cell>
          <cell r="Q12449" t="str">
            <v>速度传感器</v>
          </cell>
        </row>
        <row r="12450">
          <cell r="O12450" t="str">
            <v>SC2464SO</v>
          </cell>
          <cell r="P12450" t="str">
            <v>STC9906J</v>
          </cell>
          <cell r="Q12450" t="str">
            <v>磁性位置传感器</v>
          </cell>
        </row>
        <row r="12451">
          <cell r="O12451" t="str">
            <v>SC2464SO</v>
          </cell>
          <cell r="P12451" t="str">
            <v>STC9906J</v>
          </cell>
          <cell r="Q12451" t="str">
            <v>磁性位置传感器</v>
          </cell>
        </row>
        <row r="12452">
          <cell r="O12452" t="str">
            <v>PSTC9D04C</v>
          </cell>
          <cell r="P12452" t="str">
            <v>STC9D04C</v>
          </cell>
          <cell r="Q12452" t="str">
            <v>电机编码器</v>
          </cell>
        </row>
        <row r="12453">
          <cell r="O12453" t="str">
            <v>SC9641TS</v>
          </cell>
          <cell r="P12453" t="str">
            <v>STC9910BN</v>
          </cell>
          <cell r="Q12453" t="str">
            <v>速度传感器</v>
          </cell>
        </row>
        <row r="12454">
          <cell r="O12454" t="str">
            <v>SC9641TS</v>
          </cell>
          <cell r="P12454" t="str">
            <v>STC9910BN</v>
          </cell>
          <cell r="Q12454" t="str">
            <v>速度传感器</v>
          </cell>
        </row>
        <row r="12455">
          <cell r="O12455" t="str">
            <v>SC9641TS</v>
          </cell>
          <cell r="P12455" t="str">
            <v>STC9910BN</v>
          </cell>
          <cell r="Q12455" t="str">
            <v>速度传感器</v>
          </cell>
        </row>
        <row r="12456">
          <cell r="O12456" t="str">
            <v>SC9642TS</v>
          </cell>
          <cell r="P12456" t="str">
            <v>STC9A001G</v>
          </cell>
          <cell r="Q12456" t="str">
            <v>速度传感器</v>
          </cell>
        </row>
        <row r="12457">
          <cell r="O12457" t="str">
            <v>SC9642TS</v>
          </cell>
          <cell r="P12457" t="str">
            <v>STC9A001G</v>
          </cell>
          <cell r="Q12457" t="str">
            <v>速度传感器</v>
          </cell>
        </row>
        <row r="12458">
          <cell r="O12458" t="str">
            <v>SC9642TS</v>
          </cell>
          <cell r="P12458" t="str">
            <v>STC9A001G</v>
          </cell>
          <cell r="Q12458" t="str">
            <v>速度传感器</v>
          </cell>
        </row>
        <row r="12459">
          <cell r="O12459" t="str">
            <v>SC9642TS</v>
          </cell>
          <cell r="P12459" t="str">
            <v>STC9A001G</v>
          </cell>
          <cell r="Q12459" t="str">
            <v>速度传感器</v>
          </cell>
        </row>
        <row r="12460">
          <cell r="O12460" t="str">
            <v>SC9642TS</v>
          </cell>
          <cell r="P12460" t="str">
            <v>STC9A001G</v>
          </cell>
          <cell r="Q12460" t="str">
            <v>速度传感器</v>
          </cell>
        </row>
        <row r="12461">
          <cell r="O12461" t="str">
            <v>SC9642TS</v>
          </cell>
          <cell r="P12461" t="str">
            <v>STC9A001G</v>
          </cell>
          <cell r="Q12461" t="str">
            <v>速度传感器</v>
          </cell>
        </row>
        <row r="12462">
          <cell r="O12462" t="str">
            <v>SC9642TS</v>
          </cell>
          <cell r="P12462" t="str">
            <v>STC9A001G</v>
          </cell>
          <cell r="Q12462" t="str">
            <v>速度传感器</v>
          </cell>
        </row>
        <row r="12463">
          <cell r="O12463" t="str">
            <v>SC9642TS</v>
          </cell>
          <cell r="P12463" t="str">
            <v>STC9A001G</v>
          </cell>
          <cell r="Q12463" t="str">
            <v>速度传感器</v>
          </cell>
        </row>
        <row r="12464">
          <cell r="O12464" t="str">
            <v>SC9642TS</v>
          </cell>
          <cell r="P12464" t="str">
            <v>STC9A001G</v>
          </cell>
          <cell r="Q12464" t="str">
            <v>速度传感器</v>
          </cell>
        </row>
        <row r="12465">
          <cell r="O12465" t="str">
            <v>SC9642TS</v>
          </cell>
          <cell r="P12465" t="str">
            <v>STC9A001G</v>
          </cell>
          <cell r="Q12465" t="str">
            <v>速度传感器</v>
          </cell>
        </row>
        <row r="12466">
          <cell r="O12466" t="str">
            <v>SC9642TS</v>
          </cell>
          <cell r="P12466" t="str">
            <v>STC9A001G</v>
          </cell>
          <cell r="Q12466" t="str">
            <v>速度传感器</v>
          </cell>
        </row>
        <row r="12467">
          <cell r="O12467" t="str">
            <v>SC9642TS</v>
          </cell>
          <cell r="P12467" t="str">
            <v>STC9A001G</v>
          </cell>
          <cell r="Q12467" t="str">
            <v>速度传感器</v>
          </cell>
        </row>
        <row r="12468">
          <cell r="O12468" t="str">
            <v>SC9314UA</v>
          </cell>
          <cell r="P12468" t="str">
            <v>STC9901AF</v>
          </cell>
          <cell r="Q12468" t="str">
            <v>速度传感器</v>
          </cell>
        </row>
        <row r="12469">
          <cell r="O12469" t="str">
            <v>SC9641TS</v>
          </cell>
          <cell r="P12469" t="str">
            <v>STC9910BN</v>
          </cell>
          <cell r="Q12469" t="str">
            <v>速度传感器</v>
          </cell>
        </row>
        <row r="12470">
          <cell r="O12470" t="str">
            <v>SC60224-D-1024</v>
          </cell>
          <cell r="P12470" t="str">
            <v>STC9D04C</v>
          </cell>
          <cell r="Q12470" t="str">
            <v>电机编码器</v>
          </cell>
        </row>
        <row r="12471">
          <cell r="O12471" t="str">
            <v>SC60224-D-1024</v>
          </cell>
          <cell r="P12471" t="str">
            <v>STC9D04C</v>
          </cell>
          <cell r="Q12471" t="str">
            <v>电机编码器</v>
          </cell>
        </row>
        <row r="12472">
          <cell r="O12472" t="str">
            <v>SC41HN1W</v>
          </cell>
          <cell r="P12472" t="str">
            <v>STC1002AL</v>
          </cell>
          <cell r="Q12472" t="str">
            <v>磁性位置传感器</v>
          </cell>
        </row>
        <row r="12473">
          <cell r="O12473" t="str">
            <v>SC41H</v>
          </cell>
          <cell r="P12473" t="str">
            <v>STC1002AG</v>
          </cell>
          <cell r="Q12473" t="str">
            <v>磁性位置传感器</v>
          </cell>
        </row>
        <row r="12474">
          <cell r="O12474" t="str">
            <v>SC41H</v>
          </cell>
          <cell r="P12474" t="str">
            <v>STC1002AG</v>
          </cell>
          <cell r="Q12474" t="str">
            <v>磁性位置传感器</v>
          </cell>
        </row>
        <row r="12475">
          <cell r="O12475" t="str">
            <v>SC41H</v>
          </cell>
          <cell r="P12475" t="str">
            <v>STC1002AG</v>
          </cell>
          <cell r="Q12475" t="str">
            <v>磁性位置传感器</v>
          </cell>
        </row>
        <row r="12476">
          <cell r="O12476" t="str">
            <v>SC919H</v>
          </cell>
          <cell r="P12476" t="str">
            <v>STC9909A</v>
          </cell>
          <cell r="Q12476" t="str">
            <v>磁性位置传感器</v>
          </cell>
        </row>
        <row r="12477">
          <cell r="O12477" t="str">
            <v>SC25891SO</v>
          </cell>
          <cell r="P12477" t="str">
            <v>STC11210D</v>
          </cell>
          <cell r="Q12477" t="str">
            <v>磁性位置传感器</v>
          </cell>
        </row>
        <row r="12478">
          <cell r="O12478" t="str">
            <v>SC4011SO-N</v>
          </cell>
          <cell r="P12478" t="str">
            <v>STC4011B</v>
          </cell>
          <cell r="Q12478" t="str">
            <v>磁性位置传感器</v>
          </cell>
        </row>
        <row r="12479">
          <cell r="O12479" t="str">
            <v>SC2242SO</v>
          </cell>
          <cell r="P12479" t="str">
            <v>STC9906H</v>
          </cell>
          <cell r="Q12479" t="str">
            <v>磁性位置传感器</v>
          </cell>
        </row>
        <row r="12480">
          <cell r="O12480" t="str">
            <v>PSTC9G001C</v>
          </cell>
          <cell r="P12480" t="str">
            <v>STC9G001C</v>
          </cell>
          <cell r="Q12480" t="str">
            <v>磁性位置传感器</v>
          </cell>
        </row>
        <row r="12481">
          <cell r="O12481" t="str">
            <v>SC4688SA</v>
          </cell>
          <cell r="P12481" t="str">
            <v>STC9D01C</v>
          </cell>
          <cell r="Q12481" t="str">
            <v>角度传感器</v>
          </cell>
        </row>
        <row r="12482">
          <cell r="O12482" t="str">
            <v>SC2242SO</v>
          </cell>
          <cell r="P12482" t="str">
            <v>STC9906H</v>
          </cell>
          <cell r="Q12482" t="str">
            <v>磁性位置传感器</v>
          </cell>
        </row>
        <row r="12483">
          <cell r="O12483" t="str">
            <v>SC2242SO</v>
          </cell>
          <cell r="P12483" t="str">
            <v>STC9906H</v>
          </cell>
          <cell r="Q12483" t="str">
            <v>磁性位置传感器</v>
          </cell>
        </row>
        <row r="12484">
          <cell r="O12484" t="str">
            <v>SC9641TS</v>
          </cell>
          <cell r="P12484" t="str">
            <v>STC9910BN</v>
          </cell>
          <cell r="Q12484" t="str">
            <v>速度传感器</v>
          </cell>
        </row>
        <row r="12485">
          <cell r="O12485" t="str">
            <v>SC9641TS</v>
          </cell>
          <cell r="P12485" t="str">
            <v>STC9910BN</v>
          </cell>
          <cell r="Q12485" t="str">
            <v>速度传感器</v>
          </cell>
        </row>
        <row r="12486">
          <cell r="O12486" t="str">
            <v>SC9641TS</v>
          </cell>
          <cell r="P12486" t="str">
            <v>STC9910BN</v>
          </cell>
          <cell r="Q12486" t="str">
            <v>速度传感器</v>
          </cell>
        </row>
        <row r="12487">
          <cell r="O12487" t="str">
            <v>SC9641TS</v>
          </cell>
          <cell r="P12487" t="str">
            <v>STC9910BN</v>
          </cell>
          <cell r="Q12487" t="str">
            <v>速度传感器</v>
          </cell>
        </row>
        <row r="12488">
          <cell r="O12488" t="str">
            <v>SC4688编程板</v>
          </cell>
          <cell r="P12488" t="str">
            <v xml:space="preserve"> </v>
          </cell>
          <cell r="Q12488" t="str">
            <v>角度传感器</v>
          </cell>
        </row>
        <row r="12489">
          <cell r="O12489" t="str">
            <v>SC4643SA-A</v>
          </cell>
          <cell r="P12489" t="str">
            <v>STC9D03E</v>
          </cell>
          <cell r="Q12489" t="str">
            <v>电流传感器</v>
          </cell>
        </row>
        <row r="12490">
          <cell r="O12490" t="str">
            <v>SC9641TS</v>
          </cell>
          <cell r="P12490" t="str">
            <v>STC9910BN</v>
          </cell>
          <cell r="Q12490" t="str">
            <v>速度传感器</v>
          </cell>
        </row>
        <row r="12491">
          <cell r="O12491" t="str">
            <v>SC9641TS</v>
          </cell>
          <cell r="P12491" t="str">
            <v>STC9910BN</v>
          </cell>
          <cell r="Q12491" t="str">
            <v>速度传感器</v>
          </cell>
        </row>
        <row r="12492">
          <cell r="O12492" t="str">
            <v>SC1138SO-N</v>
          </cell>
          <cell r="P12492" t="str">
            <v>STC1898AC</v>
          </cell>
          <cell r="Q12492" t="str">
            <v>磁性位置传感器</v>
          </cell>
        </row>
        <row r="12493">
          <cell r="O12493" t="str">
            <v>SC1138SO-N</v>
          </cell>
          <cell r="P12493" t="str">
            <v>STC1898AC</v>
          </cell>
          <cell r="Q12493" t="str">
            <v>磁性位置传感器</v>
          </cell>
        </row>
        <row r="12494">
          <cell r="O12494" t="str">
            <v>SC1138SO-N</v>
          </cell>
          <cell r="P12494" t="str">
            <v>STC1898AC</v>
          </cell>
          <cell r="Q12494" t="str">
            <v>磁性位置传感器</v>
          </cell>
        </row>
        <row r="12495">
          <cell r="O12495" t="str">
            <v>SC2432UA</v>
          </cell>
          <cell r="P12495" t="str">
            <v>STC9906I</v>
          </cell>
          <cell r="Q12495" t="str">
            <v>磁性位置传感器</v>
          </cell>
        </row>
        <row r="12496">
          <cell r="O12496" t="str">
            <v>SC2526HVB</v>
          </cell>
          <cell r="P12496" t="str">
            <v>STC9904C</v>
          </cell>
          <cell r="Q12496" t="str">
            <v>磁性位置传感器</v>
          </cell>
        </row>
        <row r="12497">
          <cell r="O12497" t="str">
            <v>SC1134UA</v>
          </cell>
          <cell r="P12497" t="str">
            <v>STC1898AI</v>
          </cell>
          <cell r="Q12497" t="str">
            <v>磁性位置传感器</v>
          </cell>
        </row>
        <row r="12498">
          <cell r="O12498" t="str">
            <v>SC4011SO-N</v>
          </cell>
          <cell r="P12498" t="str">
            <v>STC4011B</v>
          </cell>
          <cell r="Q12498" t="str">
            <v>磁性位置传感器</v>
          </cell>
        </row>
        <row r="12499">
          <cell r="O12499" t="str">
            <v>SC4011SO-N</v>
          </cell>
          <cell r="P12499" t="str">
            <v>STC4011B</v>
          </cell>
          <cell r="Q12499" t="str">
            <v>磁性位置传感器</v>
          </cell>
        </row>
        <row r="12500">
          <cell r="O12500" t="str">
            <v>SC2443SO</v>
          </cell>
          <cell r="P12500" t="str">
            <v>STC9906T</v>
          </cell>
          <cell r="Q12500" t="str">
            <v>磁性位置传感器</v>
          </cell>
        </row>
        <row r="12501">
          <cell r="O12501" t="str">
            <v>SC2443SO</v>
          </cell>
          <cell r="P12501" t="str">
            <v>STC9906T</v>
          </cell>
          <cell r="Q12501" t="str">
            <v>磁性位置传感器</v>
          </cell>
        </row>
        <row r="12502">
          <cell r="O12502" t="str">
            <v>SC4643编程板</v>
          </cell>
          <cell r="P12502" t="str">
            <v xml:space="preserve"> </v>
          </cell>
          <cell r="Q12502" t="str">
            <v>电流传感器</v>
          </cell>
        </row>
        <row r="12503">
          <cell r="O12503" t="str">
            <v>SC2464SO</v>
          </cell>
          <cell r="P12503" t="str">
            <v>STC9906J</v>
          </cell>
          <cell r="Q12503" t="str">
            <v>磁性位置传感器</v>
          </cell>
        </row>
        <row r="12504">
          <cell r="O12504" t="str">
            <v>SC2464SO</v>
          </cell>
          <cell r="P12504" t="str">
            <v>STC9906J</v>
          </cell>
          <cell r="Q12504" t="str">
            <v>磁性位置传感器</v>
          </cell>
        </row>
        <row r="12505">
          <cell r="O12505" t="str">
            <v>SC2064SO</v>
          </cell>
          <cell r="P12505" t="str">
            <v>STC9G001C</v>
          </cell>
          <cell r="Q12505" t="str">
            <v>磁性位置传感器</v>
          </cell>
        </row>
        <row r="12506">
          <cell r="O12506" t="str">
            <v>SC4695DC</v>
          </cell>
          <cell r="P12506" t="str">
            <v>STC9D01C</v>
          </cell>
          <cell r="Q12506" t="str">
            <v>角度传感器</v>
          </cell>
        </row>
        <row r="12507">
          <cell r="O12507" t="str">
            <v>SC4695DC</v>
          </cell>
          <cell r="P12507" t="str">
            <v>STC9D01C</v>
          </cell>
          <cell r="Q12507" t="str">
            <v>角度传感器</v>
          </cell>
        </row>
        <row r="12508">
          <cell r="O12508" t="str">
            <v>SC4695DC</v>
          </cell>
          <cell r="P12508" t="str">
            <v>STC9D01C</v>
          </cell>
          <cell r="Q12508" t="str">
            <v>角度传感器</v>
          </cell>
        </row>
        <row r="12509">
          <cell r="O12509" t="str">
            <v>SC4695DC</v>
          </cell>
          <cell r="P12509" t="str">
            <v>STC9D01C</v>
          </cell>
          <cell r="Q12509" t="str">
            <v>角度传感器</v>
          </cell>
        </row>
        <row r="12510">
          <cell r="O12510" t="str">
            <v>S41F1</v>
          </cell>
          <cell r="P12510" t="str">
            <v>STC2899AI</v>
          </cell>
          <cell r="Q12510" t="str">
            <v>磁性位置传感器</v>
          </cell>
        </row>
        <row r="12511">
          <cell r="O12511" t="str">
            <v>S41F1</v>
          </cell>
          <cell r="P12511" t="str">
            <v>STC2899AI</v>
          </cell>
          <cell r="Q12511" t="str">
            <v>磁性位置传感器</v>
          </cell>
        </row>
        <row r="12512">
          <cell r="O12512" t="str">
            <v>S41F1</v>
          </cell>
          <cell r="P12512" t="str">
            <v>STC2899AI</v>
          </cell>
          <cell r="Q12512" t="str">
            <v>磁性位置传感器</v>
          </cell>
        </row>
        <row r="12513">
          <cell r="O12513" t="str">
            <v>S41F1</v>
          </cell>
          <cell r="P12513" t="str">
            <v>STC2899AI</v>
          </cell>
          <cell r="Q12513" t="str">
            <v>磁性位置传感器</v>
          </cell>
        </row>
        <row r="12514">
          <cell r="O12514" t="str">
            <v>S41F1</v>
          </cell>
          <cell r="P12514" t="str">
            <v>STC2899AI</v>
          </cell>
          <cell r="Q12514" t="str">
            <v>磁性位置传感器</v>
          </cell>
        </row>
        <row r="12515">
          <cell r="O12515" t="str">
            <v>S41F1</v>
          </cell>
          <cell r="P12515" t="str">
            <v>STC2899AI</v>
          </cell>
          <cell r="Q12515" t="str">
            <v>磁性位置传感器</v>
          </cell>
        </row>
        <row r="12516">
          <cell r="O12516" t="str">
            <v>S41F1</v>
          </cell>
          <cell r="P12516" t="str">
            <v>STC2899AI</v>
          </cell>
          <cell r="Q12516" t="str">
            <v>磁性位置传感器</v>
          </cell>
        </row>
        <row r="12517">
          <cell r="O12517" t="str">
            <v>S41F1</v>
          </cell>
          <cell r="P12517" t="str">
            <v>STC2899AI</v>
          </cell>
          <cell r="Q12517" t="str">
            <v>磁性位置传感器</v>
          </cell>
        </row>
        <row r="12518">
          <cell r="O12518" t="str">
            <v>S41F1</v>
          </cell>
          <cell r="P12518" t="str">
            <v>STC2899AI</v>
          </cell>
          <cell r="Q12518" t="str">
            <v>磁性位置传感器</v>
          </cell>
        </row>
        <row r="12519">
          <cell r="O12519" t="str">
            <v>S41F1</v>
          </cell>
          <cell r="P12519" t="str">
            <v>STC2899AI</v>
          </cell>
          <cell r="Q12519" t="str">
            <v>磁性位置传感器</v>
          </cell>
        </row>
        <row r="12520">
          <cell r="O12520" t="str">
            <v>S41F1</v>
          </cell>
          <cell r="P12520" t="str">
            <v>STC2899AI</v>
          </cell>
          <cell r="Q12520" t="str">
            <v>磁性位置传感器</v>
          </cell>
        </row>
        <row r="12521">
          <cell r="O12521" t="str">
            <v>SC9675IM-P-HRF00</v>
          </cell>
          <cell r="P12521" t="str">
            <v>STC9A002B</v>
          </cell>
          <cell r="Q12521" t="str">
            <v>速度传感器</v>
          </cell>
        </row>
        <row r="12522">
          <cell r="O12522" t="str">
            <v>SC9314UA</v>
          </cell>
          <cell r="P12522" t="str">
            <v>STC9901AF</v>
          </cell>
          <cell r="Q12522" t="str">
            <v>速度传感器</v>
          </cell>
        </row>
        <row r="12523">
          <cell r="O12523" t="str">
            <v>SC2438SO</v>
          </cell>
          <cell r="P12523" t="str">
            <v>STC9906I</v>
          </cell>
          <cell r="Q12523" t="str">
            <v>磁性位置传感器</v>
          </cell>
        </row>
        <row r="12524">
          <cell r="O12524" t="str">
            <v>SC2438SO</v>
          </cell>
          <cell r="P12524" t="str">
            <v>STC9906I</v>
          </cell>
          <cell r="Q12524" t="str">
            <v>磁性位置传感器</v>
          </cell>
        </row>
        <row r="12525">
          <cell r="O12525" t="str">
            <v>SC2438SO</v>
          </cell>
          <cell r="P12525" t="str">
            <v>STC9906I</v>
          </cell>
          <cell r="Q12525" t="str">
            <v>磁性位置传感器</v>
          </cell>
        </row>
        <row r="12526">
          <cell r="O12526" t="str">
            <v>SC2438SO</v>
          </cell>
          <cell r="P12526" t="str">
            <v>STC9906I</v>
          </cell>
          <cell r="Q12526" t="str">
            <v>磁性位置传感器</v>
          </cell>
        </row>
        <row r="12527">
          <cell r="O12527" t="str">
            <v>SC1138SO-N</v>
          </cell>
          <cell r="P12527" t="str">
            <v>STC1898AC</v>
          </cell>
          <cell r="Q12527" t="str">
            <v>磁性位置传感器</v>
          </cell>
        </row>
        <row r="12528">
          <cell r="O12528" t="str">
            <v>SC1138SO-N</v>
          </cell>
          <cell r="P12528" t="str">
            <v>STC1898AC</v>
          </cell>
          <cell r="Q12528" t="str">
            <v>磁性位置传感器</v>
          </cell>
        </row>
        <row r="12529">
          <cell r="O12529" t="str">
            <v>SC1138SO-N</v>
          </cell>
          <cell r="P12529" t="str">
            <v>STC1898AC</v>
          </cell>
          <cell r="Q12529" t="str">
            <v>磁性位置传感器</v>
          </cell>
        </row>
        <row r="12530">
          <cell r="O12530" t="str">
            <v>SC2438SO</v>
          </cell>
          <cell r="P12530" t="str">
            <v>STC9906I</v>
          </cell>
          <cell r="Q12530" t="str">
            <v>磁性位置传感器</v>
          </cell>
        </row>
        <row r="12531">
          <cell r="O12531" t="str">
            <v>SC2432SO-N</v>
          </cell>
          <cell r="P12531" t="str">
            <v>STC9906I</v>
          </cell>
          <cell r="Q12531" t="str">
            <v>磁性位置传感器</v>
          </cell>
        </row>
        <row r="12532">
          <cell r="O12532" t="str">
            <v>SC4011SO-N</v>
          </cell>
          <cell r="P12532" t="str">
            <v>STC4011B</v>
          </cell>
          <cell r="Q12532" t="str">
            <v>磁性位置传感器</v>
          </cell>
        </row>
        <row r="12533">
          <cell r="O12533" t="str">
            <v>SC2202SO-N</v>
          </cell>
          <cell r="P12533" t="str">
            <v>STC9902E</v>
          </cell>
          <cell r="Q12533" t="str">
            <v>磁性位置传感器</v>
          </cell>
        </row>
        <row r="12534">
          <cell r="O12534" t="str">
            <v>SC4643VB</v>
          </cell>
          <cell r="P12534" t="str">
            <v>STC9D03E</v>
          </cell>
          <cell r="Q12534" t="str">
            <v>电流传感器</v>
          </cell>
        </row>
        <row r="12535">
          <cell r="O12535" t="str">
            <v>SC2642SO</v>
          </cell>
          <cell r="P12535" t="str">
            <v>STC9906H</v>
          </cell>
          <cell r="Q12535" t="str">
            <v>磁性位置传感器</v>
          </cell>
        </row>
        <row r="12536">
          <cell r="O12536" t="str">
            <v>SC2402SO-N</v>
          </cell>
          <cell r="P12536" t="str">
            <v>STC9902J</v>
          </cell>
          <cell r="Q12536" t="str">
            <v>磁性位置传感器</v>
          </cell>
        </row>
        <row r="12537">
          <cell r="O12537" t="str">
            <v>SC2402SO-N</v>
          </cell>
          <cell r="P12537" t="str">
            <v>STC9902J</v>
          </cell>
          <cell r="Q12537" t="str">
            <v>磁性位置传感器</v>
          </cell>
        </row>
        <row r="12538">
          <cell r="O12538" t="str">
            <v>SC2402SO-N</v>
          </cell>
          <cell r="P12538" t="str">
            <v>STC9H001A</v>
          </cell>
          <cell r="Q12538" t="str">
            <v>磁性位置传感器</v>
          </cell>
        </row>
        <row r="12539">
          <cell r="O12539" t="str">
            <v>SC2242UA</v>
          </cell>
          <cell r="P12539" t="str">
            <v>STC9906H</v>
          </cell>
          <cell r="Q12539" t="str">
            <v>磁性位置传感器</v>
          </cell>
        </row>
        <row r="12540">
          <cell r="O12540" t="str">
            <v>SC9642TS-E</v>
          </cell>
          <cell r="P12540" t="str">
            <v>STC9A001H</v>
          </cell>
          <cell r="Q12540" t="str">
            <v>速度传感器</v>
          </cell>
        </row>
        <row r="12541">
          <cell r="O12541" t="str">
            <v>SC4616UA-10.2NF</v>
          </cell>
          <cell r="P12541" t="str">
            <v>STC9907D</v>
          </cell>
          <cell r="Q12541" t="str">
            <v>电流传感器</v>
          </cell>
        </row>
        <row r="12542">
          <cell r="O12542" t="str">
            <v>SC9633VB</v>
          </cell>
          <cell r="P12542" t="str">
            <v>STC9905F</v>
          </cell>
          <cell r="Q12542" t="str">
            <v>速度传感器</v>
          </cell>
        </row>
        <row r="12543">
          <cell r="O12543" t="str">
            <v>SC2464SO</v>
          </cell>
          <cell r="P12543" t="str">
            <v>STC9906J</v>
          </cell>
          <cell r="Q12543" t="str">
            <v>磁性位置传感器</v>
          </cell>
        </row>
        <row r="12544">
          <cell r="O12544" t="str">
            <v>SC2464SO</v>
          </cell>
          <cell r="P12544" t="str">
            <v>STC9906J</v>
          </cell>
          <cell r="Q12544" t="str">
            <v>磁性位置传感器</v>
          </cell>
        </row>
        <row r="12545">
          <cell r="O12545" t="str">
            <v>SC2498UA-N</v>
          </cell>
          <cell r="P12545" t="str">
            <v>SC9915C</v>
          </cell>
          <cell r="Q12545" t="str">
            <v>磁性位置传感器</v>
          </cell>
        </row>
        <row r="12546">
          <cell r="O12546" t="str">
            <v>SC4689SA</v>
          </cell>
          <cell r="P12546" t="str">
            <v>STC9D01F</v>
          </cell>
          <cell r="Q12546" t="str">
            <v>角度传感器</v>
          </cell>
        </row>
        <row r="12547">
          <cell r="O12547" t="str">
            <v>SC4689SA</v>
          </cell>
          <cell r="P12547" t="str">
            <v>STC9D01F</v>
          </cell>
          <cell r="Q12547" t="str">
            <v>角度传感器</v>
          </cell>
        </row>
        <row r="12548">
          <cell r="O12548" t="str">
            <v>SC4688编程板</v>
          </cell>
          <cell r="P12548" t="str">
            <v xml:space="preserve"> </v>
          </cell>
          <cell r="Q12548" t="str">
            <v>角度传感器</v>
          </cell>
        </row>
        <row r="12549">
          <cell r="O12549" t="str">
            <v>SC2064SO</v>
          </cell>
          <cell r="P12549" t="str">
            <v>STC9G001C</v>
          </cell>
          <cell r="Q12549" t="str">
            <v>磁性位置传感器</v>
          </cell>
        </row>
        <row r="12550">
          <cell r="O12550" t="str">
            <v>SC2642SO</v>
          </cell>
          <cell r="P12550" t="str">
            <v>STC9906H</v>
          </cell>
          <cell r="Q12550" t="str">
            <v>磁性位置传感器</v>
          </cell>
        </row>
        <row r="12551">
          <cell r="O12551" t="str">
            <v>SC2642SO</v>
          </cell>
          <cell r="P12551" t="str">
            <v>STC9906H</v>
          </cell>
          <cell r="Q12551" t="str">
            <v>磁性位置传感器</v>
          </cell>
        </row>
        <row r="12552">
          <cell r="O12552" t="str">
            <v>SC9641TS</v>
          </cell>
          <cell r="P12552" t="str">
            <v>STC9910BN</v>
          </cell>
          <cell r="Q12552" t="str">
            <v>速度传感器</v>
          </cell>
        </row>
        <row r="12553">
          <cell r="O12553" t="str">
            <v>SC9621VB-A</v>
          </cell>
          <cell r="P12553" t="str">
            <v>STC9910NC-Q</v>
          </cell>
          <cell r="Q12553" t="str">
            <v>速度传感器</v>
          </cell>
        </row>
        <row r="12554">
          <cell r="O12554" t="str">
            <v>SC9621VB-A</v>
          </cell>
          <cell r="P12554" t="str">
            <v>STC9910NC-Q</v>
          </cell>
          <cell r="Q12554" t="str">
            <v>速度传感器</v>
          </cell>
        </row>
        <row r="12555">
          <cell r="O12555" t="str">
            <v>SD2276</v>
          </cell>
          <cell r="P12555" t="str">
            <v>FD1014A</v>
          </cell>
          <cell r="Q12555" t="str">
            <v>电机驱动</v>
          </cell>
        </row>
        <row r="12556">
          <cell r="O12556" t="str">
            <v>SC1138SO-N</v>
          </cell>
          <cell r="P12556" t="str">
            <v>STC1898AC</v>
          </cell>
          <cell r="Q12556" t="str">
            <v>磁性位置传感器</v>
          </cell>
        </row>
        <row r="12557">
          <cell r="O12557" t="str">
            <v>SC1138SO-N</v>
          </cell>
          <cell r="P12557" t="str">
            <v>STC1898AC</v>
          </cell>
          <cell r="Q12557" t="str">
            <v>磁性位置传感器</v>
          </cell>
        </row>
        <row r="12558">
          <cell r="O12558" t="str">
            <v>SC1138SO-N</v>
          </cell>
          <cell r="P12558" t="str">
            <v>STC1898AC</v>
          </cell>
          <cell r="Q12558" t="str">
            <v>磁性位置传感器</v>
          </cell>
        </row>
        <row r="12559">
          <cell r="O12559" t="str">
            <v>SC1138SO-N</v>
          </cell>
          <cell r="P12559" t="str">
            <v>STC1898AC</v>
          </cell>
          <cell r="Q12559" t="str">
            <v>磁性位置传感器</v>
          </cell>
        </row>
        <row r="12560">
          <cell r="O12560" t="str">
            <v>SC1138SO-N</v>
          </cell>
          <cell r="P12560" t="str">
            <v>STC1898AC</v>
          </cell>
          <cell r="Q12560" t="str">
            <v>磁性位置传感器</v>
          </cell>
        </row>
        <row r="12561">
          <cell r="O12561" t="str">
            <v>SC1138SO-N</v>
          </cell>
          <cell r="P12561" t="str">
            <v>STC1898AC</v>
          </cell>
          <cell r="Q12561" t="str">
            <v>磁性位置传感器</v>
          </cell>
        </row>
        <row r="12562">
          <cell r="O12562" t="str">
            <v>SC2442UA</v>
          </cell>
          <cell r="P12562" t="str">
            <v>STC9906P</v>
          </cell>
          <cell r="Q12562" t="str">
            <v>磁性位置传感器</v>
          </cell>
        </row>
        <row r="12563">
          <cell r="O12563" t="str">
            <v>SC9642TS-E</v>
          </cell>
          <cell r="P12563" t="str">
            <v>STC9A001H</v>
          </cell>
          <cell r="Q12563" t="str">
            <v>速度传感器</v>
          </cell>
        </row>
        <row r="12564">
          <cell r="O12564" t="str">
            <v>SC9642TS-E</v>
          </cell>
          <cell r="P12564" t="str">
            <v>STC9A001H</v>
          </cell>
          <cell r="Q12564" t="str">
            <v>速度传感器</v>
          </cell>
        </row>
        <row r="12565">
          <cell r="O12565" t="str">
            <v>SC9641TS-P</v>
          </cell>
          <cell r="P12565" t="str">
            <v>STC9A001F</v>
          </cell>
          <cell r="Q12565" t="str">
            <v>速度传感器</v>
          </cell>
        </row>
        <row r="12566">
          <cell r="O12566" t="str">
            <v>SC9641TS-P</v>
          </cell>
          <cell r="P12566" t="str">
            <v>STC9A001F</v>
          </cell>
          <cell r="Q12566" t="str">
            <v>速度传感器</v>
          </cell>
        </row>
        <row r="12567">
          <cell r="O12567" t="str">
            <v>SC9641TS-P</v>
          </cell>
          <cell r="P12567" t="str">
            <v>STC9A001F</v>
          </cell>
          <cell r="Q12567" t="str">
            <v>速度传感器</v>
          </cell>
        </row>
        <row r="12568">
          <cell r="O12568" t="str">
            <v>SC2064SO</v>
          </cell>
          <cell r="P12568" t="str">
            <v>STC9G001C</v>
          </cell>
          <cell r="Q12568" t="str">
            <v>磁性位置传感器</v>
          </cell>
        </row>
        <row r="12569">
          <cell r="O12569" t="str">
            <v>SC9632VB</v>
          </cell>
          <cell r="P12569" t="str">
            <v>STC9905E</v>
          </cell>
          <cell r="Q12569" t="str">
            <v>速度传感器</v>
          </cell>
        </row>
        <row r="12570">
          <cell r="O12570" t="str">
            <v>SC2442SO-N</v>
          </cell>
          <cell r="P12570" t="str">
            <v>STC9906P</v>
          </cell>
          <cell r="Q12570" t="str">
            <v>磁性位置传感器</v>
          </cell>
        </row>
        <row r="12571">
          <cell r="O12571" t="str">
            <v>SC2402SO-N</v>
          </cell>
          <cell r="P12571" t="str">
            <v>STC9G002A</v>
          </cell>
          <cell r="Q12571" t="str">
            <v>磁性位置传感器</v>
          </cell>
        </row>
        <row r="12572">
          <cell r="O12572" t="str">
            <v>SC2402SO-N</v>
          </cell>
          <cell r="P12572" t="str">
            <v>STC9G002A</v>
          </cell>
          <cell r="Q12572" t="str">
            <v>磁性位置传感器</v>
          </cell>
        </row>
        <row r="12573">
          <cell r="O12573" t="str">
            <v>SC4643VB</v>
          </cell>
          <cell r="P12573" t="str">
            <v>STC9D03E</v>
          </cell>
          <cell r="Q12573" t="str">
            <v>电流传感器</v>
          </cell>
        </row>
        <row r="12574">
          <cell r="O12574" t="str">
            <v>SC4643VB</v>
          </cell>
          <cell r="P12574" t="str">
            <v>STC9D03E</v>
          </cell>
          <cell r="Q12574" t="str">
            <v>电流传感器</v>
          </cell>
        </row>
        <row r="12575">
          <cell r="O12575" t="str">
            <v>SC4643VB</v>
          </cell>
          <cell r="P12575" t="str">
            <v>STC9D03E</v>
          </cell>
          <cell r="Q12575" t="str">
            <v>电流传感器</v>
          </cell>
        </row>
        <row r="12576">
          <cell r="O12576" t="str">
            <v>SC9314UA</v>
          </cell>
          <cell r="P12576" t="str">
            <v>STC9901AF</v>
          </cell>
          <cell r="Q12576" t="str">
            <v>速度传感器</v>
          </cell>
        </row>
        <row r="12577">
          <cell r="O12577" t="str">
            <v>SC9641TS-P</v>
          </cell>
          <cell r="P12577" t="str">
            <v>STC9A001I</v>
          </cell>
          <cell r="Q12577" t="str">
            <v>速度传感器</v>
          </cell>
        </row>
        <row r="12578">
          <cell r="O12578" t="str">
            <v>SC9641TS-P</v>
          </cell>
          <cell r="P12578" t="str">
            <v>STC9A001I</v>
          </cell>
          <cell r="Q12578" t="str">
            <v>速度传感器</v>
          </cell>
        </row>
        <row r="12579">
          <cell r="O12579" t="str">
            <v>SC9641TS-P</v>
          </cell>
          <cell r="P12579" t="str">
            <v>STC9A001I</v>
          </cell>
          <cell r="Q12579" t="str">
            <v>速度传感器</v>
          </cell>
        </row>
        <row r="12580">
          <cell r="O12580" t="str">
            <v>SC2402SO-N</v>
          </cell>
          <cell r="P12580" t="str">
            <v>STC9G002A</v>
          </cell>
          <cell r="Q12580" t="str">
            <v>磁性位置传感器</v>
          </cell>
        </row>
        <row r="12581">
          <cell r="O12581" t="str">
            <v>SC2402SO-N</v>
          </cell>
          <cell r="P12581" t="str">
            <v>STC9G002A</v>
          </cell>
          <cell r="Q12581" t="str">
            <v>磁性位置传感器</v>
          </cell>
        </row>
        <row r="12582">
          <cell r="O12582" t="str">
            <v>SC4643VB-A</v>
          </cell>
          <cell r="P12582" t="str">
            <v>STC9D03E</v>
          </cell>
          <cell r="Q12582" t="str">
            <v>电流传感器</v>
          </cell>
        </row>
        <row r="12583">
          <cell r="O12583" t="str">
            <v>SC4643VB-A</v>
          </cell>
          <cell r="P12583" t="str">
            <v>STC9D03E</v>
          </cell>
          <cell r="Q12583" t="str">
            <v>电流传感器</v>
          </cell>
        </row>
        <row r="12584">
          <cell r="O12584" t="str">
            <v>SC4643VB-A</v>
          </cell>
          <cell r="P12584" t="str">
            <v>STC9D03E</v>
          </cell>
          <cell r="Q12584" t="str">
            <v>电流传感器</v>
          </cell>
        </row>
        <row r="12585">
          <cell r="O12585" t="str">
            <v>SC4643VB-A</v>
          </cell>
          <cell r="P12585" t="str">
            <v>STC9D03E</v>
          </cell>
          <cell r="Q12585" t="str">
            <v>电流传感器</v>
          </cell>
        </row>
        <row r="12586">
          <cell r="O12586" t="str">
            <v>SC4643VB</v>
          </cell>
          <cell r="P12586" t="str">
            <v>STC9D03E</v>
          </cell>
          <cell r="Q12586" t="str">
            <v>电流传感器</v>
          </cell>
        </row>
        <row r="12587">
          <cell r="O12587" t="str">
            <v>SC2430UA</v>
          </cell>
          <cell r="P12587" t="str">
            <v>STC9906I</v>
          </cell>
          <cell r="Q12587" t="str">
            <v>磁性位置传感器</v>
          </cell>
        </row>
        <row r="12588">
          <cell r="O12588" t="str">
            <v>SC9641TS</v>
          </cell>
          <cell r="P12588" t="str">
            <v>STC9910BN</v>
          </cell>
          <cell r="Q12588" t="str">
            <v>速度传感器</v>
          </cell>
        </row>
        <row r="12589">
          <cell r="O12589" t="str">
            <v>SC1134UA</v>
          </cell>
          <cell r="P12589" t="str">
            <v>STC1898AI</v>
          </cell>
          <cell r="Q12589" t="str">
            <v>磁性位置传感器</v>
          </cell>
        </row>
        <row r="12590">
          <cell r="O12590" t="str">
            <v>SC1134UA</v>
          </cell>
          <cell r="P12590" t="str">
            <v>STC1898AI</v>
          </cell>
          <cell r="Q12590" t="str">
            <v>磁性位置传感器</v>
          </cell>
        </row>
        <row r="12591">
          <cell r="O12591" t="str">
            <v>SC1134UA</v>
          </cell>
          <cell r="P12591" t="str">
            <v>STC1898AI</v>
          </cell>
          <cell r="Q12591" t="str">
            <v>磁性位置传感器</v>
          </cell>
        </row>
        <row r="12592">
          <cell r="O12592" t="str">
            <v>SC9314UA</v>
          </cell>
          <cell r="P12592" t="str">
            <v>STC9901AF</v>
          </cell>
          <cell r="Q12592" t="str">
            <v>速度传感器</v>
          </cell>
        </row>
        <row r="12593">
          <cell r="O12593" t="str">
            <v>SC9314UA</v>
          </cell>
          <cell r="P12593" t="str">
            <v>STC9901AF</v>
          </cell>
          <cell r="Q12593" t="str">
            <v>速度传感器</v>
          </cell>
        </row>
        <row r="12594">
          <cell r="O12594" t="str">
            <v>SC2438UA</v>
          </cell>
          <cell r="P12594" t="str">
            <v>STC9906I</v>
          </cell>
          <cell r="Q12594" t="str">
            <v>磁性位置传感器</v>
          </cell>
        </row>
        <row r="12595">
          <cell r="O12595" t="str">
            <v>SC2438UA</v>
          </cell>
          <cell r="P12595" t="str">
            <v>STC9906I</v>
          </cell>
          <cell r="Q12595" t="str">
            <v>磁性位置传感器</v>
          </cell>
        </row>
        <row r="12596">
          <cell r="O12596" t="str">
            <v>SC1134UA</v>
          </cell>
          <cell r="P12596" t="str">
            <v>STC1898AI</v>
          </cell>
          <cell r="Q12596" t="str">
            <v>磁性位置传感器</v>
          </cell>
        </row>
        <row r="12597">
          <cell r="O12597" t="str">
            <v>SC1445A1</v>
          </cell>
          <cell r="P12597" t="str">
            <v>STC2899AB</v>
          </cell>
          <cell r="Q12597" t="str">
            <v>磁性位置传感器</v>
          </cell>
        </row>
        <row r="12598">
          <cell r="O12598" t="str">
            <v>SC4011SO-N</v>
          </cell>
          <cell r="P12598" t="str">
            <v>STC4011B</v>
          </cell>
          <cell r="Q12598" t="str">
            <v>磁性位置传感器</v>
          </cell>
        </row>
        <row r="12599">
          <cell r="O12599" t="str">
            <v>SC4011SO-N</v>
          </cell>
          <cell r="P12599" t="str">
            <v>STC4011B</v>
          </cell>
          <cell r="Q12599" t="str">
            <v>磁性位置传感器</v>
          </cell>
        </row>
        <row r="12600">
          <cell r="O12600" t="str">
            <v>TW3485</v>
          </cell>
          <cell r="P12600" t="str">
            <v>TW3485</v>
          </cell>
          <cell r="Q12600" t="str">
            <v>其他数模混合</v>
          </cell>
        </row>
        <row r="12601">
          <cell r="O12601" t="str">
            <v>SC4001SE</v>
          </cell>
          <cell r="P12601" t="str">
            <v>STC4001AB</v>
          </cell>
          <cell r="Q12601" t="str">
            <v>磁性位置传感器</v>
          </cell>
        </row>
        <row r="12602">
          <cell r="O12602" t="str">
            <v>SC4001SE</v>
          </cell>
          <cell r="P12602" t="str">
            <v>STC4001AB</v>
          </cell>
          <cell r="Q12602" t="str">
            <v>磁性位置传感器</v>
          </cell>
        </row>
        <row r="12603">
          <cell r="O12603" t="str">
            <v>SC4001SE</v>
          </cell>
          <cell r="P12603" t="str">
            <v>STC4001AB</v>
          </cell>
          <cell r="Q12603" t="str">
            <v>磁性位置传感器</v>
          </cell>
        </row>
        <row r="12604">
          <cell r="O12604" t="str">
            <v>SC4001SE</v>
          </cell>
          <cell r="P12604" t="str">
            <v>STC4001AB</v>
          </cell>
          <cell r="Q12604" t="str">
            <v>磁性位置传感器</v>
          </cell>
        </row>
        <row r="12605">
          <cell r="O12605" t="str">
            <v>SC2242SO</v>
          </cell>
          <cell r="P12605" t="str">
            <v>STC9906H</v>
          </cell>
          <cell r="Q12605" t="str">
            <v>磁性位置传感器</v>
          </cell>
        </row>
        <row r="12606">
          <cell r="O12606" t="str">
            <v>SC4011SO-N</v>
          </cell>
          <cell r="P12606" t="str">
            <v>STC4011B</v>
          </cell>
          <cell r="Q12606" t="str">
            <v>磁性位置传感器</v>
          </cell>
        </row>
        <row r="12607">
          <cell r="O12607" t="str">
            <v>SC4688SA</v>
          </cell>
          <cell r="P12607" t="str">
            <v>STC9D01C</v>
          </cell>
          <cell r="Q12607" t="str">
            <v>角度传感器</v>
          </cell>
        </row>
        <row r="12608">
          <cell r="O12608" t="str">
            <v>SC9625VB-L</v>
          </cell>
          <cell r="P12608" t="str">
            <v>STC9910E</v>
          </cell>
          <cell r="Q12608" t="str">
            <v>速度传感器</v>
          </cell>
        </row>
        <row r="12609">
          <cell r="O12609" t="str">
            <v>SC2402UA</v>
          </cell>
          <cell r="P12609" t="str">
            <v>STC9G002A</v>
          </cell>
          <cell r="Q12609" t="str">
            <v>磁性位置传感器</v>
          </cell>
        </row>
        <row r="12610">
          <cell r="O12610" t="str">
            <v>SC2443SO</v>
          </cell>
          <cell r="P12610" t="str">
            <v>STC9906T</v>
          </cell>
          <cell r="Q12610" t="str">
            <v>磁性位置传感器</v>
          </cell>
        </row>
        <row r="12611">
          <cell r="O12611" t="str">
            <v>SC2443SO</v>
          </cell>
          <cell r="P12611" t="str">
            <v>STC9906T</v>
          </cell>
          <cell r="Q12611" t="str">
            <v>磁性位置传感器</v>
          </cell>
        </row>
        <row r="12612">
          <cell r="O12612" t="str">
            <v>SC2443UA</v>
          </cell>
          <cell r="P12612" t="str">
            <v>STC9906W</v>
          </cell>
          <cell r="Q12612" t="str">
            <v>磁性位置传感器</v>
          </cell>
        </row>
        <row r="12613">
          <cell r="O12613" t="str">
            <v>SC2443UA</v>
          </cell>
          <cell r="P12613" t="str">
            <v>STC9906W</v>
          </cell>
          <cell r="Q12613" t="str">
            <v>磁性位置传感器</v>
          </cell>
        </row>
        <row r="12614">
          <cell r="O12614" t="str">
            <v>SC2443UA</v>
          </cell>
          <cell r="P12614" t="str">
            <v>STC9906W</v>
          </cell>
          <cell r="Q12614" t="str">
            <v>磁性位置传感器</v>
          </cell>
        </row>
        <row r="12615">
          <cell r="O12615" t="str">
            <v>SC9625VB-L</v>
          </cell>
          <cell r="P12615" t="str">
            <v>STC9910E</v>
          </cell>
          <cell r="Q12615" t="str">
            <v>速度传感器</v>
          </cell>
        </row>
        <row r="12616">
          <cell r="O12616" t="str">
            <v>SC4645VB</v>
          </cell>
          <cell r="P12616" t="str">
            <v>STC9D06F</v>
          </cell>
          <cell r="Q12616" t="str">
            <v>电流传感器</v>
          </cell>
        </row>
        <row r="12617">
          <cell r="O12617" t="str">
            <v>SC4643VB</v>
          </cell>
          <cell r="P12617" t="str">
            <v>STC9D03E</v>
          </cell>
          <cell r="Q12617" t="str">
            <v>电流传感器</v>
          </cell>
        </row>
        <row r="12618">
          <cell r="O12618" t="str">
            <v>SC2242UA</v>
          </cell>
          <cell r="P12618" t="str">
            <v>STC9906H</v>
          </cell>
          <cell r="Q12618" t="str">
            <v>磁性位置传感器</v>
          </cell>
        </row>
        <row r="12619">
          <cell r="O12619" t="str">
            <v>SC2442UA</v>
          </cell>
          <cell r="P12619" t="str">
            <v>STC9906P</v>
          </cell>
          <cell r="Q12619" t="str">
            <v>磁性位置传感器</v>
          </cell>
        </row>
        <row r="12620">
          <cell r="O12620" t="str">
            <v>SC1134UA</v>
          </cell>
          <cell r="P12620" t="str">
            <v>STC1898AI</v>
          </cell>
          <cell r="Q12620" t="str">
            <v>磁性位置传感器</v>
          </cell>
        </row>
        <row r="12621">
          <cell r="O12621" t="str">
            <v>SC1134UA</v>
          </cell>
          <cell r="P12621" t="str">
            <v>STC1898AI</v>
          </cell>
          <cell r="Q12621" t="str">
            <v>磁性位置传感器</v>
          </cell>
        </row>
        <row r="12622">
          <cell r="O12622" t="str">
            <v>SC4645VB-12S</v>
          </cell>
          <cell r="P12622" t="str">
            <v>STC9D06F</v>
          </cell>
          <cell r="Q12622" t="str">
            <v>电流传感器</v>
          </cell>
        </row>
        <row r="12623">
          <cell r="O12623" t="str">
            <v>SD2276</v>
          </cell>
          <cell r="P12623" t="str">
            <v>FD1014A</v>
          </cell>
          <cell r="Q12623" t="str">
            <v>电机驱动</v>
          </cell>
        </row>
        <row r="12624">
          <cell r="O12624" t="str">
            <v>SD2276</v>
          </cell>
          <cell r="P12624" t="str">
            <v>FD1014A</v>
          </cell>
          <cell r="Q12624" t="str">
            <v>电机驱动</v>
          </cell>
        </row>
        <row r="12625">
          <cell r="O12625" t="str">
            <v>SD2276</v>
          </cell>
          <cell r="P12625" t="str">
            <v>FD1014A</v>
          </cell>
          <cell r="Q12625" t="str">
            <v>电机驱动</v>
          </cell>
        </row>
        <row r="12626">
          <cell r="O12626" t="str">
            <v>SC4011SO-N</v>
          </cell>
          <cell r="P12626" t="str">
            <v>STC4011B</v>
          </cell>
          <cell r="Q12626" t="str">
            <v>磁性位置传感器</v>
          </cell>
        </row>
        <row r="12627">
          <cell r="O12627" t="str">
            <v>SC2442UA</v>
          </cell>
          <cell r="P12627" t="str">
            <v>STC9906P</v>
          </cell>
          <cell r="Q12627" t="str">
            <v>磁性位置传感器</v>
          </cell>
        </row>
        <row r="12628">
          <cell r="O12628" t="str">
            <v>SC2442UA</v>
          </cell>
          <cell r="P12628" t="str">
            <v>STC9906P</v>
          </cell>
          <cell r="Q12628" t="str">
            <v>磁性位置传感器</v>
          </cell>
        </row>
        <row r="12629">
          <cell r="O12629" t="str">
            <v>SC4011SO-N</v>
          </cell>
          <cell r="P12629" t="str">
            <v>STC4011B</v>
          </cell>
          <cell r="Q12629" t="str">
            <v>磁性位置传感器</v>
          </cell>
        </row>
        <row r="12630">
          <cell r="O12630" t="str">
            <v>SC4011SO-N</v>
          </cell>
          <cell r="P12630" t="str">
            <v>STC4011B</v>
          </cell>
          <cell r="Q12630" t="str">
            <v>磁性位置传感器</v>
          </cell>
        </row>
        <row r="12631">
          <cell r="O12631" t="str">
            <v>SC4624SP20B5</v>
          </cell>
          <cell r="P12631" t="str">
            <v>STC9D06F</v>
          </cell>
          <cell r="Q12631" t="str">
            <v>电流传感器</v>
          </cell>
        </row>
        <row r="12632">
          <cell r="O12632" t="str">
            <v>SC4688SA</v>
          </cell>
          <cell r="P12632" t="str">
            <v>STC9D01C</v>
          </cell>
          <cell r="Q12632" t="str">
            <v>角度传感器</v>
          </cell>
        </row>
        <row r="12633">
          <cell r="O12633" t="str">
            <v>SC9314UA</v>
          </cell>
          <cell r="P12633" t="str">
            <v>STC9901AF</v>
          </cell>
          <cell r="Q12633" t="str">
            <v>速度传感器</v>
          </cell>
        </row>
        <row r="12634">
          <cell r="O12634" t="str">
            <v>SC9314UA</v>
          </cell>
          <cell r="P12634" t="str">
            <v>STC9901AF</v>
          </cell>
          <cell r="Q12634" t="str">
            <v>速度传感器</v>
          </cell>
        </row>
        <row r="12635">
          <cell r="O12635" t="str">
            <v>SC9314UA</v>
          </cell>
          <cell r="P12635" t="str">
            <v>STC9901AF</v>
          </cell>
          <cell r="Q12635" t="str">
            <v>速度传感器</v>
          </cell>
        </row>
        <row r="12636">
          <cell r="O12636" t="str">
            <v>SC9314UA</v>
          </cell>
          <cell r="P12636" t="str">
            <v>STC9901AF</v>
          </cell>
          <cell r="Q12636" t="str">
            <v>速度传感器</v>
          </cell>
        </row>
        <row r="12637">
          <cell r="O12637" t="str">
            <v>SC2546VB</v>
          </cell>
          <cell r="P12637" t="str">
            <v>STC9906H</v>
          </cell>
          <cell r="Q12637" t="str">
            <v>磁性位置传感器</v>
          </cell>
        </row>
        <row r="12638">
          <cell r="O12638" t="str">
            <v>SC2442UA</v>
          </cell>
          <cell r="P12638" t="str">
            <v>STC9906P</v>
          </cell>
          <cell r="Q12638" t="str">
            <v>磁性位置传感器</v>
          </cell>
        </row>
        <row r="12639">
          <cell r="O12639" t="str">
            <v>SC2464SO</v>
          </cell>
          <cell r="P12639" t="str">
            <v>STC9906J</v>
          </cell>
          <cell r="Q12639" t="str">
            <v>磁性位置传感器</v>
          </cell>
        </row>
        <row r="12640">
          <cell r="O12640" t="str">
            <v>SC2464SO</v>
          </cell>
          <cell r="P12640" t="str">
            <v>STC9906J</v>
          </cell>
          <cell r="Q12640" t="str">
            <v>磁性位置传感器</v>
          </cell>
        </row>
        <row r="12641">
          <cell r="O12641" t="str">
            <v>SC2464SO</v>
          </cell>
          <cell r="P12641" t="str">
            <v>STC9906J</v>
          </cell>
          <cell r="Q12641" t="str">
            <v>磁性位置传感器</v>
          </cell>
        </row>
        <row r="12642">
          <cell r="O12642" t="str">
            <v>SC9675IM-P-LRF00</v>
          </cell>
          <cell r="P12642" t="str">
            <v>STC9A002B</v>
          </cell>
          <cell r="Q12642" t="str">
            <v>速度传感器</v>
          </cell>
        </row>
        <row r="12643">
          <cell r="O12643" t="str">
            <v>SC60228DC</v>
          </cell>
          <cell r="P12643" t="str">
            <v>STC9D04C</v>
          </cell>
          <cell r="Q12643" t="str">
            <v>电机编码器</v>
          </cell>
        </row>
        <row r="12644">
          <cell r="O12644" t="str">
            <v>SC4011UA</v>
          </cell>
          <cell r="P12644" t="str">
            <v>STC4011B</v>
          </cell>
          <cell r="Q12644" t="str">
            <v>磁性位置传感器</v>
          </cell>
        </row>
        <row r="12645">
          <cell r="O12645" t="str">
            <v>SC60104</v>
          </cell>
          <cell r="P12645" t="str">
            <v>STC9D02C</v>
          </cell>
          <cell r="Q12645" t="str">
            <v>电机编码器</v>
          </cell>
        </row>
        <row r="12646">
          <cell r="O12646" t="str">
            <v>SC4645VB-12S</v>
          </cell>
          <cell r="P12646" t="str">
            <v>STC9D06F</v>
          </cell>
          <cell r="Q12646" t="str">
            <v>电流传感器</v>
          </cell>
        </row>
        <row r="12647">
          <cell r="O12647" t="str">
            <v>STC4011B</v>
          </cell>
          <cell r="P12647" t="str">
            <v>STC4011B</v>
          </cell>
          <cell r="Q12647" t="str">
            <v>磁性位置传感器</v>
          </cell>
        </row>
        <row r="12648">
          <cell r="O12648" t="str">
            <v>SC2434UA</v>
          </cell>
          <cell r="P12648" t="str">
            <v>STC9906I</v>
          </cell>
          <cell r="Q12648" t="str">
            <v>磁性位置传感器</v>
          </cell>
        </row>
        <row r="12649">
          <cell r="O12649" t="str">
            <v>SC1134UA</v>
          </cell>
          <cell r="P12649" t="str">
            <v>STC1898AI</v>
          </cell>
          <cell r="Q12649" t="str">
            <v>磁性位置传感器</v>
          </cell>
        </row>
        <row r="12650">
          <cell r="O12650" t="str">
            <v>SC1134UA</v>
          </cell>
          <cell r="P12650" t="str">
            <v>STC1898AI</v>
          </cell>
          <cell r="Q12650" t="str">
            <v>磁性位置传感器</v>
          </cell>
        </row>
        <row r="12651">
          <cell r="O12651" t="str">
            <v>SC1134UA</v>
          </cell>
          <cell r="P12651" t="str">
            <v>STC1898AI</v>
          </cell>
          <cell r="Q12651" t="str">
            <v>磁性位置传感器</v>
          </cell>
        </row>
        <row r="12652">
          <cell r="O12652" t="str">
            <v>SC4643VB</v>
          </cell>
          <cell r="P12652" t="str">
            <v>STC9D03D</v>
          </cell>
          <cell r="Q12652" t="str">
            <v>电流传感器</v>
          </cell>
        </row>
        <row r="12653">
          <cell r="O12653" t="str">
            <v>SC4643VB</v>
          </cell>
          <cell r="P12653" t="str">
            <v>STC9D03D</v>
          </cell>
          <cell r="Q12653" t="str">
            <v>电流传感器</v>
          </cell>
        </row>
        <row r="12654">
          <cell r="O12654" t="str">
            <v>SC4643VB</v>
          </cell>
          <cell r="P12654" t="str">
            <v>STC9D03D</v>
          </cell>
          <cell r="Q12654" t="str">
            <v>电流传感器</v>
          </cell>
        </row>
        <row r="12655">
          <cell r="O12655" t="str">
            <v>SC4643VB</v>
          </cell>
          <cell r="P12655" t="str">
            <v>STC9D03D</v>
          </cell>
          <cell r="Q12655" t="str">
            <v>电流传感器</v>
          </cell>
        </row>
        <row r="12656">
          <cell r="O12656" t="str">
            <v>SC4643VB</v>
          </cell>
          <cell r="P12656" t="str">
            <v>STC9D03D</v>
          </cell>
          <cell r="Q12656" t="str">
            <v>电流传感器</v>
          </cell>
        </row>
        <row r="12657">
          <cell r="O12657" t="str">
            <v>SC4643VB</v>
          </cell>
          <cell r="P12657" t="str">
            <v>STC9D03D</v>
          </cell>
          <cell r="Q12657" t="str">
            <v>电流传感器</v>
          </cell>
        </row>
        <row r="12658">
          <cell r="O12658" t="str">
            <v>SC4643VB</v>
          </cell>
          <cell r="P12658" t="str">
            <v>STC9D03D</v>
          </cell>
          <cell r="Q12658" t="str">
            <v>电流传感器</v>
          </cell>
        </row>
        <row r="12659">
          <cell r="O12659" t="str">
            <v>SC4643VB</v>
          </cell>
          <cell r="P12659" t="str">
            <v>STC9D03E</v>
          </cell>
          <cell r="Q12659" t="str">
            <v>电流传感器</v>
          </cell>
        </row>
        <row r="12660">
          <cell r="O12660" t="str">
            <v>SC4643VB</v>
          </cell>
          <cell r="P12660" t="str">
            <v>STC9D03E</v>
          </cell>
          <cell r="Q12660" t="str">
            <v>电流传感器</v>
          </cell>
        </row>
        <row r="12661">
          <cell r="O12661" t="str">
            <v>SC60221-D-256</v>
          </cell>
          <cell r="P12661" t="str">
            <v>STC9D04C</v>
          </cell>
          <cell r="Q12661" t="str">
            <v>电机编码器</v>
          </cell>
        </row>
        <row r="12662">
          <cell r="O12662" t="str">
            <v>SC60221-D-256</v>
          </cell>
          <cell r="P12662" t="str">
            <v>STC9D04C</v>
          </cell>
          <cell r="Q12662" t="str">
            <v>电机编码器</v>
          </cell>
        </row>
        <row r="12663">
          <cell r="O12663" t="str">
            <v>PSTC9D06F</v>
          </cell>
          <cell r="P12663" t="str">
            <v>STC9D06F</v>
          </cell>
          <cell r="Q12663" t="str">
            <v>电流传感器</v>
          </cell>
        </row>
        <row r="12664">
          <cell r="O12664" t="str">
            <v>SC9641TS-P</v>
          </cell>
          <cell r="P12664" t="str">
            <v>STC9A001F</v>
          </cell>
          <cell r="Q12664" t="str">
            <v>速度传感器</v>
          </cell>
        </row>
        <row r="12665">
          <cell r="O12665" t="str">
            <v>SC9641TS-P</v>
          </cell>
          <cell r="P12665" t="str">
            <v>STC9A001F</v>
          </cell>
          <cell r="Q12665" t="str">
            <v>速度传感器</v>
          </cell>
        </row>
        <row r="12666">
          <cell r="O12666" t="str">
            <v>SC9641TS-P</v>
          </cell>
          <cell r="P12666" t="str">
            <v>STC9A001F</v>
          </cell>
          <cell r="Q12666" t="str">
            <v>速度传感器</v>
          </cell>
        </row>
        <row r="12667">
          <cell r="O12667" t="str">
            <v>SC9641TS-P</v>
          </cell>
          <cell r="P12667" t="str">
            <v>STC9A001F</v>
          </cell>
          <cell r="Q12667" t="str">
            <v>速度传感器</v>
          </cell>
        </row>
        <row r="12668">
          <cell r="O12668" t="str">
            <v>PSTC9G005C</v>
          </cell>
          <cell r="P12668" t="str">
            <v>STC9G005C</v>
          </cell>
          <cell r="Q12668" t="str">
            <v>其他数模混合</v>
          </cell>
        </row>
        <row r="12669">
          <cell r="O12669" t="str">
            <v>SC4688SA</v>
          </cell>
          <cell r="P12669" t="str">
            <v>STC9D01C</v>
          </cell>
          <cell r="Q12669" t="str">
            <v>角度传感器</v>
          </cell>
        </row>
        <row r="12670">
          <cell r="O12670" t="str">
            <v>SC2662SO-N</v>
          </cell>
          <cell r="P12670" t="str">
            <v>STC9906P</v>
          </cell>
          <cell r="Q12670" t="str">
            <v>磁性位置传感器</v>
          </cell>
        </row>
        <row r="12671">
          <cell r="O12671" t="str">
            <v>SC9632VB</v>
          </cell>
          <cell r="P12671" t="str">
            <v>STC9905E</v>
          </cell>
          <cell r="Q12671" t="str">
            <v>速度传感器</v>
          </cell>
        </row>
        <row r="12672">
          <cell r="O12672" t="str">
            <v>SC9625VB-L</v>
          </cell>
          <cell r="P12672" t="str">
            <v>STC9910E</v>
          </cell>
          <cell r="Q12672" t="str">
            <v>速度传感器</v>
          </cell>
        </row>
        <row r="12673">
          <cell r="O12673" t="str">
            <v>SC9642TS-EC</v>
          </cell>
          <cell r="P12673" t="str">
            <v>STC9A001H</v>
          </cell>
          <cell r="Q12673" t="str">
            <v>速度传感器</v>
          </cell>
        </row>
        <row r="12674">
          <cell r="O12674" t="str">
            <v>SC60224-D-1024-976-BSD-01</v>
          </cell>
          <cell r="P12674" t="str">
            <v>STC9D04C</v>
          </cell>
          <cell r="Q12674" t="str">
            <v>电机编码器</v>
          </cell>
        </row>
        <row r="12675">
          <cell r="O12675" t="str">
            <v>SC60224-D-1024-976-BSD-01</v>
          </cell>
          <cell r="P12675" t="str">
            <v>STC9D04C</v>
          </cell>
          <cell r="Q12675" t="str">
            <v>电机编码器</v>
          </cell>
        </row>
        <row r="12676">
          <cell r="O12676" t="str">
            <v>SC2438SO</v>
          </cell>
          <cell r="P12676" t="str">
            <v>STC9906I</v>
          </cell>
          <cell r="Q12676" t="str">
            <v>磁性位置传感器</v>
          </cell>
        </row>
        <row r="12677">
          <cell r="O12677" t="str">
            <v>SC2438SO</v>
          </cell>
          <cell r="P12677" t="str">
            <v>STC9906I</v>
          </cell>
          <cell r="Q12677" t="str">
            <v>磁性位置传感器</v>
          </cell>
        </row>
        <row r="12678">
          <cell r="O12678" t="str">
            <v>SC4643VB</v>
          </cell>
          <cell r="P12678" t="str">
            <v>STC9D03E</v>
          </cell>
          <cell r="Q12678" t="str">
            <v>电流传感器</v>
          </cell>
        </row>
        <row r="12679">
          <cell r="O12679" t="str">
            <v>SC60221-D-360</v>
          </cell>
          <cell r="P12679" t="str">
            <v>STC9D04C</v>
          </cell>
          <cell r="Q12679" t="str">
            <v>电机编码器</v>
          </cell>
        </row>
        <row r="12680">
          <cell r="O12680" t="str">
            <v>SC41H</v>
          </cell>
          <cell r="P12680" t="str">
            <v>STC1002AG</v>
          </cell>
          <cell r="Q12680" t="str">
            <v>磁性位置传感器</v>
          </cell>
        </row>
        <row r="12681">
          <cell r="O12681" t="str">
            <v>SC1945N1W</v>
          </cell>
          <cell r="P12681" t="str">
            <v>STC2899AM</v>
          </cell>
          <cell r="Q12681" t="str">
            <v>磁性位置传感器</v>
          </cell>
        </row>
        <row r="12682">
          <cell r="O12682" t="str">
            <v>SC4645VB-5S</v>
          </cell>
          <cell r="P12682" t="str">
            <v>STC9D06F</v>
          </cell>
          <cell r="Q12682" t="str">
            <v>电流传感器</v>
          </cell>
        </row>
        <row r="12683">
          <cell r="O12683" t="str">
            <v>SC4645VB-12S</v>
          </cell>
          <cell r="P12683" t="str">
            <v>STC9D06F</v>
          </cell>
          <cell r="Q12683" t="str">
            <v>电流传感器</v>
          </cell>
        </row>
        <row r="12684">
          <cell r="O12684" t="str">
            <v>SC9634VB</v>
          </cell>
          <cell r="P12684" t="str">
            <v>STC9905G</v>
          </cell>
          <cell r="Q12684" t="str">
            <v>速度传感器</v>
          </cell>
        </row>
        <row r="12685">
          <cell r="O12685" t="str">
            <v>SC9634VB</v>
          </cell>
          <cell r="P12685" t="str">
            <v>STC9905G</v>
          </cell>
          <cell r="Q12685" t="str">
            <v>速度传感器</v>
          </cell>
        </row>
        <row r="12686">
          <cell r="O12686" t="str">
            <v>SC9634VB</v>
          </cell>
          <cell r="P12686" t="str">
            <v>STC9905G</v>
          </cell>
          <cell r="Q12686" t="str">
            <v>速度传感器</v>
          </cell>
        </row>
        <row r="12687">
          <cell r="O12687" t="str">
            <v>SC2402UA</v>
          </cell>
          <cell r="P12687" t="str">
            <v>STC9902J</v>
          </cell>
          <cell r="Q12687" t="str">
            <v>磁性位置传感器</v>
          </cell>
        </row>
        <row r="12688">
          <cell r="O12688" t="str">
            <v>SC2402UA</v>
          </cell>
          <cell r="P12688" t="str">
            <v>STC9902J</v>
          </cell>
          <cell r="Q12688" t="str">
            <v>磁性位置传感器</v>
          </cell>
        </row>
        <row r="12689">
          <cell r="O12689" t="str">
            <v>SC1245SO-N</v>
          </cell>
          <cell r="P12689" t="str">
            <v>STC1898AD</v>
          </cell>
          <cell r="Q12689" t="str">
            <v>磁性位置传感器</v>
          </cell>
        </row>
        <row r="12690">
          <cell r="O12690" t="str">
            <v>SC1245SO-N</v>
          </cell>
          <cell r="P12690" t="str">
            <v>STC1898AD</v>
          </cell>
          <cell r="Q12690" t="str">
            <v>磁性位置传感器</v>
          </cell>
        </row>
        <row r="12691">
          <cell r="O12691" t="str">
            <v>SC1245SO-N</v>
          </cell>
          <cell r="P12691" t="str">
            <v>STC1898AD</v>
          </cell>
          <cell r="Q12691" t="str">
            <v>磁性位置传感器</v>
          </cell>
        </row>
        <row r="12692">
          <cell r="O12692" t="str">
            <v>SC1245SO-N</v>
          </cell>
          <cell r="P12692" t="str">
            <v>STC1898AD</v>
          </cell>
          <cell r="Q12692" t="str">
            <v>磁性位置传感器</v>
          </cell>
        </row>
        <row r="12693">
          <cell r="O12693" t="str">
            <v>SC1245SO-N</v>
          </cell>
          <cell r="P12693" t="str">
            <v>STC1898AD</v>
          </cell>
          <cell r="Q12693" t="str">
            <v>磁性位置传感器</v>
          </cell>
        </row>
        <row r="12694">
          <cell r="O12694" t="str">
            <v>SC1245SO-N</v>
          </cell>
          <cell r="P12694" t="str">
            <v>STC1898AD</v>
          </cell>
          <cell r="Q12694" t="str">
            <v>磁性位置传感器</v>
          </cell>
        </row>
        <row r="12695">
          <cell r="O12695" t="str">
            <v>SYLMV358BPA1R</v>
          </cell>
          <cell r="P12695" t="str">
            <v>STC9G003B</v>
          </cell>
          <cell r="Q12695" t="str">
            <v>其他数模混合</v>
          </cell>
        </row>
        <row r="12696">
          <cell r="O12696" t="str">
            <v>SC2432SO-N</v>
          </cell>
          <cell r="P12696" t="str">
            <v>STC9906I</v>
          </cell>
          <cell r="Q12696" t="str">
            <v>磁性位置传感器</v>
          </cell>
        </row>
        <row r="12697">
          <cell r="O12697" t="str">
            <v>SC2466SO</v>
          </cell>
          <cell r="P12697" t="str">
            <v>STC9906O</v>
          </cell>
          <cell r="Q12697" t="str">
            <v>磁性位置传感器</v>
          </cell>
        </row>
        <row r="12698">
          <cell r="O12698" t="str">
            <v>SC2466SO</v>
          </cell>
          <cell r="P12698" t="str">
            <v>STC9906O</v>
          </cell>
          <cell r="Q12698" t="str">
            <v>磁性位置传感器</v>
          </cell>
        </row>
        <row r="12699">
          <cell r="O12699" t="str">
            <v>SC2466SO</v>
          </cell>
          <cell r="P12699" t="str">
            <v>STC9906O</v>
          </cell>
          <cell r="Q12699" t="str">
            <v>磁性位置传感器</v>
          </cell>
        </row>
        <row r="12700">
          <cell r="O12700" t="str">
            <v>SC9625VB</v>
          </cell>
          <cell r="P12700" t="str">
            <v>STC9910B</v>
          </cell>
          <cell r="Q12700" t="str">
            <v>速度传感器</v>
          </cell>
        </row>
        <row r="12701">
          <cell r="O12701" t="str">
            <v>SC9625VB</v>
          </cell>
          <cell r="P12701" t="str">
            <v>STC9910B</v>
          </cell>
          <cell r="Q12701" t="str">
            <v>速度传感器</v>
          </cell>
        </row>
        <row r="12702">
          <cell r="O12702" t="str">
            <v>SC9625VB</v>
          </cell>
          <cell r="P12702" t="str">
            <v>STC9910B</v>
          </cell>
          <cell r="Q12702" t="str">
            <v>速度传感器</v>
          </cell>
        </row>
        <row r="12703">
          <cell r="O12703" t="str">
            <v>SC2443UA</v>
          </cell>
          <cell r="P12703" t="str">
            <v>STC9906W</v>
          </cell>
          <cell r="Q12703" t="str">
            <v>磁性位置传感器</v>
          </cell>
        </row>
        <row r="12704">
          <cell r="O12704" t="str">
            <v>SC2443SO</v>
          </cell>
          <cell r="P12704" t="str">
            <v>STC9906T</v>
          </cell>
          <cell r="Q12704" t="str">
            <v>磁性位置传感器</v>
          </cell>
        </row>
        <row r="12705">
          <cell r="O12705" t="str">
            <v>SYLMV321BSOR</v>
          </cell>
          <cell r="P12705" t="str">
            <v>STC9G003B</v>
          </cell>
          <cell r="Q12705" t="str">
            <v>其他数模混合</v>
          </cell>
        </row>
        <row r="12706">
          <cell r="O12706" t="str">
            <v>SC2242SO</v>
          </cell>
          <cell r="P12706" t="str">
            <v>STC9906H</v>
          </cell>
          <cell r="Q12706" t="str">
            <v>磁性位置传感器</v>
          </cell>
        </row>
        <row r="12707">
          <cell r="O12707" t="str">
            <v>SC2443UA</v>
          </cell>
          <cell r="P12707" t="str">
            <v>STC9906G</v>
          </cell>
          <cell r="Q12707" t="str">
            <v>磁性位置传感器</v>
          </cell>
        </row>
        <row r="12708">
          <cell r="O12708" t="str">
            <v>SC2443UA</v>
          </cell>
          <cell r="P12708" t="str">
            <v>STC9906G</v>
          </cell>
          <cell r="Q12708" t="str">
            <v>磁性位置传感器</v>
          </cell>
        </row>
        <row r="12709">
          <cell r="O12709" t="str">
            <v>SC9632VB</v>
          </cell>
          <cell r="P12709" t="str">
            <v>STC9905E</v>
          </cell>
          <cell r="Q12709" t="str">
            <v>速度传感器</v>
          </cell>
        </row>
        <row r="12710">
          <cell r="O12710" t="str">
            <v>SC1245UA</v>
          </cell>
          <cell r="P12710" t="str">
            <v>STC1898AD</v>
          </cell>
          <cell r="Q12710" t="str">
            <v>磁性位置传感器</v>
          </cell>
        </row>
        <row r="12711">
          <cell r="O12711" t="str">
            <v>SC1245UA</v>
          </cell>
          <cell r="P12711" t="str">
            <v>STC1898AD</v>
          </cell>
          <cell r="Q12711" t="str">
            <v>磁性位置传感器</v>
          </cell>
        </row>
        <row r="12712">
          <cell r="O12712" t="str">
            <v>SC1245UA</v>
          </cell>
          <cell r="P12712" t="str">
            <v>STC1898AD</v>
          </cell>
          <cell r="Q12712" t="str">
            <v>磁性位置传感器</v>
          </cell>
        </row>
        <row r="12713">
          <cell r="O12713" t="str">
            <v>SC1245UA</v>
          </cell>
          <cell r="P12713" t="str">
            <v>STC1898AD</v>
          </cell>
          <cell r="Q12713" t="str">
            <v>磁性位置传感器</v>
          </cell>
        </row>
        <row r="12714">
          <cell r="O12714" t="str">
            <v>SC1245UA</v>
          </cell>
          <cell r="P12714" t="str">
            <v>STC1898AD</v>
          </cell>
          <cell r="Q12714" t="str">
            <v>磁性位置传感器</v>
          </cell>
        </row>
        <row r="12715">
          <cell r="O12715" t="str">
            <v>SC1245UA</v>
          </cell>
          <cell r="P12715" t="str">
            <v>STC1898AD</v>
          </cell>
          <cell r="Q12715" t="str">
            <v>磁性位置传感器</v>
          </cell>
        </row>
        <row r="12716">
          <cell r="O12716" t="str">
            <v>SC60224-D-16</v>
          </cell>
          <cell r="P12716" t="str">
            <v>STC9D04C</v>
          </cell>
          <cell r="Q12716" t="str">
            <v>电机编码器</v>
          </cell>
        </row>
        <row r="12717">
          <cell r="O12717" t="str">
            <v>SC1445A1</v>
          </cell>
          <cell r="P12717" t="str">
            <v>STC2899AB</v>
          </cell>
          <cell r="Q12717" t="str">
            <v>磁性位置传感器</v>
          </cell>
        </row>
        <row r="12718">
          <cell r="O12718" t="str">
            <v>SC1445A1</v>
          </cell>
          <cell r="P12718" t="str">
            <v>STC2899AB</v>
          </cell>
          <cell r="Q12718" t="str">
            <v>磁性位置传感器</v>
          </cell>
        </row>
        <row r="12719">
          <cell r="O12719" t="str">
            <v>SC919H</v>
          </cell>
          <cell r="P12719" t="str">
            <v>STC9909A</v>
          </cell>
          <cell r="Q12719" t="str">
            <v>磁性位置传感器</v>
          </cell>
        </row>
        <row r="12720">
          <cell r="O12720" t="str">
            <v>SC1445A1</v>
          </cell>
          <cell r="P12720" t="str">
            <v>STC2899AB</v>
          </cell>
          <cell r="Q12720" t="str">
            <v>磁性位置传感器</v>
          </cell>
        </row>
        <row r="12721">
          <cell r="O12721" t="str">
            <v>SC1445A1</v>
          </cell>
          <cell r="P12721" t="str">
            <v>STC2899AB</v>
          </cell>
          <cell r="Q12721" t="str">
            <v>磁性位置传感器</v>
          </cell>
        </row>
        <row r="12722">
          <cell r="O12722" t="str">
            <v>SC4011SO-N</v>
          </cell>
          <cell r="P12722" t="str">
            <v>STC4011B</v>
          </cell>
          <cell r="Q12722" t="str">
            <v>磁性位置传感器</v>
          </cell>
        </row>
        <row r="12723">
          <cell r="O12723" t="str">
            <v>SC4011SO-N</v>
          </cell>
          <cell r="P12723" t="str">
            <v>STC4011B</v>
          </cell>
          <cell r="Q12723" t="str">
            <v>磁性位置传感器</v>
          </cell>
        </row>
        <row r="12724">
          <cell r="O12724" t="str">
            <v>SC4011SO-N</v>
          </cell>
          <cell r="P12724" t="str">
            <v>STC4011B</v>
          </cell>
          <cell r="Q12724" t="str">
            <v>磁性位置传感器</v>
          </cell>
        </row>
        <row r="12725">
          <cell r="O12725" t="str">
            <v>SC4688编程板</v>
          </cell>
          <cell r="P12725" t="str">
            <v xml:space="preserve"> </v>
          </cell>
          <cell r="Q12725" t="str">
            <v>角度传感器</v>
          </cell>
        </row>
        <row r="12726">
          <cell r="O12726" t="str">
            <v>SC4624SP20B5</v>
          </cell>
          <cell r="P12726" t="str">
            <v>STC9D06F</v>
          </cell>
          <cell r="Q12726" t="str">
            <v>电流传感器</v>
          </cell>
        </row>
        <row r="12727">
          <cell r="O12727" t="str">
            <v>SC4624SP20B5</v>
          </cell>
          <cell r="P12727" t="str">
            <v>STC9D06F</v>
          </cell>
          <cell r="Q12727" t="str">
            <v>电流传感器</v>
          </cell>
        </row>
        <row r="12728">
          <cell r="O12728" t="str">
            <v>SC9641TS-P</v>
          </cell>
          <cell r="P12728" t="str">
            <v>STC9A001F</v>
          </cell>
          <cell r="Q12728" t="str">
            <v>速度传感器</v>
          </cell>
        </row>
        <row r="12729">
          <cell r="O12729" t="str">
            <v>SC2443SO</v>
          </cell>
          <cell r="P12729" t="str">
            <v>STC9906T</v>
          </cell>
          <cell r="Q12729" t="str">
            <v>磁性位置传感器</v>
          </cell>
        </row>
        <row r="12730">
          <cell r="O12730" t="str">
            <v>SC2443UA</v>
          </cell>
          <cell r="P12730" t="str">
            <v>STC9906G</v>
          </cell>
          <cell r="Q12730" t="str">
            <v>磁性位置传感器</v>
          </cell>
        </row>
        <row r="12731">
          <cell r="O12731" t="str">
            <v>SC2443UA</v>
          </cell>
          <cell r="P12731" t="str">
            <v>STC9906G</v>
          </cell>
          <cell r="Q12731" t="str">
            <v>磁性位置传感器</v>
          </cell>
        </row>
        <row r="12732">
          <cell r="O12732" t="str">
            <v>SC4643VB-A</v>
          </cell>
          <cell r="P12732" t="str">
            <v>STC9D03E</v>
          </cell>
          <cell r="Q12732" t="str">
            <v>电流传感器</v>
          </cell>
        </row>
        <row r="12733">
          <cell r="O12733" t="str">
            <v>SC4643VB-A</v>
          </cell>
          <cell r="P12733" t="str">
            <v>STC9D03E</v>
          </cell>
          <cell r="Q12733" t="str">
            <v>电流传感器</v>
          </cell>
        </row>
        <row r="12734">
          <cell r="O12734" t="str">
            <v>SC4643VB-A</v>
          </cell>
          <cell r="P12734" t="str">
            <v>STC9D03E</v>
          </cell>
          <cell r="Q12734" t="str">
            <v>电流传感器</v>
          </cell>
        </row>
        <row r="12735">
          <cell r="O12735" t="str">
            <v>SC4643VB-A</v>
          </cell>
          <cell r="P12735" t="str">
            <v>STC9D03E</v>
          </cell>
          <cell r="Q12735" t="str">
            <v>电流传感器</v>
          </cell>
        </row>
        <row r="12736">
          <cell r="O12736" t="str">
            <v>SC4616UA-10.2NF</v>
          </cell>
          <cell r="P12736" t="str">
            <v>STC9907D</v>
          </cell>
          <cell r="Q12736" t="str">
            <v>电流传感器</v>
          </cell>
        </row>
        <row r="12737">
          <cell r="O12737" t="str">
            <v>SC9314UA</v>
          </cell>
          <cell r="P12737" t="str">
            <v>STC9901AF</v>
          </cell>
          <cell r="Q12737" t="str">
            <v>速度传感器</v>
          </cell>
        </row>
        <row r="12738">
          <cell r="O12738" t="str">
            <v>SC4688编程板</v>
          </cell>
          <cell r="P12738" t="str">
            <v xml:space="preserve"> </v>
          </cell>
          <cell r="Q12738" t="str">
            <v>角度传感器</v>
          </cell>
        </row>
        <row r="12739">
          <cell r="O12739" t="str">
            <v>SC2434SO-N</v>
          </cell>
          <cell r="P12739" t="str">
            <v>STC9906I</v>
          </cell>
          <cell r="Q12739" t="str">
            <v>磁性位置传感器</v>
          </cell>
        </row>
        <row r="12740">
          <cell r="O12740" t="str">
            <v>SC4001SE</v>
          </cell>
          <cell r="P12740" t="str">
            <v>STC4001AB</v>
          </cell>
          <cell r="Q12740" t="str">
            <v>磁性位置传感器</v>
          </cell>
        </row>
        <row r="12741">
          <cell r="O12741" t="str">
            <v>SC4002UA</v>
          </cell>
          <cell r="P12741" t="str">
            <v>STC4000AA</v>
          </cell>
          <cell r="Q12741" t="str">
            <v>磁性位置传感器</v>
          </cell>
        </row>
        <row r="12742">
          <cell r="O12742" t="str">
            <v>SC2526HVB</v>
          </cell>
          <cell r="P12742" t="str">
            <v>STC9904C</v>
          </cell>
          <cell r="Q12742" t="str">
            <v>磁性位置传感器</v>
          </cell>
        </row>
        <row r="12743">
          <cell r="O12743" t="str">
            <v>SC2242SO</v>
          </cell>
          <cell r="P12743" t="str">
            <v>STC9906H</v>
          </cell>
          <cell r="Q12743" t="str">
            <v>磁性位置传感器</v>
          </cell>
        </row>
        <row r="12744">
          <cell r="O12744" t="str">
            <v>SC1134B1</v>
          </cell>
          <cell r="P12744" t="str">
            <v>STC1898AI</v>
          </cell>
          <cell r="Q12744" t="str">
            <v>磁性位置传感器</v>
          </cell>
        </row>
        <row r="12745">
          <cell r="O12745" t="str">
            <v>SC1134B1</v>
          </cell>
          <cell r="P12745" t="str">
            <v>STC1898AI</v>
          </cell>
          <cell r="Q12745" t="str">
            <v>磁性位置传感器</v>
          </cell>
        </row>
        <row r="12746">
          <cell r="O12746" t="str">
            <v>SC1134B1</v>
          </cell>
          <cell r="P12746" t="str">
            <v>STC1898AI</v>
          </cell>
          <cell r="Q12746" t="str">
            <v>磁性位置传感器</v>
          </cell>
        </row>
        <row r="12747">
          <cell r="O12747" t="str">
            <v>SC4688SA</v>
          </cell>
          <cell r="P12747" t="str">
            <v>STC9D01C</v>
          </cell>
          <cell r="Q12747" t="str">
            <v>角度传感器</v>
          </cell>
        </row>
        <row r="12748">
          <cell r="O12748" t="str">
            <v>SC9633VB</v>
          </cell>
          <cell r="P12748" t="str">
            <v>STC9905F</v>
          </cell>
          <cell r="Q12748" t="str">
            <v>速度传感器</v>
          </cell>
        </row>
        <row r="12749">
          <cell r="O12749" t="str">
            <v>SC9633VB</v>
          </cell>
          <cell r="P12749" t="str">
            <v>STC9905F</v>
          </cell>
          <cell r="Q12749" t="str">
            <v>速度传感器</v>
          </cell>
        </row>
        <row r="12750">
          <cell r="O12750" t="str">
            <v>SC9632VB</v>
          </cell>
          <cell r="P12750" t="str">
            <v>STC9905E</v>
          </cell>
          <cell r="Q12750" t="str">
            <v>速度传感器</v>
          </cell>
        </row>
        <row r="12751">
          <cell r="O12751" t="str">
            <v>SC9621VB</v>
          </cell>
          <cell r="P12751" t="str">
            <v>STC9910C</v>
          </cell>
          <cell r="Q12751" t="str">
            <v>速度传感器</v>
          </cell>
        </row>
        <row r="12752">
          <cell r="O12752" t="str">
            <v>SC4002UA</v>
          </cell>
          <cell r="P12752" t="str">
            <v>STC4000AA</v>
          </cell>
          <cell r="Q12752" t="str">
            <v>磁性位置传感器</v>
          </cell>
        </row>
        <row r="12753">
          <cell r="O12753" t="str">
            <v>SC2448SO</v>
          </cell>
          <cell r="P12753" t="str">
            <v>STC9906S</v>
          </cell>
          <cell r="Q12753" t="str">
            <v>磁性位置传感器</v>
          </cell>
        </row>
        <row r="12754">
          <cell r="O12754" t="str">
            <v>SC2448SO</v>
          </cell>
          <cell r="P12754" t="str">
            <v>STC9906S</v>
          </cell>
          <cell r="Q12754" t="str">
            <v>磁性位置传感器</v>
          </cell>
        </row>
        <row r="12755">
          <cell r="O12755" t="str">
            <v>SC2448SO</v>
          </cell>
          <cell r="P12755" t="str">
            <v>STC9906S</v>
          </cell>
          <cell r="Q12755" t="str">
            <v>磁性位置传感器</v>
          </cell>
        </row>
        <row r="12756">
          <cell r="O12756" t="str">
            <v>SC2448SO</v>
          </cell>
          <cell r="P12756" t="str">
            <v>STC9906S</v>
          </cell>
          <cell r="Q12756" t="str">
            <v>磁性位置传感器</v>
          </cell>
        </row>
        <row r="12757">
          <cell r="O12757" t="str">
            <v>SC2448SO</v>
          </cell>
          <cell r="P12757" t="str">
            <v>STC9906S</v>
          </cell>
          <cell r="Q12757" t="str">
            <v>磁性位置传感器</v>
          </cell>
        </row>
        <row r="12758">
          <cell r="O12758" t="str">
            <v>SC2448SO</v>
          </cell>
          <cell r="P12758" t="str">
            <v>STC9906S</v>
          </cell>
          <cell r="Q12758" t="str">
            <v>磁性位置传感器</v>
          </cell>
        </row>
        <row r="12759">
          <cell r="O12759" t="str">
            <v>SC2448SO</v>
          </cell>
          <cell r="P12759" t="str">
            <v>STC9906S</v>
          </cell>
          <cell r="Q12759" t="str">
            <v>磁性位置传感器</v>
          </cell>
        </row>
        <row r="12760">
          <cell r="O12760" t="str">
            <v>SC2448SO</v>
          </cell>
          <cell r="P12760" t="str">
            <v>STC9906S</v>
          </cell>
          <cell r="Q12760" t="str">
            <v>磁性位置传感器</v>
          </cell>
        </row>
        <row r="12761">
          <cell r="O12761" t="str">
            <v>SC2448SO</v>
          </cell>
          <cell r="P12761" t="str">
            <v>STC9906S</v>
          </cell>
          <cell r="Q12761" t="str">
            <v>磁性位置传感器</v>
          </cell>
        </row>
        <row r="12762">
          <cell r="O12762" t="str">
            <v>SC2448SO</v>
          </cell>
          <cell r="P12762" t="str">
            <v>STC9906S</v>
          </cell>
          <cell r="Q12762" t="str">
            <v>磁性位置传感器</v>
          </cell>
        </row>
        <row r="12763">
          <cell r="O12763" t="str">
            <v>SC2402SO-N</v>
          </cell>
          <cell r="P12763" t="str">
            <v>STC9H001A</v>
          </cell>
          <cell r="Q12763" t="str">
            <v>磁性位置传感器</v>
          </cell>
        </row>
        <row r="12764">
          <cell r="O12764" t="str">
            <v>SC1645B1</v>
          </cell>
          <cell r="P12764" t="str">
            <v>STC2899AE</v>
          </cell>
          <cell r="Q12764" t="str">
            <v>磁性位置传感器</v>
          </cell>
        </row>
        <row r="12765">
          <cell r="O12765" t="str">
            <v>SC1645B1</v>
          </cell>
          <cell r="P12765" t="str">
            <v>STC2899AE</v>
          </cell>
          <cell r="Q12765" t="str">
            <v>磁性位置传感器</v>
          </cell>
        </row>
        <row r="12766">
          <cell r="O12766" t="str">
            <v>SC1645A1</v>
          </cell>
          <cell r="P12766" t="str">
            <v>STC2899AE</v>
          </cell>
          <cell r="Q12766" t="str">
            <v>磁性位置传感器</v>
          </cell>
        </row>
        <row r="12767">
          <cell r="O12767" t="str">
            <v>SC1645B1</v>
          </cell>
          <cell r="P12767" t="str">
            <v>STC2899AE</v>
          </cell>
          <cell r="Q12767" t="str">
            <v>磁性位置传感器</v>
          </cell>
        </row>
        <row r="12768">
          <cell r="O12768" t="str">
            <v>SC1245A1</v>
          </cell>
          <cell r="P12768" t="str">
            <v>STC1898AD</v>
          </cell>
          <cell r="Q12768" t="str">
            <v>磁性位置传感器</v>
          </cell>
        </row>
        <row r="12769">
          <cell r="O12769" t="str">
            <v>SC1245A1</v>
          </cell>
          <cell r="P12769" t="str">
            <v>STC1898AD</v>
          </cell>
          <cell r="Q12769" t="str">
            <v>磁性位置传感器</v>
          </cell>
        </row>
        <row r="12770">
          <cell r="O12770" t="str">
            <v>SC1245A1</v>
          </cell>
          <cell r="P12770" t="str">
            <v>STC1898AD</v>
          </cell>
          <cell r="Q12770" t="str">
            <v>磁性位置传感器</v>
          </cell>
        </row>
        <row r="12771">
          <cell r="O12771" t="str">
            <v>SC1245A1</v>
          </cell>
          <cell r="P12771" t="str">
            <v>STC1898AD</v>
          </cell>
          <cell r="Q12771" t="str">
            <v>磁性位置传感器</v>
          </cell>
        </row>
        <row r="12772">
          <cell r="O12772" t="str">
            <v>SC2442SO-N</v>
          </cell>
          <cell r="P12772" t="str">
            <v>STC9906P</v>
          </cell>
          <cell r="Q12772" t="str">
            <v>磁性位置传感器</v>
          </cell>
        </row>
        <row r="12773">
          <cell r="O12773" t="str">
            <v>SC2442SO</v>
          </cell>
          <cell r="P12773" t="str">
            <v>STC9906R</v>
          </cell>
          <cell r="Q12773" t="str">
            <v>磁性位置传感器</v>
          </cell>
        </row>
        <row r="12774">
          <cell r="O12774" t="str">
            <v>SC2438UA</v>
          </cell>
          <cell r="P12774" t="str">
            <v>STC9906I</v>
          </cell>
          <cell r="Q12774" t="str">
            <v>磁性位置传感器</v>
          </cell>
        </row>
        <row r="12775">
          <cell r="O12775" t="str">
            <v>SC2064SO</v>
          </cell>
          <cell r="P12775" t="str">
            <v>STC9G001C</v>
          </cell>
          <cell r="Q12775" t="str">
            <v>磁性位置传感器</v>
          </cell>
        </row>
        <row r="12776">
          <cell r="O12776" t="str">
            <v>SC4001SE</v>
          </cell>
          <cell r="P12776" t="str">
            <v>STC4001AB</v>
          </cell>
          <cell r="Q12776" t="str">
            <v>磁性位置传感器</v>
          </cell>
        </row>
        <row r="12777">
          <cell r="O12777" t="str">
            <v>SC4001SE</v>
          </cell>
          <cell r="P12777" t="str">
            <v>STC4001AB</v>
          </cell>
          <cell r="Q12777" t="str">
            <v>磁性位置传感器</v>
          </cell>
        </row>
        <row r="12778">
          <cell r="O12778" t="str">
            <v>PSTC9G001C</v>
          </cell>
          <cell r="P12778" t="str">
            <v>STC9G001C</v>
          </cell>
          <cell r="Q12778" t="str">
            <v>磁性位置传感器</v>
          </cell>
        </row>
        <row r="12779">
          <cell r="O12779" t="str">
            <v>SC9642TS-E</v>
          </cell>
          <cell r="P12779" t="str">
            <v>STC9A001H</v>
          </cell>
          <cell r="Q12779" t="str">
            <v>速度传感器</v>
          </cell>
        </row>
        <row r="12780">
          <cell r="O12780" t="str">
            <v>SC9642TS-E</v>
          </cell>
          <cell r="P12780" t="str">
            <v>STC9A001H</v>
          </cell>
          <cell r="Q12780" t="str">
            <v>速度传感器</v>
          </cell>
        </row>
        <row r="12781">
          <cell r="O12781" t="str">
            <v>SC2402SO-N</v>
          </cell>
          <cell r="P12781" t="str">
            <v>STC9G002A</v>
          </cell>
          <cell r="Q12781" t="str">
            <v>磁性位置传感器</v>
          </cell>
        </row>
        <row r="12782">
          <cell r="O12782" t="str">
            <v>SC2402SO-N</v>
          </cell>
          <cell r="P12782" t="str">
            <v>STC9G002A</v>
          </cell>
          <cell r="Q12782" t="str">
            <v>磁性位置传感器</v>
          </cell>
        </row>
        <row r="12783">
          <cell r="O12783" t="str">
            <v>SC2402SO-N</v>
          </cell>
          <cell r="P12783" t="str">
            <v>STC9G002A</v>
          </cell>
          <cell r="Q12783" t="str">
            <v>磁性位置传感器</v>
          </cell>
        </row>
        <row r="12784">
          <cell r="O12784" t="str">
            <v>SC2402SO-N</v>
          </cell>
          <cell r="P12784" t="str">
            <v>STC9902J</v>
          </cell>
          <cell r="Q12784" t="str">
            <v>磁性位置传感器</v>
          </cell>
        </row>
        <row r="12785">
          <cell r="O12785" t="str">
            <v>SC2402SO-N</v>
          </cell>
          <cell r="P12785" t="str">
            <v>STC9902J</v>
          </cell>
          <cell r="Q12785" t="str">
            <v>磁性位置传感器</v>
          </cell>
        </row>
        <row r="12786">
          <cell r="O12786" t="str">
            <v>SC2455SO</v>
          </cell>
          <cell r="P12786" t="str">
            <v>STC9906K</v>
          </cell>
          <cell r="Q12786" t="str">
            <v>磁性位置传感器</v>
          </cell>
        </row>
        <row r="12787">
          <cell r="O12787" t="str">
            <v>SC9625VB-L</v>
          </cell>
          <cell r="P12787" t="str">
            <v>STC9910E</v>
          </cell>
          <cell r="Q12787" t="str">
            <v>速度传感器</v>
          </cell>
        </row>
        <row r="12788">
          <cell r="O12788" t="str">
            <v>SC9642TS-E</v>
          </cell>
          <cell r="P12788" t="str">
            <v>STC9A001H</v>
          </cell>
          <cell r="Q12788" t="str">
            <v>速度传感器</v>
          </cell>
        </row>
        <row r="12789">
          <cell r="O12789" t="str">
            <v>SC9642TS-E</v>
          </cell>
          <cell r="P12789" t="str">
            <v>STC9A001H</v>
          </cell>
          <cell r="Q12789" t="str">
            <v>速度传感器</v>
          </cell>
        </row>
        <row r="12790">
          <cell r="O12790" t="str">
            <v>SC9314UA</v>
          </cell>
          <cell r="P12790" t="str">
            <v>STC9901AF</v>
          </cell>
          <cell r="Q12790" t="str">
            <v>速度传感器</v>
          </cell>
        </row>
        <row r="12791">
          <cell r="O12791" t="str">
            <v>SC9314UA</v>
          </cell>
          <cell r="P12791" t="str">
            <v>STC9901AF</v>
          </cell>
          <cell r="Q12791" t="str">
            <v>速度传感器</v>
          </cell>
        </row>
        <row r="12792">
          <cell r="O12792" t="str">
            <v>SC4688SA</v>
          </cell>
          <cell r="P12792" t="str">
            <v>STC9D01C</v>
          </cell>
          <cell r="Q12792" t="str">
            <v>角度传感器</v>
          </cell>
        </row>
        <row r="12793">
          <cell r="O12793" t="str">
            <v>ZH619A0</v>
          </cell>
          <cell r="P12793" t="str">
            <v>STC22303</v>
          </cell>
          <cell r="Q12793" t="str">
            <v>电机驱动</v>
          </cell>
        </row>
        <row r="12794">
          <cell r="O12794" t="str">
            <v>ZH619A0</v>
          </cell>
          <cell r="P12794" t="str">
            <v>S22302A</v>
          </cell>
          <cell r="Q12794" t="str">
            <v>电机驱动</v>
          </cell>
        </row>
        <row r="12795">
          <cell r="O12795" t="str">
            <v>SC4002BU</v>
          </cell>
          <cell r="P12795" t="str">
            <v>STC4000AA</v>
          </cell>
          <cell r="Q12795" t="str">
            <v>磁性位置传感器</v>
          </cell>
        </row>
        <row r="12796">
          <cell r="O12796" t="str">
            <v>SC4002BU</v>
          </cell>
          <cell r="P12796" t="str">
            <v>STC4000AA</v>
          </cell>
          <cell r="Q12796" t="str">
            <v>磁性位置传感器</v>
          </cell>
        </row>
        <row r="12797">
          <cell r="O12797" t="str">
            <v>SC4002BU</v>
          </cell>
          <cell r="P12797" t="str">
            <v>STC4000AA</v>
          </cell>
          <cell r="Q12797" t="str">
            <v>磁性位置传感器</v>
          </cell>
        </row>
        <row r="12798">
          <cell r="O12798" t="str">
            <v>SC4002BU</v>
          </cell>
          <cell r="P12798" t="str">
            <v>STC4000AA</v>
          </cell>
          <cell r="Q12798" t="str">
            <v>磁性位置传感器</v>
          </cell>
        </row>
        <row r="12799">
          <cell r="O12799" t="str">
            <v>SC2662SO-N</v>
          </cell>
          <cell r="P12799" t="str">
            <v>STC9906P</v>
          </cell>
          <cell r="Q12799" t="str">
            <v>磁性位置传感器</v>
          </cell>
        </row>
        <row r="12800">
          <cell r="O12800" t="str">
            <v>SC2662SO-N</v>
          </cell>
          <cell r="P12800" t="str">
            <v>STC9906P</v>
          </cell>
          <cell r="Q12800" t="str">
            <v>磁性位置传感器</v>
          </cell>
        </row>
        <row r="12801">
          <cell r="O12801" t="str">
            <v>SC9641TS-PC</v>
          </cell>
          <cell r="P12801" t="str">
            <v>STC9A001I</v>
          </cell>
          <cell r="Q12801" t="str">
            <v>速度传感器</v>
          </cell>
        </row>
        <row r="12802">
          <cell r="O12802" t="str">
            <v>SC9641TS-PC</v>
          </cell>
          <cell r="P12802" t="str">
            <v>STC9A001I</v>
          </cell>
          <cell r="Q12802" t="str">
            <v>速度传感器</v>
          </cell>
        </row>
        <row r="12803">
          <cell r="O12803" t="str">
            <v>SC9641TS-PC</v>
          </cell>
          <cell r="P12803" t="str">
            <v>STC9A001I</v>
          </cell>
          <cell r="Q12803" t="str">
            <v>速度传感器</v>
          </cell>
        </row>
        <row r="12804">
          <cell r="O12804" t="str">
            <v>SC9641TS-PC</v>
          </cell>
          <cell r="P12804" t="str">
            <v>STC9A001I</v>
          </cell>
          <cell r="Q12804" t="str">
            <v>速度传感器</v>
          </cell>
        </row>
        <row r="12805">
          <cell r="O12805" t="str">
            <v>SC9641TS-PC</v>
          </cell>
          <cell r="P12805" t="str">
            <v>STC9A001I</v>
          </cell>
          <cell r="Q12805" t="str">
            <v>速度传感器</v>
          </cell>
        </row>
        <row r="12806">
          <cell r="O12806" t="str">
            <v>SC9641TS-PC</v>
          </cell>
          <cell r="P12806" t="str">
            <v>STC9A001I</v>
          </cell>
          <cell r="Q12806" t="str">
            <v>速度传感器</v>
          </cell>
        </row>
        <row r="12807">
          <cell r="O12807" t="str">
            <v>SC9641TS</v>
          </cell>
          <cell r="P12807" t="str">
            <v>STC9910BN</v>
          </cell>
          <cell r="Q12807" t="str">
            <v>速度传感器</v>
          </cell>
        </row>
        <row r="12808">
          <cell r="O12808" t="str">
            <v>SC4688编程板</v>
          </cell>
          <cell r="P12808" t="str">
            <v xml:space="preserve"> </v>
          </cell>
          <cell r="Q12808" t="str">
            <v>角度传感器</v>
          </cell>
        </row>
        <row r="12809">
          <cell r="O12809" t="str">
            <v>SC2462SO</v>
          </cell>
          <cell r="P12809" t="str">
            <v>STC9906J</v>
          </cell>
          <cell r="Q12809" t="str">
            <v>磁性位置传感器</v>
          </cell>
        </row>
        <row r="12810">
          <cell r="O12810" t="str">
            <v>SC9621VB</v>
          </cell>
          <cell r="P12810" t="str">
            <v>STC9910C</v>
          </cell>
          <cell r="Q12810" t="str">
            <v>速度传感器</v>
          </cell>
        </row>
        <row r="12811">
          <cell r="O12811" t="str">
            <v>SL54123APA1R</v>
          </cell>
          <cell r="P12811" t="str">
            <v>STC16100B</v>
          </cell>
          <cell r="Q12811" t="str">
            <v>电流传感器</v>
          </cell>
        </row>
        <row r="12812">
          <cell r="O12812" t="str">
            <v>SL54123APA1R</v>
          </cell>
          <cell r="P12812" t="str">
            <v>STC16100B</v>
          </cell>
          <cell r="Q12812" t="str">
            <v>电流传感器</v>
          </cell>
        </row>
        <row r="12813">
          <cell r="O12813" t="str">
            <v>SL54123APA1R</v>
          </cell>
          <cell r="P12813" t="str">
            <v>STC16100B</v>
          </cell>
          <cell r="Q12813" t="str">
            <v>电流传感器</v>
          </cell>
        </row>
        <row r="12814">
          <cell r="O12814" t="str">
            <v>SL54123APA1R</v>
          </cell>
          <cell r="P12814" t="str">
            <v>STC16100B</v>
          </cell>
          <cell r="Q12814" t="str">
            <v>电流传感器</v>
          </cell>
        </row>
        <row r="12815">
          <cell r="O12815" t="str">
            <v>SL54123APA1R</v>
          </cell>
          <cell r="P12815" t="str">
            <v>STC16100B</v>
          </cell>
          <cell r="Q12815" t="str">
            <v>电流传感器</v>
          </cell>
        </row>
        <row r="12816">
          <cell r="O12816" t="str">
            <v>SL54123APA1R</v>
          </cell>
          <cell r="P12816" t="str">
            <v>STC16100B</v>
          </cell>
          <cell r="Q12816" t="str">
            <v>电流传感器</v>
          </cell>
        </row>
        <row r="12817">
          <cell r="O12817" t="str">
            <v>SC9632VB</v>
          </cell>
          <cell r="P12817" t="str">
            <v>STC9905E</v>
          </cell>
          <cell r="Q12817" t="str">
            <v>速度传感器</v>
          </cell>
        </row>
        <row r="12818">
          <cell r="O12818" t="str">
            <v>SC9633VB</v>
          </cell>
          <cell r="P12818" t="str">
            <v>STC9905F</v>
          </cell>
          <cell r="Q12818" t="str">
            <v>速度传感器</v>
          </cell>
        </row>
        <row r="12819">
          <cell r="O12819" t="str">
            <v>SC2242SO</v>
          </cell>
          <cell r="P12819" t="str">
            <v>STC9906H</v>
          </cell>
          <cell r="Q12819" t="str">
            <v>磁性位置传感器</v>
          </cell>
        </row>
        <row r="12820">
          <cell r="O12820" t="str">
            <v>SC1245UA</v>
          </cell>
          <cell r="P12820" t="str">
            <v>STC1898AD</v>
          </cell>
          <cell r="Q12820" t="str">
            <v>磁性位置传感器</v>
          </cell>
        </row>
        <row r="12821">
          <cell r="O12821" t="str">
            <v>SC1945B1</v>
          </cell>
          <cell r="P12821" t="str">
            <v>STC2899AJ</v>
          </cell>
          <cell r="Q12821" t="str">
            <v>磁性位置传感器</v>
          </cell>
        </row>
        <row r="12822">
          <cell r="O12822" t="str">
            <v>SC1945B1</v>
          </cell>
          <cell r="P12822" t="str">
            <v>STC2899AJ</v>
          </cell>
          <cell r="Q12822" t="str">
            <v>磁性位置传感器</v>
          </cell>
        </row>
        <row r="12823">
          <cell r="O12823" t="str">
            <v>SC1945B1</v>
          </cell>
          <cell r="P12823" t="str">
            <v>STC2899AJ</v>
          </cell>
          <cell r="Q12823" t="str">
            <v>磁性位置传感器</v>
          </cell>
        </row>
        <row r="12824">
          <cell r="O12824" t="str">
            <v>SD2276</v>
          </cell>
          <cell r="P12824" t="str">
            <v>FD1014A</v>
          </cell>
          <cell r="Q12824" t="str">
            <v>电机驱动</v>
          </cell>
        </row>
        <row r="12825">
          <cell r="O12825" t="str">
            <v>SD2276</v>
          </cell>
          <cell r="P12825" t="str">
            <v>FD1014A</v>
          </cell>
          <cell r="Q12825" t="str">
            <v>电机驱动</v>
          </cell>
        </row>
        <row r="12826">
          <cell r="O12826" t="str">
            <v>SD2276</v>
          </cell>
          <cell r="P12826" t="str">
            <v>FD1014A</v>
          </cell>
          <cell r="Q12826" t="str">
            <v>电机驱动</v>
          </cell>
        </row>
        <row r="12827">
          <cell r="O12827" t="str">
            <v>SC2462SO</v>
          </cell>
          <cell r="P12827" t="str">
            <v>STC9906J</v>
          </cell>
          <cell r="Q12827" t="str">
            <v>磁性位置传感器</v>
          </cell>
        </row>
        <row r="12828">
          <cell r="O12828" t="str">
            <v>SC2202SO-N</v>
          </cell>
          <cell r="P12828" t="str">
            <v>STC9902E</v>
          </cell>
          <cell r="Q12828" t="str">
            <v>磁性位置传感器</v>
          </cell>
        </row>
        <row r="12829">
          <cell r="O12829" t="str">
            <v>SC2242SO</v>
          </cell>
          <cell r="P12829" t="str">
            <v>STC9906H</v>
          </cell>
          <cell r="Q12829" t="str">
            <v>磁性位置传感器</v>
          </cell>
        </row>
        <row r="12830">
          <cell r="O12830" t="str">
            <v>SC2202SO-N</v>
          </cell>
          <cell r="P12830" t="str">
            <v>STC9902E</v>
          </cell>
          <cell r="Q12830" t="str">
            <v>磁性位置传感器</v>
          </cell>
        </row>
        <row r="12831">
          <cell r="O12831" t="str">
            <v>SC2202SO-N</v>
          </cell>
          <cell r="P12831" t="str">
            <v>STC9902E</v>
          </cell>
          <cell r="Q12831" t="str">
            <v>磁性位置传感器</v>
          </cell>
        </row>
        <row r="12832">
          <cell r="O12832" t="str">
            <v>SC2202SO-N</v>
          </cell>
          <cell r="P12832" t="str">
            <v>STC9902E</v>
          </cell>
          <cell r="Q12832" t="str">
            <v>磁性位置传感器</v>
          </cell>
        </row>
        <row r="12833">
          <cell r="O12833" t="str">
            <v>SC9632VB</v>
          </cell>
          <cell r="P12833" t="str">
            <v>STC9905E</v>
          </cell>
          <cell r="Q12833" t="str">
            <v>速度传感器</v>
          </cell>
        </row>
        <row r="12834">
          <cell r="O12834" t="str">
            <v>SC2442SO-N</v>
          </cell>
          <cell r="P12834" t="str">
            <v>STC9906P</v>
          </cell>
          <cell r="Q12834" t="str">
            <v>磁性位置传感器</v>
          </cell>
        </row>
        <row r="12835">
          <cell r="O12835" t="str">
            <v>SC9621VB-A</v>
          </cell>
          <cell r="P12835" t="str">
            <v>STC9910NC-Q</v>
          </cell>
          <cell r="Q12835" t="str">
            <v>速度传感器</v>
          </cell>
        </row>
        <row r="12836">
          <cell r="O12836" t="str">
            <v>SC9621VB-A</v>
          </cell>
          <cell r="P12836" t="str">
            <v>STC9910NC-Q</v>
          </cell>
          <cell r="Q12836" t="str">
            <v>速度传感器</v>
          </cell>
        </row>
        <row r="12837">
          <cell r="O12837" t="str">
            <v>SC2402UA</v>
          </cell>
          <cell r="P12837" t="str">
            <v>STC9902J</v>
          </cell>
          <cell r="Q12837" t="str">
            <v>磁性位置传感器</v>
          </cell>
        </row>
        <row r="12838">
          <cell r="O12838" t="str">
            <v>SC2402UA</v>
          </cell>
          <cell r="P12838" t="str">
            <v>STC9902J</v>
          </cell>
          <cell r="Q12838" t="str">
            <v>磁性位置传感器</v>
          </cell>
        </row>
        <row r="12839">
          <cell r="O12839" t="str">
            <v>SC9632VB</v>
          </cell>
          <cell r="P12839" t="str">
            <v>STC9905E</v>
          </cell>
          <cell r="Q12839" t="str">
            <v>速度传感器</v>
          </cell>
        </row>
        <row r="12840">
          <cell r="O12840" t="str">
            <v>SC2402SO-N</v>
          </cell>
          <cell r="P12840" t="str">
            <v>STC9902J</v>
          </cell>
          <cell r="Q12840" t="str">
            <v>磁性位置传感器</v>
          </cell>
        </row>
        <row r="12841">
          <cell r="O12841" t="str">
            <v>SC2442SO-N</v>
          </cell>
          <cell r="P12841" t="str">
            <v>STC9906P</v>
          </cell>
          <cell r="Q12841" t="str">
            <v>磁性位置传感器</v>
          </cell>
        </row>
        <row r="12842">
          <cell r="O12842" t="str">
            <v>SC4688SA</v>
          </cell>
          <cell r="P12842" t="str">
            <v>STC9D01C</v>
          </cell>
          <cell r="Q12842" t="str">
            <v>角度传感器</v>
          </cell>
        </row>
        <row r="12843">
          <cell r="O12843" t="str">
            <v>2100S</v>
          </cell>
          <cell r="P12843" t="str">
            <v>STC9D03E</v>
          </cell>
          <cell r="Q12843" t="str">
            <v>电流传感器</v>
          </cell>
        </row>
        <row r="12844">
          <cell r="O12844" t="str">
            <v>2100S</v>
          </cell>
          <cell r="P12844" t="str">
            <v>STC9D03E</v>
          </cell>
          <cell r="Q12844" t="str">
            <v>电流传感器</v>
          </cell>
        </row>
        <row r="12845">
          <cell r="O12845" t="str">
            <v>2100</v>
          </cell>
          <cell r="P12845" t="str">
            <v>STC9D03E</v>
          </cell>
          <cell r="Q12845" t="str">
            <v>电流传感器</v>
          </cell>
        </row>
        <row r="12846">
          <cell r="O12846" t="str">
            <v>2100</v>
          </cell>
          <cell r="P12846" t="str">
            <v>STC9D03E</v>
          </cell>
          <cell r="Q12846" t="str">
            <v>电流传感器</v>
          </cell>
        </row>
        <row r="12847">
          <cell r="O12847" t="str">
            <v>SC2462SO</v>
          </cell>
          <cell r="P12847" t="str">
            <v>STC9906J</v>
          </cell>
          <cell r="Q12847" t="str">
            <v>磁性位置传感器</v>
          </cell>
        </row>
        <row r="12848">
          <cell r="O12848" t="str">
            <v>SC2442SO-N</v>
          </cell>
          <cell r="P12848" t="str">
            <v>STC9906P</v>
          </cell>
          <cell r="Q12848" t="str">
            <v>磁性位置传感器</v>
          </cell>
        </row>
        <row r="12849">
          <cell r="O12849" t="str">
            <v>SC2442SO-N</v>
          </cell>
          <cell r="P12849" t="str">
            <v>STC9906P</v>
          </cell>
          <cell r="Q12849" t="str">
            <v>磁性位置传感器</v>
          </cell>
        </row>
        <row r="12850">
          <cell r="O12850" t="str">
            <v>SC2442SO-N</v>
          </cell>
          <cell r="P12850" t="str">
            <v>STC9906P</v>
          </cell>
          <cell r="Q12850" t="str">
            <v>磁性位置传感器</v>
          </cell>
        </row>
        <row r="12851">
          <cell r="O12851" t="str">
            <v>SC2402SO-N</v>
          </cell>
          <cell r="P12851" t="str">
            <v>STC9G002A</v>
          </cell>
          <cell r="Q12851" t="str">
            <v>磁性位置传感器</v>
          </cell>
        </row>
        <row r="12852">
          <cell r="O12852" t="str">
            <v>SC4688SA</v>
          </cell>
          <cell r="P12852" t="str">
            <v>STC9D01C</v>
          </cell>
          <cell r="Q12852" t="str">
            <v>角度传感器</v>
          </cell>
        </row>
        <row r="12853">
          <cell r="O12853" t="str">
            <v>SC2462SO</v>
          </cell>
          <cell r="P12853" t="str">
            <v>STC9906J</v>
          </cell>
          <cell r="Q12853" t="str">
            <v>磁性位置传感器</v>
          </cell>
        </row>
        <row r="12854">
          <cell r="O12854" t="str">
            <v>SC60340</v>
          </cell>
          <cell r="P12854" t="str">
            <v>STC9D05B</v>
          </cell>
          <cell r="Q12854" t="str">
            <v>电机编码器</v>
          </cell>
        </row>
        <row r="12855">
          <cell r="O12855" t="str">
            <v>SC60370</v>
          </cell>
          <cell r="P12855" t="str">
            <v>STC9D05B</v>
          </cell>
          <cell r="Q12855" t="str">
            <v>电机编码器</v>
          </cell>
        </row>
        <row r="12856">
          <cell r="O12856" t="str">
            <v>SC2442SO</v>
          </cell>
          <cell r="P12856" t="str">
            <v>STC9906R</v>
          </cell>
          <cell r="Q12856" t="str">
            <v>磁性位置传感器</v>
          </cell>
        </row>
        <row r="12857">
          <cell r="O12857" t="str">
            <v>SC60224-D-1024</v>
          </cell>
          <cell r="P12857" t="str">
            <v>STC9D04C</v>
          </cell>
          <cell r="Q12857" t="str">
            <v>电机编码器</v>
          </cell>
        </row>
        <row r="12858">
          <cell r="O12858" t="str">
            <v>SC4616BU</v>
          </cell>
          <cell r="P12858" t="str">
            <v>STC9907D</v>
          </cell>
          <cell r="Q12858" t="str">
            <v>电流传感器</v>
          </cell>
        </row>
        <row r="12859">
          <cell r="O12859" t="str">
            <v>SC1245UA</v>
          </cell>
          <cell r="P12859" t="str">
            <v>STC1898AD</v>
          </cell>
          <cell r="Q12859" t="str">
            <v>磁性位置传感器</v>
          </cell>
        </row>
        <row r="12860">
          <cell r="O12860" t="str">
            <v>SC1245UA</v>
          </cell>
          <cell r="P12860" t="str">
            <v>STC1898AD</v>
          </cell>
          <cell r="Q12860" t="str">
            <v>磁性位置传感器</v>
          </cell>
        </row>
        <row r="12861">
          <cell r="O12861" t="str">
            <v>SC1245UA</v>
          </cell>
          <cell r="P12861" t="str">
            <v>STC1898AD</v>
          </cell>
          <cell r="Q12861" t="str">
            <v>磁性位置传感器</v>
          </cell>
        </row>
        <row r="12862">
          <cell r="O12862" t="str">
            <v>SC1245UA</v>
          </cell>
          <cell r="P12862" t="str">
            <v>STC1898AD</v>
          </cell>
          <cell r="Q12862" t="str">
            <v>磁性位置传感器</v>
          </cell>
        </row>
        <row r="12863">
          <cell r="O12863" t="str">
            <v>SC1245UA</v>
          </cell>
          <cell r="P12863" t="str">
            <v>STC1898AD</v>
          </cell>
          <cell r="Q12863" t="str">
            <v>磁性位置传感器</v>
          </cell>
        </row>
        <row r="12864">
          <cell r="O12864" t="str">
            <v>SC1245UA</v>
          </cell>
          <cell r="P12864" t="str">
            <v>STC1898AD</v>
          </cell>
          <cell r="Q12864" t="str">
            <v>磁性位置传感器</v>
          </cell>
        </row>
        <row r="12865">
          <cell r="O12865" t="str">
            <v>SC1245UA</v>
          </cell>
          <cell r="P12865" t="str">
            <v>STC1898AD</v>
          </cell>
          <cell r="Q12865" t="str">
            <v>磁性位置传感器</v>
          </cell>
        </row>
        <row r="12866">
          <cell r="O12866" t="str">
            <v>SC1245UA</v>
          </cell>
          <cell r="P12866" t="str">
            <v>STC1898AD</v>
          </cell>
          <cell r="Q12866" t="str">
            <v>磁性位置传感器</v>
          </cell>
        </row>
        <row r="12867">
          <cell r="O12867" t="str">
            <v>SC1245UA</v>
          </cell>
          <cell r="P12867" t="str">
            <v>STC1898AD</v>
          </cell>
          <cell r="Q12867" t="str">
            <v>磁性位置传感器</v>
          </cell>
        </row>
        <row r="12868">
          <cell r="O12868" t="str">
            <v>SC1245UA</v>
          </cell>
          <cell r="P12868" t="str">
            <v>STC1898AD</v>
          </cell>
          <cell r="Q12868" t="str">
            <v>磁性位置传感器</v>
          </cell>
        </row>
        <row r="12869">
          <cell r="O12869" t="str">
            <v>SC1645A2</v>
          </cell>
          <cell r="P12869" t="str">
            <v>STC2899AE</v>
          </cell>
          <cell r="Q12869" t="str">
            <v>磁性位置传感器</v>
          </cell>
        </row>
        <row r="12870">
          <cell r="O12870" t="str">
            <v>SC1645A2</v>
          </cell>
          <cell r="P12870" t="str">
            <v>STC2899AE</v>
          </cell>
          <cell r="Q12870" t="str">
            <v>磁性位置传感器</v>
          </cell>
        </row>
        <row r="12871">
          <cell r="O12871" t="str">
            <v>SC1645A2</v>
          </cell>
          <cell r="P12871" t="str">
            <v>STC2899AE</v>
          </cell>
          <cell r="Q12871" t="str">
            <v>磁性位置传感器</v>
          </cell>
        </row>
        <row r="12872">
          <cell r="O12872" t="str">
            <v>SC1645A2</v>
          </cell>
          <cell r="P12872" t="str">
            <v>STC2899AE</v>
          </cell>
          <cell r="Q12872" t="str">
            <v>磁性位置传感器</v>
          </cell>
        </row>
        <row r="12873">
          <cell r="O12873" t="str">
            <v>SC1645A2</v>
          </cell>
          <cell r="P12873" t="str">
            <v>STC2899AE</v>
          </cell>
          <cell r="Q12873" t="str">
            <v>磁性位置传感器</v>
          </cell>
        </row>
        <row r="12874">
          <cell r="O12874" t="str">
            <v>SC1245UA</v>
          </cell>
          <cell r="P12874" t="str">
            <v>STC1898AD</v>
          </cell>
          <cell r="Q12874" t="str">
            <v>磁性位置传感器</v>
          </cell>
        </row>
        <row r="12875">
          <cell r="O12875" t="str">
            <v>SC2064SO</v>
          </cell>
          <cell r="P12875" t="str">
            <v>STC9G001C</v>
          </cell>
          <cell r="Q12875" t="str">
            <v>磁性位置传感器</v>
          </cell>
        </row>
        <row r="12876">
          <cell r="O12876" t="str">
            <v>SC2462SO</v>
          </cell>
          <cell r="P12876" t="str">
            <v>STC9906J</v>
          </cell>
          <cell r="Q12876" t="str">
            <v>磁性位置传感器</v>
          </cell>
        </row>
        <row r="12877">
          <cell r="O12877" t="str">
            <v>SC2462SO</v>
          </cell>
          <cell r="P12877" t="str">
            <v>STC9906J</v>
          </cell>
          <cell r="Q12877" t="str">
            <v>磁性位置传感器</v>
          </cell>
        </row>
        <row r="12878">
          <cell r="O12878" t="str">
            <v>SC2462SO</v>
          </cell>
          <cell r="P12878" t="str">
            <v>STC9906J</v>
          </cell>
          <cell r="Q12878" t="str">
            <v>磁性位置传感器</v>
          </cell>
        </row>
        <row r="12879">
          <cell r="O12879" t="str">
            <v>SC2063UA</v>
          </cell>
          <cell r="P12879" t="str">
            <v>STC9G001C</v>
          </cell>
          <cell r="Q12879" t="str">
            <v>磁性位置传感器</v>
          </cell>
        </row>
        <row r="12880">
          <cell r="O12880" t="str">
            <v>SC2442SO-N</v>
          </cell>
          <cell r="P12880" t="str">
            <v>STC9906P</v>
          </cell>
          <cell r="Q12880" t="str">
            <v>磁性位置传感器</v>
          </cell>
        </row>
        <row r="12881">
          <cell r="O12881" t="str">
            <v>SC2443SO</v>
          </cell>
          <cell r="P12881" t="str">
            <v>STC9906T</v>
          </cell>
          <cell r="Q12881" t="str">
            <v>磁性位置传感器</v>
          </cell>
        </row>
        <row r="12882">
          <cell r="O12882" t="str">
            <v>KH211</v>
          </cell>
          <cell r="P12882" t="str">
            <v>FD1016A</v>
          </cell>
          <cell r="Q12882" t="str">
            <v>电机驱动</v>
          </cell>
        </row>
        <row r="12883">
          <cell r="O12883" t="str">
            <v>KH211</v>
          </cell>
          <cell r="P12883" t="str">
            <v>FD1016A</v>
          </cell>
          <cell r="Q12883" t="str">
            <v>电机驱动</v>
          </cell>
        </row>
        <row r="12884">
          <cell r="O12884" t="str">
            <v>KH276</v>
          </cell>
          <cell r="P12884" t="str">
            <v>FD1014A</v>
          </cell>
          <cell r="Q12884" t="str">
            <v>电机驱动</v>
          </cell>
        </row>
        <row r="12885">
          <cell r="O12885" t="str">
            <v>KH276</v>
          </cell>
          <cell r="P12885" t="str">
            <v>FD1014A</v>
          </cell>
          <cell r="Q12885" t="str">
            <v>电机驱动</v>
          </cell>
        </row>
        <row r="12886">
          <cell r="O12886" t="str">
            <v>SC2442SO-N</v>
          </cell>
          <cell r="P12886" t="str">
            <v>STC9906P</v>
          </cell>
          <cell r="Q12886" t="str">
            <v>磁性位置传感器</v>
          </cell>
        </row>
        <row r="12887">
          <cell r="O12887" t="str">
            <v>SC2442SO-N</v>
          </cell>
          <cell r="P12887" t="str">
            <v>STC9906P</v>
          </cell>
          <cell r="Q12887" t="str">
            <v>磁性位置传感器</v>
          </cell>
        </row>
        <row r="12888">
          <cell r="O12888" t="str">
            <v>SC2442SO-N</v>
          </cell>
          <cell r="P12888" t="str">
            <v>STC9906P</v>
          </cell>
          <cell r="Q12888" t="str">
            <v>磁性位置传感器</v>
          </cell>
        </row>
        <row r="12889">
          <cell r="O12889" t="str">
            <v>SC2442SO-N</v>
          </cell>
          <cell r="P12889" t="str">
            <v>STC9906P</v>
          </cell>
          <cell r="Q12889" t="str">
            <v>磁性位置传感器</v>
          </cell>
        </row>
        <row r="12890">
          <cell r="O12890" t="str">
            <v>SC2442SO-N</v>
          </cell>
          <cell r="P12890" t="str">
            <v>STC9906P</v>
          </cell>
          <cell r="Q12890" t="str">
            <v>磁性位置传感器</v>
          </cell>
        </row>
        <row r="12891">
          <cell r="O12891" t="str">
            <v>SC2402SO-N</v>
          </cell>
          <cell r="P12891" t="str">
            <v>STC9902J</v>
          </cell>
          <cell r="Q12891" t="str">
            <v>磁性位置传感器</v>
          </cell>
        </row>
        <row r="12892">
          <cell r="O12892" t="str">
            <v>SC2402SO-N</v>
          </cell>
          <cell r="P12892" t="str">
            <v>STC9902J</v>
          </cell>
          <cell r="Q12892" t="str">
            <v>磁性位置传感器</v>
          </cell>
        </row>
        <row r="12893">
          <cell r="O12893" t="str">
            <v>SC2402SO-N</v>
          </cell>
          <cell r="P12893" t="str">
            <v>STC9902J</v>
          </cell>
          <cell r="Q12893" t="str">
            <v>磁性位置传感器</v>
          </cell>
        </row>
        <row r="12894">
          <cell r="O12894" t="str">
            <v>SC2402SO-N</v>
          </cell>
          <cell r="P12894" t="str">
            <v>STC9902J</v>
          </cell>
          <cell r="Q12894" t="str">
            <v>磁性位置传感器</v>
          </cell>
        </row>
        <row r="12895">
          <cell r="O12895" t="str">
            <v>SC2063SO</v>
          </cell>
          <cell r="P12895" t="str">
            <v>STC9G001C</v>
          </cell>
          <cell r="Q12895" t="str">
            <v>磁性位置传感器</v>
          </cell>
        </row>
        <row r="12896">
          <cell r="O12896" t="str">
            <v>SC9642TS-E</v>
          </cell>
          <cell r="P12896" t="str">
            <v>STC9A001H</v>
          </cell>
          <cell r="Q12896" t="str">
            <v>速度传感器</v>
          </cell>
        </row>
        <row r="12897">
          <cell r="O12897" t="str">
            <v>SC4688编程板</v>
          </cell>
          <cell r="P12897" t="str">
            <v xml:space="preserve"> </v>
          </cell>
          <cell r="Q12897" t="str">
            <v>角度传感器</v>
          </cell>
        </row>
        <row r="12898">
          <cell r="O12898" t="str">
            <v>SC2442SO</v>
          </cell>
          <cell r="P12898" t="str">
            <v>STC9906R</v>
          </cell>
          <cell r="Q12898" t="str">
            <v>磁性位置传感器</v>
          </cell>
        </row>
        <row r="12899">
          <cell r="O12899" t="str">
            <v>SC2442SO</v>
          </cell>
          <cell r="P12899" t="str">
            <v>STC9906R</v>
          </cell>
          <cell r="Q12899" t="str">
            <v>磁性位置传感器</v>
          </cell>
        </row>
        <row r="12900">
          <cell r="O12900" t="str">
            <v>SC4643编程板</v>
          </cell>
          <cell r="P12900" t="str">
            <v xml:space="preserve"> </v>
          </cell>
          <cell r="Q12900" t="str">
            <v>电流传感器</v>
          </cell>
        </row>
        <row r="12901">
          <cell r="O12901" t="str">
            <v>SC4643VB-A</v>
          </cell>
          <cell r="P12901" t="str">
            <v>STC9D03E</v>
          </cell>
          <cell r="Q12901" t="str">
            <v>电流传感器</v>
          </cell>
        </row>
        <row r="12902">
          <cell r="O12902" t="str">
            <v>SC4643VB-A</v>
          </cell>
          <cell r="P12902" t="str">
            <v>STC9D03E</v>
          </cell>
          <cell r="Q12902" t="str">
            <v>电流传感器</v>
          </cell>
        </row>
        <row r="12903">
          <cell r="O12903" t="str">
            <v>SC4643VB-A</v>
          </cell>
          <cell r="P12903" t="str">
            <v>STC9D03E</v>
          </cell>
          <cell r="Q12903" t="str">
            <v>电流传感器</v>
          </cell>
        </row>
        <row r="12904">
          <cell r="O12904" t="str">
            <v>SC4616UA-10.2NF</v>
          </cell>
          <cell r="P12904" t="str">
            <v>STC9907D</v>
          </cell>
          <cell r="Q12904" t="str">
            <v>电流传感器</v>
          </cell>
        </row>
        <row r="12905">
          <cell r="O12905" t="str">
            <v>SC9641TS-P</v>
          </cell>
          <cell r="P12905" t="str">
            <v>STC9A001I</v>
          </cell>
          <cell r="Q12905" t="str">
            <v>速度传感器</v>
          </cell>
        </row>
        <row r="12906">
          <cell r="O12906" t="str">
            <v>SC9641TS-P</v>
          </cell>
          <cell r="P12906" t="str">
            <v>STC9A001I</v>
          </cell>
          <cell r="Q12906" t="str">
            <v>速度传感器</v>
          </cell>
        </row>
        <row r="12907">
          <cell r="O12907" t="str">
            <v>SC9641TS-P</v>
          </cell>
          <cell r="P12907" t="str">
            <v>STC9A001I</v>
          </cell>
          <cell r="Q12907" t="str">
            <v>速度传感器</v>
          </cell>
        </row>
        <row r="12908">
          <cell r="O12908" t="str">
            <v>SC9641TS-P</v>
          </cell>
          <cell r="P12908" t="str">
            <v>STC9A001F</v>
          </cell>
          <cell r="Q12908" t="str">
            <v>速度传感器</v>
          </cell>
        </row>
        <row r="12909">
          <cell r="O12909" t="str">
            <v>SC2442SO-N</v>
          </cell>
          <cell r="P12909" t="str">
            <v>STC9906P</v>
          </cell>
          <cell r="Q12909" t="str">
            <v>磁性位置传感器</v>
          </cell>
        </row>
        <row r="12910">
          <cell r="O12910" t="str">
            <v>SC2442SO-N</v>
          </cell>
          <cell r="P12910" t="str">
            <v>STC9906P</v>
          </cell>
          <cell r="Q12910" t="str">
            <v>磁性位置传感器</v>
          </cell>
        </row>
        <row r="12911">
          <cell r="O12911" t="str">
            <v>SC2442SO-N</v>
          </cell>
          <cell r="P12911" t="str">
            <v>STC9906P</v>
          </cell>
          <cell r="Q12911" t="str">
            <v>磁性位置传感器</v>
          </cell>
        </row>
        <row r="12912">
          <cell r="O12912" t="str">
            <v>SC2442SO-N</v>
          </cell>
          <cell r="P12912" t="str">
            <v>STC9906P</v>
          </cell>
          <cell r="Q12912" t="str">
            <v>磁性位置传感器</v>
          </cell>
        </row>
        <row r="12913">
          <cell r="O12913" t="str">
            <v>PSTC9D04C</v>
          </cell>
          <cell r="P12913" t="str">
            <v>STC9D04C</v>
          </cell>
          <cell r="Q12913" t="str">
            <v>电机编码器</v>
          </cell>
        </row>
        <row r="12914">
          <cell r="O12914" t="str">
            <v>SC2434UA</v>
          </cell>
          <cell r="P12914" t="str">
            <v>STC9906I</v>
          </cell>
          <cell r="Q12914" t="str">
            <v>磁性位置传感器</v>
          </cell>
        </row>
        <row r="12915">
          <cell r="O12915" t="str">
            <v>SC9314UA</v>
          </cell>
          <cell r="P12915" t="str">
            <v>STC9901AF</v>
          </cell>
          <cell r="Q12915" t="str">
            <v>速度传感器</v>
          </cell>
        </row>
        <row r="12916">
          <cell r="O12916" t="str">
            <v>SC9314UA</v>
          </cell>
          <cell r="P12916" t="str">
            <v>STC9901AF</v>
          </cell>
          <cell r="Q12916" t="str">
            <v>速度传感器</v>
          </cell>
        </row>
        <row r="12917">
          <cell r="O12917" t="str">
            <v>SC9314UA</v>
          </cell>
          <cell r="P12917" t="str">
            <v>STC9901AF</v>
          </cell>
          <cell r="Q12917" t="str">
            <v>速度传感器</v>
          </cell>
        </row>
        <row r="12918">
          <cell r="O12918" t="str">
            <v>SC9642TS-E</v>
          </cell>
          <cell r="P12918" t="str">
            <v>STC9A001H</v>
          </cell>
          <cell r="Q12918" t="str">
            <v>速度传感器</v>
          </cell>
        </row>
        <row r="12919">
          <cell r="O12919" t="str">
            <v>SC60104</v>
          </cell>
          <cell r="P12919" t="str">
            <v>STC9D02C</v>
          </cell>
          <cell r="Q12919" t="str">
            <v>电机编码器</v>
          </cell>
        </row>
        <row r="12920">
          <cell r="O12920" t="str">
            <v>SC60104</v>
          </cell>
          <cell r="P12920" t="str">
            <v>STC9D02C</v>
          </cell>
          <cell r="Q12920" t="str">
            <v>电机编码器</v>
          </cell>
        </row>
        <row r="12921">
          <cell r="O12921" t="str">
            <v>SC60104</v>
          </cell>
          <cell r="P12921" t="str">
            <v>STC9D02C</v>
          </cell>
          <cell r="Q12921" t="str">
            <v>电机编码器</v>
          </cell>
        </row>
        <row r="12922">
          <cell r="O12922" t="str">
            <v>SC9314UA</v>
          </cell>
          <cell r="P12922" t="str">
            <v>STC9901AF</v>
          </cell>
          <cell r="Q12922" t="str">
            <v>速度传感器</v>
          </cell>
        </row>
        <row r="12923">
          <cell r="O12923" t="str">
            <v>SC1445A1</v>
          </cell>
          <cell r="P12923" t="str">
            <v>STC2899AB</v>
          </cell>
          <cell r="Q12923" t="str">
            <v>磁性位置传感器</v>
          </cell>
        </row>
        <row r="12924">
          <cell r="O12924" t="str">
            <v>SC1445A1</v>
          </cell>
          <cell r="P12924" t="str">
            <v>STC2899AB</v>
          </cell>
          <cell r="Q12924" t="str">
            <v>磁性位置传感器</v>
          </cell>
        </row>
        <row r="12925">
          <cell r="O12925" t="str">
            <v>SC1445A1</v>
          </cell>
          <cell r="P12925" t="str">
            <v>STC2899AB</v>
          </cell>
          <cell r="Q12925" t="str">
            <v>磁性位置传感器</v>
          </cell>
        </row>
        <row r="12926">
          <cell r="O12926" t="str">
            <v>SD2276</v>
          </cell>
          <cell r="P12926" t="str">
            <v>FD1014A</v>
          </cell>
          <cell r="Q12926" t="str">
            <v>电机驱动</v>
          </cell>
        </row>
        <row r="12927">
          <cell r="O12927" t="str">
            <v>SC1645B1</v>
          </cell>
          <cell r="P12927" t="str">
            <v>STC2899AE</v>
          </cell>
          <cell r="Q12927" t="str">
            <v>磁性位置传感器</v>
          </cell>
        </row>
        <row r="12928">
          <cell r="O12928" t="str">
            <v>SC1645B1</v>
          </cell>
          <cell r="P12928" t="str">
            <v>STC2899AE</v>
          </cell>
          <cell r="Q12928" t="str">
            <v>磁性位置传感器</v>
          </cell>
        </row>
        <row r="12929">
          <cell r="O12929" t="str">
            <v>SC1645B1</v>
          </cell>
          <cell r="P12929" t="str">
            <v>STC2899AE</v>
          </cell>
          <cell r="Q12929" t="str">
            <v>磁性位置传感器</v>
          </cell>
        </row>
        <row r="12930">
          <cell r="O12930" t="str">
            <v>SC2063UA</v>
          </cell>
          <cell r="P12930" t="str">
            <v>STC9G001C</v>
          </cell>
          <cell r="Q12930" t="str">
            <v>磁性位置传感器</v>
          </cell>
        </row>
        <row r="12931">
          <cell r="O12931" t="str">
            <v>SC1133UA</v>
          </cell>
          <cell r="P12931" t="str">
            <v>STC1898AJ</v>
          </cell>
          <cell r="Q12931" t="str">
            <v>磁性位置传感器</v>
          </cell>
        </row>
        <row r="12932">
          <cell r="O12932" t="str">
            <v>SC1133UA</v>
          </cell>
          <cell r="P12932" t="str">
            <v>STC1898AJ</v>
          </cell>
          <cell r="Q12932" t="str">
            <v>磁性位置传感器</v>
          </cell>
        </row>
        <row r="12933">
          <cell r="O12933" t="str">
            <v>SC69401D</v>
          </cell>
          <cell r="P12933" t="str">
            <v>STC9H002D</v>
          </cell>
          <cell r="Q12933" t="str">
            <v>角度传感器</v>
          </cell>
        </row>
        <row r="12934">
          <cell r="O12934" t="str">
            <v>SC69401D</v>
          </cell>
          <cell r="P12934" t="str">
            <v>STC9H002D</v>
          </cell>
          <cell r="Q12934" t="str">
            <v>角度传感器</v>
          </cell>
        </row>
        <row r="12935">
          <cell r="O12935" t="str">
            <v>SC69401D</v>
          </cell>
          <cell r="P12935" t="str">
            <v>STC9H002D</v>
          </cell>
          <cell r="Q12935" t="str">
            <v>角度传感器</v>
          </cell>
        </row>
        <row r="12936">
          <cell r="O12936" t="str">
            <v>ZH6338B-Mask</v>
          </cell>
          <cell r="P12936" t="str">
            <v xml:space="preserve"> </v>
          </cell>
          <cell r="Q12936" t="str">
            <v>电机驱动</v>
          </cell>
        </row>
        <row r="12937">
          <cell r="O12937" t="str">
            <v>ZH6338B</v>
          </cell>
          <cell r="P12937" t="str">
            <v>ZH6338B</v>
          </cell>
          <cell r="Q12937" t="str">
            <v>电机驱动</v>
          </cell>
        </row>
        <row r="12938">
          <cell r="O12938" t="str">
            <v>SC4688编程板</v>
          </cell>
          <cell r="P12938" t="str">
            <v xml:space="preserve"> </v>
          </cell>
          <cell r="Q12938" t="str">
            <v>角度传感器</v>
          </cell>
        </row>
        <row r="12939">
          <cell r="O12939" t="str">
            <v>SC9642TS-E</v>
          </cell>
          <cell r="P12939" t="str">
            <v>STC9A001H</v>
          </cell>
          <cell r="Q12939" t="str">
            <v>速度传感器</v>
          </cell>
        </row>
        <row r="12940">
          <cell r="O12940" t="str">
            <v>SC1138SO-N</v>
          </cell>
          <cell r="P12940" t="str">
            <v>STC1898AC</v>
          </cell>
          <cell r="Q12940" t="str">
            <v>磁性位置传感器</v>
          </cell>
        </row>
        <row r="12941">
          <cell r="O12941" t="str">
            <v>SC1138SO-N</v>
          </cell>
          <cell r="P12941" t="str">
            <v>STC1898AC</v>
          </cell>
          <cell r="Q12941" t="str">
            <v>磁性位置传感器</v>
          </cell>
        </row>
        <row r="12942">
          <cell r="O12942" t="str">
            <v>SC1138SO-N</v>
          </cell>
          <cell r="P12942" t="str">
            <v>STC1898AC</v>
          </cell>
          <cell r="Q12942" t="str">
            <v>磁性位置传感器</v>
          </cell>
        </row>
        <row r="12943">
          <cell r="O12943" t="str">
            <v>SC1245SO-N</v>
          </cell>
          <cell r="P12943" t="str">
            <v>STC1898AD</v>
          </cell>
          <cell r="Q12943" t="str">
            <v>磁性位置传感器</v>
          </cell>
        </row>
        <row r="12944">
          <cell r="O12944" t="str">
            <v>SC243XSO</v>
          </cell>
          <cell r="P12944" t="str">
            <v>STC9906M</v>
          </cell>
          <cell r="Q12944" t="str">
            <v>磁性位置传感器</v>
          </cell>
        </row>
        <row r="12945">
          <cell r="O12945" t="str">
            <v>SC243XSO</v>
          </cell>
          <cell r="P12945" t="str">
            <v>STC9906M</v>
          </cell>
          <cell r="Q12945" t="str">
            <v>磁性位置传感器</v>
          </cell>
        </row>
        <row r="12946">
          <cell r="O12946" t="str">
            <v>SC243XSO</v>
          </cell>
          <cell r="P12946" t="str">
            <v>STC9906M</v>
          </cell>
          <cell r="Q12946" t="str">
            <v>磁性位置传感器</v>
          </cell>
        </row>
        <row r="12947">
          <cell r="O12947" t="str">
            <v>SC243XSO</v>
          </cell>
          <cell r="P12947" t="str">
            <v>STC9906M</v>
          </cell>
          <cell r="Q12947" t="str">
            <v>磁性位置传感器</v>
          </cell>
        </row>
        <row r="12948">
          <cell r="O12948" t="str">
            <v>SC1945N1</v>
          </cell>
          <cell r="P12948" t="str">
            <v>STC2899AJ</v>
          </cell>
          <cell r="Q12948" t="str">
            <v>磁性位置传感器</v>
          </cell>
        </row>
        <row r="12949">
          <cell r="O12949" t="str">
            <v>SC1945N1</v>
          </cell>
          <cell r="P12949" t="str">
            <v>STC2899AJ</v>
          </cell>
          <cell r="Q12949" t="str">
            <v>磁性位置传感器</v>
          </cell>
        </row>
        <row r="12950">
          <cell r="O12950" t="str">
            <v>SC1945N1</v>
          </cell>
          <cell r="P12950" t="str">
            <v>STC2899AJ</v>
          </cell>
          <cell r="Q12950" t="str">
            <v>磁性位置传感器</v>
          </cell>
        </row>
        <row r="12951">
          <cell r="O12951" t="str">
            <v>SC2434SO-N</v>
          </cell>
          <cell r="P12951" t="str">
            <v>STC9906I</v>
          </cell>
          <cell r="Q12951" t="str">
            <v>磁性位置传感器</v>
          </cell>
        </row>
        <row r="12952">
          <cell r="O12952" t="str">
            <v>SC2064SO</v>
          </cell>
          <cell r="P12952" t="str">
            <v>STC9G001C</v>
          </cell>
          <cell r="Q12952" t="str">
            <v>磁性位置传感器</v>
          </cell>
        </row>
        <row r="12953">
          <cell r="O12953" t="str">
            <v>SC2466SO</v>
          </cell>
          <cell r="P12953" t="str">
            <v>STC9906O</v>
          </cell>
          <cell r="Q12953" t="str">
            <v>磁性位置传感器</v>
          </cell>
        </row>
        <row r="12954">
          <cell r="O12954" t="str">
            <v>SC2466SO</v>
          </cell>
          <cell r="P12954" t="str">
            <v>STC9906O</v>
          </cell>
          <cell r="Q12954" t="str">
            <v>磁性位置传感器</v>
          </cell>
        </row>
        <row r="12955">
          <cell r="O12955" t="str">
            <v>SC4011SO-N</v>
          </cell>
          <cell r="P12955" t="str">
            <v>STC4011B</v>
          </cell>
          <cell r="Q12955" t="str">
            <v>磁性位置传感器</v>
          </cell>
        </row>
        <row r="12956">
          <cell r="O12956" t="str">
            <v>SC60221-D-256</v>
          </cell>
          <cell r="P12956" t="str">
            <v>STC9D04C</v>
          </cell>
          <cell r="Q12956" t="str">
            <v>电机编码器</v>
          </cell>
        </row>
        <row r="12957">
          <cell r="O12957" t="str">
            <v>SC4643VB</v>
          </cell>
          <cell r="P12957" t="str">
            <v>STC9D03E</v>
          </cell>
          <cell r="Q12957" t="str">
            <v>电流传感器</v>
          </cell>
        </row>
        <row r="12958">
          <cell r="O12958" t="str">
            <v>SC4616UA-10.2NF</v>
          </cell>
          <cell r="P12958" t="str">
            <v>STC9907D</v>
          </cell>
          <cell r="Q12958" t="str">
            <v>电流传感器</v>
          </cell>
        </row>
        <row r="12959">
          <cell r="O12959" t="str">
            <v>PSTC1898AH</v>
          </cell>
          <cell r="P12959" t="str">
            <v>STC1898AH</v>
          </cell>
          <cell r="Q12959" t="str">
            <v>磁性位置传感器</v>
          </cell>
        </row>
        <row r="12960">
          <cell r="O12960" t="str">
            <v>PSTC1898AH</v>
          </cell>
          <cell r="P12960" t="str">
            <v>STC1898AH</v>
          </cell>
          <cell r="Q12960" t="str">
            <v>磁性位置传感器</v>
          </cell>
        </row>
        <row r="12961">
          <cell r="O12961" t="str">
            <v>SC2064SO</v>
          </cell>
          <cell r="P12961" t="str">
            <v>STC9G001C</v>
          </cell>
          <cell r="Q12961" t="str">
            <v>磁性位置传感器</v>
          </cell>
        </row>
        <row r="12962">
          <cell r="O12962" t="str">
            <v>SC4688编程板</v>
          </cell>
          <cell r="P12962" t="str">
            <v xml:space="preserve"> </v>
          </cell>
          <cell r="Q12962" t="str">
            <v>角度传感器</v>
          </cell>
        </row>
        <row r="12963">
          <cell r="O12963" t="str">
            <v>SC2432SO-N</v>
          </cell>
          <cell r="P12963" t="str">
            <v>STC9906I</v>
          </cell>
          <cell r="Q12963" t="str">
            <v>磁性位置传感器</v>
          </cell>
        </row>
        <row r="12964">
          <cell r="O12964" t="str">
            <v>SC9625VB</v>
          </cell>
          <cell r="P12964" t="str">
            <v>STC9910B</v>
          </cell>
          <cell r="Q12964" t="str">
            <v>速度传感器</v>
          </cell>
        </row>
        <row r="12965">
          <cell r="O12965" t="str">
            <v>SC60221-D-50</v>
          </cell>
          <cell r="P12965" t="str">
            <v>STC9D04C</v>
          </cell>
          <cell r="Q12965" t="str">
            <v>电机编码器</v>
          </cell>
        </row>
        <row r="12966">
          <cell r="O12966" t="str">
            <v>SC1645A1</v>
          </cell>
          <cell r="P12966" t="str">
            <v>STC2899AE</v>
          </cell>
          <cell r="Q12966" t="str">
            <v>磁性位置传感器</v>
          </cell>
        </row>
        <row r="12967">
          <cell r="O12967" t="str">
            <v>SC1645A1</v>
          </cell>
          <cell r="P12967" t="str">
            <v>STC2899AE</v>
          </cell>
          <cell r="Q12967" t="str">
            <v>磁性位置传感器</v>
          </cell>
        </row>
        <row r="12968">
          <cell r="O12968" t="str">
            <v>SC1645A1</v>
          </cell>
          <cell r="P12968" t="str">
            <v>STC2899AE</v>
          </cell>
          <cell r="Q12968" t="str">
            <v>磁性位置传感器</v>
          </cell>
        </row>
        <row r="12969">
          <cell r="O12969" t="str">
            <v>SC9642TS-E</v>
          </cell>
          <cell r="P12969" t="str">
            <v>STC9A001H</v>
          </cell>
          <cell r="Q12969" t="str">
            <v>速度传感器</v>
          </cell>
        </row>
        <row r="12970">
          <cell r="O12970" t="str">
            <v>SC4688SA</v>
          </cell>
          <cell r="P12970" t="str">
            <v>STC9D01C</v>
          </cell>
          <cell r="Q12970" t="str">
            <v>角度传感器</v>
          </cell>
        </row>
        <row r="12971">
          <cell r="O12971" t="str">
            <v>SC2443SO</v>
          </cell>
          <cell r="P12971" t="str">
            <v>STC9906T</v>
          </cell>
          <cell r="Q12971" t="str">
            <v>磁性位置传感器</v>
          </cell>
        </row>
        <row r="12972">
          <cell r="O12972" t="str">
            <v>SC2462UA</v>
          </cell>
          <cell r="P12972" t="str">
            <v>STC9906J</v>
          </cell>
          <cell r="Q12972" t="str">
            <v>磁性位置传感器</v>
          </cell>
        </row>
        <row r="12973">
          <cell r="O12973" t="str">
            <v>SC4011SO-N</v>
          </cell>
          <cell r="P12973" t="str">
            <v>STC4011B</v>
          </cell>
          <cell r="Q12973" t="str">
            <v>磁性位置传感器</v>
          </cell>
        </row>
        <row r="12974">
          <cell r="O12974" t="str">
            <v>SC4011SO-N</v>
          </cell>
          <cell r="P12974" t="str">
            <v>STC4011B</v>
          </cell>
          <cell r="Q12974" t="str">
            <v>磁性位置传感器</v>
          </cell>
        </row>
        <row r="12975">
          <cell r="O12975" t="str">
            <v>SC4011SO-N</v>
          </cell>
          <cell r="P12975" t="str">
            <v>STC4011B</v>
          </cell>
          <cell r="Q12975" t="str">
            <v>磁性位置传感器</v>
          </cell>
        </row>
        <row r="12976">
          <cell r="O12976" t="str">
            <v>2100</v>
          </cell>
          <cell r="P12976" t="str">
            <v>STC9D03E</v>
          </cell>
          <cell r="Q12976" t="str">
            <v>电流传感器</v>
          </cell>
        </row>
        <row r="12977">
          <cell r="O12977" t="str">
            <v>SC9641TS-P</v>
          </cell>
          <cell r="P12977" t="str">
            <v>STC9A001I</v>
          </cell>
          <cell r="Q12977" t="str">
            <v>速度传感器</v>
          </cell>
        </row>
        <row r="12978">
          <cell r="O12978" t="str">
            <v>SC9641TS-P</v>
          </cell>
          <cell r="P12978" t="str">
            <v>STC9A001I</v>
          </cell>
          <cell r="Q12978" t="str">
            <v>速度传感器</v>
          </cell>
        </row>
        <row r="12979">
          <cell r="O12979" t="str">
            <v>AS04</v>
          </cell>
          <cell r="P12979" t="str">
            <v>STC9A001F</v>
          </cell>
          <cell r="Q12979" t="str">
            <v>速度传感器</v>
          </cell>
        </row>
        <row r="12980">
          <cell r="O12980" t="str">
            <v>AS04</v>
          </cell>
          <cell r="P12980" t="str">
            <v>STC9A001F</v>
          </cell>
          <cell r="Q12980" t="str">
            <v>速度传感器</v>
          </cell>
        </row>
        <row r="12981">
          <cell r="O12981" t="str">
            <v>PSTC9D04C</v>
          </cell>
          <cell r="P12981" t="str">
            <v>STC9D04C</v>
          </cell>
          <cell r="Q12981" t="str">
            <v>电机编码器</v>
          </cell>
        </row>
        <row r="12982">
          <cell r="O12982" t="str">
            <v>PSTC9910B</v>
          </cell>
          <cell r="P12982" t="str">
            <v>STC9910B</v>
          </cell>
          <cell r="Q12982" t="str">
            <v>速度传感器</v>
          </cell>
        </row>
        <row r="12983">
          <cell r="O12983" t="str">
            <v>SC4643SA-A</v>
          </cell>
          <cell r="P12983" t="str">
            <v>STC9D03E</v>
          </cell>
          <cell r="Q12983" t="str">
            <v>电流传感器</v>
          </cell>
        </row>
        <row r="12984">
          <cell r="O12984" t="str">
            <v>SC4643SA-A</v>
          </cell>
          <cell r="P12984" t="str">
            <v>STC9D03E</v>
          </cell>
          <cell r="Q12984" t="str">
            <v>电流传感器</v>
          </cell>
        </row>
        <row r="12985">
          <cell r="O12985" t="str">
            <v>SC60104</v>
          </cell>
          <cell r="P12985" t="str">
            <v>STC9D02C</v>
          </cell>
          <cell r="Q12985" t="str">
            <v>电机编码器</v>
          </cell>
        </row>
        <row r="12986">
          <cell r="O12986" t="str">
            <v>SC60104</v>
          </cell>
          <cell r="P12986" t="str">
            <v>STC9D02C</v>
          </cell>
          <cell r="Q12986" t="str">
            <v>电机编码器</v>
          </cell>
        </row>
        <row r="12987">
          <cell r="O12987" t="str">
            <v>SC1945N1</v>
          </cell>
          <cell r="P12987" t="str">
            <v>STC2899AJ</v>
          </cell>
          <cell r="Q12987" t="str">
            <v>磁性位置传感器</v>
          </cell>
        </row>
        <row r="12988">
          <cell r="O12988" t="str">
            <v>SC1945N1</v>
          </cell>
          <cell r="P12988" t="str">
            <v>STC2899AJ</v>
          </cell>
          <cell r="Q12988" t="str">
            <v>磁性位置传感器</v>
          </cell>
        </row>
        <row r="12989">
          <cell r="O12989" t="str">
            <v>SC1134SO-N</v>
          </cell>
          <cell r="P12989" t="str">
            <v>STC1898AI</v>
          </cell>
          <cell r="Q12989" t="str">
            <v>磁性位置传感器</v>
          </cell>
        </row>
        <row r="12990">
          <cell r="O12990" t="str">
            <v>SC1134SO-N</v>
          </cell>
          <cell r="P12990" t="str">
            <v>STC1898AI</v>
          </cell>
          <cell r="Q12990" t="str">
            <v>磁性位置传感器</v>
          </cell>
        </row>
        <row r="12991">
          <cell r="O12991" t="str">
            <v>SC2462SO</v>
          </cell>
          <cell r="P12991" t="str">
            <v>STC9906J</v>
          </cell>
          <cell r="Q12991" t="str">
            <v>磁性位置传感器</v>
          </cell>
        </row>
        <row r="12992">
          <cell r="O12992" t="str">
            <v>SC2402SO-N</v>
          </cell>
          <cell r="P12992" t="str">
            <v>STC9902J</v>
          </cell>
          <cell r="Q12992" t="str">
            <v>磁性位置传感器</v>
          </cell>
        </row>
        <row r="12993">
          <cell r="O12993" t="str">
            <v>2100HBL</v>
          </cell>
          <cell r="P12993" t="str">
            <v>STC9D03E</v>
          </cell>
          <cell r="Q12993" t="str">
            <v>电流传感器</v>
          </cell>
        </row>
        <row r="12994">
          <cell r="O12994" t="str">
            <v>2100HBL</v>
          </cell>
          <cell r="P12994" t="str">
            <v>STC9D03E</v>
          </cell>
          <cell r="Q12994" t="str">
            <v>电流传感器</v>
          </cell>
        </row>
        <row r="12995">
          <cell r="O12995" t="str">
            <v>2100S</v>
          </cell>
          <cell r="P12995" t="str">
            <v>STC9D03E</v>
          </cell>
          <cell r="Q12995" t="str">
            <v>电流传感器</v>
          </cell>
        </row>
        <row r="12996">
          <cell r="O12996" t="str">
            <v>2100S</v>
          </cell>
          <cell r="P12996" t="str">
            <v>STC9D03E</v>
          </cell>
          <cell r="Q12996" t="str">
            <v>电流传感器</v>
          </cell>
        </row>
        <row r="12997">
          <cell r="O12997" t="str">
            <v>2100S</v>
          </cell>
          <cell r="P12997" t="str">
            <v>STC9D03E</v>
          </cell>
          <cell r="Q12997" t="str">
            <v>电流传感器</v>
          </cell>
        </row>
        <row r="12998">
          <cell r="O12998" t="str">
            <v>2100</v>
          </cell>
          <cell r="P12998" t="str">
            <v>STC9D03E</v>
          </cell>
          <cell r="Q12998" t="str">
            <v>电流传感器</v>
          </cell>
        </row>
        <row r="12999">
          <cell r="O12999" t="str">
            <v>2100</v>
          </cell>
          <cell r="P12999" t="str">
            <v>STC9D03E</v>
          </cell>
          <cell r="Q12999" t="str">
            <v>电流传感器</v>
          </cell>
        </row>
        <row r="13000">
          <cell r="O13000" t="str">
            <v>2100</v>
          </cell>
          <cell r="P13000" t="str">
            <v>STC9D03E</v>
          </cell>
          <cell r="Q13000" t="str">
            <v>电流传感器</v>
          </cell>
        </row>
        <row r="13001">
          <cell r="O13001" t="str">
            <v>SC2402SO-N</v>
          </cell>
          <cell r="P13001" t="str">
            <v>STC9902J</v>
          </cell>
          <cell r="Q13001" t="str">
            <v>磁性位置传感器</v>
          </cell>
        </row>
        <row r="13002">
          <cell r="O13002" t="str">
            <v>SC4688SA</v>
          </cell>
          <cell r="P13002" t="str">
            <v>STC9D01C</v>
          </cell>
          <cell r="Q13002" t="str">
            <v>角度传感器</v>
          </cell>
        </row>
        <row r="13003">
          <cell r="O13003" t="str">
            <v>SC9625VB-L</v>
          </cell>
          <cell r="P13003" t="str">
            <v>STC9910E</v>
          </cell>
          <cell r="Q13003" t="str">
            <v>速度传感器</v>
          </cell>
        </row>
        <row r="13004">
          <cell r="O13004" t="str">
            <v>SC9625VB-L</v>
          </cell>
          <cell r="P13004" t="str">
            <v>STC9910E</v>
          </cell>
          <cell r="Q13004" t="str">
            <v>速度传感器</v>
          </cell>
        </row>
        <row r="13005">
          <cell r="O13005" t="str">
            <v>SC2402SO-N</v>
          </cell>
          <cell r="P13005" t="str">
            <v>STC9902J</v>
          </cell>
          <cell r="Q13005" t="str">
            <v>磁性位置传感器</v>
          </cell>
        </row>
        <row r="13006">
          <cell r="O13006" t="str">
            <v>SC2402SO-N</v>
          </cell>
          <cell r="P13006" t="str">
            <v>STC9902J</v>
          </cell>
          <cell r="Q13006" t="str">
            <v>磁性位置传感器</v>
          </cell>
        </row>
        <row r="13007">
          <cell r="O13007" t="str">
            <v>SC2402SO-N</v>
          </cell>
          <cell r="P13007" t="str">
            <v>STC9902J</v>
          </cell>
          <cell r="Q13007" t="str">
            <v>磁性位置传感器</v>
          </cell>
        </row>
        <row r="13008">
          <cell r="O13008" t="str">
            <v>SC9641TS-P</v>
          </cell>
          <cell r="P13008" t="str">
            <v>STC9A001F</v>
          </cell>
          <cell r="Q13008" t="str">
            <v>速度传感器</v>
          </cell>
        </row>
        <row r="13009">
          <cell r="O13009" t="str">
            <v>SC9641TS-P</v>
          </cell>
          <cell r="P13009" t="str">
            <v>STC9A001I</v>
          </cell>
          <cell r="Q13009" t="str">
            <v>速度传感器</v>
          </cell>
        </row>
        <row r="13010">
          <cell r="O13010" t="str">
            <v>SC9641TS-P</v>
          </cell>
          <cell r="P13010" t="str">
            <v>STC9A001I</v>
          </cell>
          <cell r="Q13010" t="str">
            <v>速度传感器</v>
          </cell>
        </row>
        <row r="13011">
          <cell r="O13011" t="str">
            <v>SC9641TS-P</v>
          </cell>
          <cell r="P13011" t="str">
            <v>STC9A001F</v>
          </cell>
          <cell r="Q13011" t="str">
            <v>速度传感器</v>
          </cell>
        </row>
        <row r="13012">
          <cell r="O13012" t="str">
            <v>SC9641TS-P</v>
          </cell>
          <cell r="P13012" t="str">
            <v>STC9A001F</v>
          </cell>
          <cell r="Q13012" t="str">
            <v>速度传感器</v>
          </cell>
        </row>
        <row r="13013">
          <cell r="O13013" t="str">
            <v>SC9625VB-L</v>
          </cell>
          <cell r="P13013" t="str">
            <v>STC9910E</v>
          </cell>
          <cell r="Q13013" t="str">
            <v>速度传感器</v>
          </cell>
        </row>
        <row r="13014">
          <cell r="O13014" t="str">
            <v>SC9625VB-L</v>
          </cell>
          <cell r="P13014" t="str">
            <v>STC9910E</v>
          </cell>
          <cell r="Q13014" t="str">
            <v>速度传感器</v>
          </cell>
        </row>
        <row r="13015">
          <cell r="O13015" t="str">
            <v>SC1134BU</v>
          </cell>
          <cell r="P13015" t="str">
            <v>STC1898AI</v>
          </cell>
          <cell r="Q13015" t="str">
            <v>磁性位置传感器</v>
          </cell>
        </row>
        <row r="13016">
          <cell r="O13016" t="str">
            <v>SD2276</v>
          </cell>
          <cell r="P13016" t="str">
            <v>FD1014A</v>
          </cell>
          <cell r="Q13016" t="str">
            <v>电机驱动</v>
          </cell>
        </row>
        <row r="13017">
          <cell r="O13017" t="str">
            <v>SD2276</v>
          </cell>
          <cell r="P13017" t="str">
            <v>FD1014A</v>
          </cell>
          <cell r="Q13017" t="str">
            <v>电机驱动</v>
          </cell>
        </row>
        <row r="13018">
          <cell r="O13018" t="str">
            <v>SD2276</v>
          </cell>
          <cell r="P13018" t="str">
            <v>FD1014A</v>
          </cell>
          <cell r="Q13018" t="str">
            <v>电机驱动</v>
          </cell>
        </row>
        <row r="13019">
          <cell r="O13019" t="str">
            <v>SC1245B1</v>
          </cell>
          <cell r="P13019" t="str">
            <v>STC1898AD</v>
          </cell>
          <cell r="Q13019" t="str">
            <v>磁性位置传感器</v>
          </cell>
        </row>
        <row r="13020">
          <cell r="O13020" t="str">
            <v>SC1245B1</v>
          </cell>
          <cell r="P13020" t="str">
            <v>STC1898AD</v>
          </cell>
          <cell r="Q13020" t="str">
            <v>磁性位置传感器</v>
          </cell>
        </row>
        <row r="13021">
          <cell r="O13021" t="str">
            <v>SC1245B1</v>
          </cell>
          <cell r="P13021" t="str">
            <v>STC1898AD</v>
          </cell>
          <cell r="Q13021" t="str">
            <v>磁性位置传感器</v>
          </cell>
        </row>
        <row r="13022">
          <cell r="O13022" t="str">
            <v>SC1245B1</v>
          </cell>
          <cell r="P13022" t="str">
            <v>STC1898AD</v>
          </cell>
          <cell r="Q13022" t="str">
            <v>磁性位置传感器</v>
          </cell>
        </row>
        <row r="13023">
          <cell r="O13023" t="str">
            <v>SC1245B1</v>
          </cell>
          <cell r="P13023" t="str">
            <v>STC1898AD</v>
          </cell>
          <cell r="Q13023" t="str">
            <v>磁性位置传感器</v>
          </cell>
        </row>
        <row r="13024">
          <cell r="O13024" t="str">
            <v>SC9641TS</v>
          </cell>
          <cell r="P13024" t="str">
            <v>STC9910BN</v>
          </cell>
          <cell r="Q13024" t="str">
            <v>速度传感器</v>
          </cell>
        </row>
        <row r="13025">
          <cell r="O13025" t="str">
            <v>SC4688SA-A</v>
          </cell>
          <cell r="P13025" t="str">
            <v>STC9D01C</v>
          </cell>
          <cell r="Q13025" t="str">
            <v>角度传感器</v>
          </cell>
        </row>
        <row r="13026">
          <cell r="O13026" t="str">
            <v>SC2442SO-N</v>
          </cell>
          <cell r="P13026" t="str">
            <v>STC9906P</v>
          </cell>
          <cell r="Q13026" t="str">
            <v>磁性位置传感器</v>
          </cell>
        </row>
        <row r="13027">
          <cell r="O13027" t="str">
            <v>SC2442SO-N</v>
          </cell>
          <cell r="P13027" t="str">
            <v>STC9906P</v>
          </cell>
          <cell r="Q13027" t="str">
            <v>磁性位置传感器</v>
          </cell>
        </row>
        <row r="13028">
          <cell r="O13028" t="str">
            <v>SC2442SO-N</v>
          </cell>
          <cell r="P13028" t="str">
            <v>STC9906P</v>
          </cell>
          <cell r="Q13028" t="str">
            <v>磁性位置传感器</v>
          </cell>
        </row>
        <row r="13029">
          <cell r="O13029" t="str">
            <v>ZH619A0</v>
          </cell>
          <cell r="P13029" t="str">
            <v>STC22303</v>
          </cell>
          <cell r="Q13029" t="str">
            <v>电机驱动</v>
          </cell>
        </row>
        <row r="13030">
          <cell r="O13030" t="str">
            <v>SC2402SO-N</v>
          </cell>
          <cell r="P13030" t="str">
            <v>STC9G002A</v>
          </cell>
          <cell r="Q13030" t="str">
            <v>磁性位置传感器</v>
          </cell>
        </row>
        <row r="13031">
          <cell r="O13031" t="str">
            <v>SC2432SO-N</v>
          </cell>
          <cell r="P13031" t="str">
            <v>STC9906I</v>
          </cell>
          <cell r="Q13031" t="str">
            <v>磁性位置传感器</v>
          </cell>
        </row>
        <row r="13032">
          <cell r="O13032" t="str">
            <v>SC60226</v>
          </cell>
          <cell r="P13032" t="str">
            <v>STC9D04C</v>
          </cell>
          <cell r="Q13032" t="str">
            <v>电机编码器</v>
          </cell>
        </row>
        <row r="13033">
          <cell r="O13033" t="str">
            <v>SC9634VB</v>
          </cell>
          <cell r="P13033" t="str">
            <v>STC9905G</v>
          </cell>
          <cell r="Q13033" t="str">
            <v>速度传感器</v>
          </cell>
        </row>
        <row r="13034">
          <cell r="O13034" t="str">
            <v>SC9634VB</v>
          </cell>
          <cell r="P13034" t="str">
            <v>STC9905G</v>
          </cell>
          <cell r="Q13034" t="str">
            <v>速度传感器</v>
          </cell>
        </row>
        <row r="13035">
          <cell r="O13035" t="str">
            <v>SC60224-D-500</v>
          </cell>
          <cell r="P13035" t="str">
            <v>STC9D04C</v>
          </cell>
          <cell r="Q13035" t="str">
            <v>电机编码器</v>
          </cell>
        </row>
        <row r="13036">
          <cell r="O13036" t="str">
            <v>SC919H</v>
          </cell>
          <cell r="P13036" t="str">
            <v>STC9909A</v>
          </cell>
          <cell r="Q13036" t="str">
            <v>磁性位置传感器</v>
          </cell>
        </row>
        <row r="13037">
          <cell r="O13037" t="str">
            <v>SC1445A1</v>
          </cell>
          <cell r="P13037" t="str">
            <v>STC2899AB</v>
          </cell>
          <cell r="Q13037" t="str">
            <v>磁性位置传感器</v>
          </cell>
        </row>
        <row r="13038">
          <cell r="O13038" t="str">
            <v>SC1445A1</v>
          </cell>
          <cell r="P13038" t="str">
            <v>STC2899AB</v>
          </cell>
          <cell r="Q13038" t="str">
            <v>磁性位置传感器</v>
          </cell>
        </row>
        <row r="13039">
          <cell r="O13039" t="str">
            <v>SC1445A1</v>
          </cell>
          <cell r="P13039" t="str">
            <v>STC2899AB</v>
          </cell>
          <cell r="Q13039" t="str">
            <v>磁性位置传感器</v>
          </cell>
        </row>
        <row r="13040">
          <cell r="O13040" t="str">
            <v>SC1645A2</v>
          </cell>
          <cell r="P13040" t="str">
            <v>STC2899AE</v>
          </cell>
          <cell r="Q13040" t="str">
            <v>磁性位置传感器</v>
          </cell>
        </row>
        <row r="13041">
          <cell r="O13041" t="str">
            <v>SC1645A2</v>
          </cell>
          <cell r="P13041" t="str">
            <v>STC2899AE</v>
          </cell>
          <cell r="Q13041" t="str">
            <v>磁性位置传感器</v>
          </cell>
        </row>
        <row r="13042">
          <cell r="O13042" t="str">
            <v>SC1645A2</v>
          </cell>
          <cell r="P13042" t="str">
            <v>STC2899AE</v>
          </cell>
          <cell r="Q13042" t="str">
            <v>磁性位置传感器</v>
          </cell>
        </row>
        <row r="13043">
          <cell r="O13043" t="str">
            <v>SC1645A2</v>
          </cell>
          <cell r="P13043" t="str">
            <v>STC2899AE</v>
          </cell>
          <cell r="Q13043" t="str">
            <v>磁性位置传感器</v>
          </cell>
        </row>
        <row r="13044">
          <cell r="O13044" t="str">
            <v>SC1245UA</v>
          </cell>
          <cell r="P13044" t="str">
            <v>STC1898AD</v>
          </cell>
          <cell r="Q13044" t="str">
            <v>磁性位置传感器</v>
          </cell>
        </row>
        <row r="13045">
          <cell r="O13045" t="str">
            <v>SC1245UA</v>
          </cell>
          <cell r="P13045" t="str">
            <v>STC1898AD</v>
          </cell>
          <cell r="Q13045" t="str">
            <v>磁性位置传感器</v>
          </cell>
        </row>
        <row r="13046">
          <cell r="O13046" t="str">
            <v>SC1245UA</v>
          </cell>
          <cell r="P13046" t="str">
            <v>STC1898AD</v>
          </cell>
          <cell r="Q13046" t="str">
            <v>磁性位置传感器</v>
          </cell>
        </row>
        <row r="13047">
          <cell r="O13047" t="str">
            <v>SC1245UA</v>
          </cell>
          <cell r="P13047" t="str">
            <v>STC1898AD</v>
          </cell>
          <cell r="Q13047" t="str">
            <v>磁性位置传感器</v>
          </cell>
        </row>
        <row r="13048">
          <cell r="O13048" t="str">
            <v>SC1245UA</v>
          </cell>
          <cell r="P13048" t="str">
            <v>STC1898AD</v>
          </cell>
          <cell r="Q13048" t="str">
            <v>磁性位置传感器</v>
          </cell>
        </row>
        <row r="13049">
          <cell r="O13049" t="str">
            <v>SC1245UA</v>
          </cell>
          <cell r="P13049" t="str">
            <v>STC1898AD</v>
          </cell>
          <cell r="Q13049" t="str">
            <v>磁性位置传感器</v>
          </cell>
        </row>
        <row r="13050">
          <cell r="O13050" t="str">
            <v>SC1245UA</v>
          </cell>
          <cell r="P13050" t="str">
            <v>STC1898AD</v>
          </cell>
          <cell r="Q13050" t="str">
            <v>磁性位置传感器</v>
          </cell>
        </row>
        <row r="13051">
          <cell r="O13051" t="str">
            <v>SC4688SA</v>
          </cell>
          <cell r="P13051" t="str">
            <v>STC9D01C</v>
          </cell>
          <cell r="Q13051" t="str">
            <v>角度传感器</v>
          </cell>
        </row>
        <row r="13052">
          <cell r="O13052" t="str">
            <v>SC1945B1</v>
          </cell>
          <cell r="P13052" t="str">
            <v>STC2899AJ</v>
          </cell>
          <cell r="Q13052" t="str">
            <v>磁性位置传感器</v>
          </cell>
        </row>
        <row r="13053">
          <cell r="O13053" t="str">
            <v>SC2436SO</v>
          </cell>
          <cell r="P13053" t="str">
            <v>STC9906I</v>
          </cell>
          <cell r="Q13053" t="str">
            <v>磁性位置传感器</v>
          </cell>
        </row>
        <row r="13054">
          <cell r="O13054" t="str">
            <v>SC1645A1</v>
          </cell>
          <cell r="P13054" t="str">
            <v>STC2899AE</v>
          </cell>
          <cell r="Q13054" t="str">
            <v>磁性位置传感器</v>
          </cell>
        </row>
        <row r="13055">
          <cell r="O13055" t="str">
            <v>SC1245A1</v>
          </cell>
          <cell r="P13055" t="str">
            <v>STC1898AD</v>
          </cell>
          <cell r="Q13055" t="str">
            <v>磁性位置传感器</v>
          </cell>
        </row>
        <row r="13056">
          <cell r="O13056" t="str">
            <v>SC1245A1</v>
          </cell>
          <cell r="P13056" t="str">
            <v>STC1898AD</v>
          </cell>
          <cell r="Q13056" t="str">
            <v>磁性位置传感器</v>
          </cell>
        </row>
        <row r="13057">
          <cell r="O13057" t="str">
            <v>SC1245A1</v>
          </cell>
          <cell r="P13057" t="str">
            <v>STC1898AD</v>
          </cell>
          <cell r="Q13057" t="str">
            <v>磁性位置传感器</v>
          </cell>
        </row>
        <row r="13058">
          <cell r="O13058" t="str">
            <v>SYLMV324BPD2R</v>
          </cell>
          <cell r="P13058" t="str">
            <v>STC9G003B</v>
          </cell>
          <cell r="Q13058" t="str">
            <v>其他数模混合</v>
          </cell>
        </row>
        <row r="13059">
          <cell r="O13059" t="str">
            <v>SC2064SO</v>
          </cell>
          <cell r="P13059" t="str">
            <v>STC9G001C</v>
          </cell>
          <cell r="Q13059" t="str">
            <v>磁性位置传感器</v>
          </cell>
        </row>
        <row r="13060">
          <cell r="O13060" t="str">
            <v>SC4645VB</v>
          </cell>
          <cell r="P13060" t="str">
            <v>STC9D06F</v>
          </cell>
          <cell r="Q13060" t="str">
            <v>电流传感器</v>
          </cell>
        </row>
        <row r="13061">
          <cell r="O13061" t="str">
            <v>SC2448SO</v>
          </cell>
          <cell r="P13061" t="str">
            <v>STC9906S</v>
          </cell>
          <cell r="Q13061" t="str">
            <v>磁性位置传感器</v>
          </cell>
        </row>
        <row r="13062">
          <cell r="O13062" t="str">
            <v>SC2402SO-N</v>
          </cell>
          <cell r="P13062" t="str">
            <v>STC9902J</v>
          </cell>
          <cell r="Q13062" t="str">
            <v>磁性位置传感器</v>
          </cell>
        </row>
        <row r="13063">
          <cell r="O13063" t="str">
            <v>SC2402UA</v>
          </cell>
          <cell r="P13063" t="str">
            <v>STC9H001A</v>
          </cell>
          <cell r="Q13063" t="str">
            <v>磁性位置传感器</v>
          </cell>
        </row>
        <row r="13064">
          <cell r="O13064" t="str">
            <v>SC2402UA</v>
          </cell>
          <cell r="P13064" t="str">
            <v>STC9H001A</v>
          </cell>
          <cell r="Q13064" t="str">
            <v>磁性位置传感器</v>
          </cell>
        </row>
        <row r="13065">
          <cell r="O13065" t="str">
            <v>SC2434SO-N</v>
          </cell>
          <cell r="P13065" t="str">
            <v>STC9906I</v>
          </cell>
          <cell r="Q13065" t="str">
            <v>磁性位置传感器</v>
          </cell>
        </row>
        <row r="13066">
          <cell r="O13066" t="str">
            <v>SC2434SO-N</v>
          </cell>
          <cell r="P13066" t="str">
            <v>STC9906I</v>
          </cell>
          <cell r="Q13066" t="str">
            <v>磁性位置传感器</v>
          </cell>
        </row>
        <row r="13067">
          <cell r="O13067" t="str">
            <v>2100</v>
          </cell>
          <cell r="P13067" t="str">
            <v>STC9D03E</v>
          </cell>
          <cell r="Q13067" t="str">
            <v>电流传感器</v>
          </cell>
        </row>
        <row r="13068">
          <cell r="O13068" t="str">
            <v>2100</v>
          </cell>
          <cell r="P13068" t="str">
            <v>STC9D03E</v>
          </cell>
          <cell r="Q13068" t="str">
            <v>电流传感器</v>
          </cell>
        </row>
        <row r="13069">
          <cell r="O13069" t="str">
            <v>2100</v>
          </cell>
          <cell r="P13069" t="str">
            <v>STC9D03E</v>
          </cell>
          <cell r="Q13069" t="str">
            <v>电流传感器</v>
          </cell>
        </row>
        <row r="13070">
          <cell r="O13070" t="str">
            <v>2100</v>
          </cell>
          <cell r="P13070" t="str">
            <v>STC9D03E</v>
          </cell>
          <cell r="Q13070" t="str">
            <v>电流传感器</v>
          </cell>
        </row>
        <row r="13071">
          <cell r="O13071" t="str">
            <v>2100</v>
          </cell>
          <cell r="P13071" t="str">
            <v>STC9D03E</v>
          </cell>
          <cell r="Q13071" t="str">
            <v>电流传感器</v>
          </cell>
        </row>
        <row r="13072">
          <cell r="O13072" t="str">
            <v>SC9625VB-L</v>
          </cell>
          <cell r="P13072" t="str">
            <v>STC9910E</v>
          </cell>
          <cell r="Q13072" t="str">
            <v>速度传感器</v>
          </cell>
        </row>
        <row r="13073">
          <cell r="O13073" t="str">
            <v>SC9625VB</v>
          </cell>
          <cell r="P13073" t="str">
            <v>STC9910B</v>
          </cell>
          <cell r="Q13073" t="str">
            <v>速度传感器</v>
          </cell>
        </row>
        <row r="13074">
          <cell r="O13074" t="str">
            <v>SC2402SO-N</v>
          </cell>
          <cell r="P13074" t="str">
            <v>STC9902J</v>
          </cell>
          <cell r="Q13074" t="str">
            <v>磁性位置传感器</v>
          </cell>
        </row>
        <row r="13075">
          <cell r="O13075" t="str">
            <v>SC2402SO-N</v>
          </cell>
          <cell r="P13075" t="str">
            <v>STC9902J</v>
          </cell>
          <cell r="Q13075" t="str">
            <v>磁性位置传感器</v>
          </cell>
        </row>
        <row r="13076">
          <cell r="O13076" t="str">
            <v>SC2443SO</v>
          </cell>
          <cell r="P13076" t="str">
            <v>STC9906T</v>
          </cell>
          <cell r="Q13076" t="str">
            <v>磁性位置传感器</v>
          </cell>
        </row>
        <row r="13077">
          <cell r="O13077" t="str">
            <v>SC2443SO</v>
          </cell>
          <cell r="P13077" t="str">
            <v>STC9906T</v>
          </cell>
          <cell r="Q13077" t="str">
            <v>磁性位置传感器</v>
          </cell>
        </row>
        <row r="13078">
          <cell r="O13078" t="str">
            <v>SC2436SO</v>
          </cell>
          <cell r="P13078" t="str">
            <v>STC9906I</v>
          </cell>
          <cell r="Q13078" t="str">
            <v>磁性位置传感器</v>
          </cell>
        </row>
        <row r="13079">
          <cell r="O13079" t="str">
            <v>SC4643VB-A</v>
          </cell>
          <cell r="P13079" t="str">
            <v>STC9D03E</v>
          </cell>
          <cell r="Q13079" t="str">
            <v>电流传感器</v>
          </cell>
        </row>
        <row r="13080">
          <cell r="O13080" t="str">
            <v>SC4643VB-A</v>
          </cell>
          <cell r="P13080" t="str">
            <v>STC9D03E</v>
          </cell>
          <cell r="Q13080" t="str">
            <v>电流传感器</v>
          </cell>
        </row>
        <row r="13081">
          <cell r="O13081" t="str">
            <v>SC2064UA</v>
          </cell>
          <cell r="P13081" t="str">
            <v>STC9G001C</v>
          </cell>
          <cell r="Q13081" t="str">
            <v>磁性位置传感器</v>
          </cell>
        </row>
        <row r="13082">
          <cell r="O13082" t="str">
            <v>SC9642TS-E</v>
          </cell>
          <cell r="P13082" t="str">
            <v>STC9A001H</v>
          </cell>
          <cell r="Q13082" t="str">
            <v>速度传感器</v>
          </cell>
        </row>
        <row r="13083">
          <cell r="O13083" t="str">
            <v>SC9642TS-E</v>
          </cell>
          <cell r="P13083" t="str">
            <v>STC9A001H</v>
          </cell>
          <cell r="Q13083" t="str">
            <v>速度传感器</v>
          </cell>
        </row>
        <row r="13084">
          <cell r="O13084" t="str">
            <v>SC9642TS-E</v>
          </cell>
          <cell r="P13084" t="str">
            <v>STC9A001H</v>
          </cell>
          <cell r="Q13084" t="str">
            <v>速度传感器</v>
          </cell>
        </row>
        <row r="13085">
          <cell r="O13085" t="str">
            <v>SC9642TS-E</v>
          </cell>
          <cell r="P13085" t="str">
            <v>STC9A001H</v>
          </cell>
          <cell r="Q13085" t="str">
            <v>速度传感器</v>
          </cell>
        </row>
        <row r="13086">
          <cell r="O13086" t="str">
            <v>SC9642TS-E</v>
          </cell>
          <cell r="P13086" t="str">
            <v>STC9A001H</v>
          </cell>
          <cell r="Q13086" t="str">
            <v>速度传感器</v>
          </cell>
        </row>
        <row r="13087">
          <cell r="O13087" t="str">
            <v>SC9642TS-E</v>
          </cell>
          <cell r="P13087" t="str">
            <v>STC9A001H</v>
          </cell>
          <cell r="Q13087" t="str">
            <v>速度传感器</v>
          </cell>
        </row>
        <row r="13088">
          <cell r="O13088" t="str">
            <v>SC9642TS-E</v>
          </cell>
          <cell r="P13088" t="str">
            <v>STC9A001H</v>
          </cell>
          <cell r="Q13088" t="str">
            <v>速度传感器</v>
          </cell>
        </row>
        <row r="13089">
          <cell r="O13089" t="str">
            <v>SC9642TS-E</v>
          </cell>
          <cell r="P13089" t="str">
            <v>STC9A001H</v>
          </cell>
          <cell r="Q13089" t="str">
            <v>速度传感器</v>
          </cell>
        </row>
        <row r="13090">
          <cell r="O13090" t="str">
            <v>SC9642TS-E</v>
          </cell>
          <cell r="P13090" t="str">
            <v>STC9A001H</v>
          </cell>
          <cell r="Q13090" t="str">
            <v>速度传感器</v>
          </cell>
        </row>
        <row r="13091">
          <cell r="O13091" t="str">
            <v>SC9642TS-E</v>
          </cell>
          <cell r="P13091" t="str">
            <v>STC9A001H</v>
          </cell>
          <cell r="Q13091" t="str">
            <v>速度传感器</v>
          </cell>
        </row>
        <row r="13092">
          <cell r="O13092" t="str">
            <v>SC9642TS-E</v>
          </cell>
          <cell r="P13092" t="str">
            <v>STC9A001H</v>
          </cell>
          <cell r="Q13092" t="str">
            <v>速度传感器</v>
          </cell>
        </row>
        <row r="13093">
          <cell r="O13093" t="str">
            <v>SC9642TS-E</v>
          </cell>
          <cell r="P13093" t="str">
            <v>STC9A001H</v>
          </cell>
          <cell r="Q13093" t="str">
            <v>速度传感器</v>
          </cell>
        </row>
        <row r="13094">
          <cell r="O13094" t="str">
            <v>SC9642TS-E</v>
          </cell>
          <cell r="P13094" t="str">
            <v>STC9A001H</v>
          </cell>
          <cell r="Q13094" t="str">
            <v>速度传感器</v>
          </cell>
        </row>
        <row r="13095">
          <cell r="O13095" t="str">
            <v>SC9642TS-E</v>
          </cell>
          <cell r="P13095" t="str">
            <v>STC9A001H</v>
          </cell>
          <cell r="Q13095" t="str">
            <v>速度传感器</v>
          </cell>
        </row>
        <row r="13096">
          <cell r="O13096" t="str">
            <v>SC9642TS-E</v>
          </cell>
          <cell r="P13096" t="str">
            <v>STC9A001H</v>
          </cell>
          <cell r="Q13096" t="str">
            <v>速度传感器</v>
          </cell>
        </row>
        <row r="13097">
          <cell r="O13097" t="str">
            <v>SC9642TS-E</v>
          </cell>
          <cell r="P13097" t="str">
            <v>STC9A001H</v>
          </cell>
          <cell r="Q13097" t="str">
            <v>速度传感器</v>
          </cell>
        </row>
        <row r="13098">
          <cell r="O13098" t="str">
            <v>SC9642TS-E</v>
          </cell>
          <cell r="P13098" t="str">
            <v>STC9A001H</v>
          </cell>
          <cell r="Q13098" t="str">
            <v>速度传感器</v>
          </cell>
        </row>
        <row r="13099">
          <cell r="O13099" t="str">
            <v>SC2402UA</v>
          </cell>
          <cell r="P13099" t="str">
            <v>STC9902J</v>
          </cell>
          <cell r="Q13099" t="str">
            <v>磁性位置传感器</v>
          </cell>
        </row>
        <row r="13100">
          <cell r="O13100" t="str">
            <v>SC4002BU</v>
          </cell>
          <cell r="P13100" t="str">
            <v>STC4000AA</v>
          </cell>
          <cell r="Q13100" t="str">
            <v>磁性位置传感器</v>
          </cell>
        </row>
        <row r="13101">
          <cell r="O13101" t="str">
            <v>SC4002BU</v>
          </cell>
          <cell r="P13101" t="str">
            <v>STC4000AA</v>
          </cell>
          <cell r="Q13101" t="str">
            <v>磁性位置传感器</v>
          </cell>
        </row>
        <row r="13102">
          <cell r="O13102" t="str">
            <v>SC1134UA</v>
          </cell>
          <cell r="P13102" t="str">
            <v>STC1898AI</v>
          </cell>
          <cell r="Q13102" t="str">
            <v>磁性位置传感器</v>
          </cell>
        </row>
        <row r="13103">
          <cell r="O13103" t="str">
            <v>SC1134UA</v>
          </cell>
          <cell r="P13103" t="str">
            <v>STC1898AI</v>
          </cell>
          <cell r="Q13103" t="str">
            <v>磁性位置传感器</v>
          </cell>
        </row>
        <row r="13104">
          <cell r="O13104" t="str">
            <v>SC1134UA</v>
          </cell>
          <cell r="P13104" t="str">
            <v>STC1898AI</v>
          </cell>
          <cell r="Q13104" t="str">
            <v>磁性位置传感器</v>
          </cell>
        </row>
        <row r="13105">
          <cell r="O13105" t="str">
            <v>SC4011SO-N</v>
          </cell>
          <cell r="P13105" t="str">
            <v>STC4011B</v>
          </cell>
          <cell r="Q13105" t="str">
            <v>磁性位置传感器</v>
          </cell>
        </row>
        <row r="13106">
          <cell r="O13106" t="str">
            <v>SC4643VB</v>
          </cell>
          <cell r="P13106" t="str">
            <v>STC9D03E</v>
          </cell>
          <cell r="Q13106" t="str">
            <v>电流传感器</v>
          </cell>
        </row>
        <row r="13107">
          <cell r="O13107" t="str">
            <v>SC4643VB</v>
          </cell>
          <cell r="P13107" t="str">
            <v>STC9D03E</v>
          </cell>
          <cell r="Q13107" t="str">
            <v>电流传感器</v>
          </cell>
        </row>
        <row r="13108">
          <cell r="O13108" t="str">
            <v>SC4643VB</v>
          </cell>
          <cell r="P13108" t="str">
            <v>STC9D03E</v>
          </cell>
          <cell r="Q13108" t="str">
            <v>电流传感器</v>
          </cell>
        </row>
        <row r="13109">
          <cell r="O13109" t="str">
            <v>2100</v>
          </cell>
          <cell r="P13109" t="str">
            <v>STC9D03E</v>
          </cell>
          <cell r="Q13109" t="str">
            <v>电流传感器</v>
          </cell>
        </row>
        <row r="13110">
          <cell r="O13110" t="str">
            <v>SC4688DC-M3</v>
          </cell>
          <cell r="P13110" t="str">
            <v>STC9D01C</v>
          </cell>
          <cell r="Q13110" t="str">
            <v>角度传感器</v>
          </cell>
        </row>
        <row r="13111">
          <cell r="O13111" t="str">
            <v>SC25791SE-A</v>
          </cell>
          <cell r="P13111" t="str">
            <v>STC11210G</v>
          </cell>
          <cell r="Q13111" t="str">
            <v>磁性位置传感器</v>
          </cell>
        </row>
        <row r="13112">
          <cell r="O13112" t="str">
            <v>SC4643VB</v>
          </cell>
          <cell r="P13112" t="str">
            <v>STC9D03E</v>
          </cell>
          <cell r="Q13112" t="str">
            <v>电流传感器</v>
          </cell>
        </row>
        <row r="13113">
          <cell r="O13113" t="str">
            <v>SC4643VB</v>
          </cell>
          <cell r="P13113" t="str">
            <v>STC9D03E</v>
          </cell>
          <cell r="Q13113" t="str">
            <v>电流传感器</v>
          </cell>
        </row>
        <row r="13114">
          <cell r="O13114" t="str">
            <v>SC4643VB</v>
          </cell>
          <cell r="P13114" t="str">
            <v>STC9D03E</v>
          </cell>
          <cell r="Q13114" t="str">
            <v>电流传感器</v>
          </cell>
        </row>
        <row r="13115">
          <cell r="O13115" t="str">
            <v>SC4643VB</v>
          </cell>
          <cell r="P13115" t="str">
            <v>STC9D03E</v>
          </cell>
          <cell r="Q13115" t="str">
            <v>电流传感器</v>
          </cell>
        </row>
        <row r="13116">
          <cell r="O13116" t="str">
            <v>SC4643VB</v>
          </cell>
          <cell r="P13116" t="str">
            <v>STC9D03E</v>
          </cell>
          <cell r="Q13116" t="str">
            <v>电流传感器</v>
          </cell>
        </row>
        <row r="13117">
          <cell r="O13117" t="str">
            <v>SC60224-D-200</v>
          </cell>
          <cell r="P13117" t="str">
            <v>STC9D04C</v>
          </cell>
          <cell r="Q13117" t="str">
            <v>电机编码器</v>
          </cell>
        </row>
        <row r="13118">
          <cell r="O13118" t="str">
            <v>SC60221-D-64</v>
          </cell>
          <cell r="P13118" t="str">
            <v>STC9D04C</v>
          </cell>
          <cell r="Q13118" t="str">
            <v>电机编码器</v>
          </cell>
        </row>
        <row r="13119">
          <cell r="O13119" t="str">
            <v>SC2442SO-N</v>
          </cell>
          <cell r="P13119" t="str">
            <v>STC9906P</v>
          </cell>
          <cell r="Q13119" t="str">
            <v>磁性位置传感器</v>
          </cell>
        </row>
        <row r="13120">
          <cell r="O13120" t="str">
            <v>SC2462UA</v>
          </cell>
          <cell r="P13120" t="str">
            <v>STC9906J</v>
          </cell>
          <cell r="Q13120" t="str">
            <v>磁性位置传感器</v>
          </cell>
        </row>
        <row r="13121">
          <cell r="O13121" t="str">
            <v>SC2462SO</v>
          </cell>
          <cell r="P13121" t="str">
            <v>STC9906J</v>
          </cell>
          <cell r="Q13121" t="str">
            <v>磁性位置传感器</v>
          </cell>
        </row>
        <row r="13122">
          <cell r="O13122" t="str">
            <v>SC2402SO-N</v>
          </cell>
          <cell r="P13122" t="str">
            <v>STC9902J</v>
          </cell>
          <cell r="Q13122" t="str">
            <v>磁性位置传感器</v>
          </cell>
        </row>
        <row r="13123">
          <cell r="O13123" t="str">
            <v>SC2402SO-N</v>
          </cell>
          <cell r="P13123" t="str">
            <v>STC9902J</v>
          </cell>
          <cell r="Q13123" t="str">
            <v>磁性位置传感器</v>
          </cell>
        </row>
        <row r="13124">
          <cell r="O13124" t="str">
            <v>SC2402SO-N</v>
          </cell>
          <cell r="P13124" t="str">
            <v>STC9902J</v>
          </cell>
          <cell r="Q13124" t="str">
            <v>磁性位置传感器</v>
          </cell>
        </row>
        <row r="13125">
          <cell r="O13125" t="str">
            <v>SC2402SO-N</v>
          </cell>
          <cell r="P13125" t="str">
            <v>STC9902J</v>
          </cell>
          <cell r="Q13125" t="str">
            <v>磁性位置传感器</v>
          </cell>
        </row>
        <row r="13126">
          <cell r="O13126" t="str">
            <v>SC2402SO-N</v>
          </cell>
          <cell r="P13126" t="str">
            <v>STC9902J</v>
          </cell>
          <cell r="Q13126" t="str">
            <v>磁性位置传感器</v>
          </cell>
        </row>
        <row r="13127">
          <cell r="O13127" t="str">
            <v>2100</v>
          </cell>
          <cell r="P13127" t="str">
            <v>STC9D03E</v>
          </cell>
          <cell r="Q13127" t="str">
            <v>电流传感器</v>
          </cell>
        </row>
        <row r="13128">
          <cell r="O13128" t="str">
            <v>SC60221-D-50</v>
          </cell>
          <cell r="P13128" t="str">
            <v>STC9D04C</v>
          </cell>
          <cell r="Q13128" t="str">
            <v>电机编码器</v>
          </cell>
        </row>
        <row r="13129">
          <cell r="O13129" t="str">
            <v>SC60221-D-50</v>
          </cell>
          <cell r="P13129" t="str">
            <v>STC9D04C</v>
          </cell>
          <cell r="Q13129" t="str">
            <v>电机编码器</v>
          </cell>
        </row>
        <row r="13130">
          <cell r="O13130" t="str">
            <v>SC60221-D-50</v>
          </cell>
          <cell r="P13130" t="str">
            <v>STC9D04C</v>
          </cell>
          <cell r="Q13130" t="str">
            <v>电机编码器</v>
          </cell>
        </row>
        <row r="13131">
          <cell r="O13131" t="str">
            <v>SC60221-D-50</v>
          </cell>
          <cell r="P13131" t="str">
            <v>STC9D04C</v>
          </cell>
          <cell r="Q13131" t="str">
            <v>电机编码器</v>
          </cell>
        </row>
        <row r="13132">
          <cell r="O13132" t="str">
            <v>SC9314UA</v>
          </cell>
          <cell r="P13132" t="str">
            <v>STC9901AF</v>
          </cell>
          <cell r="Q13132" t="str">
            <v>速度传感器</v>
          </cell>
        </row>
        <row r="13133">
          <cell r="O13133" t="str">
            <v>ZH619A0</v>
          </cell>
          <cell r="P13133" t="str">
            <v>STC22303</v>
          </cell>
          <cell r="Q13133" t="str">
            <v>电机驱动</v>
          </cell>
        </row>
        <row r="13134">
          <cell r="O13134" t="str">
            <v>SC2455SO</v>
          </cell>
          <cell r="P13134" t="str">
            <v>STC9906K</v>
          </cell>
          <cell r="Q13134" t="str">
            <v>磁性位置传感器</v>
          </cell>
        </row>
        <row r="13135">
          <cell r="O13135" t="str">
            <v>SC2443SO</v>
          </cell>
          <cell r="P13135" t="str">
            <v>STC9906T</v>
          </cell>
          <cell r="Q13135" t="str">
            <v>磁性位置传感器</v>
          </cell>
        </row>
        <row r="13136">
          <cell r="O13136" t="str">
            <v>SC2462SO</v>
          </cell>
          <cell r="P13136" t="str">
            <v>STC9906J</v>
          </cell>
          <cell r="Q13136" t="str">
            <v>磁性位置传感器</v>
          </cell>
        </row>
        <row r="13137">
          <cell r="O13137" t="str">
            <v>SC9633VB</v>
          </cell>
          <cell r="P13137" t="str">
            <v>STC9905F</v>
          </cell>
          <cell r="Q13137" t="str">
            <v>速度传感器</v>
          </cell>
        </row>
        <row r="13138">
          <cell r="O13138" t="str">
            <v>SC6022X编程器</v>
          </cell>
          <cell r="P13138" t="str">
            <v xml:space="preserve"> </v>
          </cell>
          <cell r="Q13138" t="str">
            <v>电机编码器</v>
          </cell>
        </row>
        <row r="13139">
          <cell r="O13139" t="str">
            <v>SC4688SA</v>
          </cell>
          <cell r="P13139" t="str">
            <v>STC9D01C</v>
          </cell>
          <cell r="Q13139" t="str">
            <v>角度传感器</v>
          </cell>
        </row>
        <row r="13140">
          <cell r="O13140" t="str">
            <v>SC1245UA</v>
          </cell>
          <cell r="P13140" t="str">
            <v>STC1898AD</v>
          </cell>
          <cell r="Q13140" t="str">
            <v>磁性位置传感器</v>
          </cell>
        </row>
        <row r="13141">
          <cell r="O13141" t="str">
            <v>SC1245UA</v>
          </cell>
          <cell r="P13141" t="str">
            <v>STC1898AD</v>
          </cell>
          <cell r="Q13141" t="str">
            <v>磁性位置传感器</v>
          </cell>
        </row>
        <row r="13142">
          <cell r="O13142" t="str">
            <v>SC1645A2</v>
          </cell>
          <cell r="P13142" t="str">
            <v>STC2899AE</v>
          </cell>
          <cell r="Q13142" t="str">
            <v>磁性位置传感器</v>
          </cell>
        </row>
        <row r="13143">
          <cell r="O13143" t="str">
            <v>SC1645A2</v>
          </cell>
          <cell r="P13143" t="str">
            <v>STC2899AE</v>
          </cell>
          <cell r="Q13143" t="str">
            <v>磁性位置传感器</v>
          </cell>
        </row>
        <row r="13144">
          <cell r="O13144" t="str">
            <v>SC4688SA</v>
          </cell>
          <cell r="P13144" t="str">
            <v>STC9D01C</v>
          </cell>
          <cell r="Q13144" t="str">
            <v>角度传感器</v>
          </cell>
        </row>
        <row r="13145">
          <cell r="O13145" t="str">
            <v>SC2063SO</v>
          </cell>
          <cell r="P13145" t="str">
            <v>STC9G001C</v>
          </cell>
          <cell r="Q13145" t="str">
            <v>磁性位置传感器</v>
          </cell>
        </row>
        <row r="13146">
          <cell r="O13146" t="str">
            <v>SC2402SO-N</v>
          </cell>
          <cell r="P13146" t="str">
            <v>STC9G002A</v>
          </cell>
          <cell r="Q13146" t="str">
            <v>磁性位置传感器</v>
          </cell>
        </row>
        <row r="13147">
          <cell r="O13147" t="str">
            <v>SC2402SO-N</v>
          </cell>
          <cell r="P13147" t="str">
            <v>STC9G002A</v>
          </cell>
          <cell r="Q13147" t="str">
            <v>磁性位置传感器</v>
          </cell>
        </row>
        <row r="13148">
          <cell r="O13148" t="str">
            <v>SC2442UA</v>
          </cell>
          <cell r="P13148" t="str">
            <v>STC9906P</v>
          </cell>
          <cell r="Q13148" t="str">
            <v>磁性位置传感器</v>
          </cell>
        </row>
        <row r="13149">
          <cell r="O13149" t="str">
            <v>SC60228DC</v>
          </cell>
          <cell r="P13149" t="str">
            <v>STC9D04C</v>
          </cell>
          <cell r="Q13149" t="str">
            <v>电机编码器</v>
          </cell>
        </row>
        <row r="13150">
          <cell r="O13150" t="str">
            <v>SC4688SA</v>
          </cell>
          <cell r="P13150" t="str">
            <v>STC9D01C</v>
          </cell>
          <cell r="Q13150" t="str">
            <v>角度传感器</v>
          </cell>
        </row>
        <row r="13151">
          <cell r="O13151" t="str">
            <v>SC4688SA</v>
          </cell>
          <cell r="P13151" t="str">
            <v>STC9D01C</v>
          </cell>
          <cell r="Q13151" t="str">
            <v>角度传感器</v>
          </cell>
        </row>
        <row r="13152">
          <cell r="O13152" t="str">
            <v>SC2242SO</v>
          </cell>
          <cell r="P13152" t="str">
            <v>STC9906H</v>
          </cell>
          <cell r="Q13152" t="str">
            <v>磁性位置传感器</v>
          </cell>
        </row>
        <row r="13153">
          <cell r="O13153" t="str">
            <v>SC2546VB</v>
          </cell>
          <cell r="P13153" t="str">
            <v>STC9906H</v>
          </cell>
          <cell r="Q13153" t="str">
            <v>磁性位置传感器</v>
          </cell>
        </row>
        <row r="13154">
          <cell r="O13154" t="str">
            <v>SC60228DC</v>
          </cell>
          <cell r="P13154" t="str">
            <v>STC9D04C</v>
          </cell>
          <cell r="Q13154" t="str">
            <v>电机编码器</v>
          </cell>
        </row>
        <row r="13155">
          <cell r="O13155" t="str">
            <v>SC1645A2</v>
          </cell>
          <cell r="P13155" t="str">
            <v>STC2899AE</v>
          </cell>
          <cell r="Q13155" t="str">
            <v>磁性位置传感器</v>
          </cell>
        </row>
        <row r="13156">
          <cell r="O13156" t="str">
            <v>SC1645A2</v>
          </cell>
          <cell r="P13156" t="str">
            <v>STC2899AE</v>
          </cell>
          <cell r="Q13156" t="str">
            <v>磁性位置传感器</v>
          </cell>
        </row>
        <row r="13157">
          <cell r="O13157" t="str">
            <v>SC4688SA</v>
          </cell>
          <cell r="P13157" t="str">
            <v>STC9D01C</v>
          </cell>
          <cell r="Q13157" t="str">
            <v>角度传感器</v>
          </cell>
        </row>
        <row r="13158">
          <cell r="O13158" t="str">
            <v>SC2064SO</v>
          </cell>
          <cell r="P13158" t="str">
            <v>STC9G001C</v>
          </cell>
          <cell r="Q13158" t="str">
            <v>磁性位置传感器</v>
          </cell>
        </row>
        <row r="13159">
          <cell r="O13159" t="str">
            <v>SC2064UA</v>
          </cell>
          <cell r="P13159" t="str">
            <v>STC9G001C</v>
          </cell>
          <cell r="Q13159" t="str">
            <v>磁性位置传感器</v>
          </cell>
        </row>
        <row r="13160">
          <cell r="O13160" t="str">
            <v>SC2402UA</v>
          </cell>
          <cell r="P13160" t="str">
            <v>STC9902J</v>
          </cell>
          <cell r="Q13160" t="str">
            <v>磁性位置传感器</v>
          </cell>
        </row>
        <row r="13161">
          <cell r="O13161" t="str">
            <v>SC4688SA</v>
          </cell>
          <cell r="P13161" t="str">
            <v>STC9D01C</v>
          </cell>
          <cell r="Q13161" t="str">
            <v>角度传感器</v>
          </cell>
        </row>
        <row r="13162">
          <cell r="O13162" t="str">
            <v>SC4688SA</v>
          </cell>
          <cell r="P13162" t="str">
            <v>STC9D01C</v>
          </cell>
          <cell r="Q13162" t="str">
            <v>角度传感器</v>
          </cell>
        </row>
        <row r="13163">
          <cell r="O13163" t="str">
            <v>SC2434SO-N</v>
          </cell>
          <cell r="P13163" t="str">
            <v>STC9906I</v>
          </cell>
          <cell r="Q13163" t="str">
            <v>磁性位置传感器</v>
          </cell>
        </row>
        <row r="13164">
          <cell r="O13164" t="str">
            <v>SC2434SO-N</v>
          </cell>
          <cell r="P13164" t="str">
            <v>STC9906I</v>
          </cell>
          <cell r="Q13164" t="str">
            <v>磁性位置传感器</v>
          </cell>
        </row>
        <row r="13165">
          <cell r="O13165" t="str">
            <v>SC60340</v>
          </cell>
          <cell r="P13165" t="str">
            <v>STC9D05C</v>
          </cell>
          <cell r="Q13165" t="str">
            <v>电机编码器</v>
          </cell>
        </row>
        <row r="13166">
          <cell r="O13166" t="str">
            <v>SC60221-D-100</v>
          </cell>
          <cell r="P13166" t="str">
            <v>STC9D04C</v>
          </cell>
          <cell r="Q13166" t="str">
            <v>电机编码器</v>
          </cell>
        </row>
        <row r="13167">
          <cell r="O13167" t="str">
            <v>SC9314UA</v>
          </cell>
          <cell r="P13167" t="str">
            <v>STC9901AF</v>
          </cell>
          <cell r="Q13167" t="str">
            <v>速度传感器</v>
          </cell>
        </row>
        <row r="13168">
          <cell r="O13168" t="str">
            <v>SC2442UA</v>
          </cell>
          <cell r="P13168" t="str">
            <v>STC9906P</v>
          </cell>
          <cell r="Q13168" t="str">
            <v>磁性位置传感器</v>
          </cell>
        </row>
        <row r="13169">
          <cell r="O13169" t="str">
            <v>SC2442UA</v>
          </cell>
          <cell r="P13169" t="str">
            <v>STC9906P</v>
          </cell>
          <cell r="Q13169" t="str">
            <v>磁性位置传感器</v>
          </cell>
        </row>
        <row r="13170">
          <cell r="O13170" t="str">
            <v>SC2063SO</v>
          </cell>
          <cell r="P13170" t="str">
            <v>STC9G001C</v>
          </cell>
          <cell r="Q13170" t="str">
            <v>磁性位置传感器</v>
          </cell>
        </row>
        <row r="13171">
          <cell r="O13171" t="str">
            <v>SC2242UA</v>
          </cell>
          <cell r="P13171" t="str">
            <v>STC9906H</v>
          </cell>
          <cell r="Q13171" t="str">
            <v>磁性位置传感器</v>
          </cell>
        </row>
        <row r="13172">
          <cell r="O13172" t="str">
            <v>SC2402SO-N</v>
          </cell>
          <cell r="P13172" t="str">
            <v>STC9902J</v>
          </cell>
          <cell r="Q13172" t="str">
            <v>磁性位置传感器</v>
          </cell>
        </row>
        <row r="13173">
          <cell r="O13173" t="str">
            <v>SC4643编程板</v>
          </cell>
          <cell r="P13173" t="str">
            <v xml:space="preserve"> </v>
          </cell>
          <cell r="Q13173" t="str">
            <v>电流传感器</v>
          </cell>
        </row>
        <row r="13174">
          <cell r="O13174" t="str">
            <v>SC1245A1</v>
          </cell>
          <cell r="P13174" t="str">
            <v>STC1898AD</v>
          </cell>
          <cell r="Q13174" t="str">
            <v>磁性位置传感器</v>
          </cell>
        </row>
        <row r="13175">
          <cell r="O13175" t="str">
            <v>SC2442UA</v>
          </cell>
          <cell r="P13175" t="str">
            <v>STC9906P</v>
          </cell>
          <cell r="Q13175" t="str">
            <v>磁性位置传感器</v>
          </cell>
        </row>
        <row r="13176">
          <cell r="O13176" t="str">
            <v>SC1645A2</v>
          </cell>
          <cell r="P13176" t="str">
            <v>STC2899AE</v>
          </cell>
          <cell r="Q13176" t="str">
            <v>磁性位置传感器</v>
          </cell>
        </row>
        <row r="13177">
          <cell r="O13177" t="str">
            <v>SC1645A2</v>
          </cell>
          <cell r="P13177" t="str">
            <v>STC2899AE</v>
          </cell>
          <cell r="Q13177" t="str">
            <v>磁性位置传感器</v>
          </cell>
        </row>
        <row r="13178">
          <cell r="O13178" t="str">
            <v>SC1445A1</v>
          </cell>
          <cell r="P13178" t="str">
            <v>STC2899AB</v>
          </cell>
          <cell r="Q13178" t="str">
            <v>磁性位置传感器</v>
          </cell>
        </row>
        <row r="13179">
          <cell r="O13179" t="str">
            <v>SC9621VB-A</v>
          </cell>
          <cell r="P13179" t="str">
            <v>STC9910NC-Q</v>
          </cell>
          <cell r="Q13179" t="str">
            <v>速度传感器</v>
          </cell>
        </row>
        <row r="13180">
          <cell r="O13180" t="str">
            <v>SC1645B1</v>
          </cell>
          <cell r="P13180" t="str">
            <v>STC2899AE</v>
          </cell>
          <cell r="Q13180" t="str">
            <v>磁性位置传感器</v>
          </cell>
        </row>
        <row r="13181">
          <cell r="O13181" t="str">
            <v>SC60221-D-256</v>
          </cell>
          <cell r="P13181" t="str">
            <v>STC9D04C</v>
          </cell>
          <cell r="Q13181" t="str">
            <v>电机编码器</v>
          </cell>
        </row>
        <row r="13182">
          <cell r="O13182" t="str">
            <v>SC60221-D-256</v>
          </cell>
          <cell r="P13182" t="str">
            <v>STC9D04C</v>
          </cell>
          <cell r="Q13182" t="str">
            <v>电机编码器</v>
          </cell>
        </row>
        <row r="13183">
          <cell r="O13183" t="str">
            <v>SC60221-D-256</v>
          </cell>
          <cell r="P13183" t="str">
            <v>STC9D04C</v>
          </cell>
          <cell r="Q13183" t="str">
            <v>电机编码器</v>
          </cell>
        </row>
        <row r="13184">
          <cell r="O13184" t="str">
            <v>SC60221-D-256</v>
          </cell>
          <cell r="P13184" t="str">
            <v>STC9D04C</v>
          </cell>
          <cell r="Q13184" t="str">
            <v>电机编码器</v>
          </cell>
        </row>
        <row r="13185">
          <cell r="O13185" t="str">
            <v>SC2455SO</v>
          </cell>
          <cell r="P13185" t="str">
            <v>STC9906K</v>
          </cell>
          <cell r="Q13185" t="str">
            <v>磁性位置传感器</v>
          </cell>
        </row>
        <row r="13186">
          <cell r="O13186" t="str">
            <v>SC25791SE-A</v>
          </cell>
          <cell r="P13186" t="str">
            <v>STC11210G</v>
          </cell>
          <cell r="Q13186" t="str">
            <v>磁性位置传感器</v>
          </cell>
        </row>
        <row r="13187">
          <cell r="O13187" t="str">
            <v>SC2402SO-N</v>
          </cell>
          <cell r="P13187" t="str">
            <v>STC9G002A</v>
          </cell>
          <cell r="Q13187" t="str">
            <v>磁性位置传感器</v>
          </cell>
        </row>
        <row r="13188">
          <cell r="O13188" t="str">
            <v>SC2462UA</v>
          </cell>
          <cell r="P13188" t="str">
            <v>STC9906J</v>
          </cell>
          <cell r="Q13188" t="str">
            <v>磁性位置传感器</v>
          </cell>
        </row>
        <row r="13189">
          <cell r="O13189" t="str">
            <v>SC4643编程板</v>
          </cell>
          <cell r="P13189" t="str">
            <v xml:space="preserve"> </v>
          </cell>
          <cell r="Q13189" t="str">
            <v>电流传感器</v>
          </cell>
        </row>
        <row r="13190">
          <cell r="O13190" t="str">
            <v>SC2064SO</v>
          </cell>
          <cell r="P13190" t="str">
            <v>STC9G001C</v>
          </cell>
          <cell r="Q13190" t="str">
            <v>磁性位置传感器</v>
          </cell>
        </row>
        <row r="13191">
          <cell r="O13191" t="str">
            <v>SC9314UA</v>
          </cell>
          <cell r="P13191" t="str">
            <v>STC9901AF</v>
          </cell>
          <cell r="Q13191" t="str">
            <v>速度传感器</v>
          </cell>
        </row>
        <row r="13192">
          <cell r="O13192" t="str">
            <v>SC9314UA</v>
          </cell>
          <cell r="P13192" t="str">
            <v>STC9901AF</v>
          </cell>
          <cell r="Q13192" t="str">
            <v>速度传感器</v>
          </cell>
        </row>
        <row r="13193">
          <cell r="O13193" t="str">
            <v>SC9314UA</v>
          </cell>
          <cell r="P13193" t="str">
            <v>STC9901AF</v>
          </cell>
          <cell r="Q13193" t="str">
            <v>速度传感器</v>
          </cell>
        </row>
        <row r="13194">
          <cell r="O13194" t="str">
            <v>SC9314UA</v>
          </cell>
          <cell r="P13194" t="str">
            <v>STC9901AF</v>
          </cell>
          <cell r="Q13194" t="str">
            <v>速度传感器</v>
          </cell>
        </row>
        <row r="13195">
          <cell r="O13195" t="str">
            <v>SC9314UA</v>
          </cell>
          <cell r="P13195" t="str">
            <v>STC9901AF</v>
          </cell>
          <cell r="Q13195" t="str">
            <v>速度传感器</v>
          </cell>
        </row>
        <row r="13196">
          <cell r="O13196" t="str">
            <v>SC9314UA</v>
          </cell>
          <cell r="P13196" t="str">
            <v>STC9901AF</v>
          </cell>
          <cell r="Q13196" t="str">
            <v>速度传感器</v>
          </cell>
        </row>
        <row r="13197">
          <cell r="O13197" t="str">
            <v>SC9625VB-L</v>
          </cell>
          <cell r="P13197" t="str">
            <v>STC9910E</v>
          </cell>
          <cell r="Q13197" t="str">
            <v>速度传感器</v>
          </cell>
        </row>
        <row r="13198">
          <cell r="O13198" t="str">
            <v>SC9633VB</v>
          </cell>
          <cell r="P13198" t="str">
            <v>STC9905F</v>
          </cell>
          <cell r="Q13198" t="str">
            <v>速度传感器</v>
          </cell>
        </row>
        <row r="13199">
          <cell r="O13199" t="str">
            <v>SC1445A1</v>
          </cell>
          <cell r="P13199" t="str">
            <v>STC2899AB</v>
          </cell>
          <cell r="Q13199" t="str">
            <v>磁性位置传感器</v>
          </cell>
        </row>
        <row r="13200">
          <cell r="O13200" t="str">
            <v>SC1445A1</v>
          </cell>
          <cell r="P13200" t="str">
            <v>STC2899AB</v>
          </cell>
          <cell r="Q13200" t="str">
            <v>磁性位置传感器</v>
          </cell>
        </row>
        <row r="13201">
          <cell r="O13201" t="str">
            <v>SC1445A1</v>
          </cell>
          <cell r="P13201" t="str">
            <v>STC2899AB</v>
          </cell>
          <cell r="Q13201" t="str">
            <v>磁性位置传感器</v>
          </cell>
        </row>
        <row r="13202">
          <cell r="O13202" t="str">
            <v>SC2434SO</v>
          </cell>
          <cell r="P13202" t="str">
            <v>STC9906I</v>
          </cell>
          <cell r="Q13202" t="str">
            <v>磁性位置传感器</v>
          </cell>
        </row>
        <row r="13203">
          <cell r="O13203" t="str">
            <v>SC2434SO</v>
          </cell>
          <cell r="P13203" t="str">
            <v>STC9906I</v>
          </cell>
          <cell r="Q13203" t="str">
            <v>磁性位置传感器</v>
          </cell>
        </row>
        <row r="13204">
          <cell r="O13204" t="str">
            <v>SC9633VB</v>
          </cell>
          <cell r="P13204" t="str">
            <v>STC9905F</v>
          </cell>
          <cell r="Q13204" t="str">
            <v>速度传感器</v>
          </cell>
        </row>
        <row r="13205">
          <cell r="O13205" t="str">
            <v>SC9633VB</v>
          </cell>
          <cell r="P13205" t="str">
            <v>STC9905F</v>
          </cell>
          <cell r="Q13205" t="str">
            <v>速度传感器</v>
          </cell>
        </row>
        <row r="13206">
          <cell r="O13206" t="str">
            <v>SC9642TS-E</v>
          </cell>
          <cell r="P13206" t="str">
            <v>STC9A001H</v>
          </cell>
          <cell r="Q13206" t="str">
            <v>速度传感器</v>
          </cell>
        </row>
        <row r="13207">
          <cell r="O13207" t="str">
            <v>SC9642TS-EC</v>
          </cell>
          <cell r="P13207" t="str">
            <v>STC9A001H</v>
          </cell>
          <cell r="Q13207" t="str">
            <v>速度传感器</v>
          </cell>
        </row>
        <row r="13208">
          <cell r="O13208" t="str">
            <v>SC9642TS-E</v>
          </cell>
          <cell r="P13208" t="str">
            <v>STC9A001H</v>
          </cell>
          <cell r="Q13208" t="str">
            <v>速度传感器</v>
          </cell>
        </row>
        <row r="13209">
          <cell r="O13209" t="str">
            <v>SC9642TS-E</v>
          </cell>
          <cell r="P13209" t="str">
            <v>STC9A001H</v>
          </cell>
          <cell r="Q13209" t="str">
            <v>速度传感器</v>
          </cell>
        </row>
        <row r="13210">
          <cell r="O13210" t="str">
            <v>SC9642TS-E</v>
          </cell>
          <cell r="P13210" t="str">
            <v>STC9A001H</v>
          </cell>
          <cell r="Q13210" t="str">
            <v>速度传感器</v>
          </cell>
        </row>
        <row r="13211">
          <cell r="O13211" t="str">
            <v>SC2416SE</v>
          </cell>
          <cell r="P13211" t="str">
            <v>STC9902B</v>
          </cell>
          <cell r="Q13211" t="str">
            <v>磁性位置传感器</v>
          </cell>
        </row>
        <row r="13212">
          <cell r="O13212" t="str">
            <v>SC2416SE</v>
          </cell>
          <cell r="P13212" t="str">
            <v>STC9902B</v>
          </cell>
          <cell r="Q13212" t="str">
            <v>磁性位置传感器</v>
          </cell>
        </row>
        <row r="13213">
          <cell r="O13213" t="str">
            <v>SC4643VB-P</v>
          </cell>
          <cell r="P13213" t="str">
            <v>STC9D03E</v>
          </cell>
          <cell r="Q13213" t="str">
            <v>电流传感器</v>
          </cell>
        </row>
        <row r="13214">
          <cell r="O13214" t="str">
            <v>SC2434SO-N</v>
          </cell>
          <cell r="P13214" t="str">
            <v>STC9906I</v>
          </cell>
          <cell r="Q13214" t="str">
            <v>磁性位置传感器</v>
          </cell>
        </row>
        <row r="13215">
          <cell r="O13215" t="str">
            <v>SC9625VB</v>
          </cell>
          <cell r="P13215" t="str">
            <v>STC9910B</v>
          </cell>
          <cell r="Q13215" t="str">
            <v>速度传感器</v>
          </cell>
        </row>
        <row r="13216">
          <cell r="O13216" t="str">
            <v>SC2526HVB</v>
          </cell>
          <cell r="P13216" t="str">
            <v>STC9904C</v>
          </cell>
          <cell r="Q13216" t="str">
            <v>磁性位置传感器</v>
          </cell>
        </row>
        <row r="13217">
          <cell r="O13217" t="str">
            <v>SC4688SA</v>
          </cell>
          <cell r="P13217" t="str">
            <v>STC9D01C</v>
          </cell>
          <cell r="Q13217" t="str">
            <v>角度传感器</v>
          </cell>
        </row>
        <row r="13218">
          <cell r="O13218" t="str">
            <v>SC9642TS-E</v>
          </cell>
          <cell r="P13218" t="str">
            <v>STC9A001H</v>
          </cell>
          <cell r="Q13218" t="str">
            <v>速度传感器</v>
          </cell>
        </row>
        <row r="13219">
          <cell r="O13219" t="str">
            <v>SC1445A1</v>
          </cell>
          <cell r="P13219" t="str">
            <v>STC2899AB</v>
          </cell>
          <cell r="Q13219" t="str">
            <v>磁性位置传感器</v>
          </cell>
        </row>
        <row r="13220">
          <cell r="O13220" t="str">
            <v>SC1245SO-N</v>
          </cell>
          <cell r="P13220" t="str">
            <v>STC1898AD</v>
          </cell>
          <cell r="Q13220" t="str">
            <v>磁性位置传感器</v>
          </cell>
        </row>
        <row r="13221">
          <cell r="O13221" t="str">
            <v>SC2462UA</v>
          </cell>
          <cell r="P13221" t="str">
            <v>STC9906J</v>
          </cell>
          <cell r="Q13221" t="str">
            <v>磁性位置传感器</v>
          </cell>
        </row>
        <row r="13222">
          <cell r="O13222" t="str">
            <v>SC9621VB</v>
          </cell>
          <cell r="P13222" t="str">
            <v>STC9910C</v>
          </cell>
          <cell r="Q13222" t="str">
            <v>速度传感器</v>
          </cell>
        </row>
        <row r="13223">
          <cell r="O13223" t="str">
            <v>SC4688SA</v>
          </cell>
          <cell r="P13223" t="str">
            <v>STC9D01C</v>
          </cell>
          <cell r="Q13223" t="str">
            <v>角度传感器</v>
          </cell>
        </row>
        <row r="13224">
          <cell r="O13224" t="str">
            <v>SC4688SA</v>
          </cell>
          <cell r="P13224" t="str">
            <v>STC9D01C</v>
          </cell>
          <cell r="Q13224" t="str">
            <v>角度传感器</v>
          </cell>
        </row>
        <row r="13225">
          <cell r="O13225" t="str">
            <v>SC2434SO</v>
          </cell>
          <cell r="P13225" t="str">
            <v>STC9906I</v>
          </cell>
          <cell r="Q13225" t="str">
            <v>磁性位置传感器</v>
          </cell>
        </row>
        <row r="13226">
          <cell r="O13226" t="str">
            <v>SC9632VB</v>
          </cell>
          <cell r="P13226" t="str">
            <v>STC9905E</v>
          </cell>
          <cell r="Q13226" t="str">
            <v>速度传感器</v>
          </cell>
        </row>
        <row r="13227">
          <cell r="O13227" t="str">
            <v>SC2402SO-N</v>
          </cell>
          <cell r="P13227" t="str">
            <v>STC9902J</v>
          </cell>
          <cell r="Q13227" t="str">
            <v>磁性位置传感器</v>
          </cell>
        </row>
        <row r="13228">
          <cell r="O13228" t="str">
            <v>SC2402SO-N</v>
          </cell>
          <cell r="P13228" t="str">
            <v>STC9902J</v>
          </cell>
          <cell r="Q13228" t="str">
            <v>磁性位置传感器</v>
          </cell>
        </row>
        <row r="13229">
          <cell r="O13229" t="str">
            <v>SC2402SO-N</v>
          </cell>
          <cell r="P13229" t="str">
            <v>STC9902J</v>
          </cell>
          <cell r="Q13229" t="str">
            <v>磁性位置传感器</v>
          </cell>
        </row>
        <row r="13230">
          <cell r="O13230" t="str">
            <v>SC2402SO-N</v>
          </cell>
          <cell r="P13230" t="str">
            <v>STC9902J</v>
          </cell>
          <cell r="Q13230" t="str">
            <v>磁性位置传感器</v>
          </cell>
        </row>
        <row r="13231">
          <cell r="O13231" t="str">
            <v>SC2402SO-N</v>
          </cell>
          <cell r="P13231" t="str">
            <v>STC9902J</v>
          </cell>
          <cell r="Q13231" t="str">
            <v>磁性位置传感器</v>
          </cell>
        </row>
        <row r="13232">
          <cell r="O13232" t="str">
            <v>SC2462SO</v>
          </cell>
          <cell r="P13232" t="str">
            <v>STC9906J</v>
          </cell>
          <cell r="Q13232" t="str">
            <v>磁性位置传感器</v>
          </cell>
        </row>
        <row r="13233">
          <cell r="O13233" t="str">
            <v>SC2402SO-N</v>
          </cell>
          <cell r="P13233" t="str">
            <v>STC9902J</v>
          </cell>
          <cell r="Q13233" t="str">
            <v>磁性位置传感器</v>
          </cell>
        </row>
        <row r="13234">
          <cell r="O13234" t="str">
            <v>SC2448SO</v>
          </cell>
          <cell r="P13234" t="str">
            <v>STC9906S</v>
          </cell>
          <cell r="Q13234" t="str">
            <v>磁性位置传感器</v>
          </cell>
        </row>
        <row r="13235">
          <cell r="O13235" t="str">
            <v>SC1134UA</v>
          </cell>
          <cell r="P13235" t="str">
            <v>STC1898AI</v>
          </cell>
          <cell r="Q13235" t="str">
            <v>磁性位置传感器</v>
          </cell>
        </row>
        <row r="13236">
          <cell r="O13236" t="str">
            <v>SC1134UA</v>
          </cell>
          <cell r="P13236" t="str">
            <v>STC1898AI</v>
          </cell>
          <cell r="Q13236" t="str">
            <v>磁性位置传感器</v>
          </cell>
        </row>
        <row r="13237">
          <cell r="O13237" t="str">
            <v>SC4643编程板</v>
          </cell>
          <cell r="P13237" t="str">
            <v xml:space="preserve"> </v>
          </cell>
          <cell r="Q13237" t="str">
            <v>电流传感器</v>
          </cell>
        </row>
        <row r="13238">
          <cell r="O13238" t="str">
            <v>SC60228DC</v>
          </cell>
          <cell r="P13238" t="str">
            <v>STC9D04C</v>
          </cell>
          <cell r="Q13238" t="str">
            <v>电机编码器</v>
          </cell>
        </row>
        <row r="13239">
          <cell r="O13239" t="str">
            <v>SC60104</v>
          </cell>
          <cell r="P13239" t="str">
            <v>STC9D02C</v>
          </cell>
          <cell r="Q13239" t="str">
            <v>电机编码器</v>
          </cell>
        </row>
        <row r="13240">
          <cell r="O13240" t="str">
            <v>SC4002UA</v>
          </cell>
          <cell r="P13240" t="str">
            <v>STC4000AA</v>
          </cell>
          <cell r="Q13240" t="str">
            <v>磁性位置传感器</v>
          </cell>
        </row>
        <row r="13241">
          <cell r="O13241" t="str">
            <v>SC4002UA</v>
          </cell>
          <cell r="P13241" t="str">
            <v>STC4000AA</v>
          </cell>
          <cell r="Q13241" t="str">
            <v>磁性位置传感器</v>
          </cell>
        </row>
        <row r="13242">
          <cell r="O13242" t="str">
            <v>SC1134UA</v>
          </cell>
          <cell r="P13242" t="str">
            <v>STC1898AI</v>
          </cell>
          <cell r="Q13242" t="str">
            <v>磁性位置传感器</v>
          </cell>
        </row>
        <row r="13243">
          <cell r="O13243" t="str">
            <v>SC2202SO-N</v>
          </cell>
          <cell r="P13243" t="str">
            <v>STC9902E</v>
          </cell>
          <cell r="Q13243" t="str">
            <v>磁性位置传感器</v>
          </cell>
        </row>
        <row r="13244">
          <cell r="O13244" t="str">
            <v>SC9634VB</v>
          </cell>
          <cell r="P13244" t="str">
            <v>STC9905G</v>
          </cell>
          <cell r="Q13244" t="str">
            <v>速度传感器</v>
          </cell>
        </row>
        <row r="13245">
          <cell r="O13245" t="str">
            <v>SC9314UA</v>
          </cell>
          <cell r="P13245" t="str">
            <v>STC9901AF</v>
          </cell>
          <cell r="Q13245" t="str">
            <v>速度传感器</v>
          </cell>
        </row>
        <row r="13246">
          <cell r="O13246" t="str">
            <v>SC9632VB</v>
          </cell>
          <cell r="P13246" t="str">
            <v>STC9905E</v>
          </cell>
          <cell r="Q13246" t="str">
            <v>速度传感器</v>
          </cell>
        </row>
        <row r="13247">
          <cell r="O13247" t="str">
            <v>SC9314UA</v>
          </cell>
          <cell r="P13247" t="str">
            <v>STC9901AF</v>
          </cell>
          <cell r="Q13247" t="str">
            <v>速度传感器</v>
          </cell>
        </row>
        <row r="13248">
          <cell r="O13248" t="str">
            <v>SC1134BU</v>
          </cell>
          <cell r="P13248" t="str">
            <v>STC1898AI</v>
          </cell>
          <cell r="Q13248" t="str">
            <v>磁性位置传感器</v>
          </cell>
        </row>
        <row r="13249">
          <cell r="O13249" t="str">
            <v>SC1134BU</v>
          </cell>
          <cell r="P13249" t="str">
            <v>STC1898AI</v>
          </cell>
          <cell r="Q13249" t="str">
            <v>磁性位置传感器</v>
          </cell>
        </row>
        <row r="13250">
          <cell r="O13250" t="str">
            <v>SC1134BU</v>
          </cell>
          <cell r="P13250" t="str">
            <v>STC1898AI</v>
          </cell>
          <cell r="Q13250" t="str">
            <v>磁性位置传感器</v>
          </cell>
        </row>
        <row r="13251">
          <cell r="O13251" t="str">
            <v>SC1134BU</v>
          </cell>
          <cell r="P13251" t="str">
            <v>STC1898AI</v>
          </cell>
          <cell r="Q13251" t="str">
            <v>磁性位置传感器</v>
          </cell>
        </row>
        <row r="13252">
          <cell r="O13252" t="str">
            <v>SC9641TS-P</v>
          </cell>
          <cell r="P13252" t="str">
            <v>STC9A001F</v>
          </cell>
          <cell r="Q13252" t="str">
            <v>速度传感器</v>
          </cell>
        </row>
        <row r="13253">
          <cell r="O13253" t="str">
            <v>STC9H001A</v>
          </cell>
          <cell r="P13253" t="str">
            <v>STC9H001A</v>
          </cell>
          <cell r="Q13253" t="str">
            <v>磁性位置传感器</v>
          </cell>
        </row>
        <row r="13254">
          <cell r="O13254" t="str">
            <v>STC9H001A</v>
          </cell>
          <cell r="P13254" t="str">
            <v>STC9H001A</v>
          </cell>
          <cell r="Q13254" t="str">
            <v>磁性位置传感器</v>
          </cell>
        </row>
        <row r="13255">
          <cell r="O13255" t="str">
            <v>SC2442UA</v>
          </cell>
          <cell r="P13255" t="str">
            <v>STC9906P</v>
          </cell>
          <cell r="Q13255" t="str">
            <v>磁性位置传感器</v>
          </cell>
        </row>
        <row r="13256">
          <cell r="O13256" t="str">
            <v>SC1245UA</v>
          </cell>
          <cell r="P13256" t="str">
            <v>STC1898AD</v>
          </cell>
          <cell r="Q13256" t="str">
            <v>磁性位置传感器</v>
          </cell>
        </row>
        <row r="13257">
          <cell r="O13257" t="str">
            <v>SC1245UA</v>
          </cell>
          <cell r="P13257" t="str">
            <v>STC1898AD</v>
          </cell>
          <cell r="Q13257" t="str">
            <v>磁性位置传感器</v>
          </cell>
        </row>
        <row r="13258">
          <cell r="O13258" t="str">
            <v>SC1245UA</v>
          </cell>
          <cell r="P13258" t="str">
            <v>STC1898AD</v>
          </cell>
          <cell r="Q13258" t="str">
            <v>磁性位置传感器</v>
          </cell>
        </row>
        <row r="13259">
          <cell r="O13259" t="str">
            <v>SC1245UA</v>
          </cell>
          <cell r="P13259" t="str">
            <v>STC1898AD</v>
          </cell>
          <cell r="Q13259" t="str">
            <v>磁性位置传感器</v>
          </cell>
        </row>
        <row r="13260">
          <cell r="O13260" t="str">
            <v>SC1245UA</v>
          </cell>
          <cell r="P13260" t="str">
            <v>STC1898AD</v>
          </cell>
          <cell r="Q13260" t="str">
            <v>磁性位置传感器</v>
          </cell>
        </row>
        <row r="13261">
          <cell r="O13261" t="str">
            <v>SC4695DC</v>
          </cell>
          <cell r="P13261" t="str">
            <v>STC9D01C</v>
          </cell>
          <cell r="Q13261" t="str">
            <v>角度传感器</v>
          </cell>
        </row>
        <row r="13262">
          <cell r="O13262" t="str">
            <v>SC4695DC</v>
          </cell>
          <cell r="P13262" t="str">
            <v>STC9D01C</v>
          </cell>
          <cell r="Q13262" t="str">
            <v>角度传感器</v>
          </cell>
        </row>
        <row r="13263">
          <cell r="O13263" t="str">
            <v>SC9675IM-P-LRF00</v>
          </cell>
          <cell r="P13263" t="str">
            <v>STC9A002B</v>
          </cell>
          <cell r="Q13263" t="str">
            <v>速度传感器</v>
          </cell>
        </row>
        <row r="13264">
          <cell r="O13264" t="str">
            <v>SC9675IM-P-LRF00</v>
          </cell>
          <cell r="P13264" t="str">
            <v>STC9A002B</v>
          </cell>
          <cell r="Q13264" t="str">
            <v>速度传感器</v>
          </cell>
        </row>
        <row r="13265">
          <cell r="O13265" t="str">
            <v>SC4645VB</v>
          </cell>
          <cell r="P13265" t="str">
            <v>STC9D06F</v>
          </cell>
          <cell r="Q13265" t="str">
            <v>电流传感器</v>
          </cell>
        </row>
        <row r="13266">
          <cell r="O13266" t="str">
            <v>SC4643VB-P</v>
          </cell>
          <cell r="P13266" t="str">
            <v>STC9D03E</v>
          </cell>
          <cell r="Q13266" t="str">
            <v>电流传感器</v>
          </cell>
        </row>
        <row r="13267">
          <cell r="O13267" t="str">
            <v>SC2432SO</v>
          </cell>
          <cell r="P13267" t="str">
            <v>STC9906I</v>
          </cell>
          <cell r="Q13267" t="str">
            <v>磁性位置传感器</v>
          </cell>
        </row>
        <row r="13268">
          <cell r="O13268" t="str">
            <v>SC2432SO</v>
          </cell>
          <cell r="P13268" t="str">
            <v>STC9906I</v>
          </cell>
          <cell r="Q13268" t="str">
            <v>磁性位置传感器</v>
          </cell>
        </row>
        <row r="13269">
          <cell r="O13269" t="str">
            <v>SC2526HVB</v>
          </cell>
          <cell r="P13269" t="str">
            <v>STC9904C</v>
          </cell>
          <cell r="Q13269" t="str">
            <v>磁性位置传感器</v>
          </cell>
        </row>
        <row r="13270">
          <cell r="O13270" t="str">
            <v>SC2413SO-N</v>
          </cell>
          <cell r="P13270" t="str">
            <v>STC9902D</v>
          </cell>
          <cell r="Q13270" t="str">
            <v>磁性位置传感器</v>
          </cell>
        </row>
        <row r="13271">
          <cell r="O13271" t="str">
            <v>SC2413SO-N</v>
          </cell>
          <cell r="P13271" t="str">
            <v>STC9902D</v>
          </cell>
          <cell r="Q13271" t="str">
            <v>磁性位置传感器</v>
          </cell>
        </row>
        <row r="13272">
          <cell r="O13272" t="str">
            <v>SC2413SO-N</v>
          </cell>
          <cell r="P13272" t="str">
            <v>STC9902D</v>
          </cell>
          <cell r="Q13272" t="str">
            <v>磁性位置传感器</v>
          </cell>
        </row>
        <row r="13273">
          <cell r="O13273" t="str">
            <v>SC2413SO-N</v>
          </cell>
          <cell r="P13273" t="str">
            <v>STC9902D</v>
          </cell>
          <cell r="Q13273" t="str">
            <v>磁性位置传感器</v>
          </cell>
        </row>
        <row r="13274">
          <cell r="O13274" t="str">
            <v>SC1134UA</v>
          </cell>
          <cell r="P13274" t="str">
            <v>STC1898AI</v>
          </cell>
          <cell r="Q13274" t="str">
            <v>磁性位置传感器</v>
          </cell>
        </row>
        <row r="13275">
          <cell r="O13275" t="str">
            <v>SC4002UA</v>
          </cell>
          <cell r="P13275" t="str">
            <v>STC4000AA</v>
          </cell>
          <cell r="Q13275" t="str">
            <v>磁性位置传感器</v>
          </cell>
        </row>
        <row r="13276">
          <cell r="O13276" t="str">
            <v>SC4002UA</v>
          </cell>
          <cell r="P13276" t="str">
            <v>STC4000AA</v>
          </cell>
          <cell r="Q13276" t="str">
            <v>磁性位置传感器</v>
          </cell>
        </row>
        <row r="13277">
          <cell r="O13277" t="str">
            <v>SC4002UA</v>
          </cell>
          <cell r="P13277" t="str">
            <v>STC4000AA</v>
          </cell>
          <cell r="Q13277" t="str">
            <v>磁性位置传感器</v>
          </cell>
        </row>
        <row r="13278">
          <cell r="O13278" t="str">
            <v>SC4002UA</v>
          </cell>
          <cell r="P13278" t="str">
            <v>STC4000AA</v>
          </cell>
          <cell r="Q13278" t="str">
            <v>磁性位置传感器</v>
          </cell>
        </row>
        <row r="13279">
          <cell r="O13279" t="str">
            <v>SC4002UA</v>
          </cell>
          <cell r="P13279" t="str">
            <v>STC4000AA</v>
          </cell>
          <cell r="Q13279" t="str">
            <v>磁性位置传感器</v>
          </cell>
        </row>
        <row r="13280">
          <cell r="O13280" t="str">
            <v>SC4002UA</v>
          </cell>
          <cell r="P13280" t="str">
            <v>STC4000AA</v>
          </cell>
          <cell r="Q13280" t="str">
            <v>磁性位置传感器</v>
          </cell>
        </row>
        <row r="13281">
          <cell r="O13281" t="str">
            <v>SC4002UA</v>
          </cell>
          <cell r="P13281" t="str">
            <v>STC4000AA</v>
          </cell>
          <cell r="Q13281" t="str">
            <v>磁性位置传感器</v>
          </cell>
        </row>
        <row r="13282">
          <cell r="O13282" t="str">
            <v>SC2064SO</v>
          </cell>
          <cell r="P13282" t="str">
            <v>STC9G001C</v>
          </cell>
          <cell r="Q13282" t="str">
            <v>磁性位置传感器</v>
          </cell>
        </row>
        <row r="13283">
          <cell r="O13283" t="str">
            <v>SC9642TS-E</v>
          </cell>
          <cell r="P13283" t="str">
            <v>STC9A001H</v>
          </cell>
          <cell r="Q13283" t="str">
            <v>速度传感器</v>
          </cell>
        </row>
        <row r="13284">
          <cell r="O13284" t="str">
            <v>SC9642TS-E</v>
          </cell>
          <cell r="P13284" t="str">
            <v>STC9A001H</v>
          </cell>
          <cell r="Q13284" t="str">
            <v>速度传感器</v>
          </cell>
        </row>
        <row r="13285">
          <cell r="O13285" t="str">
            <v>SC9642TS-E</v>
          </cell>
          <cell r="P13285" t="str">
            <v>STC9A001H</v>
          </cell>
          <cell r="Q13285" t="str">
            <v>速度传感器</v>
          </cell>
        </row>
        <row r="13286">
          <cell r="O13286" t="str">
            <v>SC2402SO-N</v>
          </cell>
          <cell r="P13286" t="str">
            <v>STC9G002A</v>
          </cell>
          <cell r="Q13286" t="str">
            <v>磁性位置传感器</v>
          </cell>
        </row>
        <row r="13287">
          <cell r="O13287" t="str">
            <v>SC2402SO-N</v>
          </cell>
          <cell r="P13287" t="str">
            <v>STC9902J</v>
          </cell>
          <cell r="Q13287" t="str">
            <v>磁性位置传感器</v>
          </cell>
        </row>
        <row r="13288">
          <cell r="O13288" t="str">
            <v>SC2526HVB</v>
          </cell>
          <cell r="P13288" t="str">
            <v>STC9904C</v>
          </cell>
          <cell r="Q13288" t="str">
            <v>磁性位置传感器</v>
          </cell>
        </row>
        <row r="13289">
          <cell r="O13289" t="str">
            <v>SC2402SO-N</v>
          </cell>
          <cell r="P13289" t="str">
            <v>STC9902J</v>
          </cell>
          <cell r="Q13289" t="str">
            <v>磁性位置传感器</v>
          </cell>
        </row>
        <row r="13290">
          <cell r="O13290" t="str">
            <v>SC2402SO-N</v>
          </cell>
          <cell r="P13290" t="str">
            <v>STC9902J</v>
          </cell>
          <cell r="Q13290" t="str">
            <v>磁性位置传感器</v>
          </cell>
        </row>
        <row r="13291">
          <cell r="O13291" t="str">
            <v>SC2402SO-N</v>
          </cell>
          <cell r="P13291" t="str">
            <v>STC9902J</v>
          </cell>
          <cell r="Q13291" t="str">
            <v>磁性位置传感器</v>
          </cell>
        </row>
        <row r="13292">
          <cell r="O13292" t="str">
            <v>SC9314UA</v>
          </cell>
          <cell r="P13292" t="str">
            <v>STC9901AF</v>
          </cell>
          <cell r="Q13292" t="str">
            <v>速度传感器</v>
          </cell>
        </row>
        <row r="13293">
          <cell r="O13293" t="str">
            <v>SC4688SA</v>
          </cell>
          <cell r="P13293" t="str">
            <v>STC9D01C</v>
          </cell>
          <cell r="Q13293" t="str">
            <v>角度传感器</v>
          </cell>
        </row>
        <row r="13294">
          <cell r="O13294" t="str">
            <v>SC9625VB</v>
          </cell>
          <cell r="P13294" t="str">
            <v>STC9910B</v>
          </cell>
          <cell r="Q13294" t="str">
            <v>速度传感器</v>
          </cell>
        </row>
        <row r="13295">
          <cell r="O13295" t="str">
            <v>SC9641TS-P</v>
          </cell>
          <cell r="P13295" t="str">
            <v>STC9A001F</v>
          </cell>
          <cell r="Q13295" t="str">
            <v>速度传感器</v>
          </cell>
        </row>
        <row r="13296">
          <cell r="O13296" t="str">
            <v>SC9641TS-P</v>
          </cell>
          <cell r="P13296" t="str">
            <v>STC9A001F</v>
          </cell>
          <cell r="Q13296" t="str">
            <v>速度传感器</v>
          </cell>
        </row>
        <row r="13297">
          <cell r="O13297" t="str">
            <v>SC2402SO-N</v>
          </cell>
          <cell r="P13297" t="str">
            <v>STC9902J</v>
          </cell>
          <cell r="Q13297" t="str">
            <v>磁性位置传感器</v>
          </cell>
        </row>
        <row r="13298">
          <cell r="O13298" t="str">
            <v>SC2402SO-N</v>
          </cell>
          <cell r="P13298" t="str">
            <v>STC9902J</v>
          </cell>
          <cell r="Q13298" t="str">
            <v>磁性位置传感器</v>
          </cell>
        </row>
        <row r="13299">
          <cell r="O13299" t="str">
            <v>SC9625VB</v>
          </cell>
          <cell r="P13299" t="str">
            <v>STC9910B</v>
          </cell>
          <cell r="Q13299" t="str">
            <v>速度传感器</v>
          </cell>
        </row>
        <row r="13300">
          <cell r="O13300" t="str">
            <v>SC9641TS-P</v>
          </cell>
          <cell r="P13300" t="str">
            <v>STC9A001I</v>
          </cell>
          <cell r="Q13300" t="str">
            <v>速度传感器</v>
          </cell>
        </row>
        <row r="13301">
          <cell r="O13301" t="str">
            <v>SC9641TS-P</v>
          </cell>
          <cell r="P13301" t="str">
            <v>STC9A001I</v>
          </cell>
          <cell r="Q13301" t="str">
            <v>速度传感器</v>
          </cell>
        </row>
        <row r="13302">
          <cell r="O13302" t="str">
            <v>SC2498SO</v>
          </cell>
          <cell r="P13302" t="str">
            <v>SC9915C</v>
          </cell>
          <cell r="Q13302" t="str">
            <v>磁性位置传感器</v>
          </cell>
        </row>
        <row r="13303">
          <cell r="O13303" t="str">
            <v>SC2498SO</v>
          </cell>
          <cell r="P13303" t="str">
            <v>SC9915C</v>
          </cell>
          <cell r="Q13303" t="str">
            <v>磁性位置传感器</v>
          </cell>
        </row>
        <row r="13304">
          <cell r="O13304" t="str">
            <v>SC9641TS</v>
          </cell>
          <cell r="P13304" t="str">
            <v>STC9910BN</v>
          </cell>
          <cell r="Q13304" t="str">
            <v>速度传感器</v>
          </cell>
        </row>
        <row r="13305">
          <cell r="O13305" t="str">
            <v>SC9641TS</v>
          </cell>
          <cell r="P13305" t="str">
            <v>STC9910BN</v>
          </cell>
          <cell r="Q13305" t="str">
            <v>速度传感器</v>
          </cell>
        </row>
        <row r="13306">
          <cell r="O13306" t="str">
            <v>SC4688编程板</v>
          </cell>
          <cell r="P13306" t="str">
            <v xml:space="preserve"> </v>
          </cell>
          <cell r="Q13306" t="str">
            <v>角度传感器</v>
          </cell>
        </row>
        <row r="13307">
          <cell r="O13307" t="str">
            <v>SC9641TS</v>
          </cell>
          <cell r="P13307" t="str">
            <v>STC9910BN</v>
          </cell>
          <cell r="Q13307" t="str">
            <v>速度传感器</v>
          </cell>
        </row>
        <row r="13308">
          <cell r="O13308" t="str">
            <v>SC9641TS</v>
          </cell>
          <cell r="P13308" t="str">
            <v>STC9910BN</v>
          </cell>
          <cell r="Q13308" t="str">
            <v>速度传感器</v>
          </cell>
        </row>
        <row r="13309">
          <cell r="O13309" t="str">
            <v>SC2063UA</v>
          </cell>
          <cell r="P13309" t="str">
            <v>STC9G001C</v>
          </cell>
          <cell r="Q13309" t="str">
            <v>磁性位置传感器</v>
          </cell>
        </row>
        <row r="13310">
          <cell r="O13310" t="str">
            <v>SL54123APA1R</v>
          </cell>
          <cell r="P13310" t="str">
            <v>STC16100B</v>
          </cell>
          <cell r="Q13310" t="str">
            <v>电流传感器</v>
          </cell>
        </row>
        <row r="13311">
          <cell r="O13311" t="str">
            <v>SL54123APA1R</v>
          </cell>
          <cell r="P13311" t="str">
            <v>STC16100B</v>
          </cell>
          <cell r="Q13311" t="str">
            <v>电流传感器</v>
          </cell>
        </row>
        <row r="13312">
          <cell r="O13312" t="str">
            <v>SC9641TS-P</v>
          </cell>
          <cell r="P13312" t="str">
            <v>STC9A001F</v>
          </cell>
          <cell r="Q13312" t="str">
            <v>速度传感器</v>
          </cell>
        </row>
        <row r="13313">
          <cell r="O13313" t="str">
            <v>SC9641TS-P</v>
          </cell>
          <cell r="P13313" t="str">
            <v>STC9A001F</v>
          </cell>
          <cell r="Q13313" t="str">
            <v>速度传感器</v>
          </cell>
        </row>
        <row r="13314">
          <cell r="O13314" t="str">
            <v>SC9641TS-P</v>
          </cell>
          <cell r="P13314" t="str">
            <v>STC9A001F</v>
          </cell>
          <cell r="Q13314" t="str">
            <v>速度传感器</v>
          </cell>
        </row>
        <row r="13315">
          <cell r="O13315" t="str">
            <v>SC9641TS-P</v>
          </cell>
          <cell r="P13315" t="str">
            <v>STC9A001F</v>
          </cell>
          <cell r="Q13315" t="str">
            <v>速度传感器</v>
          </cell>
        </row>
        <row r="13316">
          <cell r="O13316" t="str">
            <v>SC2402UA</v>
          </cell>
          <cell r="P13316" t="str">
            <v>STC9902J</v>
          </cell>
          <cell r="Q13316" t="str">
            <v>磁性位置传感器</v>
          </cell>
        </row>
        <row r="13317">
          <cell r="O13317" t="str">
            <v>SC2402SO-N</v>
          </cell>
          <cell r="P13317" t="str">
            <v>STC9G002A</v>
          </cell>
          <cell r="Q13317" t="str">
            <v>磁性位置传感器</v>
          </cell>
        </row>
        <row r="13318">
          <cell r="O13318" t="str">
            <v>SC2432SO-N</v>
          </cell>
          <cell r="P13318" t="str">
            <v>STC9906I</v>
          </cell>
          <cell r="Q13318" t="str">
            <v>磁性位置传感器</v>
          </cell>
        </row>
        <row r="13319">
          <cell r="O13319" t="str">
            <v>SC2402UA</v>
          </cell>
          <cell r="P13319" t="str">
            <v>STC9902J</v>
          </cell>
          <cell r="Q13319" t="str">
            <v>磁性位置传感器</v>
          </cell>
        </row>
        <row r="13320">
          <cell r="O13320" t="str">
            <v>SC2402UA</v>
          </cell>
          <cell r="P13320" t="str">
            <v>STC9902J</v>
          </cell>
          <cell r="Q13320" t="str">
            <v>磁性位置传感器</v>
          </cell>
        </row>
        <row r="13321">
          <cell r="O13321" t="str">
            <v>SC4011SO-N</v>
          </cell>
          <cell r="P13321" t="str">
            <v>STC4011B</v>
          </cell>
          <cell r="Q13321" t="str">
            <v>磁性位置传感器</v>
          </cell>
        </row>
        <row r="13322">
          <cell r="O13322" t="str">
            <v>SC4011SO-N</v>
          </cell>
          <cell r="P13322" t="str">
            <v>STC4011B</v>
          </cell>
          <cell r="Q13322" t="str">
            <v>磁性位置传感器</v>
          </cell>
        </row>
        <row r="13323">
          <cell r="O13323" t="str">
            <v>SC4011SO-N</v>
          </cell>
          <cell r="P13323" t="str">
            <v>STC4011B</v>
          </cell>
          <cell r="Q13323" t="str">
            <v>磁性位置传感器</v>
          </cell>
        </row>
        <row r="13324">
          <cell r="O13324" t="str">
            <v>ZH6350B1-Mask</v>
          </cell>
          <cell r="P13324" t="str">
            <v xml:space="preserve"> </v>
          </cell>
          <cell r="Q13324" t="str">
            <v>电机驱动</v>
          </cell>
        </row>
        <row r="13325">
          <cell r="O13325" t="str">
            <v>ZH6350B1</v>
          </cell>
          <cell r="P13325" t="str">
            <v>ZH6350B1</v>
          </cell>
          <cell r="Q13325" t="str">
            <v>电机驱动</v>
          </cell>
        </row>
        <row r="13326">
          <cell r="O13326" t="str">
            <v>SC2464SO</v>
          </cell>
          <cell r="P13326" t="str">
            <v>STC9906J</v>
          </cell>
          <cell r="Q13326" t="str">
            <v>磁性位置传感器</v>
          </cell>
        </row>
        <row r="13327">
          <cell r="O13327" t="str">
            <v>SC9641TS-PC</v>
          </cell>
          <cell r="P13327" t="str">
            <v>STC9A001I</v>
          </cell>
          <cell r="Q13327" t="str">
            <v>速度传感器</v>
          </cell>
        </row>
        <row r="13328">
          <cell r="O13328" t="str">
            <v>SC9641TS-PC</v>
          </cell>
          <cell r="P13328" t="str">
            <v>STC9A001I</v>
          </cell>
          <cell r="Q13328" t="str">
            <v>速度传感器</v>
          </cell>
        </row>
        <row r="13329">
          <cell r="O13329" t="str">
            <v>SC9641TS-PC</v>
          </cell>
          <cell r="P13329" t="str">
            <v>STC9A001I</v>
          </cell>
          <cell r="Q13329" t="str">
            <v>速度传感器</v>
          </cell>
        </row>
        <row r="13330">
          <cell r="O13330" t="str">
            <v>SC9641TS-PC</v>
          </cell>
          <cell r="P13330" t="str">
            <v>STC9A001I</v>
          </cell>
          <cell r="Q13330" t="str">
            <v>速度传感器</v>
          </cell>
        </row>
        <row r="13331">
          <cell r="O13331" t="str">
            <v>SC9641TS-PC</v>
          </cell>
          <cell r="P13331" t="str">
            <v>STC9A001I</v>
          </cell>
          <cell r="Q13331" t="str">
            <v>速度传感器</v>
          </cell>
        </row>
        <row r="13332">
          <cell r="O13332" t="str">
            <v>SC9641TS-PC</v>
          </cell>
          <cell r="P13332" t="str">
            <v>STC9A001I</v>
          </cell>
          <cell r="Q13332" t="str">
            <v>速度传感器</v>
          </cell>
        </row>
        <row r="13333">
          <cell r="O13333" t="str">
            <v>SC9641TS-PC</v>
          </cell>
          <cell r="P13333" t="str">
            <v>STC9A001I</v>
          </cell>
          <cell r="Q13333" t="str">
            <v>速度传感器</v>
          </cell>
        </row>
        <row r="13334">
          <cell r="O13334" t="str">
            <v>SC9641TS-P</v>
          </cell>
          <cell r="P13334" t="str">
            <v>STC9A001F</v>
          </cell>
          <cell r="Q13334" t="str">
            <v>速度传感器</v>
          </cell>
        </row>
        <row r="13335">
          <cell r="O13335" t="str">
            <v>SC2498UA-N</v>
          </cell>
          <cell r="P13335" t="str">
            <v>SC9915C</v>
          </cell>
          <cell r="Q13335" t="str">
            <v>磁性位置传感器</v>
          </cell>
        </row>
        <row r="13336">
          <cell r="O13336" t="str">
            <v>SC2498UA-N</v>
          </cell>
          <cell r="P13336" t="str">
            <v>SC9915C</v>
          </cell>
          <cell r="Q13336" t="str">
            <v>磁性位置传感器</v>
          </cell>
        </row>
        <row r="13337">
          <cell r="O13337" t="str">
            <v>SC4643SA-A</v>
          </cell>
          <cell r="P13337" t="str">
            <v>STC9D03E</v>
          </cell>
          <cell r="Q13337" t="str">
            <v>电流传感器</v>
          </cell>
        </row>
        <row r="13338">
          <cell r="O13338" t="str">
            <v>SC1134UA</v>
          </cell>
          <cell r="P13338" t="str">
            <v>STC1898AI</v>
          </cell>
          <cell r="Q13338" t="str">
            <v>磁性位置传感器</v>
          </cell>
        </row>
        <row r="13339">
          <cell r="O13339" t="str">
            <v>SC1134UA</v>
          </cell>
          <cell r="P13339" t="str">
            <v>STC1898AI</v>
          </cell>
          <cell r="Q13339" t="str">
            <v>磁性位置传感器</v>
          </cell>
        </row>
        <row r="13340">
          <cell r="O13340" t="str">
            <v>SC1134UA</v>
          </cell>
          <cell r="P13340" t="str">
            <v>STC1898AI</v>
          </cell>
          <cell r="Q13340" t="str">
            <v>磁性位置传感器</v>
          </cell>
        </row>
        <row r="13341">
          <cell r="O13341" t="str">
            <v>SC9314UA</v>
          </cell>
          <cell r="P13341" t="str">
            <v>STC9901AF</v>
          </cell>
          <cell r="Q13341" t="str">
            <v>速度传感器</v>
          </cell>
        </row>
        <row r="13342">
          <cell r="O13342" t="str">
            <v>SC9314UA</v>
          </cell>
          <cell r="P13342" t="str">
            <v>STC9901AF</v>
          </cell>
          <cell r="Q13342" t="str">
            <v>速度传感器</v>
          </cell>
        </row>
        <row r="13343">
          <cell r="O13343" t="str">
            <v>SC4688DC-M3</v>
          </cell>
          <cell r="P13343" t="str">
            <v>STC9D01C</v>
          </cell>
          <cell r="Q13343" t="str">
            <v>角度传感器</v>
          </cell>
        </row>
        <row r="13344">
          <cell r="O13344" t="str">
            <v>SC4616BU</v>
          </cell>
          <cell r="P13344" t="str">
            <v>STC9907D</v>
          </cell>
          <cell r="Q13344" t="str">
            <v>电流传感器</v>
          </cell>
        </row>
        <row r="13345">
          <cell r="O13345" t="str">
            <v>SC2434UA</v>
          </cell>
          <cell r="P13345" t="str">
            <v>STC9906I</v>
          </cell>
          <cell r="Q13345" t="str">
            <v>磁性位置传感器</v>
          </cell>
        </row>
        <row r="13346">
          <cell r="O13346" t="str">
            <v>SC2442SO</v>
          </cell>
          <cell r="P13346" t="str">
            <v>STC9906R</v>
          </cell>
          <cell r="Q13346" t="str">
            <v>磁性位置传感器</v>
          </cell>
        </row>
        <row r="13347">
          <cell r="O13347" t="str">
            <v>SC2063SO</v>
          </cell>
          <cell r="P13347" t="str">
            <v>STC9G001C</v>
          </cell>
          <cell r="Q13347" t="str">
            <v>磁性位置传感器</v>
          </cell>
        </row>
        <row r="13348">
          <cell r="O13348" t="str">
            <v>SC1133UA</v>
          </cell>
          <cell r="P13348" t="str">
            <v>STC1898AJ</v>
          </cell>
          <cell r="Q13348" t="str">
            <v>磁性位置传感器</v>
          </cell>
        </row>
        <row r="13349">
          <cell r="O13349" t="str">
            <v>SC2402UA</v>
          </cell>
          <cell r="P13349" t="str">
            <v>STC9902J</v>
          </cell>
          <cell r="Q13349" t="str">
            <v>磁性位置传感器</v>
          </cell>
        </row>
        <row r="13350">
          <cell r="O13350" t="str">
            <v>SC4688SA-A</v>
          </cell>
          <cell r="P13350" t="str">
            <v>STC9D01C</v>
          </cell>
          <cell r="Q13350" t="str">
            <v>角度传感器</v>
          </cell>
        </row>
        <row r="13351">
          <cell r="O13351" t="str">
            <v>SC2064SO</v>
          </cell>
          <cell r="P13351" t="str">
            <v>STC9G001C</v>
          </cell>
          <cell r="Q13351" t="str">
            <v>磁性位置传感器</v>
          </cell>
        </row>
        <row r="13352">
          <cell r="O13352" t="str">
            <v>SC2402SO-N</v>
          </cell>
          <cell r="P13352" t="str">
            <v>STC9902J</v>
          </cell>
          <cell r="Q13352" t="str">
            <v>磁性位置传感器</v>
          </cell>
        </row>
        <row r="13353">
          <cell r="O13353" t="str">
            <v>SC4011SO-N</v>
          </cell>
          <cell r="P13353" t="str">
            <v>STC4011B</v>
          </cell>
          <cell r="Q13353" t="str">
            <v>磁性位置传感器</v>
          </cell>
        </row>
        <row r="13354">
          <cell r="O13354" t="str">
            <v>SC4011SO-N</v>
          </cell>
          <cell r="P13354" t="str">
            <v>STC4011B</v>
          </cell>
          <cell r="Q13354" t="str">
            <v>磁性位置传感器</v>
          </cell>
        </row>
        <row r="13355">
          <cell r="O13355" t="str">
            <v>SC4011SO-N</v>
          </cell>
          <cell r="P13355" t="str">
            <v>STC4011B</v>
          </cell>
          <cell r="Q13355" t="str">
            <v>磁性位置传感器</v>
          </cell>
        </row>
        <row r="13356">
          <cell r="O13356" t="str">
            <v>SC4011SO-N</v>
          </cell>
          <cell r="P13356" t="str">
            <v>STC4011B</v>
          </cell>
          <cell r="Q13356" t="str">
            <v>磁性位置传感器</v>
          </cell>
        </row>
        <row r="13357">
          <cell r="O13357" t="str">
            <v>SC4011SO-N</v>
          </cell>
          <cell r="P13357" t="str">
            <v>STC4011B</v>
          </cell>
          <cell r="Q13357" t="str">
            <v>磁性位置传感器</v>
          </cell>
        </row>
        <row r="13358">
          <cell r="O13358" t="str">
            <v>SC4011SO-N</v>
          </cell>
          <cell r="P13358" t="str">
            <v>STC4011B</v>
          </cell>
          <cell r="Q13358" t="str">
            <v>磁性位置传感器</v>
          </cell>
        </row>
        <row r="13359">
          <cell r="O13359" t="str">
            <v>SC4011SO-N</v>
          </cell>
          <cell r="P13359" t="str">
            <v>STC4011B</v>
          </cell>
          <cell r="Q13359" t="str">
            <v>磁性位置传感器</v>
          </cell>
        </row>
        <row r="13360">
          <cell r="O13360" t="str">
            <v>SC4011SO-N</v>
          </cell>
          <cell r="P13360" t="str">
            <v>STC4011B</v>
          </cell>
          <cell r="Q13360" t="str">
            <v>磁性位置传感器</v>
          </cell>
        </row>
        <row r="13361">
          <cell r="O13361" t="str">
            <v>SC2462SO</v>
          </cell>
          <cell r="P13361" t="str">
            <v>STC9906J</v>
          </cell>
          <cell r="Q13361" t="str">
            <v>磁性位置传感器</v>
          </cell>
        </row>
        <row r="13362">
          <cell r="O13362" t="str">
            <v>SC2442SO</v>
          </cell>
          <cell r="P13362" t="str">
            <v>STC9906R</v>
          </cell>
          <cell r="Q13362" t="str">
            <v>磁性位置传感器</v>
          </cell>
        </row>
        <row r="13363">
          <cell r="O13363" t="str">
            <v>SC2442UA</v>
          </cell>
          <cell r="P13363" t="str">
            <v>STC9906P</v>
          </cell>
          <cell r="Q13363" t="str">
            <v>磁性位置传感器</v>
          </cell>
        </row>
        <row r="13364">
          <cell r="O13364" t="str">
            <v>SC919H</v>
          </cell>
          <cell r="P13364" t="str">
            <v>STC9909A</v>
          </cell>
          <cell r="Q13364" t="str">
            <v>磁性位置传感器</v>
          </cell>
        </row>
        <row r="13365">
          <cell r="O13365" t="str">
            <v>SC919H</v>
          </cell>
          <cell r="P13365" t="str">
            <v>STC9909A</v>
          </cell>
          <cell r="Q13365" t="str">
            <v>磁性位置传感器</v>
          </cell>
        </row>
        <row r="13366">
          <cell r="O13366" t="str">
            <v>SC919H</v>
          </cell>
          <cell r="P13366" t="str">
            <v>STC9909A</v>
          </cell>
          <cell r="Q13366" t="str">
            <v>磁性位置传感器</v>
          </cell>
        </row>
        <row r="13367">
          <cell r="O13367" t="str">
            <v>SC919H</v>
          </cell>
          <cell r="P13367" t="str">
            <v>STC9909A</v>
          </cell>
          <cell r="Q13367" t="str">
            <v>磁性位置传感器</v>
          </cell>
        </row>
        <row r="13368">
          <cell r="O13368" t="str">
            <v>SC2442SO</v>
          </cell>
          <cell r="P13368" t="str">
            <v>STC9906R</v>
          </cell>
          <cell r="Q13368" t="str">
            <v>磁性位置传感器</v>
          </cell>
        </row>
        <row r="13369">
          <cell r="O13369" t="str">
            <v>SC2242SO</v>
          </cell>
          <cell r="P13369" t="str">
            <v>STC9906H</v>
          </cell>
          <cell r="Q13369" t="str">
            <v>磁性位置传感器</v>
          </cell>
        </row>
        <row r="13370">
          <cell r="O13370" t="str">
            <v>SC1134UA</v>
          </cell>
          <cell r="P13370" t="str">
            <v>STC1898AI</v>
          </cell>
          <cell r="Q13370" t="str">
            <v>磁性位置传感器</v>
          </cell>
        </row>
        <row r="13371">
          <cell r="O13371" t="str">
            <v>SC4002UA</v>
          </cell>
          <cell r="P13371" t="str">
            <v>STC4000AA</v>
          </cell>
          <cell r="Q13371" t="str">
            <v>磁性位置传感器</v>
          </cell>
        </row>
        <row r="13372">
          <cell r="O13372" t="str">
            <v>SC4002UA</v>
          </cell>
          <cell r="P13372" t="str">
            <v>STC4000AA</v>
          </cell>
          <cell r="Q13372" t="str">
            <v>磁性位置传感器</v>
          </cell>
        </row>
        <row r="13373">
          <cell r="O13373" t="str">
            <v>SC2402SO-N</v>
          </cell>
          <cell r="P13373" t="str">
            <v>STC9H001A</v>
          </cell>
          <cell r="Q13373" t="str">
            <v>磁性位置传感器</v>
          </cell>
        </row>
        <row r="13374">
          <cell r="O13374" t="str">
            <v>SD2276</v>
          </cell>
          <cell r="P13374" t="str">
            <v>FD1014A</v>
          </cell>
          <cell r="Q13374" t="str">
            <v>电机驱动</v>
          </cell>
        </row>
        <row r="13375">
          <cell r="O13375" t="str">
            <v>SC2442SO</v>
          </cell>
          <cell r="P13375" t="str">
            <v>STC9906R</v>
          </cell>
          <cell r="Q13375" t="str">
            <v>磁性位置传感器</v>
          </cell>
        </row>
        <row r="13376">
          <cell r="O13376" t="str">
            <v>SC4645VB</v>
          </cell>
          <cell r="P13376" t="str">
            <v>STC9D06F</v>
          </cell>
          <cell r="Q13376" t="str">
            <v>电流传感器</v>
          </cell>
        </row>
        <row r="13377">
          <cell r="O13377" t="str">
            <v>SC1134SO-N</v>
          </cell>
          <cell r="P13377" t="str">
            <v>STC1898AI</v>
          </cell>
          <cell r="Q13377" t="str">
            <v>磁性位置传感器</v>
          </cell>
        </row>
        <row r="13378">
          <cell r="O13378" t="str">
            <v>SC1134SO-N</v>
          </cell>
          <cell r="P13378" t="str">
            <v>STC1898AI</v>
          </cell>
          <cell r="Q13378" t="str">
            <v>磁性位置传感器</v>
          </cell>
        </row>
        <row r="13379">
          <cell r="O13379" t="str">
            <v>PFD1014A</v>
          </cell>
          <cell r="P13379" t="str">
            <v>FD1014A</v>
          </cell>
          <cell r="Q13379" t="str">
            <v>电机驱动</v>
          </cell>
        </row>
        <row r="13380">
          <cell r="O13380" t="str">
            <v>PFD1014A</v>
          </cell>
          <cell r="P13380" t="str">
            <v>FD1014A</v>
          </cell>
          <cell r="Q13380" t="str">
            <v>电机驱动</v>
          </cell>
        </row>
        <row r="13381">
          <cell r="O13381" t="str">
            <v>PFD1014A</v>
          </cell>
          <cell r="P13381" t="str">
            <v>FD1014A</v>
          </cell>
          <cell r="Q13381" t="str">
            <v>电机驱动</v>
          </cell>
        </row>
        <row r="13382">
          <cell r="O13382" t="str">
            <v>PFD1014A</v>
          </cell>
          <cell r="P13382" t="str">
            <v>FD1014A</v>
          </cell>
          <cell r="Q13382" t="str">
            <v>电机驱动</v>
          </cell>
        </row>
        <row r="13383">
          <cell r="O13383" t="str">
            <v>SC9314UA</v>
          </cell>
          <cell r="P13383" t="str">
            <v>STC9901AF</v>
          </cell>
          <cell r="Q13383" t="str">
            <v>速度传感器</v>
          </cell>
        </row>
        <row r="13384">
          <cell r="O13384" t="str">
            <v>SC9314UA</v>
          </cell>
          <cell r="P13384" t="str">
            <v>STC9901AF</v>
          </cell>
          <cell r="Q13384" t="str">
            <v>速度传感器</v>
          </cell>
        </row>
        <row r="13385">
          <cell r="O13385" t="str">
            <v>SC2402UA</v>
          </cell>
          <cell r="P13385" t="str">
            <v>STC9902J</v>
          </cell>
          <cell r="Q13385" t="str">
            <v>磁性位置传感器</v>
          </cell>
        </row>
        <row r="13386">
          <cell r="O13386" t="str">
            <v>SC2402UA</v>
          </cell>
          <cell r="P13386" t="str">
            <v>STC9902J</v>
          </cell>
          <cell r="Q13386" t="str">
            <v>磁性位置传感器</v>
          </cell>
        </row>
        <row r="13387">
          <cell r="O13387" t="str">
            <v>SC9632VB</v>
          </cell>
          <cell r="P13387" t="str">
            <v>STC9905E</v>
          </cell>
          <cell r="Q13387" t="str">
            <v>速度传感器</v>
          </cell>
        </row>
        <row r="13388">
          <cell r="O13388" t="str">
            <v>SC2466SO</v>
          </cell>
          <cell r="P13388" t="str">
            <v>STC9906O</v>
          </cell>
          <cell r="Q13388" t="str">
            <v>磁性位置传感器</v>
          </cell>
        </row>
        <row r="13389">
          <cell r="O13389" t="str">
            <v>SC2466SO</v>
          </cell>
          <cell r="P13389" t="str">
            <v>STC9906O</v>
          </cell>
          <cell r="Q13389" t="str">
            <v>磁性位置传感器</v>
          </cell>
        </row>
        <row r="13390">
          <cell r="O13390" t="str">
            <v>SC1245UA</v>
          </cell>
          <cell r="P13390" t="str">
            <v>STC1898AD</v>
          </cell>
          <cell r="Q13390" t="str">
            <v>磁性位置传感器</v>
          </cell>
        </row>
        <row r="13391">
          <cell r="O13391" t="str">
            <v>SC1245UA</v>
          </cell>
          <cell r="P13391" t="str">
            <v>STC1898AD</v>
          </cell>
          <cell r="Q13391" t="str">
            <v>磁性位置传感器</v>
          </cell>
        </row>
        <row r="13392">
          <cell r="O13392" t="str">
            <v>SC9642TS-E</v>
          </cell>
          <cell r="P13392" t="str">
            <v>STC9A001H</v>
          </cell>
          <cell r="Q13392" t="str">
            <v>速度传感器</v>
          </cell>
        </row>
        <row r="13393">
          <cell r="O13393" t="str">
            <v>SC2472UA</v>
          </cell>
          <cell r="P13393" t="str">
            <v>STC9906L(旧  失效）</v>
          </cell>
          <cell r="Q13393" t="str">
            <v>磁性位置传感器</v>
          </cell>
        </row>
        <row r="13394">
          <cell r="O13394" t="str">
            <v>SC9641TS-P</v>
          </cell>
          <cell r="P13394" t="str">
            <v>STC9A001F</v>
          </cell>
          <cell r="Q13394" t="str">
            <v>速度传感器</v>
          </cell>
        </row>
        <row r="13395">
          <cell r="O13395" t="str">
            <v>SC2434SO-N</v>
          </cell>
          <cell r="P13395" t="str">
            <v>STC9906I</v>
          </cell>
          <cell r="Q13395" t="str">
            <v>磁性位置传感器</v>
          </cell>
        </row>
        <row r="13396">
          <cell r="O13396" t="str">
            <v>SC2464SO</v>
          </cell>
          <cell r="P13396" t="str">
            <v>STC9906J</v>
          </cell>
          <cell r="Q13396" t="str">
            <v>磁性位置传感器</v>
          </cell>
        </row>
        <row r="13397">
          <cell r="O13397" t="str">
            <v>SC2464SO</v>
          </cell>
          <cell r="P13397" t="str">
            <v>STC9906J</v>
          </cell>
          <cell r="Q13397" t="str">
            <v>磁性位置传感器</v>
          </cell>
        </row>
        <row r="13398">
          <cell r="O13398" t="str">
            <v>SC9641TS-PC</v>
          </cell>
          <cell r="P13398" t="str">
            <v>STC9A001I</v>
          </cell>
          <cell r="Q13398" t="str">
            <v>速度传感器</v>
          </cell>
        </row>
        <row r="13399">
          <cell r="O13399" t="str">
            <v>SC9641TS-PC</v>
          </cell>
          <cell r="P13399" t="str">
            <v>STC9A001I</v>
          </cell>
          <cell r="Q13399" t="str">
            <v>速度传感器</v>
          </cell>
        </row>
        <row r="13400">
          <cell r="O13400" t="str">
            <v>SC9641TS-PC</v>
          </cell>
          <cell r="P13400" t="str">
            <v>STC9A001I</v>
          </cell>
          <cell r="Q13400" t="str">
            <v>速度传感器</v>
          </cell>
        </row>
        <row r="13401">
          <cell r="O13401" t="str">
            <v>SC9641TS-PC</v>
          </cell>
          <cell r="P13401" t="str">
            <v>STC9A001I</v>
          </cell>
          <cell r="Q13401" t="str">
            <v>速度传感器</v>
          </cell>
        </row>
        <row r="13402">
          <cell r="O13402" t="str">
            <v>SC243XSO-100095</v>
          </cell>
          <cell r="P13402" t="str">
            <v>STC9906M</v>
          </cell>
          <cell r="Q13402" t="str">
            <v>磁性位置传感器</v>
          </cell>
        </row>
        <row r="13403">
          <cell r="O13403" t="str">
            <v>SC2448SO</v>
          </cell>
          <cell r="P13403" t="str">
            <v>STC9906S</v>
          </cell>
          <cell r="Q13403" t="str">
            <v>磁性位置传感器</v>
          </cell>
        </row>
        <row r="13404">
          <cell r="O13404" t="str">
            <v>SC2448SO</v>
          </cell>
          <cell r="P13404" t="str">
            <v>STC9906S</v>
          </cell>
          <cell r="Q13404" t="str">
            <v>磁性位置传感器</v>
          </cell>
        </row>
        <row r="13405">
          <cell r="O13405" t="str">
            <v>SC2448SO</v>
          </cell>
          <cell r="P13405" t="str">
            <v>STC9906S</v>
          </cell>
          <cell r="Q13405" t="str">
            <v>磁性位置传感器</v>
          </cell>
        </row>
        <row r="13406">
          <cell r="O13406" t="str">
            <v>SC2448SO</v>
          </cell>
          <cell r="P13406" t="str">
            <v>STC9906S</v>
          </cell>
          <cell r="Q13406" t="str">
            <v>磁性位置传感器</v>
          </cell>
        </row>
        <row r="13407">
          <cell r="O13407" t="str">
            <v>SC4643SA-A</v>
          </cell>
          <cell r="P13407" t="str">
            <v>STC9D03E</v>
          </cell>
          <cell r="Q13407" t="str">
            <v>电流传感器</v>
          </cell>
        </row>
        <row r="13408">
          <cell r="O13408" t="str">
            <v>SC60228DC</v>
          </cell>
          <cell r="P13408" t="str">
            <v>STC9D04C</v>
          </cell>
          <cell r="Q13408" t="str">
            <v>电机编码器</v>
          </cell>
        </row>
        <row r="13409">
          <cell r="O13409" t="str">
            <v>SC2438SO</v>
          </cell>
          <cell r="P13409" t="str">
            <v>STC9906I</v>
          </cell>
          <cell r="Q13409" t="str">
            <v>磁性位置传感器</v>
          </cell>
        </row>
        <row r="13410">
          <cell r="O13410" t="str">
            <v>SC2438SO</v>
          </cell>
          <cell r="P13410" t="str">
            <v>STC9906I</v>
          </cell>
          <cell r="Q13410" t="str">
            <v>磁性位置传感器</v>
          </cell>
        </row>
        <row r="13411">
          <cell r="O13411" t="str">
            <v>SC1245UA</v>
          </cell>
          <cell r="P13411" t="str">
            <v>STC1898AD</v>
          </cell>
          <cell r="Q13411" t="str">
            <v>磁性位置传感器</v>
          </cell>
        </row>
        <row r="13412">
          <cell r="O13412" t="str">
            <v>SC2413SO-N</v>
          </cell>
          <cell r="P13412" t="str">
            <v>STC9902D</v>
          </cell>
          <cell r="Q13412" t="str">
            <v>磁性位置传感器</v>
          </cell>
        </row>
        <row r="13413">
          <cell r="O13413" t="str">
            <v>SC2413SO-N</v>
          </cell>
          <cell r="P13413" t="str">
            <v>STC9902D</v>
          </cell>
          <cell r="Q13413" t="str">
            <v>磁性位置传感器</v>
          </cell>
        </row>
        <row r="13414">
          <cell r="O13414" t="str">
            <v>SC1138SO-N</v>
          </cell>
          <cell r="P13414" t="str">
            <v>STC1898AC</v>
          </cell>
          <cell r="Q13414" t="str">
            <v>磁性位置传感器</v>
          </cell>
        </row>
        <row r="13415">
          <cell r="O13415" t="str">
            <v>SC1138SO-N</v>
          </cell>
          <cell r="P13415" t="str">
            <v>STC1898AC</v>
          </cell>
          <cell r="Q13415" t="str">
            <v>磁性位置传感器</v>
          </cell>
        </row>
        <row r="13416">
          <cell r="O13416" t="str">
            <v>SC1134UA</v>
          </cell>
          <cell r="P13416" t="str">
            <v>STC1898AI</v>
          </cell>
          <cell r="Q13416" t="str">
            <v>磁性位置传感器</v>
          </cell>
        </row>
        <row r="13417">
          <cell r="O13417" t="str">
            <v>SC1134UA</v>
          </cell>
          <cell r="P13417" t="str">
            <v>STC1898AI</v>
          </cell>
          <cell r="Q13417" t="str">
            <v>磁性位置传感器</v>
          </cell>
        </row>
        <row r="13418">
          <cell r="O13418" t="str">
            <v>SC1134UA</v>
          </cell>
          <cell r="P13418" t="str">
            <v>STC1898AI</v>
          </cell>
          <cell r="Q13418" t="str">
            <v>磁性位置传感器</v>
          </cell>
        </row>
        <row r="13419">
          <cell r="O13419" t="str">
            <v>SC9641TS-P</v>
          </cell>
          <cell r="P13419" t="str">
            <v>STC9A001F</v>
          </cell>
          <cell r="Q13419" t="str">
            <v>速度传感器</v>
          </cell>
        </row>
        <row r="13420">
          <cell r="O13420" t="str">
            <v>SC60221-D-64</v>
          </cell>
          <cell r="P13420" t="str">
            <v>STC9D04C</v>
          </cell>
          <cell r="Q13420" t="str">
            <v>电机编码器</v>
          </cell>
        </row>
        <row r="13421">
          <cell r="O13421" t="str">
            <v>SC9632VB</v>
          </cell>
          <cell r="P13421" t="str">
            <v>STC9905E</v>
          </cell>
          <cell r="Q13421" t="str">
            <v>速度传感器</v>
          </cell>
        </row>
        <row r="13422">
          <cell r="O13422" t="str">
            <v>SC9632VB</v>
          </cell>
          <cell r="P13422" t="str">
            <v>STC9905E</v>
          </cell>
          <cell r="Q13422" t="str">
            <v>速度传感器</v>
          </cell>
        </row>
        <row r="13423">
          <cell r="O13423" t="str">
            <v>SC9632VB</v>
          </cell>
          <cell r="P13423" t="str">
            <v>STC9905E</v>
          </cell>
          <cell r="Q13423" t="str">
            <v>速度传感器</v>
          </cell>
        </row>
        <row r="13424">
          <cell r="O13424" t="str">
            <v>SC2442SO-N</v>
          </cell>
          <cell r="P13424" t="str">
            <v>STC9906P</v>
          </cell>
          <cell r="Q13424" t="str">
            <v>磁性位置传感器</v>
          </cell>
        </row>
        <row r="13425">
          <cell r="O13425" t="str">
            <v>SC2442SO-N</v>
          </cell>
          <cell r="P13425" t="str">
            <v>STC9906P</v>
          </cell>
          <cell r="Q13425" t="str">
            <v>磁性位置传感器</v>
          </cell>
        </row>
        <row r="13426">
          <cell r="O13426" t="str">
            <v>SC2442SO</v>
          </cell>
          <cell r="P13426" t="str">
            <v>STC9906R</v>
          </cell>
          <cell r="Q13426" t="str">
            <v>磁性位置传感器</v>
          </cell>
        </row>
        <row r="13427">
          <cell r="O13427" t="str">
            <v>SC9632VB</v>
          </cell>
          <cell r="P13427" t="str">
            <v>STC9905E</v>
          </cell>
          <cell r="Q13427" t="str">
            <v>速度传感器</v>
          </cell>
        </row>
        <row r="13428">
          <cell r="O13428" t="str">
            <v>SC2434SO</v>
          </cell>
          <cell r="P13428" t="str">
            <v>STC9906I</v>
          </cell>
          <cell r="Q13428" t="str">
            <v>磁性位置传感器</v>
          </cell>
        </row>
        <row r="13429">
          <cell r="O13429" t="str">
            <v>SC2402UA</v>
          </cell>
          <cell r="P13429" t="str">
            <v>STC9902J</v>
          </cell>
          <cell r="Q13429" t="str">
            <v>磁性位置传感器</v>
          </cell>
        </row>
        <row r="13430">
          <cell r="O13430" t="str">
            <v>SC2402SO-N</v>
          </cell>
          <cell r="P13430" t="str">
            <v>STC9902J</v>
          </cell>
          <cell r="Q13430" t="str">
            <v>磁性位置传感器</v>
          </cell>
        </row>
        <row r="13431">
          <cell r="O13431" t="str">
            <v>SC2402UA</v>
          </cell>
          <cell r="P13431" t="str">
            <v>STC9902J</v>
          </cell>
          <cell r="Q13431" t="str">
            <v>磁性位置传感器</v>
          </cell>
        </row>
        <row r="13432">
          <cell r="O13432" t="str">
            <v>SC2402UA</v>
          </cell>
          <cell r="P13432" t="str">
            <v>STC9902J</v>
          </cell>
          <cell r="Q13432" t="str">
            <v>磁性位置传感器</v>
          </cell>
        </row>
        <row r="13433">
          <cell r="O13433" t="str">
            <v>SC2402SO-N</v>
          </cell>
          <cell r="P13433" t="str">
            <v>STC9G002A</v>
          </cell>
          <cell r="Q13433" t="str">
            <v>磁性位置传感器</v>
          </cell>
        </row>
        <row r="13434">
          <cell r="O13434" t="str">
            <v>SC2402SO-N</v>
          </cell>
          <cell r="P13434" t="str">
            <v>STC9G002A</v>
          </cell>
          <cell r="Q13434" t="str">
            <v>磁性位置传感器</v>
          </cell>
        </row>
        <row r="13435">
          <cell r="O13435" t="str">
            <v>SC2434SO-N</v>
          </cell>
          <cell r="P13435" t="str">
            <v>STC9906I</v>
          </cell>
          <cell r="Q13435" t="str">
            <v>磁性位置传感器</v>
          </cell>
        </row>
        <row r="13436">
          <cell r="O13436" t="str">
            <v>SC2434SO-N</v>
          </cell>
          <cell r="P13436" t="str">
            <v>STC9906I</v>
          </cell>
          <cell r="Q13436" t="str">
            <v>磁性位置传感器</v>
          </cell>
        </row>
        <row r="13437">
          <cell r="O13437" t="str">
            <v>SC2434SO-N</v>
          </cell>
          <cell r="P13437" t="str">
            <v>STC9906I</v>
          </cell>
          <cell r="Q13437" t="str">
            <v>磁性位置传感器</v>
          </cell>
        </row>
        <row r="13438">
          <cell r="O13438" t="str">
            <v>SC2434SO-N</v>
          </cell>
          <cell r="P13438" t="str">
            <v>STC9906I</v>
          </cell>
          <cell r="Q13438" t="str">
            <v>磁性位置传感器</v>
          </cell>
        </row>
        <row r="13439">
          <cell r="O13439" t="str">
            <v>SC2434SO-N</v>
          </cell>
          <cell r="P13439" t="str">
            <v>STC9906I</v>
          </cell>
          <cell r="Q13439" t="str">
            <v>磁性位置传感器</v>
          </cell>
        </row>
        <row r="13440">
          <cell r="O13440" t="str">
            <v>SC2434SO-N</v>
          </cell>
          <cell r="P13440" t="str">
            <v>STC9906I</v>
          </cell>
          <cell r="Q13440" t="str">
            <v>磁性位置传感器</v>
          </cell>
        </row>
        <row r="13441">
          <cell r="O13441" t="str">
            <v>SC2402SO-N</v>
          </cell>
          <cell r="P13441" t="str">
            <v>STC9G002A</v>
          </cell>
          <cell r="Q13441" t="str">
            <v>磁性位置传感器</v>
          </cell>
        </row>
        <row r="13442">
          <cell r="O13442" t="str">
            <v>SC2242UA</v>
          </cell>
          <cell r="P13442" t="str">
            <v>STC9906H</v>
          </cell>
          <cell r="Q13442" t="str">
            <v>磁性位置传感器</v>
          </cell>
        </row>
        <row r="13443">
          <cell r="O13443" t="str">
            <v>SC2442SO-N</v>
          </cell>
          <cell r="P13443" t="str">
            <v>STC9906P</v>
          </cell>
          <cell r="Q13443" t="str">
            <v>磁性位置传感器</v>
          </cell>
        </row>
        <row r="13444">
          <cell r="O13444" t="str">
            <v>SC2442SO-N</v>
          </cell>
          <cell r="P13444" t="str">
            <v>STC9906P</v>
          </cell>
          <cell r="Q13444" t="str">
            <v>磁性位置传感器</v>
          </cell>
        </row>
        <row r="13445">
          <cell r="O13445" t="str">
            <v>ZH619A0</v>
          </cell>
          <cell r="P13445" t="str">
            <v>STC22303</v>
          </cell>
          <cell r="Q13445" t="str">
            <v>电机驱动</v>
          </cell>
        </row>
        <row r="13446">
          <cell r="O13446" t="str">
            <v>SC2402SO-N</v>
          </cell>
          <cell r="P13446" t="str">
            <v>STC9G002A</v>
          </cell>
          <cell r="Q13446" t="str">
            <v>磁性位置传感器</v>
          </cell>
        </row>
        <row r="13447">
          <cell r="O13447" t="str">
            <v>ZH639D0B-Mask</v>
          </cell>
          <cell r="P13447" t="str">
            <v xml:space="preserve"> </v>
          </cell>
          <cell r="Q13447" t="str">
            <v>电机驱动</v>
          </cell>
        </row>
        <row r="13448">
          <cell r="O13448" t="str">
            <v>ZH639D0B</v>
          </cell>
          <cell r="P13448" t="str">
            <v>ZH639D0B</v>
          </cell>
          <cell r="Q13448" t="str">
            <v>电机驱动</v>
          </cell>
        </row>
        <row r="13449">
          <cell r="O13449" t="str">
            <v>SC2442SO</v>
          </cell>
          <cell r="P13449" t="str">
            <v>STC9906R</v>
          </cell>
          <cell r="Q13449" t="str">
            <v>磁性位置传感器</v>
          </cell>
        </row>
        <row r="13450">
          <cell r="O13450" t="str">
            <v>SC2443SO</v>
          </cell>
          <cell r="P13450" t="str">
            <v>STC9906T</v>
          </cell>
          <cell r="Q13450" t="str">
            <v>磁性位置传感器</v>
          </cell>
        </row>
        <row r="13451">
          <cell r="O13451" t="str">
            <v>SC9314UA</v>
          </cell>
          <cell r="P13451" t="str">
            <v>STC9901AF</v>
          </cell>
          <cell r="Q13451" t="str">
            <v>速度传感器</v>
          </cell>
        </row>
        <row r="13452">
          <cell r="O13452" t="str">
            <v>SC9633VB</v>
          </cell>
          <cell r="P13452" t="str">
            <v>STC9905F</v>
          </cell>
          <cell r="Q13452" t="str">
            <v>速度传感器</v>
          </cell>
        </row>
        <row r="13453">
          <cell r="O13453" t="str">
            <v>SC2242SO</v>
          </cell>
          <cell r="P13453" t="str">
            <v>STC9906H</v>
          </cell>
          <cell r="Q13453" t="str">
            <v>磁性位置传感器</v>
          </cell>
        </row>
        <row r="13454">
          <cell r="O13454" t="str">
            <v>SC243XSO-100095</v>
          </cell>
          <cell r="P13454" t="str">
            <v>STC9906M</v>
          </cell>
          <cell r="Q13454" t="str">
            <v>磁性位置传感器</v>
          </cell>
        </row>
        <row r="13455">
          <cell r="O13455" t="str">
            <v>SC243XSO-100095</v>
          </cell>
          <cell r="P13455" t="str">
            <v>STC9906M</v>
          </cell>
          <cell r="Q13455" t="str">
            <v>磁性位置传感器</v>
          </cell>
        </row>
        <row r="13456">
          <cell r="O13456" t="str">
            <v>SC243XSO-100095</v>
          </cell>
          <cell r="P13456" t="str">
            <v>STC9906M</v>
          </cell>
          <cell r="Q13456" t="str">
            <v>磁性位置传感器</v>
          </cell>
        </row>
        <row r="13457">
          <cell r="O13457" t="str">
            <v>SC2462SO</v>
          </cell>
          <cell r="P13457" t="str">
            <v>STC9906J</v>
          </cell>
          <cell r="Q13457" t="str">
            <v>磁性位置传感器</v>
          </cell>
        </row>
        <row r="13458">
          <cell r="O13458" t="str">
            <v>SC2442SO-N</v>
          </cell>
          <cell r="P13458" t="str">
            <v>STC9906P</v>
          </cell>
          <cell r="Q13458" t="str">
            <v>磁性位置传感器</v>
          </cell>
        </row>
        <row r="13459">
          <cell r="O13459" t="str">
            <v>SC2442SO-N</v>
          </cell>
          <cell r="P13459" t="str">
            <v>STC9906P</v>
          </cell>
          <cell r="Q13459" t="str">
            <v>磁性位置传感器</v>
          </cell>
        </row>
        <row r="13460">
          <cell r="O13460" t="str">
            <v>SC2442SO-N</v>
          </cell>
          <cell r="P13460" t="str">
            <v>STC9906P</v>
          </cell>
          <cell r="Q13460" t="str">
            <v>磁性位置传感器</v>
          </cell>
        </row>
        <row r="13461">
          <cell r="O13461" t="str">
            <v>SC2442SO-N</v>
          </cell>
          <cell r="P13461" t="str">
            <v>STC9906P</v>
          </cell>
          <cell r="Q13461" t="str">
            <v>磁性位置传感器</v>
          </cell>
        </row>
        <row r="13462">
          <cell r="O13462" t="str">
            <v>SC2442SO-N</v>
          </cell>
          <cell r="P13462" t="str">
            <v>STC9906P</v>
          </cell>
          <cell r="Q13462" t="str">
            <v>磁性位置传感器</v>
          </cell>
        </row>
        <row r="13463">
          <cell r="O13463" t="str">
            <v>SC2442SO-N</v>
          </cell>
          <cell r="P13463" t="str">
            <v>STC9906P</v>
          </cell>
          <cell r="Q13463" t="str">
            <v>磁性位置传感器</v>
          </cell>
        </row>
        <row r="13464">
          <cell r="O13464" t="str">
            <v>SC4688SA</v>
          </cell>
          <cell r="P13464" t="str">
            <v>STC9D01C</v>
          </cell>
          <cell r="Q13464" t="str">
            <v>角度传感器</v>
          </cell>
        </row>
        <row r="13465">
          <cell r="O13465" t="str">
            <v>SC1134UA</v>
          </cell>
          <cell r="P13465" t="str">
            <v>STC1898AI</v>
          </cell>
          <cell r="Q13465" t="str">
            <v>磁性位置传感器</v>
          </cell>
        </row>
        <row r="13466">
          <cell r="O13466" t="str">
            <v>SC9621VB</v>
          </cell>
          <cell r="P13466" t="str">
            <v>STC9910C</v>
          </cell>
          <cell r="Q13466" t="str">
            <v>速度传感器</v>
          </cell>
        </row>
        <row r="13467">
          <cell r="O13467" t="str">
            <v>SC9632VB</v>
          </cell>
          <cell r="P13467" t="str">
            <v>STC9905E</v>
          </cell>
          <cell r="Q13467" t="str">
            <v>速度传感器</v>
          </cell>
        </row>
        <row r="13468">
          <cell r="O13468" t="str">
            <v>SC2498SO</v>
          </cell>
          <cell r="P13468" t="str">
            <v>SC9915C</v>
          </cell>
          <cell r="Q13468" t="str">
            <v>磁性位置传感器</v>
          </cell>
        </row>
        <row r="13469">
          <cell r="O13469" t="str">
            <v>SC2063SO</v>
          </cell>
          <cell r="P13469" t="str">
            <v>STC9G001C</v>
          </cell>
          <cell r="Q13469" t="str">
            <v>磁性位置传感器</v>
          </cell>
        </row>
        <row r="13470">
          <cell r="O13470" t="str">
            <v>SC2033SO-N</v>
          </cell>
          <cell r="P13470" t="str">
            <v>STC9G001D</v>
          </cell>
          <cell r="Q13470" t="str">
            <v>磁性位置传感器</v>
          </cell>
        </row>
        <row r="13471">
          <cell r="O13471" t="str">
            <v>SC2402SO-N</v>
          </cell>
          <cell r="P13471" t="str">
            <v>STC9902J</v>
          </cell>
          <cell r="Q13471" t="str">
            <v>磁性位置传感器</v>
          </cell>
        </row>
        <row r="13472">
          <cell r="O13472" t="str">
            <v>AS04</v>
          </cell>
          <cell r="P13472" t="str">
            <v>STC9A001F</v>
          </cell>
          <cell r="Q13472" t="str">
            <v>速度传感器</v>
          </cell>
        </row>
        <row r="13473">
          <cell r="O13473" t="str">
            <v>AS04</v>
          </cell>
          <cell r="P13473" t="str">
            <v>STC9A001F</v>
          </cell>
          <cell r="Q13473" t="str">
            <v>速度传感器</v>
          </cell>
        </row>
        <row r="13474">
          <cell r="O13474" t="str">
            <v>AS04</v>
          </cell>
          <cell r="P13474" t="str">
            <v>STC9A001F</v>
          </cell>
          <cell r="Q13474" t="str">
            <v>速度传感器</v>
          </cell>
        </row>
        <row r="13475">
          <cell r="O13475" t="str">
            <v>SC9642TS-E</v>
          </cell>
          <cell r="P13475" t="str">
            <v>STC9A001H</v>
          </cell>
          <cell r="Q13475" t="str">
            <v>速度传感器</v>
          </cell>
        </row>
        <row r="13476">
          <cell r="O13476" t="str">
            <v>SC2432SO-N</v>
          </cell>
          <cell r="P13476" t="str">
            <v>STC9906I</v>
          </cell>
          <cell r="Q13476" t="str">
            <v>磁性位置传感器</v>
          </cell>
        </row>
        <row r="13477">
          <cell r="O13477" t="str">
            <v>SC2402SO-N</v>
          </cell>
          <cell r="P13477" t="str">
            <v>STC9902J</v>
          </cell>
          <cell r="Q13477" t="str">
            <v>磁性位置传感器</v>
          </cell>
        </row>
        <row r="13478">
          <cell r="O13478" t="str">
            <v>SC4643VB-2.5S</v>
          </cell>
          <cell r="P13478" t="str">
            <v>STC9D03E</v>
          </cell>
          <cell r="Q13478" t="str">
            <v>电流传感器</v>
          </cell>
        </row>
        <row r="13479">
          <cell r="O13479" t="str">
            <v>SC9642TS</v>
          </cell>
          <cell r="P13479" t="str">
            <v>STC9A001G</v>
          </cell>
          <cell r="Q13479" t="str">
            <v>速度传感器</v>
          </cell>
        </row>
        <row r="13480">
          <cell r="O13480" t="str">
            <v>SC9642TS</v>
          </cell>
          <cell r="P13480" t="str">
            <v>STC9A001G</v>
          </cell>
          <cell r="Q13480" t="str">
            <v>速度传感器</v>
          </cell>
        </row>
        <row r="13481">
          <cell r="O13481" t="str">
            <v>SC9642TS</v>
          </cell>
          <cell r="P13481" t="str">
            <v>STC9A001G</v>
          </cell>
          <cell r="Q13481" t="str">
            <v>速度传感器</v>
          </cell>
        </row>
        <row r="13482">
          <cell r="O13482" t="str">
            <v>SC9642TS</v>
          </cell>
          <cell r="P13482" t="str">
            <v>STC9A001G</v>
          </cell>
          <cell r="Q13482" t="str">
            <v>速度传感器</v>
          </cell>
        </row>
        <row r="13483">
          <cell r="O13483" t="str">
            <v>SC9642TS</v>
          </cell>
          <cell r="P13483" t="str">
            <v>STC9A001G</v>
          </cell>
          <cell r="Q13483" t="str">
            <v>速度传感器</v>
          </cell>
        </row>
        <row r="13484">
          <cell r="O13484" t="str">
            <v>SC1138SO-N</v>
          </cell>
          <cell r="P13484" t="str">
            <v>STC1898AC</v>
          </cell>
          <cell r="Q13484" t="str">
            <v>磁性位置传感器</v>
          </cell>
        </row>
        <row r="13485">
          <cell r="O13485" t="str">
            <v>SC1138SO-N</v>
          </cell>
          <cell r="P13485" t="str">
            <v>STC1898AC</v>
          </cell>
          <cell r="Q13485" t="str">
            <v>磁性位置传感器</v>
          </cell>
        </row>
        <row r="13486">
          <cell r="O13486" t="str">
            <v>SC60340</v>
          </cell>
          <cell r="P13486" t="str">
            <v>STC9D05C</v>
          </cell>
          <cell r="Q13486" t="str">
            <v>电机编码器</v>
          </cell>
        </row>
        <row r="13487">
          <cell r="O13487" t="str">
            <v>SC1645A2</v>
          </cell>
          <cell r="P13487" t="str">
            <v>STC2899AE</v>
          </cell>
          <cell r="Q13487" t="str">
            <v>磁性位置传感器</v>
          </cell>
        </row>
        <row r="13488">
          <cell r="O13488" t="str">
            <v>SC1645A2</v>
          </cell>
          <cell r="P13488" t="str">
            <v>STC2899AE</v>
          </cell>
          <cell r="Q13488" t="str">
            <v>磁性位置传感器</v>
          </cell>
        </row>
        <row r="13489">
          <cell r="O13489" t="str">
            <v>SC1645A2</v>
          </cell>
          <cell r="P13489" t="str">
            <v>STC2899AE</v>
          </cell>
          <cell r="Q13489" t="str">
            <v>磁性位置传感器</v>
          </cell>
        </row>
        <row r="13490">
          <cell r="O13490" t="str">
            <v>SC1645A2</v>
          </cell>
          <cell r="P13490" t="str">
            <v>STC2899AE</v>
          </cell>
          <cell r="Q13490" t="str">
            <v>磁性位置传感器</v>
          </cell>
        </row>
        <row r="13491">
          <cell r="O13491" t="str">
            <v>SC1245UA</v>
          </cell>
          <cell r="P13491" t="str">
            <v>STC1898AD</v>
          </cell>
          <cell r="Q13491" t="str">
            <v>磁性位置传感器</v>
          </cell>
        </row>
        <row r="13492">
          <cell r="O13492" t="str">
            <v>SC1245UA</v>
          </cell>
          <cell r="P13492" t="str">
            <v>STC1898AD</v>
          </cell>
          <cell r="Q13492" t="str">
            <v>磁性位置传感器</v>
          </cell>
        </row>
        <row r="13493">
          <cell r="O13493" t="str">
            <v>SC1245UA</v>
          </cell>
          <cell r="P13493" t="str">
            <v>STC1898AD</v>
          </cell>
          <cell r="Q13493" t="str">
            <v>磁性位置传感器</v>
          </cell>
        </row>
        <row r="13494">
          <cell r="O13494" t="str">
            <v>SC1245UA</v>
          </cell>
          <cell r="P13494" t="str">
            <v>STC1898AD</v>
          </cell>
          <cell r="Q13494" t="str">
            <v>磁性位置传感器</v>
          </cell>
        </row>
        <row r="13495">
          <cell r="O13495" t="str">
            <v>SC2448SO</v>
          </cell>
          <cell r="P13495" t="str">
            <v>STC9906S</v>
          </cell>
          <cell r="Q13495" t="str">
            <v>磁性位置传感器</v>
          </cell>
        </row>
        <row r="13496">
          <cell r="O13496" t="str">
            <v>SC1245SO-N</v>
          </cell>
          <cell r="P13496" t="str">
            <v>STC1898AD</v>
          </cell>
          <cell r="Q13496" t="str">
            <v>磁性位置传感器</v>
          </cell>
        </row>
        <row r="13497">
          <cell r="O13497" t="str">
            <v>SC2064SO</v>
          </cell>
          <cell r="P13497" t="str">
            <v>STC9G001C</v>
          </cell>
          <cell r="Q13497" t="str">
            <v>磁性位置传感器</v>
          </cell>
        </row>
        <row r="13498">
          <cell r="O13498" t="str">
            <v>SC4688SA</v>
          </cell>
          <cell r="P13498" t="str">
            <v>STC9D01C</v>
          </cell>
          <cell r="Q13498" t="str">
            <v>角度传感器</v>
          </cell>
        </row>
        <row r="13499">
          <cell r="O13499" t="str">
            <v>2100HBL</v>
          </cell>
          <cell r="P13499" t="str">
            <v>STC9D03E</v>
          </cell>
          <cell r="Q13499" t="str">
            <v>电流传感器</v>
          </cell>
        </row>
        <row r="13500">
          <cell r="O13500" t="str">
            <v>2100HBL</v>
          </cell>
          <cell r="P13500" t="str">
            <v>STC9D03E</v>
          </cell>
          <cell r="Q13500" t="str">
            <v>电流传感器</v>
          </cell>
        </row>
        <row r="13501">
          <cell r="O13501" t="str">
            <v>2100HBL</v>
          </cell>
          <cell r="P13501" t="str">
            <v>STC9D03E</v>
          </cell>
          <cell r="Q13501" t="str">
            <v>电流传感器</v>
          </cell>
        </row>
        <row r="13502">
          <cell r="O13502" t="str">
            <v>2100HBL</v>
          </cell>
          <cell r="P13502" t="str">
            <v>STC9D03E</v>
          </cell>
          <cell r="Q13502" t="str">
            <v>电流传感器</v>
          </cell>
        </row>
        <row r="13503">
          <cell r="O13503" t="str">
            <v>SC2402SO-N</v>
          </cell>
          <cell r="P13503" t="str">
            <v>STC9G002A</v>
          </cell>
          <cell r="Q13503" t="str">
            <v>磁性位置传感器</v>
          </cell>
        </row>
        <row r="13504">
          <cell r="O13504" t="str">
            <v>SC2402SO-N</v>
          </cell>
          <cell r="P13504" t="str">
            <v>STC9G002A</v>
          </cell>
          <cell r="Q13504" t="str">
            <v>磁性位置传感器</v>
          </cell>
        </row>
        <row r="13505">
          <cell r="O13505" t="str">
            <v>SC4643VB-A</v>
          </cell>
          <cell r="P13505" t="str">
            <v>STC9D03E</v>
          </cell>
          <cell r="Q13505" t="str">
            <v>电流传感器</v>
          </cell>
        </row>
        <row r="13506">
          <cell r="O13506" t="str">
            <v>SC9314UA</v>
          </cell>
          <cell r="P13506" t="str">
            <v>STC9901AF</v>
          </cell>
          <cell r="Q13506" t="str">
            <v>速度传感器</v>
          </cell>
        </row>
        <row r="13507">
          <cell r="O13507" t="str">
            <v>SC1445A1</v>
          </cell>
          <cell r="P13507" t="str">
            <v>STC2899AB</v>
          </cell>
          <cell r="Q13507" t="str">
            <v>磁性位置传感器</v>
          </cell>
        </row>
        <row r="13508">
          <cell r="O13508" t="str">
            <v>SC2498UA-N</v>
          </cell>
          <cell r="P13508" t="str">
            <v>SC9915C</v>
          </cell>
          <cell r="Q13508" t="str">
            <v>磁性位置传感器</v>
          </cell>
        </row>
        <row r="13509">
          <cell r="O13509" t="str">
            <v>SC2498UA-N</v>
          </cell>
          <cell r="P13509" t="str">
            <v>SC9915C</v>
          </cell>
          <cell r="Q13509" t="str">
            <v>磁性位置传感器</v>
          </cell>
        </row>
        <row r="13510">
          <cell r="O13510" t="str">
            <v>SC9641TS</v>
          </cell>
          <cell r="P13510" t="str">
            <v>STC9910BN</v>
          </cell>
          <cell r="Q13510" t="str">
            <v>速度传感器</v>
          </cell>
        </row>
        <row r="13511">
          <cell r="O13511" t="str">
            <v>SC2442SO-N</v>
          </cell>
          <cell r="P13511" t="str">
            <v>STC9906P</v>
          </cell>
          <cell r="Q13511" t="str">
            <v>磁性位置传感器</v>
          </cell>
        </row>
        <row r="13512">
          <cell r="O13512" t="str">
            <v>SC2442SO-N</v>
          </cell>
          <cell r="P13512" t="str">
            <v>STC9906P</v>
          </cell>
          <cell r="Q13512" t="str">
            <v>磁性位置传感器</v>
          </cell>
        </row>
        <row r="13513">
          <cell r="O13513" t="str">
            <v>SC2442SO-N</v>
          </cell>
          <cell r="P13513" t="str">
            <v>STC9906P</v>
          </cell>
          <cell r="Q13513" t="str">
            <v>磁性位置传感器</v>
          </cell>
        </row>
        <row r="13514">
          <cell r="O13514" t="str">
            <v>SC2442SO-N</v>
          </cell>
          <cell r="P13514" t="str">
            <v>STC9906P</v>
          </cell>
          <cell r="Q13514" t="str">
            <v>磁性位置传感器</v>
          </cell>
        </row>
        <row r="13515">
          <cell r="O13515" t="str">
            <v>SC2442SO-N</v>
          </cell>
          <cell r="P13515" t="str">
            <v>STC9906P</v>
          </cell>
          <cell r="Q13515" t="str">
            <v>磁性位置传感器</v>
          </cell>
        </row>
        <row r="13516">
          <cell r="O13516" t="str">
            <v>SC9642TS-E</v>
          </cell>
          <cell r="P13516" t="str">
            <v>STC9A001H</v>
          </cell>
          <cell r="Q13516" t="str">
            <v>速度传感器</v>
          </cell>
        </row>
        <row r="13517">
          <cell r="O13517" t="str">
            <v>SC9641TS</v>
          </cell>
          <cell r="P13517" t="str">
            <v>STC9910BN</v>
          </cell>
          <cell r="Q13517" t="str">
            <v>速度传感器</v>
          </cell>
        </row>
        <row r="13518">
          <cell r="O13518" t="str">
            <v>SC9675IM-P-HRF00</v>
          </cell>
          <cell r="P13518" t="str">
            <v>STC9A002B</v>
          </cell>
          <cell r="Q13518" t="str">
            <v>速度传感器</v>
          </cell>
        </row>
        <row r="13519">
          <cell r="O13519" t="str">
            <v>SC9642TS</v>
          </cell>
          <cell r="P13519" t="str">
            <v>STC9A001G</v>
          </cell>
          <cell r="Q13519" t="str">
            <v>速度传感器</v>
          </cell>
        </row>
        <row r="13520">
          <cell r="O13520" t="str">
            <v>SC1134SO-N</v>
          </cell>
          <cell r="P13520" t="str">
            <v>STC1898AI</v>
          </cell>
          <cell r="Q13520" t="str">
            <v>磁性位置传感器</v>
          </cell>
        </row>
        <row r="13521">
          <cell r="O13521" t="str">
            <v>SC2063SO</v>
          </cell>
          <cell r="P13521" t="str">
            <v>STC9G001C</v>
          </cell>
          <cell r="Q13521" t="str">
            <v>磁性位置传感器</v>
          </cell>
        </row>
        <row r="13522">
          <cell r="O13522" t="str">
            <v>SC2442UA</v>
          </cell>
          <cell r="P13522" t="str">
            <v>STC9906P</v>
          </cell>
          <cell r="Q13522" t="str">
            <v>磁性位置传感器</v>
          </cell>
        </row>
        <row r="13523">
          <cell r="O13523" t="str">
            <v>SC1245A1</v>
          </cell>
          <cell r="P13523" t="str">
            <v>STC1898AD</v>
          </cell>
          <cell r="Q13523" t="str">
            <v>磁性位置传感器</v>
          </cell>
        </row>
        <row r="13524">
          <cell r="O13524" t="str">
            <v>SC2448SO</v>
          </cell>
          <cell r="P13524" t="str">
            <v>STC9906S</v>
          </cell>
          <cell r="Q13524" t="str">
            <v>磁性位置传感器</v>
          </cell>
        </row>
        <row r="13525">
          <cell r="O13525" t="str">
            <v>SC2448SO</v>
          </cell>
          <cell r="P13525" t="str">
            <v>STC9906S</v>
          </cell>
          <cell r="Q13525" t="str">
            <v>磁性位置传感器</v>
          </cell>
        </row>
        <row r="13526">
          <cell r="O13526" t="str">
            <v>SC2448SO</v>
          </cell>
          <cell r="P13526" t="str">
            <v>STC9906S</v>
          </cell>
          <cell r="Q13526" t="str">
            <v>磁性位置传感器</v>
          </cell>
        </row>
        <row r="13527">
          <cell r="O13527" t="str">
            <v>SC1134SO-N</v>
          </cell>
          <cell r="P13527" t="str">
            <v>STC1898AI</v>
          </cell>
          <cell r="Q13527" t="str">
            <v>磁性位置传感器</v>
          </cell>
        </row>
        <row r="13528">
          <cell r="O13528" t="str">
            <v>SC1134SO-N</v>
          </cell>
          <cell r="P13528" t="str">
            <v>STC1898AI</v>
          </cell>
          <cell r="Q13528" t="str">
            <v>磁性位置传感器</v>
          </cell>
        </row>
        <row r="13529">
          <cell r="O13529" t="str">
            <v>SC1134SO-N</v>
          </cell>
          <cell r="P13529" t="str">
            <v>STC1898AI</v>
          </cell>
          <cell r="Q13529" t="str">
            <v>磁性位置传感器</v>
          </cell>
        </row>
        <row r="13530">
          <cell r="O13530" t="str">
            <v>SC2242SO</v>
          </cell>
          <cell r="P13530" t="str">
            <v>STC9906H</v>
          </cell>
          <cell r="Q13530" t="str">
            <v>磁性位置传感器</v>
          </cell>
        </row>
        <row r="13531">
          <cell r="O13531" t="str">
            <v>SC2402UA</v>
          </cell>
          <cell r="P13531" t="str">
            <v>STC9902J</v>
          </cell>
          <cell r="Q13531" t="str">
            <v>磁性位置传感器</v>
          </cell>
        </row>
        <row r="13532">
          <cell r="O13532" t="str">
            <v>SC9314UA</v>
          </cell>
          <cell r="P13532" t="str">
            <v>STC9901AF</v>
          </cell>
          <cell r="Q13532" t="str">
            <v>速度传感器</v>
          </cell>
        </row>
        <row r="13533">
          <cell r="O13533" t="str">
            <v>SC9314UA</v>
          </cell>
          <cell r="P13533" t="str">
            <v>STC9901AF</v>
          </cell>
          <cell r="Q13533" t="str">
            <v>速度传感器</v>
          </cell>
        </row>
        <row r="13534">
          <cell r="O13534" t="str">
            <v>SC2442SO-N</v>
          </cell>
          <cell r="P13534" t="str">
            <v>STC9906P</v>
          </cell>
          <cell r="Q13534" t="str">
            <v>磁性位置传感器</v>
          </cell>
        </row>
        <row r="13535">
          <cell r="O13535" t="str">
            <v>SC2464SO</v>
          </cell>
          <cell r="P13535" t="str">
            <v>STC9906J</v>
          </cell>
          <cell r="Q13535" t="str">
            <v>磁性位置传感器</v>
          </cell>
        </row>
        <row r="13536">
          <cell r="O13536" t="str">
            <v>SC9641TS-PC</v>
          </cell>
          <cell r="P13536" t="str">
            <v>STC9A001I</v>
          </cell>
          <cell r="Q13536" t="str">
            <v>速度传感器</v>
          </cell>
        </row>
        <row r="13537">
          <cell r="O13537" t="str">
            <v>SC9641TS-PC</v>
          </cell>
          <cell r="P13537" t="str">
            <v>STC9A001I</v>
          </cell>
          <cell r="Q13537" t="str">
            <v>速度传感器</v>
          </cell>
        </row>
        <row r="13538">
          <cell r="O13538" t="str">
            <v>SC9641TS-PC</v>
          </cell>
          <cell r="P13538" t="str">
            <v>STC9A001I</v>
          </cell>
          <cell r="Q13538" t="str">
            <v>速度传感器</v>
          </cell>
        </row>
        <row r="13539">
          <cell r="O13539" t="str">
            <v>SC9641TS-PC</v>
          </cell>
          <cell r="P13539" t="str">
            <v>STC9A001I</v>
          </cell>
          <cell r="Q13539" t="str">
            <v>速度传感器</v>
          </cell>
        </row>
        <row r="13540">
          <cell r="O13540" t="str">
            <v>SC9641TS-PC</v>
          </cell>
          <cell r="P13540" t="str">
            <v>STC9A001I</v>
          </cell>
          <cell r="Q13540" t="str">
            <v>速度传感器</v>
          </cell>
        </row>
        <row r="13541">
          <cell r="O13541" t="str">
            <v>SC9641TS-PC</v>
          </cell>
          <cell r="P13541" t="str">
            <v>STC9A001I</v>
          </cell>
          <cell r="Q13541" t="str">
            <v>速度传感器</v>
          </cell>
        </row>
        <row r="13542">
          <cell r="O13542" t="str">
            <v>SC2448SO</v>
          </cell>
          <cell r="P13542" t="str">
            <v>STC9906S</v>
          </cell>
          <cell r="Q13542" t="str">
            <v>磁性位置传感器</v>
          </cell>
        </row>
        <row r="13543">
          <cell r="O13543" t="str">
            <v>SC2448SO</v>
          </cell>
          <cell r="P13543" t="str">
            <v>STC9906S</v>
          </cell>
          <cell r="Q13543" t="str">
            <v>磁性位置传感器</v>
          </cell>
        </row>
        <row r="13544">
          <cell r="O13544" t="str">
            <v>SC9641TS</v>
          </cell>
          <cell r="P13544" t="str">
            <v>STC9910BN</v>
          </cell>
          <cell r="Q13544" t="str">
            <v>速度传感器</v>
          </cell>
        </row>
        <row r="13545">
          <cell r="O13545" t="str">
            <v>SC9641TS</v>
          </cell>
          <cell r="P13545" t="str">
            <v>STC9910BN</v>
          </cell>
          <cell r="Q13545" t="str">
            <v>速度传感器</v>
          </cell>
        </row>
        <row r="13546">
          <cell r="O13546" t="str">
            <v>SC9641TS</v>
          </cell>
          <cell r="P13546" t="str">
            <v>STC9910BN</v>
          </cell>
          <cell r="Q13546" t="str">
            <v>速度传感器</v>
          </cell>
        </row>
        <row r="13547">
          <cell r="O13547" t="str">
            <v>SC2442SO-N</v>
          </cell>
          <cell r="P13547" t="str">
            <v>STC9906P</v>
          </cell>
          <cell r="Q13547" t="str">
            <v>磁性位置传感器</v>
          </cell>
        </row>
        <row r="13548">
          <cell r="O13548" t="str">
            <v>SC1245UA</v>
          </cell>
          <cell r="P13548" t="str">
            <v>STC1898AD</v>
          </cell>
          <cell r="Q13548" t="str">
            <v>磁性位置传感器</v>
          </cell>
        </row>
        <row r="13549">
          <cell r="O13549" t="str">
            <v>SC1245UA</v>
          </cell>
          <cell r="P13549" t="str">
            <v>STC1898AD</v>
          </cell>
          <cell r="Q13549" t="str">
            <v>磁性位置传感器</v>
          </cell>
        </row>
        <row r="13550">
          <cell r="O13550" t="str">
            <v>SC1245UA</v>
          </cell>
          <cell r="P13550" t="str">
            <v>STC1898AD</v>
          </cell>
          <cell r="Q13550" t="str">
            <v>磁性位置传感器</v>
          </cell>
        </row>
        <row r="13551">
          <cell r="O13551" t="str">
            <v>SC1245UA</v>
          </cell>
          <cell r="P13551" t="str">
            <v>STC1898AD</v>
          </cell>
          <cell r="Q13551" t="str">
            <v>磁性位置传感器</v>
          </cell>
        </row>
        <row r="13552">
          <cell r="O13552" t="str">
            <v>SC1445A1</v>
          </cell>
          <cell r="P13552" t="str">
            <v>STC2899AB</v>
          </cell>
          <cell r="Q13552" t="str">
            <v>磁性位置传感器</v>
          </cell>
        </row>
        <row r="13553">
          <cell r="O13553" t="str">
            <v>SC9632VB</v>
          </cell>
          <cell r="P13553" t="str">
            <v>STC9905E</v>
          </cell>
          <cell r="Q13553" t="str">
            <v>速度传感器</v>
          </cell>
        </row>
        <row r="13554">
          <cell r="O13554" t="str">
            <v>SC1134UA</v>
          </cell>
          <cell r="P13554" t="str">
            <v>STC1898AI</v>
          </cell>
          <cell r="Q13554" t="str">
            <v>磁性位置传感器</v>
          </cell>
        </row>
        <row r="13555">
          <cell r="O13555" t="str">
            <v>SC1134UA</v>
          </cell>
          <cell r="P13555" t="str">
            <v>STC1898AI</v>
          </cell>
          <cell r="Q13555" t="str">
            <v>磁性位置传感器</v>
          </cell>
        </row>
        <row r="13556">
          <cell r="O13556" t="str">
            <v>SC2432SO</v>
          </cell>
          <cell r="P13556" t="str">
            <v>STC9906I</v>
          </cell>
          <cell r="Q13556" t="str">
            <v>磁性位置传感器</v>
          </cell>
        </row>
        <row r="13557">
          <cell r="O13557" t="str">
            <v>SC1139UA</v>
          </cell>
          <cell r="P13557" t="str">
            <v>STC1002AF</v>
          </cell>
          <cell r="Q13557" t="str">
            <v>磁性位置传感器</v>
          </cell>
        </row>
        <row r="13558">
          <cell r="O13558" t="str">
            <v>SC1139UA</v>
          </cell>
          <cell r="P13558" t="str">
            <v>STC1002AF</v>
          </cell>
          <cell r="Q13558" t="str">
            <v>磁性位置传感器</v>
          </cell>
        </row>
        <row r="13559">
          <cell r="O13559" t="str">
            <v>SC1134UA</v>
          </cell>
          <cell r="P13559" t="str">
            <v>STC1898AI</v>
          </cell>
          <cell r="Q13559" t="str">
            <v>磁性位置传感器</v>
          </cell>
        </row>
        <row r="13560">
          <cell r="O13560" t="str">
            <v>SC2402SO-N</v>
          </cell>
          <cell r="P13560" t="str">
            <v>STC9G002A</v>
          </cell>
          <cell r="Q13560" t="str">
            <v>磁性位置传感器</v>
          </cell>
        </row>
        <row r="13561">
          <cell r="O13561" t="str">
            <v>SYLMV358BPA1R</v>
          </cell>
          <cell r="P13561" t="str">
            <v>STC9G003B</v>
          </cell>
          <cell r="Q13561" t="str">
            <v>其他数模混合</v>
          </cell>
        </row>
        <row r="13562">
          <cell r="O13562" t="str">
            <v>SYLMV358BPA1R</v>
          </cell>
          <cell r="P13562" t="str">
            <v>STC9G003B</v>
          </cell>
          <cell r="Q13562" t="str">
            <v>其他数模混合</v>
          </cell>
        </row>
        <row r="13563">
          <cell r="O13563" t="str">
            <v>SC9642TS-E</v>
          </cell>
          <cell r="P13563" t="str">
            <v>STC9A001H</v>
          </cell>
          <cell r="Q13563" t="str">
            <v>速度传感器</v>
          </cell>
        </row>
        <row r="13564">
          <cell r="O13564" t="str">
            <v>SC9632VB</v>
          </cell>
          <cell r="P13564" t="str">
            <v>STC9905E</v>
          </cell>
          <cell r="Q13564" t="str">
            <v>速度传感器</v>
          </cell>
        </row>
        <row r="13565">
          <cell r="O13565" t="str">
            <v>SC2402SO-N</v>
          </cell>
          <cell r="P13565" t="str">
            <v>STC9902J</v>
          </cell>
          <cell r="Q13565" t="str">
            <v>磁性位置传感器</v>
          </cell>
        </row>
        <row r="13566">
          <cell r="O13566" t="str">
            <v>SC2402SO-N</v>
          </cell>
          <cell r="P13566" t="str">
            <v>STC9G002A</v>
          </cell>
          <cell r="Q13566" t="str">
            <v>磁性位置传感器</v>
          </cell>
        </row>
        <row r="13567">
          <cell r="O13567" t="str">
            <v>SC2402SO-N</v>
          </cell>
          <cell r="P13567" t="str">
            <v>STC9902J</v>
          </cell>
          <cell r="Q13567" t="str">
            <v>磁性位置传感器</v>
          </cell>
        </row>
        <row r="13568">
          <cell r="O13568" t="str">
            <v>ZH619A0</v>
          </cell>
          <cell r="P13568" t="str">
            <v>S22302A</v>
          </cell>
          <cell r="Q13568" t="str">
            <v>电机驱动</v>
          </cell>
        </row>
        <row r="13569">
          <cell r="O13569" t="str">
            <v>SC2402SO-N</v>
          </cell>
          <cell r="P13569" t="str">
            <v>STC9902J</v>
          </cell>
          <cell r="Q13569" t="str">
            <v>磁性位置传感器</v>
          </cell>
        </row>
        <row r="13570">
          <cell r="O13570" t="str">
            <v>SC9641TS-P</v>
          </cell>
          <cell r="P13570" t="str">
            <v>STC9A001F</v>
          </cell>
          <cell r="Q13570" t="str">
            <v>速度传感器</v>
          </cell>
        </row>
        <row r="13571">
          <cell r="O13571" t="str">
            <v>SC6022X编程器</v>
          </cell>
          <cell r="P13571" t="str">
            <v xml:space="preserve"> </v>
          </cell>
          <cell r="Q13571" t="str">
            <v>电机编码器</v>
          </cell>
        </row>
        <row r="13572">
          <cell r="O13572" t="str">
            <v>SC9642TS</v>
          </cell>
          <cell r="P13572" t="str">
            <v>STC9A001G</v>
          </cell>
          <cell r="Q13572" t="str">
            <v>速度传感器</v>
          </cell>
        </row>
        <row r="13573">
          <cell r="O13573" t="str">
            <v>SC9642TS</v>
          </cell>
          <cell r="P13573" t="str">
            <v>STC9A001G</v>
          </cell>
          <cell r="Q13573" t="str">
            <v>速度传感器</v>
          </cell>
        </row>
        <row r="13574">
          <cell r="O13574" t="str">
            <v>SC9642TS</v>
          </cell>
          <cell r="P13574" t="str">
            <v>STC9A001G</v>
          </cell>
          <cell r="Q13574" t="str">
            <v>速度传感器</v>
          </cell>
        </row>
        <row r="13575">
          <cell r="O13575" t="str">
            <v>SC9642TS</v>
          </cell>
          <cell r="P13575" t="str">
            <v>STC9A001G</v>
          </cell>
          <cell r="Q13575" t="str">
            <v>速度传感器</v>
          </cell>
        </row>
        <row r="13576">
          <cell r="O13576" t="str">
            <v>SC9642TS</v>
          </cell>
          <cell r="P13576" t="str">
            <v>STC9A001G</v>
          </cell>
          <cell r="Q13576" t="str">
            <v>速度传感器</v>
          </cell>
        </row>
        <row r="13577">
          <cell r="O13577" t="str">
            <v>SC9642TS</v>
          </cell>
          <cell r="P13577" t="str">
            <v>STC9A001G</v>
          </cell>
          <cell r="Q13577" t="str">
            <v>速度传感器</v>
          </cell>
        </row>
        <row r="13578">
          <cell r="O13578" t="str">
            <v>SC9642TS</v>
          </cell>
          <cell r="P13578" t="str">
            <v>STC9A001G</v>
          </cell>
          <cell r="Q13578" t="str">
            <v>速度传感器</v>
          </cell>
        </row>
        <row r="13579">
          <cell r="O13579" t="str">
            <v>SC9642TS</v>
          </cell>
          <cell r="P13579" t="str">
            <v>STC9A001G</v>
          </cell>
          <cell r="Q13579" t="str">
            <v>速度传感器</v>
          </cell>
        </row>
        <row r="13580">
          <cell r="O13580" t="str">
            <v>SC9642TS</v>
          </cell>
          <cell r="P13580" t="str">
            <v>STC9A001G</v>
          </cell>
          <cell r="Q13580" t="str">
            <v>速度传感器</v>
          </cell>
        </row>
        <row r="13581">
          <cell r="O13581" t="str">
            <v>SC9642TS</v>
          </cell>
          <cell r="P13581" t="str">
            <v>STC9A001G</v>
          </cell>
          <cell r="Q13581" t="str">
            <v>速度传感器</v>
          </cell>
        </row>
        <row r="13582">
          <cell r="O13582" t="str">
            <v>SC9642TS</v>
          </cell>
          <cell r="P13582" t="str">
            <v>STC9A001G</v>
          </cell>
          <cell r="Q13582" t="str">
            <v>速度传感器</v>
          </cell>
        </row>
        <row r="13583">
          <cell r="O13583" t="str">
            <v>SC9642TS</v>
          </cell>
          <cell r="P13583" t="str">
            <v>STC9A001G</v>
          </cell>
          <cell r="Q13583" t="str">
            <v>速度传感器</v>
          </cell>
        </row>
        <row r="13584">
          <cell r="O13584" t="str">
            <v>SC9642TS</v>
          </cell>
          <cell r="P13584" t="str">
            <v>STC9A001G</v>
          </cell>
          <cell r="Q13584" t="str">
            <v>速度传感器</v>
          </cell>
        </row>
        <row r="13585">
          <cell r="O13585" t="str">
            <v>SC9642TS</v>
          </cell>
          <cell r="P13585" t="str">
            <v>STC9A001G</v>
          </cell>
          <cell r="Q13585" t="str">
            <v>速度传感器</v>
          </cell>
        </row>
        <row r="13586">
          <cell r="O13586" t="str">
            <v>SC9642TS</v>
          </cell>
          <cell r="P13586" t="str">
            <v>STC9A001G</v>
          </cell>
          <cell r="Q13586" t="str">
            <v>速度传感器</v>
          </cell>
        </row>
        <row r="13587">
          <cell r="O13587" t="str">
            <v>SC9642TS</v>
          </cell>
          <cell r="P13587" t="str">
            <v>STC9A001G</v>
          </cell>
          <cell r="Q13587" t="str">
            <v>速度传感器</v>
          </cell>
        </row>
        <row r="13588">
          <cell r="O13588" t="str">
            <v>SC69401D</v>
          </cell>
          <cell r="P13588" t="str">
            <v>STC9H002D</v>
          </cell>
          <cell r="Q13588" t="str">
            <v>角度传感器</v>
          </cell>
        </row>
        <row r="13589">
          <cell r="O13589" t="str">
            <v>SC69401D</v>
          </cell>
          <cell r="P13589" t="str">
            <v>STC9H002D</v>
          </cell>
          <cell r="Q13589" t="str">
            <v>角度传感器</v>
          </cell>
        </row>
        <row r="13590">
          <cell r="O13590" t="str">
            <v>SC9633VB</v>
          </cell>
          <cell r="P13590" t="str">
            <v>STC9905F</v>
          </cell>
          <cell r="Q13590" t="str">
            <v>速度传感器</v>
          </cell>
        </row>
        <row r="13591">
          <cell r="O13591" t="str">
            <v>SC1245SO-N</v>
          </cell>
          <cell r="P13591" t="str">
            <v>STC1898AD</v>
          </cell>
          <cell r="Q13591" t="str">
            <v>磁性位置传感器</v>
          </cell>
        </row>
        <row r="13592">
          <cell r="O13592" t="str">
            <v>SC2442SO</v>
          </cell>
          <cell r="P13592" t="str">
            <v>STC9906R</v>
          </cell>
          <cell r="Q13592" t="str">
            <v>磁性位置传感器</v>
          </cell>
        </row>
        <row r="13593">
          <cell r="O13593" t="str">
            <v>SC2462SO</v>
          </cell>
          <cell r="P13593" t="str">
            <v>STC9906J</v>
          </cell>
          <cell r="Q13593" t="str">
            <v>磁性位置传感器</v>
          </cell>
        </row>
        <row r="13594">
          <cell r="O13594" t="str">
            <v>SC2462SO</v>
          </cell>
          <cell r="P13594" t="str">
            <v>STC9906J</v>
          </cell>
          <cell r="Q13594" t="str">
            <v>磁性位置传感器</v>
          </cell>
        </row>
        <row r="13595">
          <cell r="O13595" t="str">
            <v>SC2442UA</v>
          </cell>
          <cell r="P13595" t="str">
            <v>STC9906P</v>
          </cell>
          <cell r="Q13595" t="str">
            <v>磁性位置传感器</v>
          </cell>
        </row>
        <row r="13596">
          <cell r="O13596" t="str">
            <v>SC2242SO</v>
          </cell>
          <cell r="P13596" t="str">
            <v>STC9906H</v>
          </cell>
          <cell r="Q13596" t="str">
            <v>磁性位置传感器</v>
          </cell>
        </row>
        <row r="13597">
          <cell r="O13597" t="str">
            <v>SC2242SO</v>
          </cell>
          <cell r="P13597" t="str">
            <v>STC9906H</v>
          </cell>
          <cell r="Q13597" t="str">
            <v>磁性位置传感器</v>
          </cell>
        </row>
        <row r="13598">
          <cell r="O13598" t="str">
            <v>SC2464UA</v>
          </cell>
          <cell r="P13598" t="str">
            <v>STC9906J</v>
          </cell>
          <cell r="Q13598" t="str">
            <v>磁性位置传感器</v>
          </cell>
        </row>
        <row r="13599">
          <cell r="O13599" t="str">
            <v>SC2464UA</v>
          </cell>
          <cell r="P13599" t="str">
            <v>STC9906J</v>
          </cell>
          <cell r="Q13599" t="str">
            <v>磁性位置传感器</v>
          </cell>
        </row>
        <row r="13600">
          <cell r="O13600" t="str">
            <v>SC1134UA</v>
          </cell>
          <cell r="P13600" t="str">
            <v>STC1898AI</v>
          </cell>
          <cell r="Q13600" t="str">
            <v>磁性位置传感器</v>
          </cell>
        </row>
        <row r="13601">
          <cell r="O13601" t="str">
            <v>SC1245SO-N</v>
          </cell>
          <cell r="P13601" t="str">
            <v>STC1898AD</v>
          </cell>
          <cell r="Q13601" t="str">
            <v>磁性位置传感器</v>
          </cell>
        </row>
        <row r="13602">
          <cell r="O13602" t="str">
            <v>SC1245SO-N</v>
          </cell>
          <cell r="P13602" t="str">
            <v>STC1898AD</v>
          </cell>
          <cell r="Q13602" t="str">
            <v>磁性位置传感器</v>
          </cell>
        </row>
        <row r="13603">
          <cell r="O13603" t="str">
            <v>SC2438UA</v>
          </cell>
          <cell r="P13603" t="str">
            <v>STC9906I</v>
          </cell>
          <cell r="Q13603" t="str">
            <v>磁性位置传感器</v>
          </cell>
        </row>
        <row r="13604">
          <cell r="O13604" t="str">
            <v>SC1133UA</v>
          </cell>
          <cell r="P13604" t="str">
            <v>STC1898AJ</v>
          </cell>
          <cell r="Q13604" t="str">
            <v>磁性位置传感器</v>
          </cell>
        </row>
        <row r="13605">
          <cell r="O13605" t="str">
            <v>SC2442SO-N</v>
          </cell>
          <cell r="P13605" t="str">
            <v>STC9906P</v>
          </cell>
          <cell r="Q13605" t="str">
            <v>磁性位置传感器</v>
          </cell>
        </row>
        <row r="13606">
          <cell r="O13606" t="str">
            <v>SC2442SO-N</v>
          </cell>
          <cell r="P13606" t="str">
            <v>STC9906P</v>
          </cell>
          <cell r="Q13606" t="str">
            <v>磁性位置传感器</v>
          </cell>
        </row>
        <row r="13607">
          <cell r="O13607" t="str">
            <v>SC2442SO-N</v>
          </cell>
          <cell r="P13607" t="str">
            <v>STC9906P</v>
          </cell>
          <cell r="Q13607" t="str">
            <v>磁性位置传感器</v>
          </cell>
        </row>
        <row r="13608">
          <cell r="O13608" t="str">
            <v>SC9314UA</v>
          </cell>
          <cell r="P13608" t="str">
            <v>STC9901AF</v>
          </cell>
          <cell r="Q13608" t="str">
            <v>速度传感器</v>
          </cell>
        </row>
        <row r="13609">
          <cell r="O13609" t="str">
            <v>SC2402SO-N</v>
          </cell>
          <cell r="P13609" t="str">
            <v>STC9902J</v>
          </cell>
          <cell r="Q13609" t="str">
            <v>磁性位置传感器</v>
          </cell>
        </row>
        <row r="13610">
          <cell r="O13610" t="str">
            <v>SC2402SO-N</v>
          </cell>
          <cell r="P13610" t="str">
            <v>STC9902J</v>
          </cell>
          <cell r="Q13610" t="str">
            <v>磁性位置传感器</v>
          </cell>
        </row>
        <row r="13611">
          <cell r="O13611" t="str">
            <v>3100</v>
          </cell>
          <cell r="P13611" t="str">
            <v>STC9D06G</v>
          </cell>
          <cell r="Q13611" t="str">
            <v>电流传感器</v>
          </cell>
        </row>
        <row r="13612">
          <cell r="O13612" t="str">
            <v>SC2402SO-N</v>
          </cell>
          <cell r="P13612" t="str">
            <v>STC9902J</v>
          </cell>
          <cell r="Q13612" t="str">
            <v>磁性位置传感器</v>
          </cell>
        </row>
        <row r="13613">
          <cell r="O13613" t="str">
            <v>SC1245UA</v>
          </cell>
          <cell r="P13613" t="str">
            <v>STC1898AD</v>
          </cell>
          <cell r="Q13613" t="str">
            <v>磁性位置传感器</v>
          </cell>
        </row>
        <row r="13614">
          <cell r="O13614" t="str">
            <v>SC9621VB</v>
          </cell>
          <cell r="P13614" t="str">
            <v>STC9910C</v>
          </cell>
          <cell r="Q13614" t="str">
            <v>速度传感器</v>
          </cell>
        </row>
        <row r="13615">
          <cell r="O13615" t="str">
            <v>SC9642TS-E</v>
          </cell>
          <cell r="P13615" t="str">
            <v>STC9A001H</v>
          </cell>
          <cell r="Q13615" t="str">
            <v>速度传感器</v>
          </cell>
        </row>
        <row r="13616">
          <cell r="O13616" t="str">
            <v>SC4688编程板</v>
          </cell>
          <cell r="P13616" t="str">
            <v xml:space="preserve"> </v>
          </cell>
          <cell r="Q13616" t="str">
            <v>角度传感器</v>
          </cell>
        </row>
        <row r="13617">
          <cell r="O13617" t="str">
            <v>SC2064SO</v>
          </cell>
          <cell r="P13617" t="str">
            <v>STC9G001C</v>
          </cell>
          <cell r="Q13617" t="str">
            <v>磁性位置传感器</v>
          </cell>
        </row>
        <row r="13618">
          <cell r="O13618" t="str">
            <v>SC2064SO</v>
          </cell>
          <cell r="P13618" t="str">
            <v>STC9G001C</v>
          </cell>
          <cell r="Q13618" t="str">
            <v>磁性位置传感器</v>
          </cell>
        </row>
        <row r="13619">
          <cell r="O13619" t="str">
            <v>SC2202SO-N</v>
          </cell>
          <cell r="P13619" t="str">
            <v>STC9902E</v>
          </cell>
          <cell r="Q13619" t="str">
            <v>磁性位置传感器</v>
          </cell>
        </row>
        <row r="13620">
          <cell r="O13620" t="str">
            <v>SC2462SO</v>
          </cell>
          <cell r="P13620" t="str">
            <v>STC9906J</v>
          </cell>
          <cell r="Q13620" t="str">
            <v>磁性位置传感器</v>
          </cell>
        </row>
        <row r="13621">
          <cell r="O13621" t="str">
            <v>SC2462SO</v>
          </cell>
          <cell r="P13621" t="str">
            <v>STC9906J</v>
          </cell>
          <cell r="Q13621" t="str">
            <v>磁性位置传感器</v>
          </cell>
        </row>
        <row r="13622">
          <cell r="O13622" t="str">
            <v>SC4643VB</v>
          </cell>
          <cell r="P13622" t="str">
            <v>STC9D03E</v>
          </cell>
          <cell r="Q13622" t="str">
            <v>电流传感器</v>
          </cell>
        </row>
        <row r="13623">
          <cell r="O13623" t="str">
            <v>SC4643VB</v>
          </cell>
          <cell r="P13623" t="str">
            <v>STC9D03E</v>
          </cell>
          <cell r="Q13623" t="str">
            <v>电流传感器</v>
          </cell>
        </row>
        <row r="13624">
          <cell r="O13624" t="str">
            <v>SC4643VB</v>
          </cell>
          <cell r="P13624" t="str">
            <v>STC9D03E</v>
          </cell>
          <cell r="Q13624" t="str">
            <v>电流传感器</v>
          </cell>
        </row>
        <row r="13625">
          <cell r="O13625" t="str">
            <v>SC4643VB</v>
          </cell>
          <cell r="P13625" t="str">
            <v>STC9D03E</v>
          </cell>
          <cell r="Q13625" t="str">
            <v>电流传感器</v>
          </cell>
        </row>
        <row r="13626">
          <cell r="O13626" t="str">
            <v>2100S</v>
          </cell>
          <cell r="P13626" t="str">
            <v>STC9D03E</v>
          </cell>
          <cell r="Q13626" t="str">
            <v>电流传感器</v>
          </cell>
        </row>
        <row r="13627">
          <cell r="O13627" t="str">
            <v>2100S</v>
          </cell>
          <cell r="P13627" t="str">
            <v>STC9D03E</v>
          </cell>
          <cell r="Q13627" t="str">
            <v>电流传感器</v>
          </cell>
        </row>
        <row r="13628">
          <cell r="O13628" t="str">
            <v>2100S</v>
          </cell>
          <cell r="P13628" t="str">
            <v>STC9D03E</v>
          </cell>
          <cell r="Q13628" t="str">
            <v>电流传感器</v>
          </cell>
        </row>
        <row r="13629">
          <cell r="O13629" t="str">
            <v>2100S</v>
          </cell>
          <cell r="P13629" t="str">
            <v>STC9D03E</v>
          </cell>
          <cell r="Q13629" t="str">
            <v>电流传感器</v>
          </cell>
        </row>
        <row r="13630">
          <cell r="O13630" t="str">
            <v>2100S</v>
          </cell>
          <cell r="P13630" t="str">
            <v>STC9D03E</v>
          </cell>
          <cell r="Q13630" t="str">
            <v>电流传感器</v>
          </cell>
        </row>
        <row r="13631">
          <cell r="O13631" t="str">
            <v>SC2442SO</v>
          </cell>
          <cell r="P13631" t="str">
            <v>STC9906R</v>
          </cell>
          <cell r="Q13631" t="str">
            <v>磁性位置传感器</v>
          </cell>
        </row>
        <row r="13632">
          <cell r="O13632" t="str">
            <v>SC2448SO</v>
          </cell>
          <cell r="P13632" t="str">
            <v>STC9906S</v>
          </cell>
          <cell r="Q13632" t="str">
            <v>磁性位置传感器</v>
          </cell>
        </row>
        <row r="13633">
          <cell r="O13633" t="str">
            <v>SC2448SO</v>
          </cell>
          <cell r="P13633" t="str">
            <v>STC9906S</v>
          </cell>
          <cell r="Q13633" t="str">
            <v>磁性位置传感器</v>
          </cell>
        </row>
        <row r="13634">
          <cell r="O13634" t="str">
            <v>SC2448SO</v>
          </cell>
          <cell r="P13634" t="str">
            <v>STC9906S</v>
          </cell>
          <cell r="Q13634" t="str">
            <v>磁性位置传感器</v>
          </cell>
        </row>
        <row r="13635">
          <cell r="O13635" t="str">
            <v>SC2448SO</v>
          </cell>
          <cell r="P13635" t="str">
            <v>STC9906S</v>
          </cell>
          <cell r="Q13635" t="str">
            <v>磁性位置传感器</v>
          </cell>
        </row>
        <row r="13636">
          <cell r="O13636" t="str">
            <v>SC9641TS</v>
          </cell>
          <cell r="P13636" t="str">
            <v>STC9910BN</v>
          </cell>
          <cell r="Q13636" t="str">
            <v>速度传感器</v>
          </cell>
        </row>
        <row r="13637">
          <cell r="O13637" t="str">
            <v>SC9641TS</v>
          </cell>
          <cell r="P13637" t="str">
            <v>STC9910BN</v>
          </cell>
          <cell r="Q13637" t="str">
            <v>速度传感器</v>
          </cell>
        </row>
        <row r="13638">
          <cell r="O13638" t="str">
            <v>SC9641TS</v>
          </cell>
          <cell r="P13638" t="str">
            <v>STC9910BN</v>
          </cell>
          <cell r="Q13638" t="str">
            <v>速度传感器</v>
          </cell>
        </row>
        <row r="13639">
          <cell r="O13639" t="str">
            <v>SC9641TS</v>
          </cell>
          <cell r="P13639" t="str">
            <v>STC9910BN</v>
          </cell>
          <cell r="Q13639" t="str">
            <v>速度传感器</v>
          </cell>
        </row>
        <row r="13640">
          <cell r="O13640" t="str">
            <v>SC9641TS</v>
          </cell>
          <cell r="P13640" t="str">
            <v>STC9910BN</v>
          </cell>
          <cell r="Q13640" t="str">
            <v>速度传感器</v>
          </cell>
        </row>
        <row r="13641">
          <cell r="O13641" t="str">
            <v>SC9641TS</v>
          </cell>
          <cell r="P13641" t="str">
            <v>STC9910BN</v>
          </cell>
          <cell r="Q13641" t="str">
            <v>速度传感器</v>
          </cell>
        </row>
        <row r="13642">
          <cell r="O13642" t="str">
            <v>SC9641TS</v>
          </cell>
          <cell r="P13642" t="str">
            <v>STC9910BN</v>
          </cell>
          <cell r="Q13642" t="str">
            <v>速度传感器</v>
          </cell>
        </row>
        <row r="13643">
          <cell r="O13643" t="str">
            <v>SC9641TS</v>
          </cell>
          <cell r="P13643" t="str">
            <v>STC9910BN</v>
          </cell>
          <cell r="Q13643" t="str">
            <v>速度传感器</v>
          </cell>
        </row>
        <row r="13644">
          <cell r="O13644" t="str">
            <v>SC1245UA</v>
          </cell>
          <cell r="P13644" t="str">
            <v>STC1898AD</v>
          </cell>
          <cell r="Q13644" t="str">
            <v>磁性位置传感器</v>
          </cell>
        </row>
        <row r="13645">
          <cell r="O13645" t="str">
            <v>SC1245UA</v>
          </cell>
          <cell r="P13645" t="str">
            <v>STC1898AD</v>
          </cell>
          <cell r="Q13645" t="str">
            <v>磁性位置传感器</v>
          </cell>
        </row>
        <row r="13646">
          <cell r="O13646" t="str">
            <v>SC1645A2</v>
          </cell>
          <cell r="P13646" t="str">
            <v>STC2899AE</v>
          </cell>
          <cell r="Q13646" t="str">
            <v>磁性位置传感器</v>
          </cell>
        </row>
        <row r="13647">
          <cell r="O13647" t="str">
            <v>SC1645A2</v>
          </cell>
          <cell r="P13647" t="str">
            <v>STC2899AE</v>
          </cell>
          <cell r="Q13647" t="str">
            <v>磁性位置传感器</v>
          </cell>
        </row>
        <row r="13648">
          <cell r="O13648" t="str">
            <v>SC2402SO-N</v>
          </cell>
          <cell r="P13648" t="str">
            <v>STC9902J</v>
          </cell>
          <cell r="Q13648" t="str">
            <v>磁性位置传感器</v>
          </cell>
        </row>
        <row r="13649">
          <cell r="O13649" t="str">
            <v>CT60340Q</v>
          </cell>
          <cell r="P13649" t="str">
            <v>STC9D05C</v>
          </cell>
          <cell r="Q13649" t="str">
            <v>电机编码器</v>
          </cell>
        </row>
        <row r="13650">
          <cell r="O13650" t="str">
            <v>CT60340</v>
          </cell>
          <cell r="P13650" t="str">
            <v>STC9D05C</v>
          </cell>
          <cell r="Q13650" t="str">
            <v>电机编码器</v>
          </cell>
        </row>
        <row r="13651">
          <cell r="O13651" t="str">
            <v>SC2442SO-N</v>
          </cell>
          <cell r="P13651" t="str">
            <v>STC9906P</v>
          </cell>
          <cell r="Q13651" t="str">
            <v>磁性位置传感器</v>
          </cell>
        </row>
        <row r="13652">
          <cell r="O13652" t="str">
            <v>SC2442SO-N</v>
          </cell>
          <cell r="P13652" t="str">
            <v>STC9906P</v>
          </cell>
          <cell r="Q13652" t="str">
            <v>磁性位置传感器</v>
          </cell>
        </row>
        <row r="13653">
          <cell r="O13653" t="str">
            <v>SC2443UA</v>
          </cell>
          <cell r="P13653" t="str">
            <v>STC9906W</v>
          </cell>
          <cell r="Q13653" t="str">
            <v>磁性位置传感器</v>
          </cell>
        </row>
        <row r="13654">
          <cell r="O13654" t="str">
            <v>SC2436SO</v>
          </cell>
          <cell r="P13654" t="str">
            <v>STC9906I</v>
          </cell>
          <cell r="Q13654" t="str">
            <v>磁性位置传感器</v>
          </cell>
        </row>
        <row r="13655">
          <cell r="O13655" t="str">
            <v>SC4643VB-A</v>
          </cell>
          <cell r="P13655" t="str">
            <v>STC9D03E</v>
          </cell>
          <cell r="Q13655" t="str">
            <v>电流传感器</v>
          </cell>
        </row>
        <row r="13656">
          <cell r="O13656" t="str">
            <v>SC2432SO</v>
          </cell>
          <cell r="P13656" t="str">
            <v>STC9906I</v>
          </cell>
          <cell r="Q13656" t="str">
            <v>磁性位置传感器</v>
          </cell>
        </row>
        <row r="13657">
          <cell r="O13657" t="str">
            <v>SC2432SO</v>
          </cell>
          <cell r="P13657" t="str">
            <v>STC9906I</v>
          </cell>
          <cell r="Q13657" t="str">
            <v>磁性位置传感器</v>
          </cell>
        </row>
        <row r="13658">
          <cell r="O13658" t="str">
            <v>SC2443UA</v>
          </cell>
          <cell r="P13658" t="str">
            <v>STC9906W</v>
          </cell>
          <cell r="Q13658" t="str">
            <v>磁性位置传感器</v>
          </cell>
        </row>
        <row r="13659">
          <cell r="O13659" t="str">
            <v>SC2443UA</v>
          </cell>
          <cell r="P13659" t="str">
            <v>STC9906W</v>
          </cell>
          <cell r="Q13659" t="str">
            <v>磁性位置传感器</v>
          </cell>
        </row>
        <row r="13660">
          <cell r="O13660" t="str">
            <v>SC2443UA</v>
          </cell>
          <cell r="P13660" t="str">
            <v>STC9906W</v>
          </cell>
          <cell r="Q13660" t="str">
            <v>磁性位置传感器</v>
          </cell>
        </row>
        <row r="13661">
          <cell r="O13661" t="str">
            <v>SC2443UA</v>
          </cell>
          <cell r="P13661" t="str">
            <v>STC9906W</v>
          </cell>
          <cell r="Q13661" t="str">
            <v>磁性位置传感器</v>
          </cell>
        </row>
        <row r="13662">
          <cell r="O13662" t="str">
            <v>SC2443SO</v>
          </cell>
          <cell r="P13662" t="str">
            <v>STC9906T</v>
          </cell>
          <cell r="Q13662" t="str">
            <v>磁性位置传感器</v>
          </cell>
        </row>
        <row r="13663">
          <cell r="O13663" t="str">
            <v>SC2242SO</v>
          </cell>
          <cell r="P13663" t="str">
            <v>STC9906H</v>
          </cell>
          <cell r="Q13663" t="str">
            <v>磁性位置传感器</v>
          </cell>
        </row>
        <row r="13664">
          <cell r="O13664" t="str">
            <v>SC2064SO</v>
          </cell>
          <cell r="P13664" t="str">
            <v>STC9G001C</v>
          </cell>
          <cell r="Q13664" t="str">
            <v>磁性位置传感器</v>
          </cell>
        </row>
        <row r="13665">
          <cell r="O13665" t="str">
            <v>SC4688DC-M3</v>
          </cell>
          <cell r="P13665" t="str">
            <v>STC9D01C</v>
          </cell>
          <cell r="Q13665" t="str">
            <v>角度传感器</v>
          </cell>
        </row>
        <row r="13666">
          <cell r="O13666" t="str">
            <v>SC4688DC-M4</v>
          </cell>
          <cell r="P13666" t="str">
            <v>STC9D01C</v>
          </cell>
          <cell r="Q13666" t="str">
            <v>角度传感器</v>
          </cell>
        </row>
        <row r="13667">
          <cell r="O13667" t="str">
            <v>SC9675IM-P-LRF00</v>
          </cell>
          <cell r="P13667" t="str">
            <v>STC9A002B</v>
          </cell>
          <cell r="Q13667" t="str">
            <v>速度传感器</v>
          </cell>
        </row>
        <row r="13668">
          <cell r="O13668" t="str">
            <v>SC9675IM-P-LRF00</v>
          </cell>
          <cell r="P13668" t="str">
            <v>STC9A002B</v>
          </cell>
          <cell r="Q13668" t="str">
            <v>速度传感器</v>
          </cell>
        </row>
        <row r="13669">
          <cell r="O13669" t="str">
            <v>SC2443SO</v>
          </cell>
          <cell r="P13669" t="str">
            <v>STC9906T</v>
          </cell>
          <cell r="Q13669" t="str">
            <v>磁性位置传感器</v>
          </cell>
        </row>
        <row r="13670">
          <cell r="O13670" t="str">
            <v>SC2443SO</v>
          </cell>
          <cell r="P13670" t="str">
            <v>STC9906T</v>
          </cell>
          <cell r="Q13670" t="str">
            <v>磁性位置传感器</v>
          </cell>
        </row>
        <row r="13671">
          <cell r="O13671" t="str">
            <v>SC2448SO</v>
          </cell>
          <cell r="P13671" t="str">
            <v>STC9906S</v>
          </cell>
          <cell r="Q13671" t="str">
            <v>磁性位置传感器</v>
          </cell>
        </row>
        <row r="13672">
          <cell r="O13672" t="str">
            <v>SC2462SO</v>
          </cell>
          <cell r="P13672" t="str">
            <v>STC9906J</v>
          </cell>
          <cell r="Q13672" t="str">
            <v>磁性位置传感器</v>
          </cell>
        </row>
        <row r="13673">
          <cell r="O13673" t="str">
            <v>SC9641TS-P</v>
          </cell>
          <cell r="P13673" t="str">
            <v>STC9A001F</v>
          </cell>
          <cell r="Q13673" t="str">
            <v>速度传感器</v>
          </cell>
        </row>
        <row r="13674">
          <cell r="O13674" t="str">
            <v>SC9641TS-P</v>
          </cell>
          <cell r="P13674" t="str">
            <v>STC9A001F</v>
          </cell>
          <cell r="Q13674" t="str">
            <v>速度传感器</v>
          </cell>
        </row>
        <row r="13675">
          <cell r="O13675" t="str">
            <v>SC60224-D-1024-976-BSD-01</v>
          </cell>
          <cell r="P13675" t="str">
            <v>STC9D04C</v>
          </cell>
          <cell r="Q13675" t="str">
            <v>电机编码器</v>
          </cell>
        </row>
        <row r="13676">
          <cell r="O13676" t="str">
            <v>SC4002BU</v>
          </cell>
          <cell r="P13676" t="str">
            <v>STC4000AA</v>
          </cell>
          <cell r="Q13676" t="str">
            <v>磁性位置传感器</v>
          </cell>
        </row>
        <row r="13677">
          <cell r="O13677" t="str">
            <v>SC2402SO-N</v>
          </cell>
          <cell r="P13677" t="str">
            <v>STC9902J</v>
          </cell>
          <cell r="Q13677" t="str">
            <v>磁性位置传感器</v>
          </cell>
        </row>
        <row r="13678">
          <cell r="O13678" t="str">
            <v>SC2402SO-N</v>
          </cell>
          <cell r="P13678" t="str">
            <v>STC9902J</v>
          </cell>
          <cell r="Q13678" t="str">
            <v>磁性位置传感器</v>
          </cell>
        </row>
        <row r="13679">
          <cell r="O13679" t="str">
            <v>SC1645A1</v>
          </cell>
          <cell r="P13679" t="str">
            <v>STC2899AE</v>
          </cell>
          <cell r="Q13679" t="str">
            <v>磁性位置传感器</v>
          </cell>
        </row>
        <row r="13680">
          <cell r="O13680" t="str">
            <v>SC1134UA</v>
          </cell>
          <cell r="P13680" t="str">
            <v>STC1898AI</v>
          </cell>
          <cell r="Q13680" t="str">
            <v>磁性位置传感器</v>
          </cell>
        </row>
        <row r="13681">
          <cell r="O13681" t="str">
            <v>SC1134UA</v>
          </cell>
          <cell r="P13681" t="str">
            <v>STC1898AI</v>
          </cell>
          <cell r="Q13681" t="str">
            <v>磁性位置传感器</v>
          </cell>
        </row>
        <row r="13682">
          <cell r="O13682" t="str">
            <v>SC1134UA</v>
          </cell>
          <cell r="P13682" t="str">
            <v>STC1898AI</v>
          </cell>
          <cell r="Q13682" t="str">
            <v>磁性位置传感器</v>
          </cell>
        </row>
        <row r="13683">
          <cell r="O13683" t="str">
            <v>SC9621VB</v>
          </cell>
          <cell r="P13683" t="str">
            <v>STC9910C</v>
          </cell>
          <cell r="Q13683" t="str">
            <v>速度传感器</v>
          </cell>
        </row>
        <row r="13684">
          <cell r="O13684" t="str">
            <v>SC1133UA</v>
          </cell>
          <cell r="P13684" t="str">
            <v>STC1898AJ</v>
          </cell>
          <cell r="Q13684" t="str">
            <v>磁性位置传感器</v>
          </cell>
        </row>
        <row r="13685">
          <cell r="O13685" t="str">
            <v>SC4643VB</v>
          </cell>
          <cell r="P13685" t="str">
            <v>STC9D03E</v>
          </cell>
          <cell r="Q13685" t="str">
            <v>电流传感器</v>
          </cell>
        </row>
        <row r="13686">
          <cell r="O13686" t="str">
            <v>STC4011B</v>
          </cell>
          <cell r="P13686" t="str">
            <v>STC4011B</v>
          </cell>
          <cell r="Q13686" t="str">
            <v>磁性位置传感器</v>
          </cell>
        </row>
        <row r="13687">
          <cell r="O13687" t="str">
            <v>SC9625VB-L</v>
          </cell>
          <cell r="P13687" t="str">
            <v>STC9910E</v>
          </cell>
          <cell r="Q13687" t="str">
            <v>速度传感器</v>
          </cell>
        </row>
        <row r="13688">
          <cell r="O13688" t="str">
            <v>SC9641TS-P</v>
          </cell>
          <cell r="P13688" t="str">
            <v>STC9A001F</v>
          </cell>
          <cell r="Q13688" t="str">
            <v>速度传感器</v>
          </cell>
        </row>
        <row r="13689">
          <cell r="O13689" t="str">
            <v>SC2464SO</v>
          </cell>
          <cell r="P13689" t="str">
            <v>STC9906J</v>
          </cell>
          <cell r="Q13689" t="str">
            <v>磁性位置传感器</v>
          </cell>
        </row>
        <row r="13690">
          <cell r="O13690" t="str">
            <v>SC2402SO-N</v>
          </cell>
          <cell r="P13690" t="str">
            <v>STC9902J</v>
          </cell>
          <cell r="Q13690" t="str">
            <v>磁性位置传感器</v>
          </cell>
        </row>
        <row r="13691">
          <cell r="O13691" t="str">
            <v>SC2464SO</v>
          </cell>
          <cell r="P13691" t="str">
            <v>STC9906J</v>
          </cell>
          <cell r="Q13691" t="str">
            <v>磁性位置传感器</v>
          </cell>
        </row>
        <row r="13692">
          <cell r="O13692" t="str">
            <v>SC9621VB</v>
          </cell>
          <cell r="P13692" t="str">
            <v>STC9910C</v>
          </cell>
          <cell r="Q13692" t="str">
            <v>速度传感器</v>
          </cell>
        </row>
        <row r="13693">
          <cell r="O13693" t="str">
            <v>SC2442SO</v>
          </cell>
          <cell r="P13693" t="str">
            <v>STC9906R</v>
          </cell>
          <cell r="Q13693" t="str">
            <v>磁性位置传感器</v>
          </cell>
        </row>
        <row r="13694">
          <cell r="O13694" t="str">
            <v>SC2442SO</v>
          </cell>
          <cell r="P13694" t="str">
            <v>STC9906R</v>
          </cell>
          <cell r="Q13694" t="str">
            <v>磁性位置传感器</v>
          </cell>
        </row>
        <row r="13695">
          <cell r="O13695" t="str">
            <v>SC9675IM-P-HRF00</v>
          </cell>
          <cell r="P13695" t="str">
            <v>STC9A002B</v>
          </cell>
          <cell r="Q13695" t="str">
            <v>速度传感器</v>
          </cell>
        </row>
        <row r="13696">
          <cell r="O13696" t="str">
            <v>SC9621VB</v>
          </cell>
          <cell r="P13696" t="str">
            <v>STC9910C</v>
          </cell>
          <cell r="Q13696" t="str">
            <v>速度传感器</v>
          </cell>
        </row>
        <row r="13697">
          <cell r="O13697" t="str">
            <v>SC2442SO</v>
          </cell>
          <cell r="P13697" t="str">
            <v>STC9906R</v>
          </cell>
          <cell r="Q13697" t="str">
            <v>磁性位置传感器</v>
          </cell>
        </row>
        <row r="13698">
          <cell r="O13698" t="str">
            <v>SC2442SO</v>
          </cell>
          <cell r="P13698" t="str">
            <v>STC9906R</v>
          </cell>
          <cell r="Q13698" t="str">
            <v>磁性位置传感器</v>
          </cell>
        </row>
        <row r="13699">
          <cell r="O13699" t="str">
            <v>SC60224-D-1024</v>
          </cell>
          <cell r="P13699" t="str">
            <v>STC9D04C</v>
          </cell>
          <cell r="Q13699" t="str">
            <v>电机编码器</v>
          </cell>
        </row>
        <row r="13700">
          <cell r="O13700" t="str">
            <v>SC60224-D-1024</v>
          </cell>
          <cell r="P13700" t="str">
            <v>STC9D04C</v>
          </cell>
          <cell r="Q13700" t="str">
            <v>电机编码器</v>
          </cell>
        </row>
        <row r="13701">
          <cell r="O13701" t="str">
            <v>SC60224-D-1024</v>
          </cell>
          <cell r="P13701" t="str">
            <v>STC9D04C</v>
          </cell>
          <cell r="Q13701" t="str">
            <v>电机编码器</v>
          </cell>
        </row>
        <row r="13702">
          <cell r="O13702" t="str">
            <v>SC60224-D-1024</v>
          </cell>
          <cell r="P13702" t="str">
            <v>STC9D04C</v>
          </cell>
          <cell r="Q13702" t="str">
            <v>电机编码器</v>
          </cell>
        </row>
        <row r="13703">
          <cell r="O13703" t="str">
            <v>SC60224-D-1024</v>
          </cell>
          <cell r="P13703" t="str">
            <v>STC9D04C</v>
          </cell>
          <cell r="Q13703" t="str">
            <v>电机编码器</v>
          </cell>
        </row>
        <row r="13704">
          <cell r="O13704" t="str">
            <v>SC4688SA</v>
          </cell>
          <cell r="P13704" t="str">
            <v>STC9D01C</v>
          </cell>
          <cell r="Q13704" t="str">
            <v>角度传感器</v>
          </cell>
        </row>
        <row r="13705">
          <cell r="O13705" t="str">
            <v>SC2448SO</v>
          </cell>
          <cell r="P13705" t="str">
            <v>STC9906S</v>
          </cell>
          <cell r="Q13705" t="str">
            <v>磁性位置传感器</v>
          </cell>
        </row>
        <row r="13706">
          <cell r="O13706" t="str">
            <v>SC2448SO</v>
          </cell>
          <cell r="P13706" t="str">
            <v>STC9906S</v>
          </cell>
          <cell r="Q13706" t="str">
            <v>磁性位置传感器</v>
          </cell>
        </row>
        <row r="13707">
          <cell r="O13707" t="str">
            <v>SC2448SO</v>
          </cell>
          <cell r="P13707" t="str">
            <v>STC9906S</v>
          </cell>
          <cell r="Q13707" t="str">
            <v>磁性位置传感器</v>
          </cell>
        </row>
        <row r="13708">
          <cell r="O13708" t="str">
            <v>SC1134SO-N</v>
          </cell>
          <cell r="P13708" t="str">
            <v>STC1898AI</v>
          </cell>
          <cell r="Q13708" t="str">
            <v>磁性位置传感器</v>
          </cell>
        </row>
        <row r="13709">
          <cell r="O13709" t="str">
            <v>SC2064UA</v>
          </cell>
          <cell r="P13709" t="str">
            <v>STC9G001C</v>
          </cell>
          <cell r="Q13709" t="str">
            <v>磁性位置传感器</v>
          </cell>
        </row>
        <row r="13710">
          <cell r="O13710" t="str">
            <v>SC2064SO</v>
          </cell>
          <cell r="P13710" t="str">
            <v>STC9G001C</v>
          </cell>
          <cell r="Q13710" t="str">
            <v>磁性位置传感器</v>
          </cell>
        </row>
        <row r="13711">
          <cell r="O13711" t="str">
            <v>SC4643编程板</v>
          </cell>
          <cell r="P13711" t="str">
            <v xml:space="preserve"> </v>
          </cell>
          <cell r="Q13711" t="str">
            <v>电流传感器</v>
          </cell>
        </row>
        <row r="13712">
          <cell r="O13712" t="str">
            <v>SC2462SO</v>
          </cell>
          <cell r="P13712" t="str">
            <v>STC9906J</v>
          </cell>
          <cell r="Q13712" t="str">
            <v>磁性位置传感器</v>
          </cell>
        </row>
        <row r="13713">
          <cell r="O13713" t="str">
            <v>SC1134SO-N</v>
          </cell>
          <cell r="P13713" t="str">
            <v>STC1898AI</v>
          </cell>
          <cell r="Q13713" t="str">
            <v>磁性位置传感器</v>
          </cell>
        </row>
        <row r="13714">
          <cell r="O13714" t="str">
            <v>SC1134SO-N</v>
          </cell>
          <cell r="P13714" t="str">
            <v>STC1898AI</v>
          </cell>
          <cell r="Q13714" t="str">
            <v>磁性位置传感器</v>
          </cell>
        </row>
        <row r="13715">
          <cell r="O13715" t="str">
            <v>SC1134SO-N</v>
          </cell>
          <cell r="P13715" t="str">
            <v>STC1898AI</v>
          </cell>
          <cell r="Q13715" t="str">
            <v>磁性位置传感器</v>
          </cell>
        </row>
        <row r="13716">
          <cell r="O13716" t="str">
            <v>SC1134SO-N</v>
          </cell>
          <cell r="P13716" t="str">
            <v>STC1898AI</v>
          </cell>
          <cell r="Q13716" t="str">
            <v>磁性位置传感器</v>
          </cell>
        </row>
        <row r="13717">
          <cell r="O13717" t="str">
            <v>SC2033SO-N</v>
          </cell>
          <cell r="P13717" t="str">
            <v>STC9G001D</v>
          </cell>
          <cell r="Q13717" t="str">
            <v>磁性位置传感器</v>
          </cell>
        </row>
        <row r="13718">
          <cell r="O13718" t="str">
            <v>SC2442SO</v>
          </cell>
          <cell r="P13718" t="str">
            <v>STC9906R</v>
          </cell>
          <cell r="Q13718" t="str">
            <v>磁性位置传感器</v>
          </cell>
        </row>
        <row r="13719">
          <cell r="O13719" t="str">
            <v>SC9632VB</v>
          </cell>
          <cell r="P13719" t="str">
            <v>STC9905E</v>
          </cell>
          <cell r="Q13719" t="str">
            <v>速度传感器</v>
          </cell>
        </row>
        <row r="13720">
          <cell r="O13720" t="str">
            <v>SC2462SO</v>
          </cell>
          <cell r="P13720" t="str">
            <v>STC9906J</v>
          </cell>
          <cell r="Q13720" t="str">
            <v>磁性位置传感器</v>
          </cell>
        </row>
        <row r="13721">
          <cell r="O13721" t="str">
            <v>STC4011B</v>
          </cell>
          <cell r="P13721" t="str">
            <v>STC4011B</v>
          </cell>
          <cell r="Q13721" t="str">
            <v>磁性位置传感器</v>
          </cell>
        </row>
        <row r="13722">
          <cell r="O13722" t="str">
            <v>2100HBL</v>
          </cell>
          <cell r="P13722" t="str">
            <v>STC9D03E</v>
          </cell>
          <cell r="Q13722" t="str">
            <v>电流传感器</v>
          </cell>
        </row>
        <row r="13723">
          <cell r="O13723" t="str">
            <v>2100HBL</v>
          </cell>
          <cell r="P13723" t="str">
            <v>STC9D03E</v>
          </cell>
          <cell r="Q13723" t="str">
            <v>电流传感器</v>
          </cell>
        </row>
        <row r="13724">
          <cell r="O13724" t="str">
            <v>ZH6350A</v>
          </cell>
          <cell r="P13724" t="str">
            <v>ZH6350A</v>
          </cell>
          <cell r="Q13724" t="str">
            <v>电机驱动</v>
          </cell>
        </row>
        <row r="13725">
          <cell r="O13725" t="str">
            <v>ZH6531-Mask</v>
          </cell>
          <cell r="P13725" t="str">
            <v xml:space="preserve"> </v>
          </cell>
          <cell r="Q13725" t="str">
            <v>电机驱动</v>
          </cell>
        </row>
        <row r="13726">
          <cell r="O13726" t="str">
            <v>SC2443SO</v>
          </cell>
          <cell r="P13726" t="str">
            <v>STC9906T</v>
          </cell>
          <cell r="Q13726" t="str">
            <v>磁性位置传感器</v>
          </cell>
        </row>
        <row r="13727">
          <cell r="O13727" t="str">
            <v>SC2443UA</v>
          </cell>
          <cell r="P13727" t="str">
            <v>STC9906W</v>
          </cell>
          <cell r="Q13727" t="str">
            <v>磁性位置传感器</v>
          </cell>
        </row>
        <row r="13728">
          <cell r="O13728" t="str">
            <v>SC2434SO-N</v>
          </cell>
          <cell r="P13728" t="str">
            <v>STC9906I</v>
          </cell>
          <cell r="Q13728" t="str">
            <v>磁性位置传感器</v>
          </cell>
        </row>
        <row r="13729">
          <cell r="O13729" t="str">
            <v>STC4001AB</v>
          </cell>
          <cell r="P13729" t="str">
            <v>STC4001AB</v>
          </cell>
          <cell r="Q13729" t="str">
            <v>磁性位置传感器</v>
          </cell>
        </row>
        <row r="13730">
          <cell r="O13730" t="str">
            <v>SC2462SO</v>
          </cell>
          <cell r="P13730" t="str">
            <v>STC9906J</v>
          </cell>
          <cell r="Q13730" t="str">
            <v>磁性位置传感器</v>
          </cell>
        </row>
        <row r="13731">
          <cell r="O13731" t="str">
            <v>SC2462SO</v>
          </cell>
          <cell r="P13731" t="str">
            <v>STC9906J</v>
          </cell>
          <cell r="Q13731" t="str">
            <v>磁性位置传感器</v>
          </cell>
        </row>
        <row r="13732">
          <cell r="O13732" t="str">
            <v>SC2462SO</v>
          </cell>
          <cell r="P13732" t="str">
            <v>STC9906J</v>
          </cell>
          <cell r="Q13732" t="str">
            <v>磁性位置传感器</v>
          </cell>
        </row>
        <row r="13733">
          <cell r="O13733" t="str">
            <v>SC2442SO</v>
          </cell>
          <cell r="P13733" t="str">
            <v>STC9906R</v>
          </cell>
          <cell r="Q13733" t="str">
            <v>磁性位置传感器</v>
          </cell>
        </row>
        <row r="13734">
          <cell r="O13734" t="str">
            <v>SC9642TS-E</v>
          </cell>
          <cell r="P13734" t="str">
            <v>STC9A001H</v>
          </cell>
          <cell r="Q13734" t="str">
            <v>速度传感器</v>
          </cell>
        </row>
        <row r="13735">
          <cell r="O13735" t="str">
            <v>SC6022X编程器</v>
          </cell>
          <cell r="P13735" t="str">
            <v xml:space="preserve"> </v>
          </cell>
          <cell r="Q13735" t="str">
            <v>电机编码器</v>
          </cell>
        </row>
        <row r="13736">
          <cell r="O13736" t="str">
            <v>SC1134SO-N</v>
          </cell>
          <cell r="P13736" t="str">
            <v>STC1898AI</v>
          </cell>
          <cell r="Q13736" t="str">
            <v>磁性位置传感器</v>
          </cell>
        </row>
        <row r="13737">
          <cell r="O13737" t="str">
            <v>SC2462SO</v>
          </cell>
          <cell r="P13737" t="str">
            <v>STC9906J</v>
          </cell>
          <cell r="Q13737" t="str">
            <v>磁性位置传感器</v>
          </cell>
        </row>
        <row r="13738">
          <cell r="O13738" t="str">
            <v>SC2462SO</v>
          </cell>
          <cell r="P13738" t="str">
            <v>STC9906J</v>
          </cell>
          <cell r="Q13738" t="str">
            <v>磁性位置传感器</v>
          </cell>
        </row>
        <row r="13739">
          <cell r="O13739" t="str">
            <v>SC1645A2</v>
          </cell>
          <cell r="P13739" t="str">
            <v>STC2899AE</v>
          </cell>
          <cell r="Q13739" t="str">
            <v>磁性位置传感器</v>
          </cell>
        </row>
        <row r="13740">
          <cell r="O13740" t="str">
            <v>SC2462SO</v>
          </cell>
          <cell r="P13740" t="str">
            <v>STC9906J</v>
          </cell>
          <cell r="Q13740" t="str">
            <v>磁性位置传感器</v>
          </cell>
        </row>
        <row r="13741">
          <cell r="O13741" t="str">
            <v>SC1134UA</v>
          </cell>
          <cell r="P13741" t="str">
            <v>STC1898AI</v>
          </cell>
          <cell r="Q13741" t="str">
            <v>磁性位置传感器</v>
          </cell>
        </row>
        <row r="13742">
          <cell r="O13742" t="str">
            <v>SC1134UA</v>
          </cell>
          <cell r="P13742" t="str">
            <v>STC1898AI</v>
          </cell>
          <cell r="Q13742" t="str">
            <v>磁性位置传感器</v>
          </cell>
        </row>
        <row r="13743">
          <cell r="O13743" t="str">
            <v>SC1134UA</v>
          </cell>
          <cell r="P13743" t="str">
            <v>STC1898AI</v>
          </cell>
          <cell r="Q13743" t="str">
            <v>磁性位置传感器</v>
          </cell>
        </row>
        <row r="13744">
          <cell r="O13744" t="str">
            <v>SC1645A1</v>
          </cell>
          <cell r="P13744" t="str">
            <v>STC2899AE</v>
          </cell>
          <cell r="Q13744" t="str">
            <v>磁性位置传感器</v>
          </cell>
        </row>
        <row r="13745">
          <cell r="O13745" t="str">
            <v>SC4688SA</v>
          </cell>
          <cell r="P13745" t="str">
            <v>STC9D01C</v>
          </cell>
          <cell r="Q13745" t="str">
            <v>角度传感器</v>
          </cell>
        </row>
        <row r="13746">
          <cell r="O13746" t="str">
            <v>SC4688SA</v>
          </cell>
          <cell r="P13746" t="str">
            <v>STC9D01C</v>
          </cell>
          <cell r="Q13746" t="str">
            <v>角度传感器</v>
          </cell>
        </row>
        <row r="13747">
          <cell r="O13747" t="str">
            <v>SC4688SA</v>
          </cell>
          <cell r="P13747" t="str">
            <v>STC9D01C</v>
          </cell>
          <cell r="Q13747" t="str">
            <v>角度传感器</v>
          </cell>
        </row>
        <row r="13748">
          <cell r="O13748" t="str">
            <v>SC2063SO</v>
          </cell>
          <cell r="P13748" t="str">
            <v>STC9G001C</v>
          </cell>
          <cell r="Q13748" t="str">
            <v>磁性位置传感器</v>
          </cell>
        </row>
        <row r="13749">
          <cell r="O13749" t="str">
            <v>SC2242SO</v>
          </cell>
          <cell r="P13749" t="str">
            <v>STC9906H</v>
          </cell>
          <cell r="Q13749" t="str">
            <v>磁性位置传感器</v>
          </cell>
        </row>
        <row r="13750">
          <cell r="O13750" t="str">
            <v>SC2242SO</v>
          </cell>
          <cell r="P13750" t="str">
            <v>STC9906H</v>
          </cell>
          <cell r="Q13750" t="str">
            <v>磁性位置传感器</v>
          </cell>
        </row>
        <row r="13751">
          <cell r="O13751" t="str">
            <v>SC2242SO</v>
          </cell>
          <cell r="P13751" t="str">
            <v>STC9906H</v>
          </cell>
          <cell r="Q13751" t="str">
            <v>磁性位置传感器</v>
          </cell>
        </row>
        <row r="13752">
          <cell r="O13752" t="str">
            <v>SC2242SO</v>
          </cell>
          <cell r="P13752" t="str">
            <v>STC9906H</v>
          </cell>
          <cell r="Q13752" t="str">
            <v>磁性位置传感器</v>
          </cell>
        </row>
        <row r="13753">
          <cell r="O13753" t="str">
            <v>SC2442UA</v>
          </cell>
          <cell r="P13753" t="str">
            <v>STC9906P</v>
          </cell>
          <cell r="Q13753" t="str">
            <v>磁性位置传感器</v>
          </cell>
        </row>
        <row r="13754">
          <cell r="O13754" t="str">
            <v>SC2442UA</v>
          </cell>
          <cell r="P13754" t="str">
            <v>STC9906P</v>
          </cell>
          <cell r="Q13754" t="str">
            <v>磁性位置传感器</v>
          </cell>
        </row>
        <row r="13755">
          <cell r="O13755" t="str">
            <v>SC60220</v>
          </cell>
          <cell r="P13755" t="str">
            <v>STC9D04C</v>
          </cell>
          <cell r="Q13755" t="str">
            <v>电机编码器</v>
          </cell>
        </row>
        <row r="13756">
          <cell r="O13756" t="str">
            <v>SC2402SO-N</v>
          </cell>
          <cell r="P13756" t="str">
            <v>STC9H001A</v>
          </cell>
          <cell r="Q13756" t="str">
            <v>磁性位置传感器</v>
          </cell>
        </row>
        <row r="13757">
          <cell r="O13757" t="str">
            <v>SC2402SO-N</v>
          </cell>
          <cell r="P13757" t="str">
            <v>STC9H001A</v>
          </cell>
          <cell r="Q13757" t="str">
            <v>磁性位置传感器</v>
          </cell>
        </row>
        <row r="13758">
          <cell r="O13758" t="str">
            <v>KH276</v>
          </cell>
          <cell r="P13758" t="str">
            <v>FD1014A</v>
          </cell>
          <cell r="Q13758" t="str">
            <v>电机驱动</v>
          </cell>
        </row>
        <row r="13759">
          <cell r="O13759" t="str">
            <v>SC2402SO-N</v>
          </cell>
          <cell r="P13759" t="str">
            <v>STC9H001A</v>
          </cell>
          <cell r="Q13759" t="str">
            <v>磁性位置传感器</v>
          </cell>
        </row>
        <row r="13760">
          <cell r="O13760" t="str">
            <v>SC2402SO-N</v>
          </cell>
          <cell r="P13760" t="str">
            <v>STC9H001A</v>
          </cell>
          <cell r="Q13760" t="str">
            <v>磁性位置传感器</v>
          </cell>
        </row>
        <row r="13761">
          <cell r="O13761" t="str">
            <v>SC2402SO-N</v>
          </cell>
          <cell r="P13761" t="str">
            <v>STC9902J</v>
          </cell>
          <cell r="Q13761" t="str">
            <v>磁性位置传感器</v>
          </cell>
        </row>
        <row r="13762">
          <cell r="O13762" t="str">
            <v>SC2402SO-N</v>
          </cell>
          <cell r="P13762" t="str">
            <v>STC9902J</v>
          </cell>
          <cell r="Q13762" t="str">
            <v>磁性位置传感器</v>
          </cell>
        </row>
        <row r="13763">
          <cell r="O13763" t="str">
            <v>2100</v>
          </cell>
          <cell r="P13763" t="str">
            <v>STC9D03E</v>
          </cell>
          <cell r="Q13763" t="str">
            <v>电流传感器</v>
          </cell>
        </row>
        <row r="13764">
          <cell r="O13764" t="str">
            <v>2100</v>
          </cell>
          <cell r="P13764" t="str">
            <v>STC9D03E</v>
          </cell>
          <cell r="Q13764" t="str">
            <v>电流传感器</v>
          </cell>
        </row>
        <row r="13765">
          <cell r="O13765" t="str">
            <v>2100</v>
          </cell>
          <cell r="P13765" t="str">
            <v>STC9D03E</v>
          </cell>
          <cell r="Q13765" t="str">
            <v>电流传感器</v>
          </cell>
        </row>
        <row r="13766">
          <cell r="O13766" t="str">
            <v>2100</v>
          </cell>
          <cell r="P13766" t="str">
            <v>STC9D03E</v>
          </cell>
          <cell r="Q13766" t="str">
            <v>电流传感器</v>
          </cell>
        </row>
        <row r="13767">
          <cell r="O13767" t="str">
            <v>2100</v>
          </cell>
          <cell r="P13767" t="str">
            <v>STC9D03E</v>
          </cell>
          <cell r="Q13767" t="str">
            <v>电流传感器</v>
          </cell>
        </row>
        <row r="13768">
          <cell r="O13768" t="str">
            <v>SC9641TS-P</v>
          </cell>
          <cell r="P13768" t="str">
            <v>STC9A001F</v>
          </cell>
          <cell r="Q13768" t="str">
            <v>速度传感器</v>
          </cell>
        </row>
        <row r="13769">
          <cell r="O13769" t="str">
            <v>SC9641TS-P</v>
          </cell>
          <cell r="P13769" t="str">
            <v>STC9A001F</v>
          </cell>
          <cell r="Q13769" t="str">
            <v>速度传感器</v>
          </cell>
        </row>
        <row r="13770">
          <cell r="O13770" t="str">
            <v>SC9314UA</v>
          </cell>
          <cell r="P13770" t="str">
            <v>STC9901AF</v>
          </cell>
          <cell r="Q13770" t="str">
            <v>速度传感器</v>
          </cell>
        </row>
        <row r="13771">
          <cell r="O13771" t="str">
            <v>SC1445A1</v>
          </cell>
          <cell r="P13771" t="str">
            <v>STC2899AB</v>
          </cell>
          <cell r="Q13771" t="str">
            <v>磁性位置传感器</v>
          </cell>
        </row>
        <row r="13772">
          <cell r="O13772" t="str">
            <v>SC9314UA</v>
          </cell>
          <cell r="P13772" t="str">
            <v>STC9901AF</v>
          </cell>
          <cell r="Q13772" t="str">
            <v>速度传感器</v>
          </cell>
        </row>
        <row r="13773">
          <cell r="O13773" t="str">
            <v>SC9314UA</v>
          </cell>
          <cell r="P13773" t="str">
            <v>STC9901AF</v>
          </cell>
          <cell r="Q13773" t="str">
            <v>速度传感器</v>
          </cell>
        </row>
        <row r="13774">
          <cell r="O13774" t="str">
            <v>SC9314UA</v>
          </cell>
          <cell r="P13774" t="str">
            <v>STC9901AF</v>
          </cell>
          <cell r="Q13774" t="str">
            <v>速度传感器</v>
          </cell>
        </row>
        <row r="13775">
          <cell r="O13775" t="str">
            <v>SC9314UA</v>
          </cell>
          <cell r="P13775" t="str">
            <v>STC9901AF</v>
          </cell>
          <cell r="Q13775" t="str">
            <v>速度传感器</v>
          </cell>
        </row>
        <row r="13776">
          <cell r="O13776" t="str">
            <v>SC9314UA</v>
          </cell>
          <cell r="P13776" t="str">
            <v>STC9901AF</v>
          </cell>
          <cell r="Q13776" t="str">
            <v>速度传感器</v>
          </cell>
        </row>
        <row r="13777">
          <cell r="O13777" t="str">
            <v>SC9625VB-L</v>
          </cell>
          <cell r="P13777" t="str">
            <v>STC9910E</v>
          </cell>
          <cell r="Q13777" t="str">
            <v>速度传感器</v>
          </cell>
        </row>
        <row r="13778">
          <cell r="O13778" t="str">
            <v>SC9625VB-L</v>
          </cell>
          <cell r="P13778" t="str">
            <v>STC9910E</v>
          </cell>
          <cell r="Q13778" t="str">
            <v>速度传感器</v>
          </cell>
        </row>
        <row r="13779">
          <cell r="O13779" t="str">
            <v>SC9634VB</v>
          </cell>
          <cell r="P13779" t="str">
            <v>STC9905G</v>
          </cell>
          <cell r="Q13779" t="str">
            <v>速度传感器</v>
          </cell>
        </row>
        <row r="13780">
          <cell r="O13780" t="str">
            <v>SC9634VB</v>
          </cell>
          <cell r="P13780" t="str">
            <v>STC9905G</v>
          </cell>
          <cell r="Q13780" t="str">
            <v>速度传感器</v>
          </cell>
        </row>
        <row r="13781">
          <cell r="O13781" t="str">
            <v>SC2402SO-N</v>
          </cell>
          <cell r="P13781" t="str">
            <v>STC9H001A</v>
          </cell>
          <cell r="Q13781" t="str">
            <v>磁性位置传感器</v>
          </cell>
        </row>
        <row r="13782">
          <cell r="O13782" t="str">
            <v>SC9625VB</v>
          </cell>
          <cell r="P13782" t="str">
            <v>STC9910B</v>
          </cell>
          <cell r="Q13782" t="str">
            <v>速度传感器</v>
          </cell>
        </row>
        <row r="13783">
          <cell r="O13783" t="str">
            <v>SC4688SA</v>
          </cell>
          <cell r="P13783" t="str">
            <v>STC9D01C</v>
          </cell>
          <cell r="Q13783" t="str">
            <v>角度传感器</v>
          </cell>
        </row>
        <row r="13784">
          <cell r="O13784" t="str">
            <v>SC69401</v>
          </cell>
          <cell r="P13784" t="str">
            <v>STC9H002D</v>
          </cell>
          <cell r="Q13784" t="str">
            <v>角度传感器</v>
          </cell>
        </row>
        <row r="13785">
          <cell r="O13785" t="str">
            <v>SC9625VB</v>
          </cell>
          <cell r="P13785" t="str">
            <v>STC9910B</v>
          </cell>
          <cell r="Q13785" t="str">
            <v>速度传感器</v>
          </cell>
        </row>
        <row r="13786">
          <cell r="O13786" t="str">
            <v>SC9625VB</v>
          </cell>
          <cell r="P13786" t="str">
            <v>STC9910B</v>
          </cell>
          <cell r="Q13786" t="str">
            <v>速度传感器</v>
          </cell>
        </row>
        <row r="13787">
          <cell r="O13787" t="str">
            <v>ZH6531</v>
          </cell>
          <cell r="P13787" t="str">
            <v>ZH6531</v>
          </cell>
          <cell r="Q13787" t="str">
            <v>电机驱动</v>
          </cell>
        </row>
        <row r="13788">
          <cell r="O13788" t="str">
            <v>SC9641TS</v>
          </cell>
          <cell r="P13788" t="str">
            <v>STC9910BN</v>
          </cell>
          <cell r="Q13788" t="str">
            <v>速度传感器</v>
          </cell>
        </row>
        <row r="13789">
          <cell r="O13789" t="str">
            <v>SC6022X编程器</v>
          </cell>
          <cell r="P13789" t="str">
            <v xml:space="preserve"> </v>
          </cell>
          <cell r="Q13789" t="str">
            <v>电机编码器</v>
          </cell>
        </row>
        <row r="13790">
          <cell r="O13790" t="str">
            <v>SC60228DC</v>
          </cell>
          <cell r="P13790" t="str">
            <v>STC9D04C</v>
          </cell>
          <cell r="Q13790" t="str">
            <v>电机编码器</v>
          </cell>
        </row>
        <row r="13791">
          <cell r="O13791" t="str">
            <v>SC9632VB</v>
          </cell>
          <cell r="P13791" t="str">
            <v>STC9905E</v>
          </cell>
          <cell r="Q13791" t="str">
            <v>速度传感器</v>
          </cell>
        </row>
        <row r="13792">
          <cell r="O13792" t="str">
            <v>SC2443UA</v>
          </cell>
          <cell r="P13792" t="str">
            <v>STC9906G</v>
          </cell>
          <cell r="Q13792" t="str">
            <v>磁性位置传感器</v>
          </cell>
        </row>
        <row r="13793">
          <cell r="O13793" t="str">
            <v>SC2443UA</v>
          </cell>
          <cell r="P13793" t="str">
            <v>STC9906G</v>
          </cell>
          <cell r="Q13793" t="str">
            <v>磁性位置传感器</v>
          </cell>
        </row>
        <row r="13794">
          <cell r="O13794" t="str">
            <v>SC2443SO</v>
          </cell>
          <cell r="P13794" t="str">
            <v>STC9906T</v>
          </cell>
          <cell r="Q13794" t="str">
            <v>磁性位置传感器</v>
          </cell>
        </row>
        <row r="13795">
          <cell r="O13795" t="str">
            <v>SC2464SO</v>
          </cell>
          <cell r="P13795" t="str">
            <v>STC9906J</v>
          </cell>
          <cell r="Q13795" t="str">
            <v>磁性位置传感器</v>
          </cell>
        </row>
        <row r="13796">
          <cell r="O13796" t="str">
            <v>SC2442UA</v>
          </cell>
          <cell r="P13796" t="str">
            <v>STC9906P</v>
          </cell>
          <cell r="Q13796" t="str">
            <v>磁性位置传感器</v>
          </cell>
        </row>
        <row r="13797">
          <cell r="O13797" t="str">
            <v>SC2063SO</v>
          </cell>
          <cell r="P13797" t="str">
            <v>STC9G001C</v>
          </cell>
          <cell r="Q13797" t="str">
            <v>磁性位置传感器</v>
          </cell>
        </row>
        <row r="13798">
          <cell r="O13798" t="str">
            <v>SC2063UA</v>
          </cell>
          <cell r="P13798" t="str">
            <v>STC9G001C</v>
          </cell>
          <cell r="Q13798" t="str">
            <v>磁性位置传感器</v>
          </cell>
        </row>
        <row r="13799">
          <cell r="O13799" t="str">
            <v>SC4002BU</v>
          </cell>
          <cell r="P13799" t="str">
            <v>STC4000AA</v>
          </cell>
          <cell r="Q13799" t="str">
            <v>磁性位置传感器</v>
          </cell>
        </row>
        <row r="13800">
          <cell r="O13800" t="str">
            <v>SC4002BU</v>
          </cell>
          <cell r="P13800" t="str">
            <v>STC4000AA</v>
          </cell>
          <cell r="Q13800" t="str">
            <v>磁性位置传感器</v>
          </cell>
        </row>
        <row r="13801">
          <cell r="O13801" t="str">
            <v>SC4002BU</v>
          </cell>
          <cell r="P13801" t="str">
            <v>STC4000AA</v>
          </cell>
          <cell r="Q13801" t="str">
            <v>磁性位置传感器</v>
          </cell>
        </row>
        <row r="13802">
          <cell r="O13802" t="str">
            <v>SC2464SO</v>
          </cell>
          <cell r="P13802" t="str">
            <v>STC9906J</v>
          </cell>
          <cell r="Q13802" t="str">
            <v>磁性位置传感器</v>
          </cell>
        </row>
        <row r="13803">
          <cell r="O13803" t="str">
            <v>SC9641TS-PC</v>
          </cell>
          <cell r="P13803" t="str">
            <v>STC9A001I</v>
          </cell>
          <cell r="Q13803" t="str">
            <v>速度传感器</v>
          </cell>
        </row>
        <row r="13804">
          <cell r="O13804" t="str">
            <v>SC9641TS-PC</v>
          </cell>
          <cell r="P13804" t="str">
            <v>STC9A001I</v>
          </cell>
          <cell r="Q13804" t="str">
            <v>速度传感器</v>
          </cell>
        </row>
        <row r="13805">
          <cell r="O13805" t="str">
            <v>SC9641TS-PC</v>
          </cell>
          <cell r="P13805" t="str">
            <v>STC9A001I</v>
          </cell>
          <cell r="Q13805" t="str">
            <v>速度传感器</v>
          </cell>
        </row>
        <row r="13806">
          <cell r="O13806" t="str">
            <v>SC9641TS-PC</v>
          </cell>
          <cell r="P13806" t="str">
            <v>STC9A001I</v>
          </cell>
          <cell r="Q13806" t="str">
            <v>速度传感器</v>
          </cell>
        </row>
        <row r="13807">
          <cell r="O13807" t="str">
            <v>SC9641TS-PC</v>
          </cell>
          <cell r="P13807" t="str">
            <v>STC9A001I</v>
          </cell>
          <cell r="Q13807" t="str">
            <v>速度传感器</v>
          </cell>
        </row>
        <row r="13808">
          <cell r="O13808" t="str">
            <v>SC2498UA-N</v>
          </cell>
          <cell r="P13808" t="str">
            <v>SC9915C</v>
          </cell>
          <cell r="Q13808" t="str">
            <v>磁性位置传感器</v>
          </cell>
        </row>
        <row r="13809">
          <cell r="O13809" t="str">
            <v>SC2498UA-N</v>
          </cell>
          <cell r="P13809" t="str">
            <v>SC9915C</v>
          </cell>
          <cell r="Q13809" t="str">
            <v>磁性位置传感器</v>
          </cell>
        </row>
        <row r="13810">
          <cell r="O13810" t="str">
            <v>SC2498UA-N</v>
          </cell>
          <cell r="P13810" t="str">
            <v>SC9915C</v>
          </cell>
          <cell r="Q13810" t="str">
            <v>磁性位置传感器</v>
          </cell>
        </row>
        <row r="13811">
          <cell r="O13811" t="str">
            <v>SC2498UA-N</v>
          </cell>
          <cell r="P13811" t="str">
            <v>SC9915C</v>
          </cell>
          <cell r="Q13811" t="str">
            <v>磁性位置传感器</v>
          </cell>
        </row>
        <row r="13812">
          <cell r="O13812" t="str">
            <v>SC9314UA</v>
          </cell>
          <cell r="P13812" t="str">
            <v>STC9901AF</v>
          </cell>
          <cell r="Q13812" t="str">
            <v>速度传感器</v>
          </cell>
        </row>
        <row r="13813">
          <cell r="O13813" t="str">
            <v>SC9314UA</v>
          </cell>
          <cell r="P13813" t="str">
            <v>STC9901AF</v>
          </cell>
          <cell r="Q13813" t="str">
            <v>速度传感器</v>
          </cell>
        </row>
        <row r="13814">
          <cell r="O13814" t="str">
            <v>SC9314UA</v>
          </cell>
          <cell r="P13814" t="str">
            <v>STC9901AF</v>
          </cell>
          <cell r="Q13814" t="str">
            <v>速度传感器</v>
          </cell>
        </row>
        <row r="13815">
          <cell r="O13815" t="str">
            <v>SC60340</v>
          </cell>
          <cell r="P13815" t="str">
            <v>STC9D05C</v>
          </cell>
          <cell r="Q13815" t="str">
            <v>电机编码器</v>
          </cell>
        </row>
        <row r="13816">
          <cell r="O13816" t="str">
            <v>SC2464SO</v>
          </cell>
          <cell r="P13816" t="str">
            <v>STC9906J</v>
          </cell>
          <cell r="Q13816" t="str">
            <v>磁性位置传感器</v>
          </cell>
        </row>
        <row r="13817">
          <cell r="O13817" t="str">
            <v>SC1645A1</v>
          </cell>
          <cell r="P13817" t="str">
            <v>STC2899AE</v>
          </cell>
          <cell r="Q13817" t="str">
            <v>磁性位置传感器</v>
          </cell>
        </row>
        <row r="13818">
          <cell r="O13818" t="str">
            <v>SC1645A1</v>
          </cell>
          <cell r="P13818" t="str">
            <v>STC2899AE</v>
          </cell>
          <cell r="Q13818" t="str">
            <v>磁性位置传感器</v>
          </cell>
        </row>
        <row r="13819">
          <cell r="O13819" t="str">
            <v>SC1645A1</v>
          </cell>
          <cell r="P13819" t="str">
            <v>STC2899AE</v>
          </cell>
          <cell r="Q13819" t="str">
            <v>磁性位置传感器</v>
          </cell>
        </row>
        <row r="13820">
          <cell r="O13820" t="str">
            <v>SC2448SO</v>
          </cell>
          <cell r="P13820" t="str">
            <v>STC9906S</v>
          </cell>
          <cell r="Q13820" t="str">
            <v>磁性位置传感器</v>
          </cell>
        </row>
        <row r="13821">
          <cell r="O13821" t="str">
            <v>SC2448SO</v>
          </cell>
          <cell r="P13821" t="str">
            <v>STC9906S</v>
          </cell>
          <cell r="Q13821" t="str">
            <v>磁性位置传感器</v>
          </cell>
        </row>
        <row r="13822">
          <cell r="O13822" t="str">
            <v>SC9634VB</v>
          </cell>
          <cell r="P13822" t="str">
            <v>STC9905G</v>
          </cell>
          <cell r="Q13822" t="str">
            <v>速度传感器</v>
          </cell>
        </row>
        <row r="13823">
          <cell r="O13823" t="str">
            <v>SC4011SO-N</v>
          </cell>
          <cell r="P13823" t="str">
            <v>STC4011B</v>
          </cell>
          <cell r="Q13823" t="str">
            <v>磁性位置传感器</v>
          </cell>
        </row>
        <row r="13824">
          <cell r="O13824" t="str">
            <v>SC4011SO-N</v>
          </cell>
          <cell r="P13824" t="str">
            <v>STC4011B</v>
          </cell>
          <cell r="Q13824" t="str">
            <v>磁性位置传感器</v>
          </cell>
        </row>
        <row r="13825">
          <cell r="O13825" t="str">
            <v>SC4011SO-N</v>
          </cell>
          <cell r="P13825" t="str">
            <v>STC4011B</v>
          </cell>
          <cell r="Q13825" t="str">
            <v>磁性位置传感器</v>
          </cell>
        </row>
        <row r="13826">
          <cell r="O13826" t="str">
            <v>SC4011SO-N</v>
          </cell>
          <cell r="P13826" t="str">
            <v>STC4011B</v>
          </cell>
          <cell r="Q13826" t="str">
            <v>磁性位置传感器</v>
          </cell>
        </row>
        <row r="13827">
          <cell r="O13827" t="str">
            <v>SC4011SO-N</v>
          </cell>
          <cell r="P13827" t="str">
            <v>STC4011B</v>
          </cell>
          <cell r="Q13827" t="str">
            <v>磁性位置传感器</v>
          </cell>
        </row>
        <row r="13828">
          <cell r="O13828" t="str">
            <v>SC4011SO-N</v>
          </cell>
          <cell r="P13828" t="str">
            <v>STC4011B</v>
          </cell>
          <cell r="Q13828" t="str">
            <v>磁性位置传感器</v>
          </cell>
        </row>
        <row r="13829">
          <cell r="O13829" t="str">
            <v>SC2455SO</v>
          </cell>
          <cell r="P13829" t="str">
            <v>STC9906K</v>
          </cell>
          <cell r="Q13829" t="str">
            <v>磁性位置传感器</v>
          </cell>
        </row>
        <row r="13830">
          <cell r="O13830" t="str">
            <v>SC4011SO-N</v>
          </cell>
          <cell r="P13830" t="str">
            <v>STC4011B</v>
          </cell>
          <cell r="Q13830" t="str">
            <v>磁性位置传感器</v>
          </cell>
        </row>
        <row r="13831">
          <cell r="O13831" t="str">
            <v>SC4624SP50B5</v>
          </cell>
          <cell r="P13831" t="str">
            <v>STC9D06F</v>
          </cell>
          <cell r="Q13831" t="str">
            <v>电流传感器</v>
          </cell>
        </row>
        <row r="13832">
          <cell r="O13832" t="str">
            <v>SC2064SO</v>
          </cell>
          <cell r="P13832" t="str">
            <v>STC9G001C</v>
          </cell>
          <cell r="Q13832" t="str">
            <v>磁性位置传感器</v>
          </cell>
        </row>
        <row r="13833">
          <cell r="O13833" t="str">
            <v>SC4011SO-N</v>
          </cell>
          <cell r="P13833" t="str">
            <v>STC4011B</v>
          </cell>
          <cell r="Q13833" t="str">
            <v>磁性位置传感器</v>
          </cell>
        </row>
        <row r="13834">
          <cell r="O13834" t="str">
            <v>SC4011SO-N</v>
          </cell>
          <cell r="P13834" t="str">
            <v>STC4011B</v>
          </cell>
          <cell r="Q13834" t="str">
            <v>磁性位置传感器</v>
          </cell>
        </row>
        <row r="13835">
          <cell r="O13835" t="str">
            <v>SC4011SO-N</v>
          </cell>
          <cell r="P13835" t="str">
            <v>STC4011B</v>
          </cell>
          <cell r="Q13835" t="str">
            <v>磁性位置传感器</v>
          </cell>
        </row>
        <row r="13836">
          <cell r="O13836" t="str">
            <v>SC4011SO-N</v>
          </cell>
          <cell r="P13836" t="str">
            <v>STC4011B</v>
          </cell>
          <cell r="Q13836" t="str">
            <v>磁性位置传感器</v>
          </cell>
        </row>
        <row r="13837">
          <cell r="O13837" t="str">
            <v>SC4011SO-N</v>
          </cell>
          <cell r="P13837" t="str">
            <v>STC4011B</v>
          </cell>
          <cell r="Q13837" t="str">
            <v>磁性位置传感器</v>
          </cell>
        </row>
        <row r="13838">
          <cell r="O13838" t="str">
            <v>SC9625VB</v>
          </cell>
          <cell r="P13838" t="str">
            <v>STC9910B</v>
          </cell>
          <cell r="Q13838" t="str">
            <v>速度传感器</v>
          </cell>
        </row>
        <row r="13839">
          <cell r="O13839" t="str">
            <v>SC243XSO-118113</v>
          </cell>
          <cell r="P13839" t="str">
            <v>STC9906M</v>
          </cell>
          <cell r="Q13839" t="str">
            <v>磁性位置传感器</v>
          </cell>
        </row>
        <row r="13840">
          <cell r="O13840" t="str">
            <v>SC243XSO-118113</v>
          </cell>
          <cell r="P13840" t="str">
            <v>STC9906M</v>
          </cell>
          <cell r="Q13840" t="str">
            <v>磁性位置传感器</v>
          </cell>
        </row>
        <row r="13841">
          <cell r="O13841" t="str">
            <v>SC2448SO</v>
          </cell>
          <cell r="P13841" t="str">
            <v>STC9906S</v>
          </cell>
          <cell r="Q13841" t="str">
            <v>磁性位置传感器</v>
          </cell>
        </row>
        <row r="13842">
          <cell r="O13842" t="str">
            <v>SC60224-D-1000</v>
          </cell>
          <cell r="P13842" t="str">
            <v>STC9D04C</v>
          </cell>
          <cell r="Q13842" t="str">
            <v>电机编码器</v>
          </cell>
        </row>
        <row r="13843">
          <cell r="O13843" t="str">
            <v>SC2063SO</v>
          </cell>
          <cell r="P13843" t="str">
            <v>STC9G001C</v>
          </cell>
          <cell r="Q13843" t="str">
            <v>磁性位置传感器</v>
          </cell>
        </row>
        <row r="13844">
          <cell r="O13844" t="str">
            <v>SC1134SO-N</v>
          </cell>
          <cell r="P13844" t="str">
            <v>STC1898AI</v>
          </cell>
          <cell r="Q13844" t="str">
            <v>磁性位置传感器</v>
          </cell>
        </row>
        <row r="13845">
          <cell r="O13845" t="str">
            <v>SC2443SO</v>
          </cell>
          <cell r="P13845" t="str">
            <v>STC9906T</v>
          </cell>
          <cell r="Q13845" t="str">
            <v>磁性位置传感器</v>
          </cell>
        </row>
        <row r="13846">
          <cell r="O13846" t="str">
            <v>SC9625VB</v>
          </cell>
          <cell r="P13846" t="str">
            <v>STC9910B</v>
          </cell>
          <cell r="Q13846" t="str">
            <v>速度传感器</v>
          </cell>
        </row>
        <row r="13847">
          <cell r="O13847" t="str">
            <v>SC9632VB</v>
          </cell>
          <cell r="P13847" t="str">
            <v>STC9905E</v>
          </cell>
          <cell r="Q13847" t="str">
            <v>速度传感器</v>
          </cell>
        </row>
        <row r="13848">
          <cell r="O13848" t="str">
            <v>SC9632VB</v>
          </cell>
          <cell r="P13848" t="str">
            <v>STC9905E</v>
          </cell>
          <cell r="Q13848" t="str">
            <v>速度传感器</v>
          </cell>
        </row>
        <row r="13849">
          <cell r="O13849" t="str">
            <v>SC2442SO-N</v>
          </cell>
          <cell r="P13849" t="str">
            <v>STC9906P</v>
          </cell>
          <cell r="Q13849" t="str">
            <v>磁性位置传感器</v>
          </cell>
        </row>
        <row r="13850">
          <cell r="O13850" t="str">
            <v>SC2442SO-N</v>
          </cell>
          <cell r="P13850" t="str">
            <v>STC9906P</v>
          </cell>
          <cell r="Q13850" t="str">
            <v>磁性位置传感器</v>
          </cell>
        </row>
        <row r="13851">
          <cell r="O13851" t="str">
            <v>SC2402SO-N</v>
          </cell>
          <cell r="P13851" t="str">
            <v>STC9902J</v>
          </cell>
          <cell r="Q13851" t="str">
            <v>磁性位置传感器</v>
          </cell>
        </row>
        <row r="13852">
          <cell r="O13852" t="str">
            <v>SC4011SO-N</v>
          </cell>
          <cell r="P13852" t="str">
            <v>STC4011B</v>
          </cell>
          <cell r="Q13852" t="str">
            <v>磁性位置传感器</v>
          </cell>
        </row>
        <row r="13853">
          <cell r="O13853" t="str">
            <v>SC4011SO-N</v>
          </cell>
          <cell r="P13853" t="str">
            <v>STC4011B</v>
          </cell>
          <cell r="Q13853" t="str">
            <v>磁性位置传感器</v>
          </cell>
        </row>
        <row r="13854">
          <cell r="O13854" t="str">
            <v>SC4011SO-N</v>
          </cell>
          <cell r="P13854" t="str">
            <v>STC4011B</v>
          </cell>
          <cell r="Q13854" t="str">
            <v>磁性位置传感器</v>
          </cell>
        </row>
        <row r="13855">
          <cell r="O13855" t="str">
            <v>SC4011SO-N</v>
          </cell>
          <cell r="P13855" t="str">
            <v>STC4011B</v>
          </cell>
          <cell r="Q13855" t="str">
            <v>磁性位置传感器</v>
          </cell>
        </row>
        <row r="13856">
          <cell r="O13856" t="str">
            <v>SC9675IM-P-LRF00</v>
          </cell>
          <cell r="P13856" t="str">
            <v>STC9A002B</v>
          </cell>
          <cell r="Q13856" t="str">
            <v>速度传感器</v>
          </cell>
        </row>
        <row r="13857">
          <cell r="O13857" t="str">
            <v>SC9675IM-P-LRF00</v>
          </cell>
          <cell r="P13857" t="str">
            <v>STC9A002B</v>
          </cell>
          <cell r="Q13857" t="str">
            <v>速度传感器</v>
          </cell>
        </row>
        <row r="13858">
          <cell r="O13858" t="str">
            <v>SC9641TS-PC</v>
          </cell>
          <cell r="P13858" t="str">
            <v>STC9A001I</v>
          </cell>
          <cell r="Q13858" t="str">
            <v>速度传感器</v>
          </cell>
        </row>
        <row r="13859">
          <cell r="O13859" t="str">
            <v>SC9641TS-PC</v>
          </cell>
          <cell r="P13859" t="str">
            <v>STC9A001I</v>
          </cell>
          <cell r="Q13859" t="str">
            <v>速度传感器</v>
          </cell>
        </row>
        <row r="13860">
          <cell r="O13860" t="str">
            <v>SC9641TS-PC</v>
          </cell>
          <cell r="P13860" t="str">
            <v>STC9A001I</v>
          </cell>
          <cell r="Q13860" t="str">
            <v>速度传感器</v>
          </cell>
        </row>
        <row r="13861">
          <cell r="O13861" t="str">
            <v>SC9641TS-PC</v>
          </cell>
          <cell r="P13861" t="str">
            <v>STC9A001I</v>
          </cell>
          <cell r="Q13861" t="str">
            <v>速度传感器</v>
          </cell>
        </row>
        <row r="13862">
          <cell r="O13862" t="str">
            <v>SC243XSO-100095</v>
          </cell>
          <cell r="P13862" t="str">
            <v>STC9906M</v>
          </cell>
          <cell r="Q13862" t="str">
            <v>磁性位置传感器</v>
          </cell>
        </row>
        <row r="13863">
          <cell r="O13863" t="str">
            <v>SC2438SO</v>
          </cell>
          <cell r="P13863" t="str">
            <v>STC9906I</v>
          </cell>
          <cell r="Q13863" t="str">
            <v>磁性位置传感器</v>
          </cell>
        </row>
        <row r="13864">
          <cell r="O13864" t="str">
            <v>SC2438SO</v>
          </cell>
          <cell r="P13864" t="str">
            <v>STC9906I</v>
          </cell>
          <cell r="Q13864" t="str">
            <v>磁性位置传感器</v>
          </cell>
        </row>
        <row r="13865">
          <cell r="O13865" t="str">
            <v>SC2438SO</v>
          </cell>
          <cell r="P13865" t="str">
            <v>STC9906I</v>
          </cell>
          <cell r="Q13865" t="str">
            <v>磁性位置传感器</v>
          </cell>
        </row>
        <row r="13866">
          <cell r="O13866" t="str">
            <v>SC2438SO</v>
          </cell>
          <cell r="P13866" t="str">
            <v>STC9906I</v>
          </cell>
          <cell r="Q13866" t="str">
            <v>磁性位置传感器</v>
          </cell>
        </row>
        <row r="13867">
          <cell r="O13867" t="str">
            <v>SC2438SO</v>
          </cell>
          <cell r="P13867" t="str">
            <v>STC9906I</v>
          </cell>
          <cell r="Q13867" t="str">
            <v>磁性位置传感器</v>
          </cell>
        </row>
        <row r="13868">
          <cell r="O13868" t="str">
            <v>SC2430UA</v>
          </cell>
          <cell r="P13868" t="str">
            <v>STC9906I</v>
          </cell>
          <cell r="Q13868" t="str">
            <v>磁性位置传感器</v>
          </cell>
        </row>
        <row r="13869">
          <cell r="O13869" t="str">
            <v>SC2434UA</v>
          </cell>
          <cell r="P13869" t="str">
            <v>STC9906I</v>
          </cell>
          <cell r="Q13869" t="str">
            <v>磁性位置传感器</v>
          </cell>
        </row>
        <row r="13870">
          <cell r="O13870" t="str">
            <v>SC60221-D-360</v>
          </cell>
          <cell r="P13870" t="str">
            <v>STC9D04C</v>
          </cell>
          <cell r="Q13870" t="str">
            <v>电机编码器</v>
          </cell>
        </row>
        <row r="13871">
          <cell r="O13871" t="str">
            <v>SC2438SO</v>
          </cell>
          <cell r="P13871" t="str">
            <v>STC9906I</v>
          </cell>
          <cell r="Q13871" t="str">
            <v>磁性位置传感器</v>
          </cell>
        </row>
        <row r="13872">
          <cell r="O13872" t="str">
            <v>SC2438SO</v>
          </cell>
          <cell r="P13872" t="str">
            <v>STC9906I</v>
          </cell>
          <cell r="Q13872" t="str">
            <v>磁性位置传感器</v>
          </cell>
        </row>
        <row r="13873">
          <cell r="O13873" t="str">
            <v>SC2438SO</v>
          </cell>
          <cell r="P13873" t="str">
            <v>STC9906I</v>
          </cell>
          <cell r="Q13873" t="str">
            <v>磁性位置传感器</v>
          </cell>
        </row>
        <row r="13874">
          <cell r="O13874" t="str">
            <v>SC1009A1B12</v>
          </cell>
          <cell r="P13874" t="str">
            <v>STC1009C</v>
          </cell>
          <cell r="Q13874" t="str">
            <v>磁性位置传感器</v>
          </cell>
        </row>
        <row r="13875">
          <cell r="O13875" t="str">
            <v>SC1009A1B12</v>
          </cell>
          <cell r="P13875" t="str">
            <v>STC1009C</v>
          </cell>
          <cell r="Q13875" t="str">
            <v>磁性位置传感器</v>
          </cell>
        </row>
        <row r="13876">
          <cell r="O13876" t="str">
            <v>SC1009A1B12</v>
          </cell>
          <cell r="P13876" t="str">
            <v>STC1009C</v>
          </cell>
          <cell r="Q13876" t="str">
            <v>磁性位置传感器</v>
          </cell>
        </row>
        <row r="13877">
          <cell r="O13877" t="str">
            <v>SC1009A1B12</v>
          </cell>
          <cell r="P13877" t="str">
            <v>STC1009C</v>
          </cell>
          <cell r="Q13877" t="str">
            <v>磁性位置传感器</v>
          </cell>
        </row>
        <row r="13878">
          <cell r="O13878" t="str">
            <v>SC2442UA</v>
          </cell>
          <cell r="P13878" t="str">
            <v>STC9906P</v>
          </cell>
          <cell r="Q13878" t="str">
            <v>磁性位置传感器</v>
          </cell>
        </row>
        <row r="13879">
          <cell r="O13879" t="str">
            <v>SC2442UA</v>
          </cell>
          <cell r="P13879" t="str">
            <v>STC9906P</v>
          </cell>
          <cell r="Q13879" t="str">
            <v>磁性位置传感器</v>
          </cell>
        </row>
        <row r="13880">
          <cell r="O13880" t="str">
            <v>SC2442UA</v>
          </cell>
          <cell r="P13880" t="str">
            <v>STC9906P</v>
          </cell>
          <cell r="Q13880" t="str">
            <v>磁性位置传感器</v>
          </cell>
        </row>
        <row r="13881">
          <cell r="O13881" t="str">
            <v>SC2402SO-N</v>
          </cell>
          <cell r="P13881" t="str">
            <v>STC9H001A</v>
          </cell>
          <cell r="Q13881" t="str">
            <v>磁性位置传感器</v>
          </cell>
        </row>
        <row r="13882">
          <cell r="O13882" t="str">
            <v>SC2402SO-N</v>
          </cell>
          <cell r="P13882" t="str">
            <v>STC9H001A</v>
          </cell>
          <cell r="Q13882" t="str">
            <v>磁性位置传感器</v>
          </cell>
        </row>
        <row r="13883">
          <cell r="O13883" t="str">
            <v>SC1445A1</v>
          </cell>
          <cell r="P13883" t="str">
            <v>STC2899AB</v>
          </cell>
          <cell r="Q13883" t="str">
            <v>磁性位置传感器</v>
          </cell>
        </row>
        <row r="13884">
          <cell r="O13884" t="str">
            <v>SC4011SO-N</v>
          </cell>
          <cell r="P13884" t="str">
            <v>STC4011B</v>
          </cell>
          <cell r="Q13884" t="str">
            <v>磁性位置传感器</v>
          </cell>
        </row>
        <row r="13885">
          <cell r="O13885" t="str">
            <v>SC2033SO-N</v>
          </cell>
          <cell r="P13885" t="str">
            <v>STC9G001D</v>
          </cell>
          <cell r="Q13885" t="str">
            <v>磁性位置传感器</v>
          </cell>
        </row>
        <row r="13886">
          <cell r="O13886" t="str">
            <v>KH276</v>
          </cell>
          <cell r="P13886" t="str">
            <v>FD1014A</v>
          </cell>
          <cell r="Q13886" t="str">
            <v>电机驱动</v>
          </cell>
        </row>
        <row r="13887">
          <cell r="O13887" t="str">
            <v>KH276</v>
          </cell>
          <cell r="P13887" t="str">
            <v>FD1014A</v>
          </cell>
          <cell r="Q13887" t="str">
            <v>电机驱动</v>
          </cell>
        </row>
        <row r="13888">
          <cell r="O13888" t="str">
            <v>KH477ST4-G</v>
          </cell>
          <cell r="P13888" t="str">
            <v>STC22304B</v>
          </cell>
          <cell r="Q13888" t="str">
            <v>电机驱动</v>
          </cell>
        </row>
        <row r="13889">
          <cell r="O13889" t="str">
            <v>SC2462UA</v>
          </cell>
          <cell r="P13889" t="str">
            <v>STC9906J</v>
          </cell>
          <cell r="Q13889" t="str">
            <v>磁性位置传感器</v>
          </cell>
        </row>
        <row r="13890">
          <cell r="O13890" t="str">
            <v>2100S</v>
          </cell>
          <cell r="P13890" t="str">
            <v>STC9D03E</v>
          </cell>
          <cell r="Q13890" t="str">
            <v>电流传感器</v>
          </cell>
        </row>
        <row r="13891">
          <cell r="O13891" t="str">
            <v>2100S</v>
          </cell>
          <cell r="P13891" t="str">
            <v>STC9D03E</v>
          </cell>
          <cell r="Q13891" t="str">
            <v>电流传感器</v>
          </cell>
        </row>
        <row r="13892">
          <cell r="O13892" t="str">
            <v>SC9314UA</v>
          </cell>
          <cell r="P13892" t="str">
            <v>STC9901AF</v>
          </cell>
          <cell r="Q13892" t="str">
            <v>速度传感器</v>
          </cell>
        </row>
        <row r="13893">
          <cell r="O13893" t="str">
            <v>SC2402SO-N</v>
          </cell>
          <cell r="P13893" t="str">
            <v>STC9H001A</v>
          </cell>
          <cell r="Q13893" t="str">
            <v>磁性位置传感器</v>
          </cell>
        </row>
        <row r="13894">
          <cell r="O13894" t="str">
            <v>SC2402SO-N</v>
          </cell>
          <cell r="P13894" t="str">
            <v>STC9H001A</v>
          </cell>
          <cell r="Q13894" t="str">
            <v>磁性位置传感器</v>
          </cell>
        </row>
        <row r="13895">
          <cell r="O13895" t="str">
            <v>SC2402SO-N</v>
          </cell>
          <cell r="P13895" t="str">
            <v>STC9H001A</v>
          </cell>
          <cell r="Q13895" t="str">
            <v>磁性位置传感器</v>
          </cell>
        </row>
        <row r="13896">
          <cell r="O13896" t="str">
            <v>SC2402SO-N</v>
          </cell>
          <cell r="P13896" t="str">
            <v>STC9H001A</v>
          </cell>
          <cell r="Q13896" t="str">
            <v>磁性位置传感器</v>
          </cell>
        </row>
        <row r="13897">
          <cell r="O13897" t="str">
            <v>SC2402SO-N</v>
          </cell>
          <cell r="P13897" t="str">
            <v>STC9902J</v>
          </cell>
          <cell r="Q13897" t="str">
            <v>磁性位置传感器</v>
          </cell>
        </row>
        <row r="13898">
          <cell r="O13898" t="str">
            <v>SC2402SO-N</v>
          </cell>
          <cell r="P13898" t="str">
            <v>STC9902J</v>
          </cell>
          <cell r="Q13898" t="str">
            <v>磁性位置传感器</v>
          </cell>
        </row>
        <row r="13899">
          <cell r="O13899" t="str">
            <v>SC9641TS-P</v>
          </cell>
          <cell r="P13899" t="str">
            <v>STC9A001F</v>
          </cell>
          <cell r="Q13899" t="str">
            <v>速度传感器</v>
          </cell>
        </row>
        <row r="13900">
          <cell r="O13900" t="str">
            <v>SC9625VB-L</v>
          </cell>
          <cell r="P13900" t="str">
            <v>STC9910E</v>
          </cell>
          <cell r="Q13900" t="str">
            <v>速度传感器</v>
          </cell>
        </row>
        <row r="13901">
          <cell r="O13901" t="str">
            <v>SC2432UA</v>
          </cell>
          <cell r="P13901" t="str">
            <v>STC9906I</v>
          </cell>
          <cell r="Q13901" t="str">
            <v>磁性位置传感器</v>
          </cell>
        </row>
        <row r="13902">
          <cell r="O13902" t="str">
            <v>SC2432SO</v>
          </cell>
          <cell r="P13902" t="str">
            <v>STC9906I</v>
          </cell>
          <cell r="Q13902" t="str">
            <v>磁性位置传感器</v>
          </cell>
        </row>
        <row r="13903">
          <cell r="O13903" t="str">
            <v>SC2432SO</v>
          </cell>
          <cell r="P13903" t="str">
            <v>STC9906I</v>
          </cell>
          <cell r="Q13903" t="str">
            <v>磁性位置传感器</v>
          </cell>
        </row>
        <row r="13904">
          <cell r="O13904" t="str">
            <v>SC60221-D-400</v>
          </cell>
          <cell r="P13904" t="str">
            <v>STC9D04C</v>
          </cell>
          <cell r="Q13904" t="str">
            <v>电机编码器</v>
          </cell>
        </row>
        <row r="13905">
          <cell r="O13905" t="str">
            <v>SC2402UA</v>
          </cell>
          <cell r="P13905" t="str">
            <v>STC9902J</v>
          </cell>
          <cell r="Q13905" t="str">
            <v>磁性位置传感器</v>
          </cell>
        </row>
        <row r="13906">
          <cell r="O13906" t="str">
            <v>SC2432SO</v>
          </cell>
          <cell r="P13906" t="str">
            <v>STC9906I</v>
          </cell>
          <cell r="Q13906" t="str">
            <v>磁性位置传感器</v>
          </cell>
        </row>
        <row r="13907">
          <cell r="O13907" t="str">
            <v>SC9633VB</v>
          </cell>
          <cell r="P13907" t="str">
            <v>STC9905F</v>
          </cell>
          <cell r="Q13907" t="str">
            <v>速度传感器</v>
          </cell>
        </row>
        <row r="13908">
          <cell r="O13908" t="str">
            <v>SC9634VB</v>
          </cell>
          <cell r="P13908" t="str">
            <v>STC9905G</v>
          </cell>
          <cell r="Q13908" t="str">
            <v>速度传感器</v>
          </cell>
        </row>
        <row r="13909">
          <cell r="O13909" t="str">
            <v>SC9621VB</v>
          </cell>
          <cell r="P13909" t="str">
            <v>STC9910C</v>
          </cell>
          <cell r="Q13909" t="str">
            <v>速度传感器</v>
          </cell>
        </row>
        <row r="13910">
          <cell r="O13910" t="str">
            <v>SC69401</v>
          </cell>
          <cell r="P13910" t="str">
            <v>STC9H002D</v>
          </cell>
          <cell r="Q13910" t="str">
            <v>角度传感器</v>
          </cell>
        </row>
        <row r="13911">
          <cell r="O13911" t="str">
            <v>SC69401</v>
          </cell>
          <cell r="P13911" t="str">
            <v>STC9H002D</v>
          </cell>
          <cell r="Q13911" t="str">
            <v>角度传感器</v>
          </cell>
        </row>
        <row r="13912">
          <cell r="O13912" t="str">
            <v>SC69401</v>
          </cell>
          <cell r="P13912" t="str">
            <v>STC9H002D</v>
          </cell>
          <cell r="Q13912" t="str">
            <v>角度传感器</v>
          </cell>
        </row>
        <row r="13913">
          <cell r="O13913" t="str">
            <v>SC4011SO-N</v>
          </cell>
          <cell r="P13913" t="str">
            <v>STC4011B</v>
          </cell>
          <cell r="Q13913" t="str">
            <v>磁性位置传感器</v>
          </cell>
        </row>
        <row r="13914">
          <cell r="O13914" t="str">
            <v>SC4011SO-N</v>
          </cell>
          <cell r="P13914" t="str">
            <v>STC4011B</v>
          </cell>
          <cell r="Q13914" t="str">
            <v>磁性位置传感器</v>
          </cell>
        </row>
        <row r="13915">
          <cell r="O13915" t="str">
            <v>SC2434SO-N</v>
          </cell>
          <cell r="P13915" t="str">
            <v>STC9906I</v>
          </cell>
          <cell r="Q13915" t="str">
            <v>磁性位置传感器</v>
          </cell>
        </row>
        <row r="13916">
          <cell r="O13916" t="str">
            <v>PSTC9G001C</v>
          </cell>
          <cell r="P13916" t="str">
            <v>STC9G001C</v>
          </cell>
          <cell r="Q13916" t="str">
            <v>磁性位置传感器</v>
          </cell>
        </row>
        <row r="13917">
          <cell r="O13917" t="str">
            <v>SYLMV324BPD2R</v>
          </cell>
          <cell r="P13917" t="str">
            <v>STC9G003B</v>
          </cell>
          <cell r="Q13917" t="str">
            <v>其他数模混合</v>
          </cell>
        </row>
        <row r="13918">
          <cell r="O13918" t="str">
            <v>SC2432SO-N</v>
          </cell>
          <cell r="P13918" t="str">
            <v>STC9906I</v>
          </cell>
          <cell r="Q13918" t="str">
            <v>磁性位置传感器</v>
          </cell>
        </row>
        <row r="13919">
          <cell r="O13919" t="str">
            <v>SC2434SO-N</v>
          </cell>
          <cell r="P13919" t="str">
            <v>STC9906I</v>
          </cell>
          <cell r="Q13919" t="str">
            <v>磁性位置传感器</v>
          </cell>
        </row>
        <row r="13920">
          <cell r="O13920" t="str">
            <v>SC4011SO-N</v>
          </cell>
          <cell r="P13920" t="str">
            <v>STC4011B</v>
          </cell>
          <cell r="Q13920" t="str">
            <v>磁性位置传感器</v>
          </cell>
        </row>
        <row r="13921">
          <cell r="O13921" t="str">
            <v>SC4011SO-N</v>
          </cell>
          <cell r="P13921" t="str">
            <v>STC4011B</v>
          </cell>
          <cell r="Q13921" t="str">
            <v>磁性位置传感器</v>
          </cell>
        </row>
        <row r="13922">
          <cell r="O13922" t="str">
            <v>SC4011SO-N</v>
          </cell>
          <cell r="P13922" t="str">
            <v>STC4011B</v>
          </cell>
          <cell r="Q13922" t="str">
            <v>磁性位置传感器</v>
          </cell>
        </row>
        <row r="13923">
          <cell r="O13923" t="str">
            <v>SC4011SO-N</v>
          </cell>
          <cell r="P13923" t="str">
            <v>STC4011B</v>
          </cell>
          <cell r="Q13923" t="str">
            <v>磁性位置传感器</v>
          </cell>
        </row>
        <row r="13924">
          <cell r="O13924" t="str">
            <v>SC4011SO-N</v>
          </cell>
          <cell r="P13924" t="str">
            <v>STC4011B</v>
          </cell>
          <cell r="Q13924" t="str">
            <v>磁性位置传感器</v>
          </cell>
        </row>
        <row r="13925">
          <cell r="O13925" t="str">
            <v>SC4011SO-N</v>
          </cell>
          <cell r="P13925" t="str">
            <v>STC4011B</v>
          </cell>
          <cell r="Q13925" t="str">
            <v>磁性位置传感器</v>
          </cell>
        </row>
        <row r="13926">
          <cell r="O13926" t="str">
            <v>SC4011SO-N</v>
          </cell>
          <cell r="P13926" t="str">
            <v>STC4011B</v>
          </cell>
          <cell r="Q13926" t="str">
            <v>磁性位置传感器</v>
          </cell>
        </row>
        <row r="13927">
          <cell r="O13927" t="str">
            <v>SC4011SO-N</v>
          </cell>
          <cell r="P13927" t="str">
            <v>STC4011B</v>
          </cell>
          <cell r="Q13927" t="str">
            <v>磁性位置传感器</v>
          </cell>
        </row>
        <row r="13928">
          <cell r="O13928" t="str">
            <v>SC4011SO-N</v>
          </cell>
          <cell r="P13928" t="str">
            <v>STC4011B</v>
          </cell>
          <cell r="Q13928" t="str">
            <v>磁性位置传感器</v>
          </cell>
        </row>
        <row r="13929">
          <cell r="O13929" t="str">
            <v>SC4011SO-N</v>
          </cell>
          <cell r="P13929" t="str">
            <v>STC4011B</v>
          </cell>
          <cell r="Q13929" t="str">
            <v>磁性位置传感器</v>
          </cell>
        </row>
        <row r="13930">
          <cell r="O13930" t="str">
            <v>SC4011SO-N</v>
          </cell>
          <cell r="P13930" t="str">
            <v>STC4011B</v>
          </cell>
          <cell r="Q13930" t="str">
            <v>磁性位置传感器</v>
          </cell>
        </row>
        <row r="13931">
          <cell r="O13931" t="str">
            <v>SC4011SO-N</v>
          </cell>
          <cell r="P13931" t="str">
            <v>STC4011B</v>
          </cell>
          <cell r="Q13931" t="str">
            <v>磁性位置传感器</v>
          </cell>
        </row>
        <row r="13932">
          <cell r="O13932" t="str">
            <v>SC4011SO-N</v>
          </cell>
          <cell r="P13932" t="str">
            <v>STC4011B</v>
          </cell>
          <cell r="Q13932" t="str">
            <v>磁性位置传感器</v>
          </cell>
        </row>
        <row r="13933">
          <cell r="O13933" t="str">
            <v>SC4011SO-N</v>
          </cell>
          <cell r="P13933" t="str">
            <v>STC4011B</v>
          </cell>
          <cell r="Q13933" t="str">
            <v>磁性位置传感器</v>
          </cell>
        </row>
        <row r="13934">
          <cell r="O13934" t="str">
            <v>SC9625VB-L</v>
          </cell>
          <cell r="P13934" t="str">
            <v>STC9910E</v>
          </cell>
          <cell r="Q13934" t="str">
            <v>速度传感器</v>
          </cell>
        </row>
        <row r="13935">
          <cell r="O13935" t="str">
            <v>SC9675IM-P-HRF11</v>
          </cell>
          <cell r="P13935" t="str">
            <v>STC9A002B</v>
          </cell>
          <cell r="Q13935" t="str">
            <v>速度传感器</v>
          </cell>
        </row>
        <row r="13936">
          <cell r="O13936" t="str">
            <v>SC25791SE-A</v>
          </cell>
          <cell r="P13936" t="str">
            <v>STC11210G</v>
          </cell>
          <cell r="Q13936" t="str">
            <v>磁性位置传感器</v>
          </cell>
        </row>
        <row r="13937">
          <cell r="O13937" t="str">
            <v>3100</v>
          </cell>
          <cell r="P13937" t="str">
            <v>STC9D06G</v>
          </cell>
          <cell r="Q13937" t="str">
            <v>电流传感器</v>
          </cell>
        </row>
        <row r="13938">
          <cell r="O13938" t="str">
            <v>3100</v>
          </cell>
          <cell r="P13938" t="str">
            <v>STC9D06G</v>
          </cell>
          <cell r="Q13938" t="str">
            <v>电流传感器</v>
          </cell>
        </row>
        <row r="13939">
          <cell r="O13939" t="str">
            <v>3100</v>
          </cell>
          <cell r="P13939" t="str">
            <v>STC9D06G</v>
          </cell>
          <cell r="Q13939" t="str">
            <v>电流传感器</v>
          </cell>
        </row>
        <row r="13940">
          <cell r="O13940" t="str">
            <v>SC4011UA</v>
          </cell>
          <cell r="P13940" t="str">
            <v>STC4011B</v>
          </cell>
          <cell r="Q13940" t="str">
            <v>磁性位置传感器</v>
          </cell>
        </row>
        <row r="13941">
          <cell r="O13941" t="str">
            <v>SC2443UA</v>
          </cell>
          <cell r="P13941" t="str">
            <v>STC9906W</v>
          </cell>
          <cell r="Q13941" t="str">
            <v>磁性位置传感器</v>
          </cell>
        </row>
        <row r="13942">
          <cell r="O13942" t="str">
            <v>SC2443UA</v>
          </cell>
          <cell r="P13942" t="str">
            <v>STC9906W</v>
          </cell>
          <cell r="Q13942" t="str">
            <v>磁性位置传感器</v>
          </cell>
        </row>
        <row r="13943">
          <cell r="O13943" t="str">
            <v>SC60221</v>
          </cell>
          <cell r="P13943" t="str">
            <v>STC9D04C</v>
          </cell>
          <cell r="Q13943" t="str">
            <v>电机编码器</v>
          </cell>
        </row>
        <row r="13944">
          <cell r="O13944" t="str">
            <v>SC9675IM-P-LRF00</v>
          </cell>
          <cell r="P13944" t="str">
            <v>STC9A002B</v>
          </cell>
          <cell r="Q13944" t="str">
            <v>速度传感器</v>
          </cell>
        </row>
        <row r="13945">
          <cell r="O13945" t="str">
            <v>SC9621VB</v>
          </cell>
          <cell r="P13945" t="str">
            <v>STC9910C</v>
          </cell>
          <cell r="Q13945" t="str">
            <v>速度传感器</v>
          </cell>
        </row>
        <row r="13946">
          <cell r="O13946" t="str">
            <v>SC60224-U-P4-1024</v>
          </cell>
          <cell r="P13946" t="str">
            <v>STC9D04C</v>
          </cell>
          <cell r="Q13946" t="str">
            <v>电机编码器</v>
          </cell>
        </row>
        <row r="13947">
          <cell r="O13947" t="str">
            <v>SC243XSO</v>
          </cell>
          <cell r="P13947" t="str">
            <v>STC9906M</v>
          </cell>
          <cell r="Q13947" t="str">
            <v>磁性位置传感器</v>
          </cell>
        </row>
        <row r="13948">
          <cell r="O13948" t="str">
            <v>SC243XSO</v>
          </cell>
          <cell r="P13948" t="str">
            <v>STC9906M</v>
          </cell>
          <cell r="Q13948" t="str">
            <v>磁性位置传感器</v>
          </cell>
        </row>
        <row r="13949">
          <cell r="O13949" t="str">
            <v>SC9625VB-L</v>
          </cell>
          <cell r="P13949" t="str">
            <v>STC9910E</v>
          </cell>
          <cell r="Q13949" t="str">
            <v>速度传感器</v>
          </cell>
        </row>
        <row r="13950">
          <cell r="O13950" t="str">
            <v>SC9625VB-L</v>
          </cell>
          <cell r="P13950" t="str">
            <v>STC9910E</v>
          </cell>
          <cell r="Q13950" t="str">
            <v>速度传感器</v>
          </cell>
        </row>
        <row r="13951">
          <cell r="O13951" t="str">
            <v>SC2402SO-N</v>
          </cell>
          <cell r="P13951" t="str">
            <v>STC9H001A</v>
          </cell>
          <cell r="Q13951" t="str">
            <v>磁性位置传感器</v>
          </cell>
        </row>
        <row r="13952">
          <cell r="O13952" t="str">
            <v>SC9642TS-E</v>
          </cell>
          <cell r="P13952" t="str">
            <v>STC9A001H</v>
          </cell>
          <cell r="Q13952" t="str">
            <v>速度传感器</v>
          </cell>
        </row>
        <row r="13953">
          <cell r="O13953" t="str">
            <v>SC1245UA</v>
          </cell>
          <cell r="P13953" t="str">
            <v>STC1898AD</v>
          </cell>
          <cell r="Q13953" t="str">
            <v>磁性位置传感器</v>
          </cell>
        </row>
        <row r="13954">
          <cell r="O13954" t="str">
            <v>SC1245UA</v>
          </cell>
          <cell r="P13954" t="str">
            <v>STC1898AD</v>
          </cell>
          <cell r="Q13954" t="str">
            <v>磁性位置传感器</v>
          </cell>
        </row>
        <row r="13955">
          <cell r="O13955" t="str">
            <v>SC1245UA</v>
          </cell>
          <cell r="P13955" t="str">
            <v>STC1898AD</v>
          </cell>
          <cell r="Q13955" t="str">
            <v>磁性位置传感器</v>
          </cell>
        </row>
        <row r="13956">
          <cell r="O13956" t="str">
            <v>SC2448UA-N</v>
          </cell>
          <cell r="P13956" t="str">
            <v>STC9906S</v>
          </cell>
          <cell r="Q13956" t="str">
            <v>磁性位置传感器</v>
          </cell>
        </row>
        <row r="13957">
          <cell r="O13957" t="str">
            <v>SC2448UA-N</v>
          </cell>
          <cell r="P13957" t="str">
            <v>STC9906S</v>
          </cell>
          <cell r="Q13957" t="str">
            <v>磁性位置传感器</v>
          </cell>
        </row>
        <row r="13958">
          <cell r="O13958" t="str">
            <v>SC2448UA-N</v>
          </cell>
          <cell r="P13958" t="str">
            <v>STC9906S</v>
          </cell>
          <cell r="Q13958" t="str">
            <v>磁性位置传感器</v>
          </cell>
        </row>
        <row r="13959">
          <cell r="O13959" t="str">
            <v>SC2448UA-N</v>
          </cell>
          <cell r="P13959" t="str">
            <v>STC9906S</v>
          </cell>
          <cell r="Q13959" t="str">
            <v>磁性位置传感器</v>
          </cell>
        </row>
        <row r="13960">
          <cell r="O13960" t="str">
            <v>SC9625VB-L</v>
          </cell>
          <cell r="P13960" t="str">
            <v>STC9910E</v>
          </cell>
          <cell r="Q13960" t="str">
            <v>速度传感器</v>
          </cell>
        </row>
        <row r="13961">
          <cell r="O13961" t="str">
            <v>SC9625VB-L</v>
          </cell>
          <cell r="P13961" t="str">
            <v>STC9910E</v>
          </cell>
          <cell r="Q13961" t="str">
            <v>速度传感器</v>
          </cell>
        </row>
        <row r="13962">
          <cell r="O13962" t="str">
            <v>SC69401</v>
          </cell>
          <cell r="P13962" t="str">
            <v>STC9H002D</v>
          </cell>
          <cell r="Q13962" t="str">
            <v>角度传感器</v>
          </cell>
        </row>
        <row r="13963">
          <cell r="O13963" t="str">
            <v>SC60224-U-P1-1024</v>
          </cell>
          <cell r="P13963" t="str">
            <v>STC9D04C</v>
          </cell>
          <cell r="Q13963" t="str">
            <v>电机编码器</v>
          </cell>
        </row>
        <row r="13964">
          <cell r="O13964" t="str">
            <v>SC60228DC</v>
          </cell>
          <cell r="P13964" t="str">
            <v>STC9D04C</v>
          </cell>
          <cell r="Q13964" t="str">
            <v>电机编码器</v>
          </cell>
        </row>
        <row r="13965">
          <cell r="O13965" t="str">
            <v>SC60228DC</v>
          </cell>
          <cell r="P13965" t="str">
            <v>STC9D04C</v>
          </cell>
          <cell r="Q13965" t="str">
            <v>电机编码器</v>
          </cell>
        </row>
        <row r="13966">
          <cell r="O13966" t="str">
            <v>SC60228DC</v>
          </cell>
          <cell r="P13966" t="str">
            <v>STC9D04C</v>
          </cell>
          <cell r="Q13966" t="str">
            <v>电机编码器</v>
          </cell>
        </row>
        <row r="13967">
          <cell r="O13967" t="str">
            <v>SC6022X编程器</v>
          </cell>
          <cell r="P13967" t="str">
            <v xml:space="preserve"> </v>
          </cell>
          <cell r="Q13967" t="str">
            <v>电机编码器</v>
          </cell>
        </row>
        <row r="13968">
          <cell r="O13968" t="str">
            <v>SC1445A1</v>
          </cell>
          <cell r="P13968" t="str">
            <v>STC2899AB</v>
          </cell>
          <cell r="Q13968" t="str">
            <v>磁性位置传感器</v>
          </cell>
        </row>
        <row r="13969">
          <cell r="O13969" t="str">
            <v>SC4688SA</v>
          </cell>
          <cell r="P13969" t="str">
            <v>STC9D01C</v>
          </cell>
          <cell r="Q13969" t="str">
            <v>角度传感器</v>
          </cell>
        </row>
        <row r="13970">
          <cell r="O13970" t="str">
            <v>SC9621VB</v>
          </cell>
          <cell r="P13970" t="str">
            <v>STC9910C</v>
          </cell>
          <cell r="Q13970" t="str">
            <v>速度传感器</v>
          </cell>
        </row>
        <row r="13971">
          <cell r="O13971" t="str">
            <v>SC4688SA</v>
          </cell>
          <cell r="P13971" t="str">
            <v>STC9D01C</v>
          </cell>
          <cell r="Q13971" t="str">
            <v>角度传感器</v>
          </cell>
        </row>
        <row r="13972">
          <cell r="O13972" t="str">
            <v>SC4688SA</v>
          </cell>
          <cell r="P13972" t="str">
            <v>STC9D01C</v>
          </cell>
          <cell r="Q13972" t="str">
            <v>角度传感器</v>
          </cell>
        </row>
        <row r="13973">
          <cell r="O13973" t="str">
            <v>SC4688SA</v>
          </cell>
          <cell r="P13973" t="str">
            <v>STC9D01C</v>
          </cell>
          <cell r="Q13973" t="str">
            <v>角度传感器</v>
          </cell>
        </row>
        <row r="13974">
          <cell r="O13974" t="str">
            <v>SC4688SA</v>
          </cell>
          <cell r="P13974" t="str">
            <v>STC9D01C</v>
          </cell>
          <cell r="Q13974" t="str">
            <v>角度传感器</v>
          </cell>
        </row>
        <row r="13975">
          <cell r="O13975" t="str">
            <v>SYLMV324BPD2R</v>
          </cell>
          <cell r="P13975" t="str">
            <v>STC9G003B</v>
          </cell>
          <cell r="Q13975" t="str">
            <v>其他数模混合</v>
          </cell>
        </row>
        <row r="13976">
          <cell r="O13976" t="str">
            <v>SC2442UA</v>
          </cell>
          <cell r="P13976" t="str">
            <v>STC9906P</v>
          </cell>
          <cell r="Q13976" t="str">
            <v>磁性位置传感器</v>
          </cell>
        </row>
        <row r="13977">
          <cell r="O13977" t="str">
            <v>SC2442UA</v>
          </cell>
          <cell r="P13977" t="str">
            <v>STC9906P</v>
          </cell>
          <cell r="Q13977" t="str">
            <v>磁性位置传感器</v>
          </cell>
        </row>
        <row r="13978">
          <cell r="O13978" t="str">
            <v>SC2402UA</v>
          </cell>
          <cell r="P13978" t="str">
            <v>STC9902J</v>
          </cell>
          <cell r="Q13978" t="str">
            <v>磁性位置传感器</v>
          </cell>
        </row>
        <row r="13979">
          <cell r="O13979" t="str">
            <v>SYLMV324BPD2R</v>
          </cell>
          <cell r="P13979" t="str">
            <v>STC9G003B</v>
          </cell>
          <cell r="Q13979" t="str">
            <v>其他数模混合</v>
          </cell>
        </row>
        <row r="13980">
          <cell r="O13980" t="str">
            <v>SC2402SO-N</v>
          </cell>
          <cell r="P13980" t="str">
            <v>STC9902J</v>
          </cell>
          <cell r="Q13980" t="str">
            <v>磁性位置传感器</v>
          </cell>
        </row>
        <row r="13981">
          <cell r="O13981" t="str">
            <v>SC2402SO-N</v>
          </cell>
          <cell r="P13981" t="str">
            <v>STC9902J</v>
          </cell>
          <cell r="Q13981" t="str">
            <v>磁性位置传感器</v>
          </cell>
        </row>
        <row r="13982">
          <cell r="O13982" t="str">
            <v>SC2402SO-N</v>
          </cell>
          <cell r="P13982" t="str">
            <v>STC9902J</v>
          </cell>
          <cell r="Q13982" t="str">
            <v>磁性位置传感器</v>
          </cell>
        </row>
        <row r="13983">
          <cell r="O13983" t="str">
            <v>2100S</v>
          </cell>
          <cell r="P13983" t="str">
            <v>STC9D03E</v>
          </cell>
          <cell r="Q13983" t="str">
            <v>电流传感器</v>
          </cell>
        </row>
        <row r="13984">
          <cell r="O13984" t="str">
            <v>2100</v>
          </cell>
          <cell r="P13984" t="str">
            <v>STC9D03E</v>
          </cell>
          <cell r="Q13984" t="str">
            <v>电流传感器</v>
          </cell>
        </row>
        <row r="13985">
          <cell r="O13985" t="str">
            <v>SC4688SA</v>
          </cell>
          <cell r="P13985" t="str">
            <v>STC9D01C</v>
          </cell>
          <cell r="Q13985" t="str">
            <v>角度传感器</v>
          </cell>
        </row>
        <row r="13986">
          <cell r="O13986" t="str">
            <v>SC9641TS</v>
          </cell>
          <cell r="P13986" t="str">
            <v>STC9910BN</v>
          </cell>
          <cell r="Q13986" t="str">
            <v>速度传感器</v>
          </cell>
        </row>
        <row r="13987">
          <cell r="O13987" t="str">
            <v>SC9675IM-P-HRF00</v>
          </cell>
          <cell r="P13987" t="str">
            <v>STC9A002B</v>
          </cell>
          <cell r="Q13987" t="str">
            <v>速度传感器</v>
          </cell>
        </row>
        <row r="13988">
          <cell r="O13988" t="str">
            <v>SC9675IM-P-LRF10</v>
          </cell>
          <cell r="P13988" t="str">
            <v>STC9A002B</v>
          </cell>
          <cell r="Q13988" t="str">
            <v>速度传感器</v>
          </cell>
        </row>
        <row r="13989">
          <cell r="O13989" t="str">
            <v>SC2430UA</v>
          </cell>
          <cell r="P13989" t="str">
            <v>STC9906I</v>
          </cell>
          <cell r="Q13989" t="str">
            <v>磁性位置传感器</v>
          </cell>
        </row>
        <row r="13990">
          <cell r="O13990" t="str">
            <v>SC2430UA</v>
          </cell>
          <cell r="P13990" t="str">
            <v>STC9906I</v>
          </cell>
          <cell r="Q13990" t="str">
            <v>磁性位置传感器</v>
          </cell>
        </row>
        <row r="13991">
          <cell r="O13991" t="str">
            <v>SC2430UA</v>
          </cell>
          <cell r="P13991" t="str">
            <v>STC9906I</v>
          </cell>
          <cell r="Q13991" t="str">
            <v>磁性位置传感器</v>
          </cell>
        </row>
        <row r="13992">
          <cell r="O13992" t="str">
            <v>SC9621VB</v>
          </cell>
          <cell r="P13992" t="str">
            <v>STC9910C</v>
          </cell>
          <cell r="Q13992" t="str">
            <v>速度传感器</v>
          </cell>
        </row>
        <row r="13993">
          <cell r="O13993" t="str">
            <v>SC9314UA</v>
          </cell>
          <cell r="P13993" t="str">
            <v>STC9901AF</v>
          </cell>
          <cell r="Q13993" t="str">
            <v>速度传感器</v>
          </cell>
        </row>
        <row r="13994">
          <cell r="O13994" t="str">
            <v>SC2438SO</v>
          </cell>
          <cell r="P13994" t="str">
            <v>STC9906I</v>
          </cell>
          <cell r="Q13994" t="str">
            <v>磁性位置传感器</v>
          </cell>
        </row>
        <row r="13995">
          <cell r="O13995" t="str">
            <v>SC1138SO-N</v>
          </cell>
          <cell r="P13995" t="str">
            <v>STC1898AC</v>
          </cell>
          <cell r="Q13995" t="str">
            <v>磁性位置传感器</v>
          </cell>
        </row>
        <row r="13996">
          <cell r="O13996" t="str">
            <v>SC4011SO-N</v>
          </cell>
          <cell r="P13996" t="str">
            <v>STC4011B</v>
          </cell>
          <cell r="Q13996" t="str">
            <v>磁性位置传感器</v>
          </cell>
        </row>
        <row r="13997">
          <cell r="O13997" t="str">
            <v>SC2462UA</v>
          </cell>
          <cell r="P13997" t="str">
            <v>STC9906J</v>
          </cell>
          <cell r="Q13997" t="str">
            <v>磁性位置传感器</v>
          </cell>
        </row>
        <row r="13998">
          <cell r="O13998" t="str">
            <v>SC2443SO</v>
          </cell>
          <cell r="P13998" t="str">
            <v>STC9906T</v>
          </cell>
          <cell r="Q13998" t="str">
            <v>磁性位置传感器</v>
          </cell>
        </row>
        <row r="13999">
          <cell r="O13999" t="str">
            <v>SC2432SO</v>
          </cell>
          <cell r="P13999" t="str">
            <v>STC9906I</v>
          </cell>
          <cell r="Q13999" t="str">
            <v>磁性位置传感器</v>
          </cell>
        </row>
        <row r="14000">
          <cell r="O14000" t="str">
            <v>SC1945N1W</v>
          </cell>
          <cell r="P14000" t="str">
            <v>STC2899AM</v>
          </cell>
          <cell r="Q14000" t="str">
            <v>磁性位置传感器</v>
          </cell>
        </row>
        <row r="14001">
          <cell r="O14001" t="str">
            <v>SC1945N1W</v>
          </cell>
          <cell r="P14001" t="str">
            <v>STC2899AM</v>
          </cell>
          <cell r="Q14001" t="str">
            <v>磁性位置传感器</v>
          </cell>
        </row>
        <row r="14002">
          <cell r="O14002" t="str">
            <v>SC6022X编程器</v>
          </cell>
          <cell r="P14002" t="str">
            <v xml:space="preserve"> </v>
          </cell>
          <cell r="Q14002" t="str">
            <v>电机编码器</v>
          </cell>
        </row>
        <row r="14003">
          <cell r="O14003" t="str">
            <v>SC2402SO-N</v>
          </cell>
          <cell r="P14003" t="str">
            <v>STC9902J</v>
          </cell>
          <cell r="Q14003" t="str">
            <v>磁性位置传感器</v>
          </cell>
        </row>
        <row r="14004">
          <cell r="O14004" t="str">
            <v>ZH619A0</v>
          </cell>
          <cell r="P14004" t="str">
            <v>S22302A</v>
          </cell>
          <cell r="Q14004" t="str">
            <v>电机驱动</v>
          </cell>
        </row>
        <row r="14005">
          <cell r="O14005" t="str">
            <v>SC9641TS-PC</v>
          </cell>
          <cell r="P14005" t="str">
            <v>STC9A001I</v>
          </cell>
          <cell r="Q14005" t="str">
            <v>速度传感器</v>
          </cell>
        </row>
        <row r="14006">
          <cell r="O14006" t="str">
            <v>SC9641TS-PC</v>
          </cell>
          <cell r="P14006" t="str">
            <v>STC9A001I</v>
          </cell>
          <cell r="Q14006" t="str">
            <v>速度传感器</v>
          </cell>
        </row>
        <row r="14007">
          <cell r="O14007" t="str">
            <v>SC9641TS-PC</v>
          </cell>
          <cell r="P14007" t="str">
            <v>STC9A001I</v>
          </cell>
          <cell r="Q14007" t="str">
            <v>速度传感器</v>
          </cell>
        </row>
        <row r="14008">
          <cell r="O14008" t="str">
            <v>SC9641TS-PC</v>
          </cell>
          <cell r="P14008" t="str">
            <v>STC9A001I</v>
          </cell>
          <cell r="Q14008" t="str">
            <v>速度传感器</v>
          </cell>
        </row>
        <row r="14009">
          <cell r="O14009" t="str">
            <v>SC9642TS-E</v>
          </cell>
          <cell r="P14009" t="str">
            <v>STC9A001H</v>
          </cell>
          <cell r="Q14009" t="str">
            <v>速度传感器</v>
          </cell>
        </row>
        <row r="14010">
          <cell r="O14010" t="str">
            <v>SC9642TS-E</v>
          </cell>
          <cell r="P14010" t="str">
            <v>STC9A001H</v>
          </cell>
          <cell r="Q14010" t="str">
            <v>速度传感器</v>
          </cell>
        </row>
        <row r="14011">
          <cell r="O14011" t="str">
            <v>SC9642TS-E</v>
          </cell>
          <cell r="P14011" t="str">
            <v>STC9A001H</v>
          </cell>
          <cell r="Q14011" t="str">
            <v>速度传感器</v>
          </cell>
        </row>
        <row r="14012">
          <cell r="O14012" t="str">
            <v>SC9642TS-E</v>
          </cell>
          <cell r="P14012" t="str">
            <v>STC9A001H</v>
          </cell>
          <cell r="Q14012" t="str">
            <v>速度传感器</v>
          </cell>
        </row>
        <row r="14013">
          <cell r="O14013" t="str">
            <v>SC9642TS-E</v>
          </cell>
          <cell r="P14013" t="str">
            <v>STC9A001H</v>
          </cell>
          <cell r="Q14013" t="str">
            <v>速度传感器</v>
          </cell>
        </row>
        <row r="14014">
          <cell r="O14014" t="str">
            <v>SC9642TS-E</v>
          </cell>
          <cell r="P14014" t="str">
            <v>STC9A001H</v>
          </cell>
          <cell r="Q14014" t="str">
            <v>速度传感器</v>
          </cell>
        </row>
        <row r="14015">
          <cell r="O14015" t="str">
            <v>SC9625VB</v>
          </cell>
          <cell r="P14015" t="str">
            <v>STC9910B</v>
          </cell>
          <cell r="Q14015" t="str">
            <v>速度传感器</v>
          </cell>
        </row>
        <row r="14016">
          <cell r="O14016" t="str">
            <v>SC9625VB</v>
          </cell>
          <cell r="P14016" t="str">
            <v>STC9910B</v>
          </cell>
          <cell r="Q14016" t="str">
            <v>速度传感器</v>
          </cell>
        </row>
        <row r="14017">
          <cell r="O14017" t="str">
            <v>SC2434SO-N</v>
          </cell>
          <cell r="P14017" t="str">
            <v>STC9906I</v>
          </cell>
          <cell r="Q14017" t="str">
            <v>磁性位置传感器</v>
          </cell>
        </row>
        <row r="14018">
          <cell r="O14018" t="str">
            <v>SC2432SO</v>
          </cell>
          <cell r="P14018" t="str">
            <v>STC9906I</v>
          </cell>
          <cell r="Q14018" t="str">
            <v>磁性位置传感器</v>
          </cell>
        </row>
        <row r="14019">
          <cell r="O14019" t="str">
            <v>SC1134UA</v>
          </cell>
          <cell r="P14019" t="str">
            <v>STC1898AI</v>
          </cell>
          <cell r="Q14019" t="str">
            <v>磁性位置传感器</v>
          </cell>
        </row>
        <row r="14020">
          <cell r="O14020" t="str">
            <v>KH211</v>
          </cell>
          <cell r="P14020" t="str">
            <v>FD1016A</v>
          </cell>
          <cell r="Q14020" t="str">
            <v>电机驱动</v>
          </cell>
        </row>
        <row r="14021">
          <cell r="O14021" t="str">
            <v>KH276</v>
          </cell>
          <cell r="P14021" t="str">
            <v>FD1014A</v>
          </cell>
          <cell r="Q14021" t="str">
            <v>电机驱动</v>
          </cell>
        </row>
        <row r="14022">
          <cell r="O14022" t="str">
            <v>SC243XSO</v>
          </cell>
          <cell r="P14022" t="str">
            <v>STC9906M</v>
          </cell>
          <cell r="Q14022" t="str">
            <v>磁性位置传感器</v>
          </cell>
        </row>
        <row r="14023">
          <cell r="O14023" t="str">
            <v>SC243XSO</v>
          </cell>
          <cell r="P14023" t="str">
            <v>STC9906M</v>
          </cell>
          <cell r="Q14023" t="str">
            <v>磁性位置传感器</v>
          </cell>
        </row>
        <row r="14024">
          <cell r="O14024" t="str">
            <v>SC2063SO</v>
          </cell>
          <cell r="P14024" t="str">
            <v>STC9G001C</v>
          </cell>
          <cell r="Q14024" t="str">
            <v>磁性位置传感器</v>
          </cell>
        </row>
        <row r="14025">
          <cell r="O14025" t="str">
            <v>SC9641TS-P</v>
          </cell>
          <cell r="P14025" t="str">
            <v>STC9A001F</v>
          </cell>
          <cell r="Q14025" t="str">
            <v>速度传感器</v>
          </cell>
        </row>
        <row r="14026">
          <cell r="O14026" t="str">
            <v>SC9641TS-P</v>
          </cell>
          <cell r="P14026" t="str">
            <v>STC9A001F</v>
          </cell>
          <cell r="Q14026" t="str">
            <v>速度传感器</v>
          </cell>
        </row>
        <row r="14027">
          <cell r="O14027" t="str">
            <v>SC9641TS-P</v>
          </cell>
          <cell r="P14027" t="str">
            <v>STC9A001F</v>
          </cell>
          <cell r="Q14027" t="str">
            <v>速度传感器</v>
          </cell>
        </row>
        <row r="14028">
          <cell r="O14028" t="str">
            <v>SC9675IM-P-LRF10</v>
          </cell>
          <cell r="P14028" t="str">
            <v>STC9A002B</v>
          </cell>
          <cell r="Q14028" t="str">
            <v>速度传感器</v>
          </cell>
        </row>
        <row r="14029">
          <cell r="O14029" t="str">
            <v>SC9641TS-P</v>
          </cell>
          <cell r="P14029" t="str">
            <v>STC9A001F</v>
          </cell>
          <cell r="Q14029" t="str">
            <v>速度传感器</v>
          </cell>
        </row>
        <row r="14030">
          <cell r="O14030" t="str">
            <v>SC9641TS-P</v>
          </cell>
          <cell r="P14030" t="str">
            <v>STC9A001F</v>
          </cell>
          <cell r="Q14030" t="str">
            <v>速度传感器</v>
          </cell>
        </row>
        <row r="14031">
          <cell r="O14031" t="str">
            <v>SC9641TS-P</v>
          </cell>
          <cell r="P14031" t="str">
            <v>STC9A001F</v>
          </cell>
          <cell r="Q14031" t="str">
            <v>速度传感器</v>
          </cell>
        </row>
        <row r="14032">
          <cell r="O14032" t="str">
            <v>SC2402SO-N</v>
          </cell>
          <cell r="P14032" t="str">
            <v>STC9H001A</v>
          </cell>
          <cell r="Q14032" t="str">
            <v>磁性位置传感器</v>
          </cell>
        </row>
        <row r="14033">
          <cell r="O14033" t="str">
            <v>SC2402SO-N</v>
          </cell>
          <cell r="P14033" t="str">
            <v>STC9H001A</v>
          </cell>
          <cell r="Q14033" t="str">
            <v>磁性位置传感器</v>
          </cell>
        </row>
        <row r="14034">
          <cell r="O14034" t="str">
            <v>SC2064SO</v>
          </cell>
          <cell r="P14034" t="str">
            <v>STC9G001C</v>
          </cell>
          <cell r="Q14034" t="str">
            <v>磁性位置传感器</v>
          </cell>
        </row>
        <row r="14035">
          <cell r="O14035" t="str">
            <v>SC2064UA</v>
          </cell>
          <cell r="P14035" t="str">
            <v>STC9G001C</v>
          </cell>
          <cell r="Q14035" t="str">
            <v>磁性位置传感器</v>
          </cell>
        </row>
        <row r="14036">
          <cell r="O14036" t="str">
            <v>SC4002BU</v>
          </cell>
          <cell r="P14036" t="str">
            <v>STC4000AA</v>
          </cell>
          <cell r="Q14036" t="str">
            <v>磁性位置传感器</v>
          </cell>
        </row>
        <row r="14037">
          <cell r="O14037" t="str">
            <v>SC4002BU</v>
          </cell>
          <cell r="P14037" t="str">
            <v>STC4000AA</v>
          </cell>
          <cell r="Q14037" t="str">
            <v>磁性位置传感器</v>
          </cell>
        </row>
        <row r="14038">
          <cell r="O14038" t="str">
            <v>SC4002BU</v>
          </cell>
          <cell r="P14038" t="str">
            <v>STC4000AA</v>
          </cell>
          <cell r="Q14038" t="str">
            <v>磁性位置传感器</v>
          </cell>
        </row>
        <row r="14039">
          <cell r="O14039" t="str">
            <v>SC4002BU</v>
          </cell>
          <cell r="P14039" t="str">
            <v>STC4000AA</v>
          </cell>
          <cell r="Q14039" t="str">
            <v>磁性位置传感器</v>
          </cell>
        </row>
        <row r="14040">
          <cell r="O14040" t="str">
            <v>SC4002BU</v>
          </cell>
          <cell r="P14040" t="str">
            <v>STC4000AA</v>
          </cell>
          <cell r="Q14040" t="str">
            <v>磁性位置传感器</v>
          </cell>
        </row>
        <row r="14041">
          <cell r="O14041" t="str">
            <v>SC4011SO-N</v>
          </cell>
          <cell r="P14041" t="str">
            <v>STC4011B</v>
          </cell>
          <cell r="Q14041" t="str">
            <v>磁性位置传感器</v>
          </cell>
        </row>
        <row r="14042">
          <cell r="O14042" t="str">
            <v>SC4011SO-N</v>
          </cell>
          <cell r="P14042" t="str">
            <v>STC4011B</v>
          </cell>
          <cell r="Q14042" t="str">
            <v>磁性位置传感器</v>
          </cell>
        </row>
        <row r="14043">
          <cell r="O14043" t="str">
            <v>SC2064SO</v>
          </cell>
          <cell r="P14043" t="str">
            <v>STC9G001C</v>
          </cell>
          <cell r="Q14043" t="str">
            <v>磁性位置传感器</v>
          </cell>
        </row>
        <row r="14044">
          <cell r="O14044" t="str">
            <v>SC4624SP30B5</v>
          </cell>
          <cell r="P14044" t="str">
            <v>STC9D06F</v>
          </cell>
          <cell r="Q14044" t="str">
            <v>电流传感器</v>
          </cell>
        </row>
        <row r="14045">
          <cell r="O14045" t="str">
            <v>SC4624SP20B5</v>
          </cell>
          <cell r="P14045" t="str">
            <v>STC9D06F</v>
          </cell>
          <cell r="Q14045" t="str">
            <v>电流传感器</v>
          </cell>
        </row>
        <row r="14046">
          <cell r="O14046" t="str">
            <v>SC4002BU</v>
          </cell>
          <cell r="P14046" t="str">
            <v>STC4000AA</v>
          </cell>
          <cell r="Q14046" t="str">
            <v>磁性位置传感器</v>
          </cell>
        </row>
        <row r="14047">
          <cell r="O14047" t="str">
            <v>SC2064SO</v>
          </cell>
          <cell r="P14047" t="str">
            <v>STC9G001C</v>
          </cell>
          <cell r="Q14047" t="str">
            <v>磁性位置传感器</v>
          </cell>
        </row>
        <row r="14048">
          <cell r="O14048" t="str">
            <v>SC60224-U-P4-1024</v>
          </cell>
          <cell r="P14048" t="str">
            <v>STC9D04C</v>
          </cell>
          <cell r="Q14048" t="str">
            <v>电机编码器</v>
          </cell>
        </row>
        <row r="14049">
          <cell r="O14049" t="str">
            <v>SC4002UA</v>
          </cell>
          <cell r="P14049" t="str">
            <v>STC4000AA</v>
          </cell>
          <cell r="Q14049" t="str">
            <v>磁性位置传感器</v>
          </cell>
        </row>
        <row r="14050">
          <cell r="O14050" t="str">
            <v>AS04</v>
          </cell>
          <cell r="P14050" t="str">
            <v>STC9A001F</v>
          </cell>
          <cell r="Q14050" t="str">
            <v>速度传感器</v>
          </cell>
        </row>
        <row r="14051">
          <cell r="O14051" t="str">
            <v>AS04</v>
          </cell>
          <cell r="P14051" t="str">
            <v>STC9A001F</v>
          </cell>
          <cell r="Q14051" t="str">
            <v>速度传感器</v>
          </cell>
        </row>
        <row r="14052">
          <cell r="O14052" t="str">
            <v>AS04</v>
          </cell>
          <cell r="P14052" t="str">
            <v>STC9A001F</v>
          </cell>
          <cell r="Q14052" t="str">
            <v>速度传感器</v>
          </cell>
        </row>
        <row r="14053">
          <cell r="O14053" t="str">
            <v>SC4002BU</v>
          </cell>
          <cell r="P14053" t="str">
            <v>STC4000AA</v>
          </cell>
          <cell r="Q14053" t="str">
            <v>磁性位置传感器</v>
          </cell>
        </row>
        <row r="14054">
          <cell r="O14054" t="str">
            <v>SC4002BU</v>
          </cell>
          <cell r="P14054" t="str">
            <v>STC4000AA</v>
          </cell>
          <cell r="Q14054" t="str">
            <v>磁性位置传感器</v>
          </cell>
        </row>
        <row r="14055">
          <cell r="O14055" t="str">
            <v>SC2443UA</v>
          </cell>
          <cell r="P14055" t="str">
            <v>STC9906W</v>
          </cell>
          <cell r="Q14055" t="str">
            <v>磁性位置传感器</v>
          </cell>
        </row>
        <row r="14056">
          <cell r="O14056" t="str">
            <v>SC2443SO</v>
          </cell>
          <cell r="P14056" t="str">
            <v>STC9906T</v>
          </cell>
          <cell r="Q14056" t="str">
            <v>磁性位置传感器</v>
          </cell>
        </row>
        <row r="14057">
          <cell r="O14057" t="str">
            <v>SC2443SO</v>
          </cell>
          <cell r="P14057" t="str">
            <v>STC9906T</v>
          </cell>
          <cell r="Q14057" t="str">
            <v>磁性位置传感器</v>
          </cell>
        </row>
        <row r="14058">
          <cell r="O14058" t="str">
            <v>SC2443SO</v>
          </cell>
          <cell r="P14058" t="str">
            <v>STC9906T</v>
          </cell>
          <cell r="Q14058" t="str">
            <v>磁性位置传感器</v>
          </cell>
        </row>
        <row r="14059">
          <cell r="O14059" t="str">
            <v>SC2443SO</v>
          </cell>
          <cell r="P14059" t="str">
            <v>STC9906T</v>
          </cell>
          <cell r="Q14059" t="str">
            <v>磁性位置传感器</v>
          </cell>
        </row>
        <row r="14060">
          <cell r="O14060" t="str">
            <v>SC2443SO</v>
          </cell>
          <cell r="P14060" t="str">
            <v>STC9906T</v>
          </cell>
          <cell r="Q14060" t="str">
            <v>磁性位置传感器</v>
          </cell>
        </row>
        <row r="14061">
          <cell r="O14061" t="str">
            <v>SC9641TS-PC</v>
          </cell>
          <cell r="P14061" t="str">
            <v>STC9A001I</v>
          </cell>
          <cell r="Q14061" t="str">
            <v>速度传感器</v>
          </cell>
        </row>
        <row r="14062">
          <cell r="O14062" t="str">
            <v>SC9641TS-PC</v>
          </cell>
          <cell r="P14062" t="str">
            <v>STC9A001I</v>
          </cell>
          <cell r="Q14062" t="str">
            <v>速度传感器</v>
          </cell>
        </row>
        <row r="14063">
          <cell r="O14063" t="str">
            <v>SC9641TS-PC</v>
          </cell>
          <cell r="P14063" t="str">
            <v>STC9A001I</v>
          </cell>
          <cell r="Q14063" t="str">
            <v>速度传感器</v>
          </cell>
        </row>
        <row r="14064">
          <cell r="O14064" t="str">
            <v>SC4688SA</v>
          </cell>
          <cell r="P14064" t="str">
            <v>STC9D01C</v>
          </cell>
          <cell r="Q14064" t="str">
            <v>角度传感器</v>
          </cell>
        </row>
        <row r="14065">
          <cell r="O14065" t="str">
            <v>SC4689SA</v>
          </cell>
          <cell r="P14065" t="str">
            <v>STC9D01F</v>
          </cell>
          <cell r="Q14065" t="str">
            <v>角度传感器</v>
          </cell>
        </row>
        <row r="14066">
          <cell r="O14066" t="str">
            <v>SC4689SA</v>
          </cell>
          <cell r="P14066" t="str">
            <v>STC9D01F</v>
          </cell>
          <cell r="Q14066" t="str">
            <v>角度传感器</v>
          </cell>
        </row>
        <row r="14067">
          <cell r="O14067" t="str">
            <v>SC4688SA</v>
          </cell>
          <cell r="P14067" t="str">
            <v>STC9D01C</v>
          </cell>
          <cell r="Q14067" t="str">
            <v>角度传感器</v>
          </cell>
        </row>
        <row r="14068">
          <cell r="O14068" t="str">
            <v>SC4689SA</v>
          </cell>
          <cell r="P14068" t="str">
            <v>STC9D01F</v>
          </cell>
          <cell r="Q14068" t="str">
            <v>角度传感器</v>
          </cell>
        </row>
        <row r="14069">
          <cell r="O14069" t="str">
            <v>SC1245A1</v>
          </cell>
          <cell r="P14069" t="str">
            <v>STC1898AD</v>
          </cell>
          <cell r="Q14069" t="str">
            <v>磁性位置传感器</v>
          </cell>
        </row>
        <row r="14070">
          <cell r="O14070" t="str">
            <v>SC4688编程板</v>
          </cell>
          <cell r="P14070" t="str">
            <v xml:space="preserve"> </v>
          </cell>
          <cell r="Q14070" t="str">
            <v>角度传感器</v>
          </cell>
        </row>
        <row r="14071">
          <cell r="O14071" t="str">
            <v>SC1134UA</v>
          </cell>
          <cell r="P14071" t="str">
            <v>STC1898AI</v>
          </cell>
          <cell r="Q14071" t="str">
            <v>磁性位置传感器</v>
          </cell>
        </row>
        <row r="14072">
          <cell r="O14072" t="str">
            <v>SC1134UA</v>
          </cell>
          <cell r="P14072" t="str">
            <v>STC1898AI</v>
          </cell>
          <cell r="Q14072" t="str">
            <v>磁性位置传感器</v>
          </cell>
        </row>
        <row r="14073">
          <cell r="O14073" t="str">
            <v>SC2448SO</v>
          </cell>
          <cell r="P14073" t="str">
            <v>STC9906S</v>
          </cell>
          <cell r="Q14073" t="str">
            <v>磁性位置传感器</v>
          </cell>
        </row>
        <row r="14074">
          <cell r="O14074" t="str">
            <v>SC2448SO</v>
          </cell>
          <cell r="P14074" t="str">
            <v>STC9906S</v>
          </cell>
          <cell r="Q14074" t="str">
            <v>磁性位置传感器</v>
          </cell>
        </row>
        <row r="14075">
          <cell r="O14075" t="str">
            <v>SC2033SO-N</v>
          </cell>
          <cell r="P14075" t="str">
            <v>STC9G001D</v>
          </cell>
          <cell r="Q14075" t="str">
            <v>磁性位置传感器</v>
          </cell>
        </row>
        <row r="14076">
          <cell r="O14076" t="str">
            <v>SC2064SO</v>
          </cell>
          <cell r="P14076" t="str">
            <v>STC9G001C</v>
          </cell>
          <cell r="Q14076" t="str">
            <v>磁性位置传感器</v>
          </cell>
        </row>
        <row r="14077">
          <cell r="O14077" t="str">
            <v>PFD1014A</v>
          </cell>
          <cell r="P14077" t="str">
            <v>FD1014A</v>
          </cell>
          <cell r="Q14077" t="str">
            <v>电机驱动</v>
          </cell>
        </row>
        <row r="14078">
          <cell r="O14078" t="str">
            <v>SC2402UA</v>
          </cell>
          <cell r="P14078" t="str">
            <v>STC9902J</v>
          </cell>
          <cell r="Q14078" t="str">
            <v>磁性位置传感器</v>
          </cell>
        </row>
        <row r="14079">
          <cell r="O14079" t="str">
            <v>SC2402UA</v>
          </cell>
          <cell r="P14079" t="str">
            <v>STC9902J</v>
          </cell>
          <cell r="Q14079" t="str">
            <v>磁性位置传感器</v>
          </cell>
        </row>
        <row r="14080">
          <cell r="O14080" t="str">
            <v>SC2402SO-N</v>
          </cell>
          <cell r="P14080" t="str">
            <v>STC9902J</v>
          </cell>
          <cell r="Q14080" t="str">
            <v>磁性位置传感器</v>
          </cell>
        </row>
        <row r="14081">
          <cell r="O14081" t="str">
            <v>SC9634VB</v>
          </cell>
          <cell r="P14081" t="str">
            <v>STC9905G</v>
          </cell>
          <cell r="Q14081" t="str">
            <v>速度传感器</v>
          </cell>
        </row>
        <row r="14082">
          <cell r="O14082" t="str">
            <v>SC9634VB</v>
          </cell>
          <cell r="P14082" t="str">
            <v>STC9905G</v>
          </cell>
          <cell r="Q14082" t="str">
            <v>速度传感器</v>
          </cell>
        </row>
        <row r="14083">
          <cell r="O14083" t="str">
            <v>KH211</v>
          </cell>
          <cell r="P14083" t="str">
            <v>FD1016A</v>
          </cell>
          <cell r="Q14083" t="str">
            <v>电机驱动</v>
          </cell>
        </row>
        <row r="14084">
          <cell r="O14084" t="str">
            <v>SC2402SO-N</v>
          </cell>
          <cell r="P14084" t="str">
            <v>STC9H001A</v>
          </cell>
          <cell r="Q14084" t="str">
            <v>磁性位置传感器</v>
          </cell>
        </row>
        <row r="14085">
          <cell r="O14085" t="str">
            <v>SC2402SO-N</v>
          </cell>
          <cell r="P14085" t="str">
            <v>STC9H001A</v>
          </cell>
          <cell r="Q14085" t="str">
            <v>磁性位置传感器</v>
          </cell>
        </row>
        <row r="14086">
          <cell r="O14086" t="str">
            <v>PSTC9D03E</v>
          </cell>
          <cell r="P14086" t="str">
            <v>STC9D03E</v>
          </cell>
          <cell r="Q14086" t="str">
            <v>电流传感器</v>
          </cell>
        </row>
        <row r="14087">
          <cell r="O14087" t="str">
            <v>PSTC9D03E</v>
          </cell>
          <cell r="P14087" t="str">
            <v>STC9D03E</v>
          </cell>
          <cell r="Q14087" t="str">
            <v>电流传感器</v>
          </cell>
        </row>
        <row r="14088">
          <cell r="O14088" t="str">
            <v>SC2432UA</v>
          </cell>
          <cell r="P14088" t="str">
            <v>STC9906I</v>
          </cell>
          <cell r="Q14088" t="str">
            <v>磁性位置传感器</v>
          </cell>
        </row>
        <row r="14089">
          <cell r="O14089" t="str">
            <v>SC2448SO</v>
          </cell>
          <cell r="P14089" t="str">
            <v>STC9906S</v>
          </cell>
          <cell r="Q14089" t="str">
            <v>磁性位置传感器</v>
          </cell>
        </row>
        <row r="14090">
          <cell r="O14090" t="str">
            <v>PSTC1898AK</v>
          </cell>
          <cell r="P14090" t="str">
            <v>STC1898AK</v>
          </cell>
          <cell r="Q14090" t="str">
            <v>磁性位置传感器</v>
          </cell>
        </row>
        <row r="14091">
          <cell r="O14091" t="str">
            <v>SC9642TS</v>
          </cell>
          <cell r="P14091" t="str">
            <v>STC9A001G</v>
          </cell>
          <cell r="Q14091" t="str">
            <v>速度传感器</v>
          </cell>
        </row>
        <row r="14092">
          <cell r="O14092" t="str">
            <v>SC9642TS</v>
          </cell>
          <cell r="P14092" t="str">
            <v>STC9A001G</v>
          </cell>
          <cell r="Q14092" t="str">
            <v>速度传感器</v>
          </cell>
        </row>
        <row r="14093">
          <cell r="O14093" t="str">
            <v>SC9642TS</v>
          </cell>
          <cell r="P14093" t="str">
            <v>STC9A001G</v>
          </cell>
          <cell r="Q14093" t="str">
            <v>速度传感器</v>
          </cell>
        </row>
        <row r="14094">
          <cell r="O14094" t="str">
            <v>SC9642TS</v>
          </cell>
          <cell r="P14094" t="str">
            <v>STC9A001G</v>
          </cell>
          <cell r="Q14094" t="str">
            <v>速度传感器</v>
          </cell>
        </row>
        <row r="14095">
          <cell r="O14095" t="str">
            <v>SC9642TS</v>
          </cell>
          <cell r="P14095" t="str">
            <v>STC9A001G</v>
          </cell>
          <cell r="Q14095" t="str">
            <v>速度传感器</v>
          </cell>
        </row>
        <row r="14096">
          <cell r="O14096" t="str">
            <v>SC9642TS</v>
          </cell>
          <cell r="P14096" t="str">
            <v>STC9A001G</v>
          </cell>
          <cell r="Q14096" t="str">
            <v>速度传感器</v>
          </cell>
        </row>
        <row r="14097">
          <cell r="O14097" t="str">
            <v>SC9642TS</v>
          </cell>
          <cell r="P14097" t="str">
            <v>STC9A001G</v>
          </cell>
          <cell r="Q14097" t="str">
            <v>速度传感器</v>
          </cell>
        </row>
        <row r="14098">
          <cell r="O14098" t="str">
            <v>SC9641TS</v>
          </cell>
          <cell r="P14098" t="str">
            <v>STC9910BN</v>
          </cell>
          <cell r="Q14098" t="str">
            <v>速度传感器</v>
          </cell>
        </row>
        <row r="14099">
          <cell r="O14099" t="str">
            <v>SC9641TS</v>
          </cell>
          <cell r="P14099" t="str">
            <v>STC9910BN</v>
          </cell>
          <cell r="Q14099" t="str">
            <v>速度传感器</v>
          </cell>
        </row>
        <row r="14100">
          <cell r="O14100" t="str">
            <v>SC9641TS</v>
          </cell>
          <cell r="P14100" t="str">
            <v>STC9910BN</v>
          </cell>
          <cell r="Q14100" t="str">
            <v>速度传感器</v>
          </cell>
        </row>
        <row r="14101">
          <cell r="O14101" t="str">
            <v>SC9641TS</v>
          </cell>
          <cell r="P14101" t="str">
            <v>STC9910BN</v>
          </cell>
          <cell r="Q14101" t="str">
            <v>速度传感器</v>
          </cell>
        </row>
        <row r="14102">
          <cell r="O14102" t="str">
            <v>SC60224-D-1024-976-BSD-01</v>
          </cell>
          <cell r="P14102" t="str">
            <v>STC9D04C</v>
          </cell>
          <cell r="Q14102" t="str">
            <v>电机编码器</v>
          </cell>
        </row>
        <row r="14103">
          <cell r="O14103" t="str">
            <v>SC9634VB</v>
          </cell>
          <cell r="P14103" t="str">
            <v>STC9905G</v>
          </cell>
          <cell r="Q14103" t="str">
            <v>速度传感器</v>
          </cell>
        </row>
        <row r="14104">
          <cell r="O14104" t="str">
            <v>SC4688编程板</v>
          </cell>
          <cell r="P14104" t="str">
            <v xml:space="preserve"> </v>
          </cell>
          <cell r="Q14104" t="str">
            <v>角度传感器</v>
          </cell>
        </row>
        <row r="14105">
          <cell r="O14105" t="str">
            <v>SC2526HVB</v>
          </cell>
          <cell r="P14105" t="str">
            <v>STC9904C</v>
          </cell>
          <cell r="Q14105" t="str">
            <v>磁性位置传感器</v>
          </cell>
        </row>
        <row r="14106">
          <cell r="O14106" t="str">
            <v>SC9621VB</v>
          </cell>
          <cell r="P14106" t="str">
            <v>STC9910C</v>
          </cell>
          <cell r="Q14106" t="str">
            <v>速度传感器</v>
          </cell>
        </row>
        <row r="14107">
          <cell r="O14107" t="str">
            <v>SC9621VB</v>
          </cell>
          <cell r="P14107" t="str">
            <v>STC9910C</v>
          </cell>
          <cell r="Q14107" t="str">
            <v>速度传感器</v>
          </cell>
        </row>
        <row r="14108">
          <cell r="O14108" t="str">
            <v>SC1945B1</v>
          </cell>
          <cell r="P14108" t="str">
            <v>STC2899AM</v>
          </cell>
          <cell r="Q14108" t="str">
            <v>磁性位置传感器</v>
          </cell>
        </row>
        <row r="14109">
          <cell r="O14109" t="str">
            <v>SC1945B1</v>
          </cell>
          <cell r="P14109" t="str">
            <v>STC2899AM</v>
          </cell>
          <cell r="Q14109" t="str">
            <v>磁性位置传感器</v>
          </cell>
        </row>
        <row r="14110">
          <cell r="O14110" t="str">
            <v>SC1945N1</v>
          </cell>
          <cell r="P14110" t="str">
            <v>STC2899AM</v>
          </cell>
          <cell r="Q14110" t="str">
            <v>磁性位置传感器</v>
          </cell>
        </row>
        <row r="14111">
          <cell r="O14111" t="str">
            <v>SC1945N1</v>
          </cell>
          <cell r="P14111" t="str">
            <v>STC2899AM</v>
          </cell>
          <cell r="Q14111" t="str">
            <v>磁性位置传感器</v>
          </cell>
        </row>
        <row r="14112">
          <cell r="O14112" t="str">
            <v>SC1945N1</v>
          </cell>
          <cell r="P14112" t="str">
            <v>STC2899AM</v>
          </cell>
          <cell r="Q14112" t="str">
            <v>磁性位置传感器</v>
          </cell>
        </row>
        <row r="14113">
          <cell r="O14113" t="str">
            <v>SC2434SO-N</v>
          </cell>
          <cell r="P14113" t="str">
            <v>STC9906I</v>
          </cell>
          <cell r="Q14113" t="str">
            <v>磁性位置传感器</v>
          </cell>
        </row>
        <row r="14114">
          <cell r="O14114" t="str">
            <v>SC2434SO-N</v>
          </cell>
          <cell r="P14114" t="str">
            <v>STC9906I</v>
          </cell>
          <cell r="Q14114" t="str">
            <v>磁性位置传感器</v>
          </cell>
        </row>
        <row r="14115">
          <cell r="O14115" t="str">
            <v>SC2063UA</v>
          </cell>
          <cell r="P14115" t="str">
            <v>STC9G001C</v>
          </cell>
          <cell r="Q14115" t="str">
            <v>磁性位置传感器</v>
          </cell>
        </row>
        <row r="14116">
          <cell r="O14116" t="str">
            <v>SC2438UA</v>
          </cell>
          <cell r="P14116" t="str">
            <v>STC9906I</v>
          </cell>
          <cell r="Q14116" t="str">
            <v>磁性位置传感器</v>
          </cell>
        </row>
        <row r="14117">
          <cell r="O14117" t="str">
            <v>SC9642TS-E</v>
          </cell>
          <cell r="P14117" t="str">
            <v>STC9A001H</v>
          </cell>
          <cell r="Q14117" t="str">
            <v>速度传感器</v>
          </cell>
        </row>
        <row r="14118">
          <cell r="O14118" t="str">
            <v>SC9642TS-E</v>
          </cell>
          <cell r="P14118" t="str">
            <v>STC9A001H</v>
          </cell>
          <cell r="Q14118" t="str">
            <v>速度传感器</v>
          </cell>
        </row>
        <row r="14119">
          <cell r="O14119" t="str">
            <v>SC9641TS-PC</v>
          </cell>
          <cell r="P14119" t="str">
            <v>STC9A001I</v>
          </cell>
          <cell r="Q14119" t="str">
            <v>速度传感器</v>
          </cell>
        </row>
        <row r="14120">
          <cell r="O14120" t="str">
            <v>SC9641TS-PC</v>
          </cell>
          <cell r="P14120" t="str">
            <v>STC9A001I</v>
          </cell>
          <cell r="Q14120" t="str">
            <v>速度传感器</v>
          </cell>
        </row>
        <row r="14121">
          <cell r="O14121" t="str">
            <v>SC9641TS-PC</v>
          </cell>
          <cell r="P14121" t="str">
            <v>STC9A001I</v>
          </cell>
          <cell r="Q14121" t="str">
            <v>速度传感器</v>
          </cell>
        </row>
        <row r="14122">
          <cell r="O14122" t="str">
            <v>SC9641TS-PC</v>
          </cell>
          <cell r="P14122" t="str">
            <v>STC9A001I</v>
          </cell>
          <cell r="Q14122" t="str">
            <v>速度传感器</v>
          </cell>
        </row>
        <row r="14123">
          <cell r="O14123" t="str">
            <v>SC9621VB</v>
          </cell>
          <cell r="P14123" t="str">
            <v>STC9910C</v>
          </cell>
          <cell r="Q14123" t="str">
            <v>速度传感器</v>
          </cell>
        </row>
        <row r="14124">
          <cell r="O14124" t="str">
            <v>SC9621VB</v>
          </cell>
          <cell r="P14124" t="str">
            <v>STC9910C</v>
          </cell>
          <cell r="Q14124" t="str">
            <v>速度传感器</v>
          </cell>
        </row>
        <row r="14125">
          <cell r="O14125" t="str">
            <v>SC9621VB</v>
          </cell>
          <cell r="P14125" t="str">
            <v>STC9910C</v>
          </cell>
          <cell r="Q14125" t="str">
            <v>速度传感器</v>
          </cell>
        </row>
        <row r="14126">
          <cell r="O14126" t="str">
            <v>SC1645A2</v>
          </cell>
          <cell r="P14126" t="str">
            <v>STC2899AE</v>
          </cell>
          <cell r="Q14126" t="str">
            <v>磁性位置传感器</v>
          </cell>
        </row>
        <row r="14127">
          <cell r="O14127" t="str">
            <v>SC1645A2</v>
          </cell>
          <cell r="P14127" t="str">
            <v>STC2899AE</v>
          </cell>
          <cell r="Q14127" t="str">
            <v>磁性位置传感器</v>
          </cell>
        </row>
        <row r="14128">
          <cell r="O14128" t="str">
            <v>SC1645A2</v>
          </cell>
          <cell r="P14128" t="str">
            <v>STC2899AE</v>
          </cell>
          <cell r="Q14128" t="str">
            <v>磁性位置传感器</v>
          </cell>
        </row>
        <row r="14129">
          <cell r="O14129" t="str">
            <v>SC4002UA</v>
          </cell>
          <cell r="P14129" t="str">
            <v>STC4000AA</v>
          </cell>
          <cell r="Q14129" t="str">
            <v>磁性位置传感器</v>
          </cell>
        </row>
        <row r="14130">
          <cell r="O14130" t="str">
            <v>SC4002UA</v>
          </cell>
          <cell r="P14130" t="str">
            <v>STC4000AA</v>
          </cell>
          <cell r="Q14130" t="str">
            <v>磁性位置传感器</v>
          </cell>
        </row>
        <row r="14131">
          <cell r="O14131" t="str">
            <v>SC2448SO</v>
          </cell>
          <cell r="P14131" t="str">
            <v>STC9906S</v>
          </cell>
          <cell r="Q14131" t="str">
            <v>磁性位置传感器</v>
          </cell>
        </row>
        <row r="14132">
          <cell r="O14132" t="str">
            <v>SC2448SO</v>
          </cell>
          <cell r="P14132" t="str">
            <v>STC9906S</v>
          </cell>
          <cell r="Q14132" t="str">
            <v>磁性位置传感器</v>
          </cell>
        </row>
        <row r="14133">
          <cell r="O14133" t="str">
            <v>SC2448SO</v>
          </cell>
          <cell r="P14133" t="str">
            <v>STC9906S</v>
          </cell>
          <cell r="Q14133" t="str">
            <v>磁性位置传感器</v>
          </cell>
        </row>
        <row r="14134">
          <cell r="O14134" t="str">
            <v>SC4011SO-N</v>
          </cell>
          <cell r="P14134" t="str">
            <v>STC4011B</v>
          </cell>
          <cell r="Q14134" t="str">
            <v>磁性位置传感器</v>
          </cell>
        </row>
        <row r="14135">
          <cell r="O14135" t="str">
            <v>SC2064SO</v>
          </cell>
          <cell r="P14135" t="str">
            <v>STC9G001C</v>
          </cell>
          <cell r="Q14135" t="str">
            <v>磁性位置传感器</v>
          </cell>
        </row>
        <row r="14136">
          <cell r="O14136" t="str">
            <v>SC2064SO</v>
          </cell>
          <cell r="P14136" t="str">
            <v>STC9G001C</v>
          </cell>
          <cell r="Q14136" t="str">
            <v>磁性位置传感器</v>
          </cell>
        </row>
        <row r="14137">
          <cell r="O14137" t="str">
            <v>SC2064SO</v>
          </cell>
          <cell r="P14137" t="str">
            <v>STC9G001C</v>
          </cell>
          <cell r="Q14137" t="str">
            <v>磁性位置传感器</v>
          </cell>
        </row>
        <row r="14138">
          <cell r="O14138" t="str">
            <v>SC2402UA</v>
          </cell>
          <cell r="P14138" t="str">
            <v>STC9902J</v>
          </cell>
          <cell r="Q14138" t="str">
            <v>磁性位置传感器</v>
          </cell>
        </row>
        <row r="14139">
          <cell r="O14139" t="str">
            <v>SC2402UA</v>
          </cell>
          <cell r="P14139" t="str">
            <v>STC9902J</v>
          </cell>
          <cell r="Q14139" t="str">
            <v>磁性位置传感器</v>
          </cell>
        </row>
        <row r="14140">
          <cell r="O14140" t="str">
            <v>SC1245SO-N</v>
          </cell>
          <cell r="P14140" t="str">
            <v>STC1898AD</v>
          </cell>
          <cell r="Q14140" t="str">
            <v>磁性位置传感器</v>
          </cell>
        </row>
        <row r="14141">
          <cell r="O14141" t="str">
            <v>SC1245SO-N</v>
          </cell>
          <cell r="P14141" t="str">
            <v>STC1898AD</v>
          </cell>
          <cell r="Q14141" t="str">
            <v>磁性位置传感器</v>
          </cell>
        </row>
        <row r="14142">
          <cell r="O14142" t="str">
            <v>PFD1014A</v>
          </cell>
          <cell r="P14142" t="str">
            <v>FD1014A</v>
          </cell>
          <cell r="Q14142" t="str">
            <v>电机驱动</v>
          </cell>
        </row>
        <row r="14143">
          <cell r="O14143" t="str">
            <v>SC2064SO</v>
          </cell>
          <cell r="P14143" t="str">
            <v>STC9G001C</v>
          </cell>
          <cell r="Q14143" t="str">
            <v>磁性位置传感器</v>
          </cell>
        </row>
        <row r="14144">
          <cell r="O14144" t="str">
            <v>SC2402UA</v>
          </cell>
          <cell r="P14144" t="str">
            <v>STC9902J</v>
          </cell>
          <cell r="Q14144" t="str">
            <v>磁性位置传感器</v>
          </cell>
        </row>
        <row r="14145">
          <cell r="O14145" t="str">
            <v>SC2402UA</v>
          </cell>
          <cell r="P14145" t="str">
            <v>STC9902J</v>
          </cell>
          <cell r="Q14145" t="str">
            <v>磁性位置传感器</v>
          </cell>
        </row>
        <row r="14146">
          <cell r="O14146" t="str">
            <v>SC2402SO-N</v>
          </cell>
          <cell r="P14146" t="str">
            <v>STC9902J</v>
          </cell>
          <cell r="Q14146" t="str">
            <v>磁性位置传感器</v>
          </cell>
        </row>
        <row r="14147">
          <cell r="O14147" t="str">
            <v>SC2402SO-N</v>
          </cell>
          <cell r="P14147" t="str">
            <v>STC9902J</v>
          </cell>
          <cell r="Q14147" t="str">
            <v>磁性位置传感器</v>
          </cell>
        </row>
        <row r="14148">
          <cell r="O14148" t="str">
            <v>SC2402SO-N</v>
          </cell>
          <cell r="P14148" t="str">
            <v>STC9902J</v>
          </cell>
          <cell r="Q14148" t="str">
            <v>磁性位置传感器</v>
          </cell>
        </row>
        <row r="14149">
          <cell r="O14149" t="str">
            <v>SC2402SO-N</v>
          </cell>
          <cell r="P14149" t="str">
            <v>STC9902J</v>
          </cell>
          <cell r="Q14149" t="str">
            <v>磁性位置传感器</v>
          </cell>
        </row>
        <row r="14150">
          <cell r="O14150" t="str">
            <v>SC2402SO-N</v>
          </cell>
          <cell r="P14150" t="str">
            <v>STC9902J</v>
          </cell>
          <cell r="Q14150" t="str">
            <v>磁性位置传感器</v>
          </cell>
        </row>
        <row r="14151">
          <cell r="O14151" t="str">
            <v>SC2402SO-N</v>
          </cell>
          <cell r="P14151" t="str">
            <v>STC9902J</v>
          </cell>
          <cell r="Q14151" t="str">
            <v>磁性位置传感器</v>
          </cell>
        </row>
        <row r="14152">
          <cell r="O14152" t="str">
            <v>SC2402SO-N</v>
          </cell>
          <cell r="P14152" t="str">
            <v>STC9902J</v>
          </cell>
          <cell r="Q14152" t="str">
            <v>磁性位置传感器</v>
          </cell>
        </row>
        <row r="14153">
          <cell r="O14153" t="str">
            <v>SC2402SO-N</v>
          </cell>
          <cell r="P14153" t="str">
            <v>STC9902J</v>
          </cell>
          <cell r="Q14153" t="str">
            <v>磁性位置传感器</v>
          </cell>
        </row>
        <row r="14154">
          <cell r="O14154" t="str">
            <v>SC2402SO-N</v>
          </cell>
          <cell r="P14154" t="str">
            <v>STC9902J</v>
          </cell>
          <cell r="Q14154" t="str">
            <v>磁性位置传感器</v>
          </cell>
        </row>
        <row r="14155">
          <cell r="O14155" t="str">
            <v>SC2402SO-N</v>
          </cell>
          <cell r="P14155" t="str">
            <v>STC9G002A</v>
          </cell>
          <cell r="Q14155" t="str">
            <v>磁性位置传感器</v>
          </cell>
        </row>
        <row r="14156">
          <cell r="O14156" t="str">
            <v>SC2402SO-N</v>
          </cell>
          <cell r="P14156" t="str">
            <v>STC9G002A</v>
          </cell>
          <cell r="Q14156" t="str">
            <v>磁性位置传感器</v>
          </cell>
        </row>
        <row r="14157">
          <cell r="O14157" t="str">
            <v>SC2402SO-N</v>
          </cell>
          <cell r="P14157" t="str">
            <v>STC9G002A</v>
          </cell>
          <cell r="Q14157" t="str">
            <v>磁性位置传感器</v>
          </cell>
        </row>
        <row r="14158">
          <cell r="O14158" t="str">
            <v>SC2402SO-N</v>
          </cell>
          <cell r="P14158" t="str">
            <v>STC9G002A</v>
          </cell>
          <cell r="Q14158" t="str">
            <v>磁性位置传感器</v>
          </cell>
        </row>
        <row r="14159">
          <cell r="O14159" t="str">
            <v>SC2402SO-N</v>
          </cell>
          <cell r="P14159" t="str">
            <v>STC9G002A</v>
          </cell>
          <cell r="Q14159" t="str">
            <v>磁性位置传感器</v>
          </cell>
        </row>
        <row r="14160">
          <cell r="O14160" t="str">
            <v>SC2466SO</v>
          </cell>
          <cell r="P14160" t="str">
            <v>STC9906O</v>
          </cell>
          <cell r="Q14160" t="str">
            <v>磁性位置传感器</v>
          </cell>
        </row>
        <row r="14161">
          <cell r="O14161" t="str">
            <v>SC2466SO</v>
          </cell>
          <cell r="P14161" t="str">
            <v>STC9906O</v>
          </cell>
          <cell r="Q14161" t="str">
            <v>磁性位置传感器</v>
          </cell>
        </row>
        <row r="14162">
          <cell r="O14162" t="str">
            <v>SC2443SO</v>
          </cell>
          <cell r="P14162" t="str">
            <v>STC9906T</v>
          </cell>
          <cell r="Q14162" t="str">
            <v>磁性位置传感器</v>
          </cell>
        </row>
        <row r="14163">
          <cell r="O14163" t="str">
            <v>SC2443SO</v>
          </cell>
          <cell r="P14163" t="str">
            <v>STC9906T</v>
          </cell>
          <cell r="Q14163" t="str">
            <v>磁性位置传感器</v>
          </cell>
        </row>
        <row r="14164">
          <cell r="O14164" t="str">
            <v>SC9314UA</v>
          </cell>
          <cell r="P14164" t="str">
            <v>STC9901AF</v>
          </cell>
          <cell r="Q14164" t="str">
            <v>速度传感器</v>
          </cell>
        </row>
        <row r="14165">
          <cell r="O14165" t="str">
            <v>SC4643VB-A</v>
          </cell>
          <cell r="P14165" t="str">
            <v>STC9D03E</v>
          </cell>
          <cell r="Q14165" t="str">
            <v>电流传感器</v>
          </cell>
        </row>
        <row r="14166">
          <cell r="O14166" t="str">
            <v>SC4643VB-A</v>
          </cell>
          <cell r="P14166" t="str">
            <v>STC9D03E</v>
          </cell>
          <cell r="Q14166" t="str">
            <v>电流传感器</v>
          </cell>
        </row>
        <row r="14167">
          <cell r="O14167" t="str">
            <v>SC4643VB-A</v>
          </cell>
          <cell r="P14167" t="str">
            <v>STC9D03E</v>
          </cell>
          <cell r="Q14167" t="str">
            <v>电流传感器</v>
          </cell>
        </row>
        <row r="14168">
          <cell r="O14168" t="str">
            <v>SC4643VB-A</v>
          </cell>
          <cell r="P14168" t="str">
            <v>STC9D03E</v>
          </cell>
          <cell r="Q14168" t="str">
            <v>电流传感器</v>
          </cell>
        </row>
        <row r="14169">
          <cell r="O14169" t="str">
            <v>SC1445A1</v>
          </cell>
          <cell r="P14169" t="str">
            <v>STC2899AB</v>
          </cell>
          <cell r="Q14169" t="str">
            <v>磁性位置传感器</v>
          </cell>
        </row>
        <row r="14170">
          <cell r="O14170" t="str">
            <v>SC9625VB-L</v>
          </cell>
          <cell r="P14170" t="str">
            <v>STC9910E</v>
          </cell>
          <cell r="Q14170" t="str">
            <v>速度传感器</v>
          </cell>
        </row>
        <row r="14171">
          <cell r="O14171" t="str">
            <v>SC9641TS-P</v>
          </cell>
          <cell r="P14171" t="str">
            <v>STC9A001I</v>
          </cell>
          <cell r="Q14171" t="str">
            <v>速度传感器</v>
          </cell>
        </row>
        <row r="14172">
          <cell r="O14172" t="str">
            <v>SC9641TS-P</v>
          </cell>
          <cell r="P14172" t="str">
            <v>STC9A001I</v>
          </cell>
          <cell r="Q14172" t="str">
            <v>速度传感器</v>
          </cell>
        </row>
        <row r="14173">
          <cell r="O14173" t="str">
            <v>SC9314UA</v>
          </cell>
          <cell r="P14173" t="str">
            <v>STC9901AF</v>
          </cell>
          <cell r="Q14173" t="str">
            <v>速度传感器</v>
          </cell>
        </row>
        <row r="14174">
          <cell r="O14174" t="str">
            <v>SC9633VB</v>
          </cell>
          <cell r="P14174" t="str">
            <v>STC9905F</v>
          </cell>
          <cell r="Q14174" t="str">
            <v>速度传感器</v>
          </cell>
        </row>
        <row r="14175">
          <cell r="O14175" t="str">
            <v>SC9634VB</v>
          </cell>
          <cell r="P14175" t="str">
            <v>STC9905G</v>
          </cell>
          <cell r="Q14175" t="str">
            <v>速度传感器</v>
          </cell>
        </row>
        <row r="14176">
          <cell r="O14176" t="str">
            <v>SC9633VB</v>
          </cell>
          <cell r="P14176" t="str">
            <v>STC9905F</v>
          </cell>
          <cell r="Q14176" t="str">
            <v>速度传感器</v>
          </cell>
        </row>
        <row r="14177">
          <cell r="O14177" t="str">
            <v>SC9634VB</v>
          </cell>
          <cell r="P14177" t="str">
            <v>STC9905G</v>
          </cell>
          <cell r="Q14177" t="str">
            <v>速度传感器</v>
          </cell>
        </row>
        <row r="14178">
          <cell r="O14178" t="str">
            <v>SC1134SO-N</v>
          </cell>
          <cell r="P14178" t="str">
            <v>STC1898AI</v>
          </cell>
          <cell r="Q14178" t="str">
            <v>磁性位置传感器</v>
          </cell>
        </row>
        <row r="14179">
          <cell r="O14179" t="str">
            <v>SC4011SO-N</v>
          </cell>
          <cell r="P14179" t="str">
            <v>STC4011B</v>
          </cell>
          <cell r="Q14179" t="str">
            <v>磁性位置传感器</v>
          </cell>
        </row>
        <row r="14180">
          <cell r="O14180" t="str">
            <v>SC4011SO-N</v>
          </cell>
          <cell r="P14180" t="str">
            <v>STC4011B</v>
          </cell>
          <cell r="Q14180" t="str">
            <v>磁性位置传感器</v>
          </cell>
        </row>
        <row r="14181">
          <cell r="O14181" t="str">
            <v>SC2402SO-N</v>
          </cell>
          <cell r="P14181" t="str">
            <v>STC9G002A</v>
          </cell>
          <cell r="Q14181" t="str">
            <v>磁性位置传感器</v>
          </cell>
        </row>
        <row r="14182">
          <cell r="O14182" t="str">
            <v>SC1134SO-N</v>
          </cell>
          <cell r="P14182" t="str">
            <v>STC1898AI</v>
          </cell>
          <cell r="Q14182" t="str">
            <v>磁性位置传感器</v>
          </cell>
        </row>
        <row r="14183">
          <cell r="O14183" t="str">
            <v>SC1134SO-N</v>
          </cell>
          <cell r="P14183" t="str">
            <v>STC1898AI</v>
          </cell>
          <cell r="Q14183" t="str">
            <v>磁性位置传感器</v>
          </cell>
        </row>
        <row r="14184">
          <cell r="O14184" t="str">
            <v>SC1134SO-N</v>
          </cell>
          <cell r="P14184" t="str">
            <v>STC1898AI</v>
          </cell>
          <cell r="Q14184" t="str">
            <v>磁性位置传感器</v>
          </cell>
        </row>
        <row r="14185">
          <cell r="O14185" t="str">
            <v>SC1134SO-N</v>
          </cell>
          <cell r="P14185" t="str">
            <v>STC1898AI</v>
          </cell>
          <cell r="Q14185" t="str">
            <v>磁性位置传感器</v>
          </cell>
        </row>
        <row r="14186">
          <cell r="O14186" t="str">
            <v>SC1134SO-N</v>
          </cell>
          <cell r="P14186" t="str">
            <v>STC1898AI</v>
          </cell>
          <cell r="Q14186" t="str">
            <v>磁性位置传感器</v>
          </cell>
        </row>
        <row r="14187">
          <cell r="O14187" t="str">
            <v>PFD1014A</v>
          </cell>
          <cell r="P14187" t="str">
            <v>FD1014A</v>
          </cell>
          <cell r="Q14187" t="str">
            <v>电机驱动</v>
          </cell>
        </row>
        <row r="14188">
          <cell r="O14188" t="str">
            <v>SC9633VB</v>
          </cell>
          <cell r="P14188" t="str">
            <v>STC9905F</v>
          </cell>
          <cell r="Q14188" t="str">
            <v>速度传感器</v>
          </cell>
        </row>
        <row r="14189">
          <cell r="O14189" t="str">
            <v>SC9633VB</v>
          </cell>
          <cell r="P14189" t="str">
            <v>STC9905F</v>
          </cell>
          <cell r="Q14189" t="str">
            <v>速度传感器</v>
          </cell>
        </row>
        <row r="14190">
          <cell r="O14190" t="str">
            <v>SC9633VB</v>
          </cell>
          <cell r="P14190" t="str">
            <v>STC9905F</v>
          </cell>
          <cell r="Q14190" t="str">
            <v>速度传感器</v>
          </cell>
        </row>
        <row r="14191">
          <cell r="O14191" t="str">
            <v>SC9633VB</v>
          </cell>
          <cell r="P14191" t="str">
            <v>STC9905F</v>
          </cell>
          <cell r="Q14191" t="str">
            <v>速度传感器</v>
          </cell>
        </row>
        <row r="14192">
          <cell r="O14192" t="str">
            <v>SC9632VB</v>
          </cell>
          <cell r="P14192" t="str">
            <v>STC9905E</v>
          </cell>
          <cell r="Q14192" t="str">
            <v>速度传感器</v>
          </cell>
        </row>
        <row r="14193">
          <cell r="O14193" t="str">
            <v>SC9632VB</v>
          </cell>
          <cell r="P14193" t="str">
            <v>STC9905E</v>
          </cell>
          <cell r="Q14193" t="str">
            <v>速度传感器</v>
          </cell>
        </row>
        <row r="14194">
          <cell r="O14194" t="str">
            <v>SC9632VB</v>
          </cell>
          <cell r="P14194" t="str">
            <v>STC9905E</v>
          </cell>
          <cell r="Q14194" t="str">
            <v>速度传感器</v>
          </cell>
        </row>
        <row r="14195">
          <cell r="O14195" t="str">
            <v>SC9632VB</v>
          </cell>
          <cell r="P14195" t="str">
            <v>STC9905E</v>
          </cell>
          <cell r="Q14195" t="str">
            <v>速度传感器</v>
          </cell>
        </row>
        <row r="14196">
          <cell r="O14196" t="str">
            <v>SC9632VB</v>
          </cell>
          <cell r="P14196" t="str">
            <v>STC9905E</v>
          </cell>
          <cell r="Q14196" t="str">
            <v>速度传感器</v>
          </cell>
        </row>
        <row r="14197">
          <cell r="O14197" t="str">
            <v>SC2434SO-N</v>
          </cell>
          <cell r="P14197" t="str">
            <v>STC9906I</v>
          </cell>
          <cell r="Q14197" t="str">
            <v>磁性位置传感器</v>
          </cell>
        </row>
        <row r="14198">
          <cell r="O14198" t="str">
            <v>SC1245UA</v>
          </cell>
          <cell r="P14198" t="str">
            <v>STC1898AD</v>
          </cell>
          <cell r="Q14198" t="str">
            <v>磁性位置传感器</v>
          </cell>
        </row>
        <row r="14199">
          <cell r="O14199" t="str">
            <v>SC1245UA</v>
          </cell>
          <cell r="P14199" t="str">
            <v>STC1898AD</v>
          </cell>
          <cell r="Q14199" t="str">
            <v>磁性位置传感器</v>
          </cell>
        </row>
        <row r="14200">
          <cell r="O14200" t="str">
            <v>SC1245UA</v>
          </cell>
          <cell r="P14200" t="str">
            <v>STC1898AD</v>
          </cell>
          <cell r="Q14200" t="str">
            <v>磁性位置传感器</v>
          </cell>
        </row>
        <row r="14201">
          <cell r="O14201" t="str">
            <v>SC724SP30B5</v>
          </cell>
          <cell r="P14201" t="str">
            <v>STC9D06F</v>
          </cell>
          <cell r="Q14201" t="str">
            <v>电流传感器</v>
          </cell>
        </row>
        <row r="14202">
          <cell r="O14202" t="str">
            <v>SC9642TS-E</v>
          </cell>
          <cell r="P14202" t="str">
            <v>STC9A001H</v>
          </cell>
          <cell r="Q14202" t="str">
            <v>速度传感器</v>
          </cell>
        </row>
        <row r="14203">
          <cell r="O14203" t="str">
            <v>SC1134SO-N</v>
          </cell>
          <cell r="P14203" t="str">
            <v>STC1898AI</v>
          </cell>
          <cell r="Q14203" t="str">
            <v>磁性位置传感器</v>
          </cell>
        </row>
        <row r="14204">
          <cell r="O14204" t="str">
            <v>SC1134SO-N</v>
          </cell>
          <cell r="P14204" t="str">
            <v>STC1898AI</v>
          </cell>
          <cell r="Q14204" t="str">
            <v>磁性位置传感器</v>
          </cell>
        </row>
        <row r="14205">
          <cell r="O14205" t="str">
            <v>SC1134SO-N</v>
          </cell>
          <cell r="P14205" t="str">
            <v>STC1898AI</v>
          </cell>
          <cell r="Q14205" t="str">
            <v>磁性位置传感器</v>
          </cell>
        </row>
        <row r="14206">
          <cell r="O14206" t="str">
            <v>SC1445A1</v>
          </cell>
          <cell r="P14206" t="str">
            <v>STC2899AB</v>
          </cell>
          <cell r="Q14206" t="str">
            <v>磁性位置传感器</v>
          </cell>
        </row>
        <row r="14207">
          <cell r="O14207" t="str">
            <v>SC2402UA</v>
          </cell>
          <cell r="P14207" t="str">
            <v>STC9H001A</v>
          </cell>
          <cell r="Q14207" t="str">
            <v>磁性位置传感器</v>
          </cell>
        </row>
        <row r="14208">
          <cell r="O14208" t="str">
            <v>SC2443UA</v>
          </cell>
          <cell r="P14208" t="str">
            <v>STC9906W</v>
          </cell>
          <cell r="Q14208" t="str">
            <v>磁性位置传感器</v>
          </cell>
        </row>
        <row r="14209">
          <cell r="O14209" t="str">
            <v>SC2443UA</v>
          </cell>
          <cell r="P14209" t="str">
            <v>STC9906W</v>
          </cell>
          <cell r="Q14209" t="str">
            <v>磁性位置传感器</v>
          </cell>
        </row>
        <row r="14210">
          <cell r="O14210" t="str">
            <v>SC60370</v>
          </cell>
          <cell r="P14210" t="str">
            <v>STC9D05B</v>
          </cell>
          <cell r="Q14210" t="str">
            <v>电机编码器</v>
          </cell>
        </row>
        <row r="14211">
          <cell r="O14211" t="str">
            <v>SC9641TS-P</v>
          </cell>
          <cell r="P14211" t="str">
            <v>STC9A001I</v>
          </cell>
          <cell r="Q14211" t="str">
            <v>速度传感器</v>
          </cell>
        </row>
        <row r="14212">
          <cell r="O14212" t="str">
            <v>SC2498UA-N</v>
          </cell>
          <cell r="P14212" t="str">
            <v>SC9915C</v>
          </cell>
          <cell r="Q14212" t="str">
            <v>磁性位置传感器</v>
          </cell>
        </row>
        <row r="14213">
          <cell r="O14213" t="str">
            <v>SC2498UA-N</v>
          </cell>
          <cell r="P14213" t="str">
            <v>SC9915C</v>
          </cell>
          <cell r="Q14213" t="str">
            <v>磁性位置传感器</v>
          </cell>
        </row>
        <row r="14214">
          <cell r="O14214" t="str">
            <v>SC2448SO</v>
          </cell>
          <cell r="P14214" t="str">
            <v>STC9906S</v>
          </cell>
          <cell r="Q14214" t="str">
            <v>磁性位置传感器</v>
          </cell>
        </row>
        <row r="14215">
          <cell r="O14215" t="str">
            <v>SC2448SO</v>
          </cell>
          <cell r="P14215" t="str">
            <v>STC9906S</v>
          </cell>
          <cell r="Q14215" t="str">
            <v>磁性位置传感器</v>
          </cell>
        </row>
        <row r="14216">
          <cell r="O14216" t="str">
            <v>SC2448SO</v>
          </cell>
          <cell r="P14216" t="str">
            <v>STC9906S</v>
          </cell>
          <cell r="Q14216" t="str">
            <v>磁性位置传感器</v>
          </cell>
        </row>
        <row r="14217">
          <cell r="O14217" t="str">
            <v>SC2064SO</v>
          </cell>
          <cell r="P14217" t="str">
            <v>STC9G001C</v>
          </cell>
          <cell r="Q14217" t="str">
            <v>磁性位置传感器</v>
          </cell>
        </row>
        <row r="14218">
          <cell r="O14218" t="str">
            <v>SC2448UA-N</v>
          </cell>
          <cell r="P14218" t="str">
            <v>STC9906S</v>
          </cell>
          <cell r="Q14218" t="str">
            <v>磁性位置传感器</v>
          </cell>
        </row>
        <row r="14219">
          <cell r="O14219" t="str">
            <v>SC2442SO</v>
          </cell>
          <cell r="P14219" t="str">
            <v>STC9906R</v>
          </cell>
          <cell r="Q14219" t="str">
            <v>磁性位置传感器</v>
          </cell>
        </row>
        <row r="14220">
          <cell r="O14220" t="str">
            <v>SC4695DC</v>
          </cell>
          <cell r="P14220" t="str">
            <v>STC9D01C</v>
          </cell>
          <cell r="Q14220" t="str">
            <v>角度传感器</v>
          </cell>
        </row>
        <row r="14221">
          <cell r="O14221" t="str">
            <v>SC4695DC</v>
          </cell>
          <cell r="P14221" t="str">
            <v>STC9D01C</v>
          </cell>
          <cell r="Q14221" t="str">
            <v>角度传感器</v>
          </cell>
        </row>
        <row r="14222">
          <cell r="O14222" t="str">
            <v>SC4695DC</v>
          </cell>
          <cell r="P14222" t="str">
            <v>STC9D01C</v>
          </cell>
          <cell r="Q14222" t="str">
            <v>角度传感器</v>
          </cell>
        </row>
        <row r="14223">
          <cell r="O14223" t="str">
            <v>SC4689SA</v>
          </cell>
          <cell r="P14223" t="str">
            <v>STC9D01F</v>
          </cell>
          <cell r="Q14223" t="str">
            <v>角度传感器</v>
          </cell>
        </row>
        <row r="14224">
          <cell r="O14224" t="str">
            <v>SC4688编程板</v>
          </cell>
          <cell r="P14224" t="str">
            <v xml:space="preserve"> </v>
          </cell>
          <cell r="Q14224" t="str">
            <v>角度传感器</v>
          </cell>
        </row>
        <row r="14225">
          <cell r="O14225" t="str">
            <v>SC9641TS-P</v>
          </cell>
          <cell r="P14225" t="str">
            <v>STC9A001I</v>
          </cell>
          <cell r="Q14225" t="str">
            <v>速度传感器</v>
          </cell>
        </row>
        <row r="14226">
          <cell r="O14226" t="str">
            <v>SC4689SA</v>
          </cell>
          <cell r="P14226" t="str">
            <v>STC9D01F</v>
          </cell>
          <cell r="Q14226" t="str">
            <v>角度传感器</v>
          </cell>
        </row>
        <row r="14227">
          <cell r="O14227" t="str">
            <v>SC1134SO-N</v>
          </cell>
          <cell r="P14227" t="str">
            <v>STC1898AI</v>
          </cell>
          <cell r="Q14227" t="str">
            <v>磁性位置传感器</v>
          </cell>
        </row>
        <row r="14228">
          <cell r="O14228" t="str">
            <v>SC60221-D-400</v>
          </cell>
          <cell r="P14228" t="str">
            <v>STC9D04C</v>
          </cell>
          <cell r="Q14228" t="str">
            <v>电机编码器</v>
          </cell>
        </row>
        <row r="14229">
          <cell r="O14229" t="str">
            <v>SC1645A2</v>
          </cell>
          <cell r="P14229" t="str">
            <v>STC2899AE</v>
          </cell>
          <cell r="Q14229" t="str">
            <v>磁性位置传感器</v>
          </cell>
        </row>
        <row r="14230">
          <cell r="O14230" t="str">
            <v>SC1134UA</v>
          </cell>
          <cell r="P14230" t="str">
            <v>STC1898AI</v>
          </cell>
          <cell r="Q14230" t="str">
            <v>磁性位置传感器</v>
          </cell>
        </row>
        <row r="14231">
          <cell r="O14231" t="str">
            <v>SC2448SO</v>
          </cell>
          <cell r="P14231" t="str">
            <v>STC9906S</v>
          </cell>
          <cell r="Q14231" t="str">
            <v>磁性位置传感器</v>
          </cell>
        </row>
        <row r="14232">
          <cell r="O14232" t="str">
            <v>SC2448SO</v>
          </cell>
          <cell r="P14232" t="str">
            <v>STC9906S</v>
          </cell>
          <cell r="Q14232" t="str">
            <v>磁性位置传感器</v>
          </cell>
        </row>
        <row r="14233">
          <cell r="O14233" t="str">
            <v>SC9632VB</v>
          </cell>
          <cell r="P14233" t="str">
            <v>STC9905E</v>
          </cell>
          <cell r="Q14233" t="str">
            <v>速度传感器</v>
          </cell>
        </row>
        <row r="14234">
          <cell r="O14234" t="str">
            <v>SC9632VB</v>
          </cell>
          <cell r="P14234" t="str">
            <v>STC9905E</v>
          </cell>
          <cell r="Q14234" t="str">
            <v>速度传感器</v>
          </cell>
        </row>
        <row r="14235">
          <cell r="O14235" t="str">
            <v>SC2442UA</v>
          </cell>
          <cell r="P14235" t="str">
            <v>STC9906P</v>
          </cell>
          <cell r="Q14235" t="str">
            <v>磁性位置传感器</v>
          </cell>
        </row>
        <row r="14236">
          <cell r="O14236" t="str">
            <v>SC1945N1</v>
          </cell>
          <cell r="P14236" t="str">
            <v>STC2899AM</v>
          </cell>
          <cell r="Q14236" t="str">
            <v>磁性位置传感器</v>
          </cell>
        </row>
        <row r="14237">
          <cell r="O14237" t="str">
            <v>SC1645B1</v>
          </cell>
          <cell r="P14237" t="str">
            <v>STC2899AE</v>
          </cell>
          <cell r="Q14237" t="str">
            <v>磁性位置传感器</v>
          </cell>
        </row>
        <row r="14238">
          <cell r="O14238" t="str">
            <v>SC1645A1</v>
          </cell>
          <cell r="P14238" t="str">
            <v>STC2899AE</v>
          </cell>
          <cell r="Q14238" t="str">
            <v>磁性位置传感器</v>
          </cell>
        </row>
        <row r="14239">
          <cell r="O14239" t="str">
            <v>SC1645A1</v>
          </cell>
          <cell r="P14239" t="str">
            <v>STC2899AE</v>
          </cell>
          <cell r="Q14239" t="str">
            <v>磁性位置传感器</v>
          </cell>
        </row>
        <row r="14240">
          <cell r="O14240" t="str">
            <v>SC4643编程板</v>
          </cell>
          <cell r="P14240" t="str">
            <v xml:space="preserve"> </v>
          </cell>
          <cell r="Q14240" t="str">
            <v>电流传感器</v>
          </cell>
        </row>
        <row r="14241">
          <cell r="O14241" t="str">
            <v>SC1245UA</v>
          </cell>
          <cell r="P14241" t="str">
            <v>STC1898AD</v>
          </cell>
          <cell r="Q14241" t="str">
            <v>磁性位置传感器</v>
          </cell>
        </row>
        <row r="14242">
          <cell r="O14242" t="str">
            <v>SC2464UA</v>
          </cell>
          <cell r="P14242" t="str">
            <v>STC9906J</v>
          </cell>
          <cell r="Q14242" t="str">
            <v>磁性位置传感器</v>
          </cell>
        </row>
        <row r="14243">
          <cell r="O14243" t="str">
            <v>SC2464UA</v>
          </cell>
          <cell r="P14243" t="str">
            <v>STC9906J</v>
          </cell>
          <cell r="Q14243" t="str">
            <v>磁性位置传感器</v>
          </cell>
        </row>
        <row r="14244">
          <cell r="O14244" t="str">
            <v>SC2442UA</v>
          </cell>
          <cell r="P14244" t="str">
            <v>STC9906P</v>
          </cell>
          <cell r="Q14244" t="str">
            <v>磁性位置传感器</v>
          </cell>
        </row>
        <row r="14245">
          <cell r="O14245" t="str">
            <v>SC2442UA</v>
          </cell>
          <cell r="P14245" t="str">
            <v>STC9906P</v>
          </cell>
          <cell r="Q14245" t="str">
            <v>磁性位置传感器</v>
          </cell>
        </row>
        <row r="14246">
          <cell r="O14246" t="str">
            <v>SC4643VB</v>
          </cell>
          <cell r="P14246" t="str">
            <v>STC9D03E</v>
          </cell>
          <cell r="Q14246" t="str">
            <v>电流传感器</v>
          </cell>
        </row>
        <row r="14247">
          <cell r="O14247" t="str">
            <v>SC4643VB</v>
          </cell>
          <cell r="P14247" t="str">
            <v>STC9D03E</v>
          </cell>
          <cell r="Q14247" t="str">
            <v>电流传感器</v>
          </cell>
        </row>
        <row r="14248">
          <cell r="O14248" t="str">
            <v>SC2063SO</v>
          </cell>
          <cell r="P14248" t="str">
            <v>STC9G001C</v>
          </cell>
          <cell r="Q14248" t="str">
            <v>磁性位置传感器</v>
          </cell>
        </row>
        <row r="14249">
          <cell r="O14249" t="str">
            <v>SC2063SO</v>
          </cell>
          <cell r="P14249" t="str">
            <v>STC9G001C</v>
          </cell>
          <cell r="Q14249" t="str">
            <v>磁性位置传感器</v>
          </cell>
        </row>
        <row r="14250">
          <cell r="O14250" t="str">
            <v>SC2063SO</v>
          </cell>
          <cell r="P14250" t="str">
            <v>STC9G001C</v>
          </cell>
          <cell r="Q14250" t="str">
            <v>磁性位置传感器</v>
          </cell>
        </row>
        <row r="14251">
          <cell r="O14251" t="str">
            <v>SC2033SO</v>
          </cell>
          <cell r="P14251" t="str">
            <v>STC9G001D</v>
          </cell>
          <cell r="Q14251" t="str">
            <v>磁性位置传感器</v>
          </cell>
        </row>
        <row r="14252">
          <cell r="O14252" t="str">
            <v>SC2033SO-N</v>
          </cell>
          <cell r="P14252" t="str">
            <v>STC9G001D</v>
          </cell>
          <cell r="Q14252" t="str">
            <v>磁性位置传感器</v>
          </cell>
        </row>
        <row r="14253">
          <cell r="O14253" t="str">
            <v>SC2063SO</v>
          </cell>
          <cell r="P14253" t="str">
            <v>STC9G001C</v>
          </cell>
          <cell r="Q14253" t="str">
            <v>磁性位置传感器</v>
          </cell>
        </row>
        <row r="14254">
          <cell r="O14254" t="str">
            <v>SC2402SO-N</v>
          </cell>
          <cell r="P14254" t="str">
            <v>STC9902J</v>
          </cell>
          <cell r="Q14254" t="str">
            <v>磁性位置传感器</v>
          </cell>
        </row>
        <row r="14255">
          <cell r="O14255" t="str">
            <v>SC9641TS-P</v>
          </cell>
          <cell r="P14255" t="str">
            <v>STC9A001F</v>
          </cell>
          <cell r="Q14255" t="str">
            <v>速度传感器</v>
          </cell>
        </row>
        <row r="14256">
          <cell r="O14256" t="str">
            <v>SC9642TS-E</v>
          </cell>
          <cell r="P14256" t="str">
            <v>STC9A001H</v>
          </cell>
          <cell r="Q14256" t="str">
            <v>速度传感器</v>
          </cell>
        </row>
        <row r="14257">
          <cell r="O14257" t="str">
            <v>SC2442SO</v>
          </cell>
          <cell r="P14257" t="str">
            <v>STC9906R</v>
          </cell>
          <cell r="Q14257" t="str">
            <v>磁性位置传感器</v>
          </cell>
        </row>
        <row r="14258">
          <cell r="O14258" t="str">
            <v>SC2442UA</v>
          </cell>
          <cell r="P14258" t="str">
            <v>STC9906P</v>
          </cell>
          <cell r="Q14258" t="str">
            <v>磁性位置传感器</v>
          </cell>
        </row>
        <row r="14259">
          <cell r="O14259" t="str">
            <v>SC4643编程板</v>
          </cell>
          <cell r="P14259" t="str">
            <v xml:space="preserve"> </v>
          </cell>
          <cell r="Q14259" t="str">
            <v>电流传感器</v>
          </cell>
        </row>
        <row r="14260">
          <cell r="O14260" t="str">
            <v>SC4643编程板</v>
          </cell>
          <cell r="P14260" t="str">
            <v xml:space="preserve"> </v>
          </cell>
          <cell r="Q14260" t="str">
            <v>电流传感器</v>
          </cell>
        </row>
        <row r="14261">
          <cell r="O14261" t="str">
            <v>SC2448SO</v>
          </cell>
          <cell r="P14261" t="str">
            <v>STC9906S</v>
          </cell>
          <cell r="Q14261" t="str">
            <v>磁性位置传感器</v>
          </cell>
        </row>
        <row r="14262">
          <cell r="O14262" t="str">
            <v>SC4643VB</v>
          </cell>
          <cell r="P14262" t="str">
            <v>STC9D03E</v>
          </cell>
          <cell r="Q14262" t="str">
            <v>电流传感器</v>
          </cell>
        </row>
        <row r="14263">
          <cell r="O14263" t="str">
            <v>SC4643VB</v>
          </cell>
          <cell r="P14263" t="str">
            <v>STC9D03E</v>
          </cell>
          <cell r="Q14263" t="str">
            <v>电流传感器</v>
          </cell>
        </row>
        <row r="14264">
          <cell r="O14264" t="str">
            <v>SC4643VB</v>
          </cell>
          <cell r="P14264" t="str">
            <v>STC9D03E</v>
          </cell>
          <cell r="Q14264" t="str">
            <v>电流传感器</v>
          </cell>
        </row>
        <row r="14265">
          <cell r="O14265" t="str">
            <v>SC4643VB</v>
          </cell>
          <cell r="P14265" t="str">
            <v>STC9D03E</v>
          </cell>
          <cell r="Q14265" t="str">
            <v>电流传感器</v>
          </cell>
        </row>
        <row r="14266">
          <cell r="O14266" t="str">
            <v>SC4643VB</v>
          </cell>
          <cell r="P14266" t="str">
            <v>STC9D03E</v>
          </cell>
          <cell r="Q14266" t="str">
            <v>电流传感器</v>
          </cell>
        </row>
        <row r="14267">
          <cell r="O14267" t="str">
            <v>SC9641TS-P</v>
          </cell>
          <cell r="P14267" t="str">
            <v>STC9A001I</v>
          </cell>
          <cell r="Q14267" t="str">
            <v>速度传感器</v>
          </cell>
        </row>
        <row r="14268">
          <cell r="O14268" t="str">
            <v>SC9641TS-P</v>
          </cell>
          <cell r="P14268" t="str">
            <v>STC9A001I</v>
          </cell>
          <cell r="Q14268" t="str">
            <v>速度传感器</v>
          </cell>
        </row>
        <row r="14269">
          <cell r="O14269" t="str">
            <v>SC2442UA</v>
          </cell>
          <cell r="P14269" t="str">
            <v>STC9906P</v>
          </cell>
          <cell r="Q14269" t="str">
            <v>磁性位置传感器</v>
          </cell>
        </row>
        <row r="14270">
          <cell r="O14270" t="str">
            <v>SC2442UA</v>
          </cell>
          <cell r="P14270" t="str">
            <v>STC9906P</v>
          </cell>
          <cell r="Q14270" t="str">
            <v>磁性位置传感器</v>
          </cell>
        </row>
        <row r="14271">
          <cell r="O14271" t="str">
            <v>SC1138SO-N</v>
          </cell>
          <cell r="P14271" t="str">
            <v>STC1898AC</v>
          </cell>
          <cell r="Q14271" t="str">
            <v>磁性位置传感器</v>
          </cell>
        </row>
        <row r="14272">
          <cell r="O14272" t="str">
            <v>SC1138SO-N</v>
          </cell>
          <cell r="P14272" t="str">
            <v>STC1898AC</v>
          </cell>
          <cell r="Q14272" t="str">
            <v>磁性位置传感器</v>
          </cell>
        </row>
        <row r="14273">
          <cell r="O14273" t="str">
            <v>SC60221-D-256</v>
          </cell>
          <cell r="P14273" t="str">
            <v>STC9D04C</v>
          </cell>
          <cell r="Q14273" t="str">
            <v>电机编码器</v>
          </cell>
        </row>
        <row r="14274">
          <cell r="O14274" t="str">
            <v>SC4688SA</v>
          </cell>
          <cell r="P14274" t="str">
            <v>STC9D01C</v>
          </cell>
          <cell r="Q14274" t="str">
            <v>角度传感器</v>
          </cell>
        </row>
        <row r="14275">
          <cell r="O14275" t="str">
            <v>SC9641TS-P</v>
          </cell>
          <cell r="P14275" t="str">
            <v>STC9A001F</v>
          </cell>
          <cell r="Q14275" t="str">
            <v>速度传感器</v>
          </cell>
        </row>
        <row r="14276">
          <cell r="O14276" t="str">
            <v>SC1134SO-N</v>
          </cell>
          <cell r="P14276" t="str">
            <v>STC1898AI</v>
          </cell>
          <cell r="Q14276" t="str">
            <v>磁性位置传感器</v>
          </cell>
        </row>
        <row r="14277">
          <cell r="O14277" t="str">
            <v>SC1134SO-N</v>
          </cell>
          <cell r="P14277" t="str">
            <v>STC1898AI</v>
          </cell>
          <cell r="Q14277" t="str">
            <v>磁性位置传感器</v>
          </cell>
        </row>
        <row r="14278">
          <cell r="O14278" t="str">
            <v>SC2466SO</v>
          </cell>
          <cell r="P14278" t="str">
            <v>STC9906O</v>
          </cell>
          <cell r="Q14278" t="str">
            <v>磁性位置传感器</v>
          </cell>
        </row>
        <row r="14279">
          <cell r="O14279" t="str">
            <v>SC2464SO</v>
          </cell>
          <cell r="P14279" t="str">
            <v>STC9906J</v>
          </cell>
          <cell r="Q14279" t="str">
            <v>磁性位置传感器</v>
          </cell>
        </row>
        <row r="14280">
          <cell r="O14280" t="str">
            <v>KH211</v>
          </cell>
          <cell r="P14280" t="str">
            <v>FD1016A</v>
          </cell>
          <cell r="Q14280" t="str">
            <v>电机驱动</v>
          </cell>
        </row>
        <row r="14281">
          <cell r="O14281" t="str">
            <v>KH211</v>
          </cell>
          <cell r="P14281" t="str">
            <v>FD1016A</v>
          </cell>
          <cell r="Q14281" t="str">
            <v>电机驱动</v>
          </cell>
        </row>
        <row r="14282">
          <cell r="O14282" t="str">
            <v>KH276</v>
          </cell>
          <cell r="P14282" t="str">
            <v>FD1014A</v>
          </cell>
          <cell r="Q14282" t="str">
            <v>电机驱动</v>
          </cell>
        </row>
        <row r="14283">
          <cell r="O14283" t="str">
            <v>KH276</v>
          </cell>
          <cell r="P14283" t="str">
            <v>FD1014A</v>
          </cell>
          <cell r="Q14283" t="str">
            <v>电机驱动</v>
          </cell>
        </row>
        <row r="14284">
          <cell r="O14284" t="str">
            <v>SC2442SO-N</v>
          </cell>
          <cell r="P14284" t="str">
            <v>STC9906P</v>
          </cell>
          <cell r="Q14284" t="str">
            <v>磁性位置传感器</v>
          </cell>
        </row>
        <row r="14285">
          <cell r="O14285" t="str">
            <v>SC2442SO-N</v>
          </cell>
          <cell r="P14285" t="str">
            <v>STC9906P</v>
          </cell>
          <cell r="Q14285" t="str">
            <v>磁性位置传感器</v>
          </cell>
        </row>
        <row r="14286">
          <cell r="O14286" t="str">
            <v>SC2442SO-N</v>
          </cell>
          <cell r="P14286" t="str">
            <v>STC9906P</v>
          </cell>
          <cell r="Q14286" t="str">
            <v>磁性位置传感器</v>
          </cell>
        </row>
        <row r="14287">
          <cell r="O14287" t="str">
            <v>SC1134SO-N</v>
          </cell>
          <cell r="P14287" t="str">
            <v>STC1898AI</v>
          </cell>
          <cell r="Q14287" t="str">
            <v>磁性位置传感器</v>
          </cell>
        </row>
        <row r="14288">
          <cell r="O14288" t="str">
            <v>SC1134SO-N</v>
          </cell>
          <cell r="P14288" t="str">
            <v>STC1898AI</v>
          </cell>
          <cell r="Q14288" t="str">
            <v>磁性位置传感器</v>
          </cell>
        </row>
        <row r="14289">
          <cell r="O14289" t="str">
            <v>SC4643VB-A</v>
          </cell>
          <cell r="P14289" t="str">
            <v>STC9D03E</v>
          </cell>
          <cell r="Q14289" t="str">
            <v>电流传感器</v>
          </cell>
        </row>
        <row r="14290">
          <cell r="O14290" t="str">
            <v>SC4643VB-A</v>
          </cell>
          <cell r="P14290" t="str">
            <v>STC9D03E</v>
          </cell>
          <cell r="Q14290" t="str">
            <v>电流传感器</v>
          </cell>
        </row>
        <row r="14291">
          <cell r="O14291" t="str">
            <v>SC4643VB-A</v>
          </cell>
          <cell r="P14291" t="str">
            <v>STC9D03E</v>
          </cell>
          <cell r="Q14291" t="str">
            <v>电流传感器</v>
          </cell>
        </row>
        <row r="14292">
          <cell r="O14292" t="str">
            <v>SC1245A1</v>
          </cell>
          <cell r="P14292" t="str">
            <v>STC1898AD</v>
          </cell>
          <cell r="Q14292" t="str">
            <v>磁性位置传感器</v>
          </cell>
        </row>
        <row r="14293">
          <cell r="O14293" t="str">
            <v>SC1245A1</v>
          </cell>
          <cell r="P14293" t="str">
            <v>STC1898AD</v>
          </cell>
          <cell r="Q14293" t="str">
            <v>磁性位置传感器</v>
          </cell>
        </row>
        <row r="14294">
          <cell r="O14294" t="str">
            <v>SC724SP30B5</v>
          </cell>
          <cell r="P14294" t="str">
            <v>STC9D06F</v>
          </cell>
          <cell r="Q14294" t="str">
            <v>电流传感器</v>
          </cell>
        </row>
        <row r="14295">
          <cell r="O14295" t="str">
            <v>SC1134SE</v>
          </cell>
          <cell r="P14295" t="str">
            <v>STC1002AF</v>
          </cell>
          <cell r="Q14295" t="str">
            <v>磁性位置传感器</v>
          </cell>
        </row>
        <row r="14296">
          <cell r="O14296" t="str">
            <v>SC1134SE</v>
          </cell>
          <cell r="P14296" t="str">
            <v>STC1002AF</v>
          </cell>
          <cell r="Q14296" t="str">
            <v>磁性位置传感器</v>
          </cell>
        </row>
        <row r="14297">
          <cell r="O14297" t="str">
            <v>SC1134SE</v>
          </cell>
          <cell r="P14297" t="str">
            <v>STC1002AF</v>
          </cell>
          <cell r="Q14297" t="str">
            <v>磁性位置传感器</v>
          </cell>
        </row>
        <row r="14298">
          <cell r="O14298" t="str">
            <v>SC4688编程板</v>
          </cell>
          <cell r="P14298" t="str">
            <v xml:space="preserve"> </v>
          </cell>
          <cell r="Q14298" t="str">
            <v>角度传感器</v>
          </cell>
        </row>
        <row r="14299">
          <cell r="O14299" t="str">
            <v>SC1134SO-N</v>
          </cell>
          <cell r="P14299" t="str">
            <v>STC1898AI</v>
          </cell>
          <cell r="Q14299" t="str">
            <v>磁性位置传感器</v>
          </cell>
        </row>
        <row r="14300">
          <cell r="O14300" t="str">
            <v>SC1134SO-N</v>
          </cell>
          <cell r="P14300" t="str">
            <v>STC1898AI</v>
          </cell>
          <cell r="Q14300" t="str">
            <v>磁性位置传感器</v>
          </cell>
        </row>
        <row r="14301">
          <cell r="O14301" t="str">
            <v>SC1134SO-N</v>
          </cell>
          <cell r="P14301" t="str">
            <v>STC1898AI</v>
          </cell>
          <cell r="Q14301" t="str">
            <v>磁性位置传感器</v>
          </cell>
        </row>
        <row r="14302">
          <cell r="O14302" t="str">
            <v>SC4688编程板</v>
          </cell>
          <cell r="P14302" t="str">
            <v xml:space="preserve"> </v>
          </cell>
          <cell r="Q14302" t="str">
            <v>角度传感器</v>
          </cell>
        </row>
        <row r="14303">
          <cell r="O14303" t="str">
            <v>SL002147</v>
          </cell>
          <cell r="P14303" t="str">
            <v>STC16100A</v>
          </cell>
          <cell r="Q14303" t="str">
            <v>电流传感器</v>
          </cell>
        </row>
        <row r="14304">
          <cell r="O14304" t="str">
            <v>SC2402SO-N-TR</v>
          </cell>
          <cell r="P14304" t="str">
            <v>STC9902J</v>
          </cell>
          <cell r="Q14304" t="str">
            <v>磁性位置传感器</v>
          </cell>
        </row>
        <row r="14305">
          <cell r="O14305" t="str">
            <v>SC2402SO-N-TR</v>
          </cell>
          <cell r="P14305" t="str">
            <v>STC9902J</v>
          </cell>
          <cell r="Q14305" t="str">
            <v>磁性位置传感器</v>
          </cell>
        </row>
        <row r="14306">
          <cell r="O14306" t="str">
            <v>SC2402SO-N-TR</v>
          </cell>
          <cell r="P14306" t="str">
            <v>STC9902J</v>
          </cell>
          <cell r="Q14306" t="str">
            <v>磁性位置传感器</v>
          </cell>
        </row>
        <row r="14307">
          <cell r="O14307" t="str">
            <v>SC9632VB-BK</v>
          </cell>
          <cell r="P14307" t="str">
            <v>STC9905E</v>
          </cell>
          <cell r="Q14307" t="str">
            <v>速度传感器</v>
          </cell>
        </row>
        <row r="14308">
          <cell r="O14308" t="str">
            <v>SD477VB-BK</v>
          </cell>
          <cell r="P14308" t="str">
            <v>STC22304C</v>
          </cell>
          <cell r="Q14308" t="str">
            <v>电机驱动</v>
          </cell>
        </row>
        <row r="14309">
          <cell r="O14309" t="str">
            <v>SC4011SO-N</v>
          </cell>
          <cell r="P14309" t="str">
            <v>STC4011B</v>
          </cell>
          <cell r="Q14309" t="str">
            <v>磁性位置传感器</v>
          </cell>
        </row>
        <row r="14310">
          <cell r="O14310" t="str">
            <v>SC2242SO-TR-Q</v>
          </cell>
          <cell r="P14310" t="str">
            <v>STC9906H</v>
          </cell>
          <cell r="Q14310" t="str">
            <v>磁性位置传感器</v>
          </cell>
        </row>
        <row r="14311">
          <cell r="O14311" t="str">
            <v>SC2202SO-N-TR</v>
          </cell>
          <cell r="P14311" t="str">
            <v>STC9902E</v>
          </cell>
          <cell r="Q14311" t="str">
            <v>磁性位置传感器</v>
          </cell>
        </row>
        <row r="14312">
          <cell r="O14312" t="str">
            <v>SC2202SO-N-TR</v>
          </cell>
          <cell r="P14312" t="str">
            <v>STC9902E</v>
          </cell>
          <cell r="Q14312" t="str">
            <v>磁性位置传感器</v>
          </cell>
        </row>
        <row r="14313">
          <cell r="O14313" t="str">
            <v>SC2202SO-N-TR</v>
          </cell>
          <cell r="P14313" t="str">
            <v>STC9902E</v>
          </cell>
          <cell r="Q14313" t="str">
            <v>磁性位置传感器</v>
          </cell>
        </row>
        <row r="14314">
          <cell r="O14314" t="str">
            <v>SC2202SO-N-TR</v>
          </cell>
          <cell r="P14314" t="str">
            <v>STC9902E</v>
          </cell>
          <cell r="Q14314" t="str">
            <v>磁性位置传感器</v>
          </cell>
        </row>
        <row r="14315">
          <cell r="O14315" t="str">
            <v>SC2202SO-N-TR</v>
          </cell>
          <cell r="P14315" t="str">
            <v>STC9902E</v>
          </cell>
          <cell r="Q14315" t="str">
            <v>磁性位置传感器</v>
          </cell>
        </row>
        <row r="14316">
          <cell r="O14316" t="str">
            <v>SC2402SO-N-TR</v>
          </cell>
          <cell r="P14316" t="str">
            <v>STC9G002A</v>
          </cell>
          <cell r="Q14316" t="str">
            <v>磁性位置传感器</v>
          </cell>
        </row>
        <row r="14317">
          <cell r="O14317" t="str">
            <v>STC4011B-DS</v>
          </cell>
          <cell r="P14317" t="str">
            <v>STC4011B</v>
          </cell>
          <cell r="Q14317" t="str">
            <v>磁性位置传感器</v>
          </cell>
        </row>
        <row r="14318">
          <cell r="O14318" t="str">
            <v>STC4011B-DS</v>
          </cell>
          <cell r="P14318" t="str">
            <v>STC4011B</v>
          </cell>
          <cell r="Q14318" t="str">
            <v>磁性位置传感器</v>
          </cell>
        </row>
        <row r="14319">
          <cell r="O14319" t="str">
            <v>STC4011B-DS</v>
          </cell>
          <cell r="P14319" t="str">
            <v>STC4011B</v>
          </cell>
          <cell r="Q14319" t="str">
            <v>磁性位置传感器</v>
          </cell>
        </row>
        <row r="14320">
          <cell r="O14320" t="str">
            <v>STC4011B-DS</v>
          </cell>
          <cell r="P14320" t="str">
            <v>STC4011B</v>
          </cell>
          <cell r="Q14320" t="str">
            <v>磁性位置传感器</v>
          </cell>
        </row>
        <row r="14321">
          <cell r="O14321" t="str">
            <v>SC4689SA-BK-Q</v>
          </cell>
          <cell r="P14321" t="str">
            <v>STC9D01F</v>
          </cell>
          <cell r="Q14321" t="str">
            <v>角度传感器</v>
          </cell>
        </row>
        <row r="14322">
          <cell r="O14322" t="str">
            <v>SC2402SO-N</v>
          </cell>
          <cell r="P14322" t="str">
            <v>STC9902J</v>
          </cell>
          <cell r="Q14322" t="str">
            <v>磁性位置传感器</v>
          </cell>
        </row>
        <row r="14323">
          <cell r="O14323" t="str">
            <v>SC2402SO-N</v>
          </cell>
          <cell r="P14323" t="str">
            <v>STC9902J</v>
          </cell>
          <cell r="Q14323" t="str">
            <v>磁性位置传感器</v>
          </cell>
        </row>
        <row r="14324">
          <cell r="O14324" t="str">
            <v>SC2402SO-N</v>
          </cell>
          <cell r="P14324" t="str">
            <v>STC9902J</v>
          </cell>
          <cell r="Q14324" t="str">
            <v>磁性位置传感器</v>
          </cell>
        </row>
        <row r="14325">
          <cell r="O14325" t="str">
            <v>SC2402SO-N</v>
          </cell>
          <cell r="P14325" t="str">
            <v>STC9902J</v>
          </cell>
          <cell r="Q14325" t="str">
            <v>磁性位置传感器</v>
          </cell>
        </row>
        <row r="14326">
          <cell r="O14326" t="str">
            <v>SC2443UA</v>
          </cell>
          <cell r="P14326" t="str">
            <v>STC9906W</v>
          </cell>
          <cell r="Q14326" t="str">
            <v>磁性位置传感器</v>
          </cell>
        </row>
        <row r="14327">
          <cell r="O14327" t="str">
            <v>SC2443UA</v>
          </cell>
          <cell r="P14327" t="str">
            <v>STC9906W</v>
          </cell>
          <cell r="Q14327" t="str">
            <v>磁性位置传感器</v>
          </cell>
        </row>
        <row r="14328">
          <cell r="O14328" t="str">
            <v>SC2443UA</v>
          </cell>
          <cell r="P14328" t="str">
            <v>STC9906W</v>
          </cell>
          <cell r="Q14328" t="str">
            <v>磁性位置传感器</v>
          </cell>
        </row>
        <row r="14329">
          <cell r="O14329" t="str">
            <v>SC2443UA</v>
          </cell>
          <cell r="P14329" t="str">
            <v>STC9906W</v>
          </cell>
          <cell r="Q14329" t="str">
            <v>磁性位置传感器</v>
          </cell>
        </row>
        <row r="14330">
          <cell r="O14330" t="str">
            <v>SC2443UA</v>
          </cell>
          <cell r="P14330" t="str">
            <v>STC9906W</v>
          </cell>
          <cell r="Q14330" t="str">
            <v>磁性位置传感器</v>
          </cell>
        </row>
        <row r="14331">
          <cell r="O14331" t="str">
            <v>SC2443UA</v>
          </cell>
          <cell r="P14331" t="str">
            <v>STC9906W</v>
          </cell>
          <cell r="Q14331" t="str">
            <v>磁性位置传感器</v>
          </cell>
        </row>
        <row r="14332">
          <cell r="O14332" t="str">
            <v>SC4643VB-G-BK-Q</v>
          </cell>
          <cell r="P14332" t="str">
            <v>STC9D03E</v>
          </cell>
          <cell r="Q14332" t="str">
            <v>电流传感器</v>
          </cell>
        </row>
        <row r="14333">
          <cell r="O14333" t="str">
            <v>SC4643VB-G-BK-Q</v>
          </cell>
          <cell r="P14333" t="str">
            <v>STC9D03E</v>
          </cell>
          <cell r="Q14333" t="str">
            <v>电流传感器</v>
          </cell>
        </row>
        <row r="14334">
          <cell r="O14334" t="str">
            <v>SC2443UA</v>
          </cell>
          <cell r="P14334" t="str">
            <v>STC9906W</v>
          </cell>
          <cell r="Q14334" t="str">
            <v>磁性位置传感器</v>
          </cell>
        </row>
        <row r="14335">
          <cell r="O14335" t="str">
            <v>SC2498CUA-N-BK-Q</v>
          </cell>
          <cell r="P14335" t="str">
            <v>STC11102B</v>
          </cell>
          <cell r="Q14335" t="str">
            <v>磁性位置传感器</v>
          </cell>
        </row>
        <row r="14336">
          <cell r="O14336" t="str">
            <v>SC4689SA-BK-Q</v>
          </cell>
          <cell r="P14336" t="str">
            <v>STC9D01F</v>
          </cell>
          <cell r="Q14336" t="str">
            <v>角度传感器</v>
          </cell>
        </row>
        <row r="14337">
          <cell r="O14337" t="str">
            <v>SC9642TS-E</v>
          </cell>
          <cell r="P14337" t="str">
            <v>STC9A001H</v>
          </cell>
          <cell r="Q14337" t="str">
            <v>速度传感器</v>
          </cell>
        </row>
        <row r="14338">
          <cell r="O14338" t="str">
            <v>SC1945B1-BK</v>
          </cell>
          <cell r="P14338" t="str">
            <v>STC2899AJ</v>
          </cell>
          <cell r="Q14338" t="str">
            <v>磁性位置传感器</v>
          </cell>
        </row>
        <row r="14339">
          <cell r="O14339" t="str">
            <v>SC60104</v>
          </cell>
          <cell r="P14339" t="str">
            <v>STC9D02C</v>
          </cell>
          <cell r="Q14339" t="str">
            <v>电机编码器</v>
          </cell>
        </row>
        <row r="14340">
          <cell r="O14340" t="str">
            <v>SD2276VB-BK</v>
          </cell>
          <cell r="P14340" t="str">
            <v>FD1014A</v>
          </cell>
          <cell r="Q14340" t="str">
            <v>电机驱动</v>
          </cell>
        </row>
        <row r="14341">
          <cell r="O14341" t="str">
            <v>SD477VB-BK</v>
          </cell>
          <cell r="P14341" t="str">
            <v>STC22304C</v>
          </cell>
          <cell r="Q14341" t="str">
            <v>电机驱动</v>
          </cell>
        </row>
        <row r="14342">
          <cell r="O14342" t="str">
            <v>SC2402SO-N-TR</v>
          </cell>
          <cell r="P14342" t="str">
            <v>STC9902J</v>
          </cell>
          <cell r="Q14342" t="str">
            <v>磁性位置传感器</v>
          </cell>
        </row>
        <row r="14343">
          <cell r="O14343" t="str">
            <v>SC2402SO-N-TR</v>
          </cell>
          <cell r="P14343" t="str">
            <v>STC9902J</v>
          </cell>
          <cell r="Q14343" t="str">
            <v>磁性位置传感器</v>
          </cell>
        </row>
        <row r="14344">
          <cell r="O14344" t="str">
            <v>SC2402SO-N-TR</v>
          </cell>
          <cell r="P14344" t="str">
            <v>STC9902J</v>
          </cell>
          <cell r="Q14344" t="str">
            <v>磁性位置传感器</v>
          </cell>
        </row>
        <row r="14345">
          <cell r="O14345" t="str">
            <v>SC2402SO-N-TR</v>
          </cell>
          <cell r="P14345" t="str">
            <v>STC9902J</v>
          </cell>
          <cell r="Q14345" t="str">
            <v>磁性位置传感器</v>
          </cell>
        </row>
        <row r="14346">
          <cell r="O14346" t="str">
            <v>SC4015SO-N-A-TR</v>
          </cell>
          <cell r="P14346" t="str">
            <v>STC4011E</v>
          </cell>
          <cell r="Q14346" t="str">
            <v>磁性位置传感器</v>
          </cell>
        </row>
        <row r="14347">
          <cell r="O14347" t="str">
            <v>SC4015SO-N-A-TR</v>
          </cell>
          <cell r="P14347" t="str">
            <v>STC4011E</v>
          </cell>
          <cell r="Q14347" t="str">
            <v>磁性位置传感器</v>
          </cell>
        </row>
        <row r="14348">
          <cell r="O14348" t="str">
            <v>SC4015SO-N-A-TR</v>
          </cell>
          <cell r="P14348" t="str">
            <v>STC4011E</v>
          </cell>
          <cell r="Q14348" t="str">
            <v>磁性位置传感器</v>
          </cell>
        </row>
        <row r="14349">
          <cell r="O14349" t="str">
            <v>SC4015SO-N-A-TR</v>
          </cell>
          <cell r="P14349" t="str">
            <v>STC4011E</v>
          </cell>
          <cell r="Q14349" t="str">
            <v>磁性位置传感器</v>
          </cell>
        </row>
        <row r="14350">
          <cell r="O14350" t="str">
            <v>SC4015SO-N-A-TR</v>
          </cell>
          <cell r="P14350" t="str">
            <v>STC4011E</v>
          </cell>
          <cell r="Q14350" t="str">
            <v>磁性位置传感器</v>
          </cell>
        </row>
        <row r="14351">
          <cell r="O14351" t="str">
            <v>SC4015SO-N-A-TR</v>
          </cell>
          <cell r="P14351" t="str">
            <v>STC4011E</v>
          </cell>
          <cell r="Q14351" t="str">
            <v>磁性位置传感器</v>
          </cell>
        </row>
        <row r="14352">
          <cell r="O14352" t="str">
            <v>SC4015SO-N-A-TR</v>
          </cell>
          <cell r="P14352" t="str">
            <v>STC4011E</v>
          </cell>
          <cell r="Q14352" t="str">
            <v>磁性位置传感器</v>
          </cell>
        </row>
        <row r="14353">
          <cell r="O14353" t="str">
            <v>SC4015SO-N-A-TR</v>
          </cell>
          <cell r="P14353" t="str">
            <v>STC4011E</v>
          </cell>
          <cell r="Q14353" t="str">
            <v>磁性位置传感器</v>
          </cell>
        </row>
        <row r="14354">
          <cell r="O14354" t="str">
            <v>SC4015SO-N-A-TR</v>
          </cell>
          <cell r="P14354" t="str">
            <v>STC4011E</v>
          </cell>
          <cell r="Q14354" t="str">
            <v>磁性位置传感器</v>
          </cell>
        </row>
        <row r="14355">
          <cell r="O14355" t="str">
            <v>SC4015SO-N-A-TR</v>
          </cell>
          <cell r="P14355" t="str">
            <v>STC4011E</v>
          </cell>
          <cell r="Q14355" t="str">
            <v>磁性位置传感器</v>
          </cell>
        </row>
        <row r="14356">
          <cell r="O14356" t="str">
            <v>SC4015SO-N-A-TR</v>
          </cell>
          <cell r="P14356" t="str">
            <v>STC4011E</v>
          </cell>
          <cell r="Q14356" t="str">
            <v>磁性位置传感器</v>
          </cell>
        </row>
        <row r="14357">
          <cell r="O14357" t="str">
            <v>SC4015SO-N-A-TR</v>
          </cell>
          <cell r="P14357" t="str">
            <v>STC4011E</v>
          </cell>
          <cell r="Q14357" t="str">
            <v>磁性位置传感器</v>
          </cell>
        </row>
        <row r="14358">
          <cell r="O14358" t="str">
            <v>SC4015SO-N-A-TR</v>
          </cell>
          <cell r="P14358" t="str">
            <v>STC4011E</v>
          </cell>
          <cell r="Q14358" t="str">
            <v>磁性位置传感器</v>
          </cell>
        </row>
        <row r="14359">
          <cell r="O14359" t="str">
            <v>SC4015SO-N-A-TR</v>
          </cell>
          <cell r="P14359" t="str">
            <v>STC4011E</v>
          </cell>
          <cell r="Q14359" t="str">
            <v>磁性位置传感器</v>
          </cell>
        </row>
        <row r="14360">
          <cell r="O14360" t="str">
            <v>SC4015SO-N-A-TR</v>
          </cell>
          <cell r="P14360" t="str">
            <v>STC4011E</v>
          </cell>
          <cell r="Q14360" t="str">
            <v>磁性位置传感器</v>
          </cell>
        </row>
        <row r="14361">
          <cell r="O14361" t="str">
            <v>SC9632VB-BK</v>
          </cell>
          <cell r="P14361" t="str">
            <v>STC9905E</v>
          </cell>
          <cell r="Q14361" t="str">
            <v>速度传感器</v>
          </cell>
        </row>
        <row r="14362">
          <cell r="O14362" t="str">
            <v>SC9632VB-BK</v>
          </cell>
          <cell r="P14362" t="str">
            <v>STC9905E</v>
          </cell>
          <cell r="Q14362" t="str">
            <v>速度传感器</v>
          </cell>
        </row>
        <row r="14363">
          <cell r="O14363" t="str">
            <v>SC9632VB-BK</v>
          </cell>
          <cell r="P14363" t="str">
            <v>STC9905E</v>
          </cell>
          <cell r="Q14363" t="str">
            <v>速度传感器</v>
          </cell>
        </row>
        <row r="14364">
          <cell r="O14364" t="str">
            <v>SC9632VB-BK</v>
          </cell>
          <cell r="P14364" t="str">
            <v>STC9905E</v>
          </cell>
          <cell r="Q14364" t="str">
            <v>速度传感器</v>
          </cell>
        </row>
        <row r="14365">
          <cell r="O14365" t="str">
            <v>SC2498SO</v>
          </cell>
          <cell r="P14365" t="str">
            <v>SC9915C</v>
          </cell>
          <cell r="Q14365" t="str">
            <v>磁性位置传感器</v>
          </cell>
        </row>
        <row r="14366">
          <cell r="O14366" t="str">
            <v>SC2033SO-N</v>
          </cell>
          <cell r="P14366" t="str">
            <v>STC9G001D</v>
          </cell>
          <cell r="Q14366" t="str">
            <v>磁性位置传感器</v>
          </cell>
        </row>
        <row r="14367">
          <cell r="O14367" t="str">
            <v>SD211VB-BK</v>
          </cell>
          <cell r="P14367" t="str">
            <v>FD1016A</v>
          </cell>
          <cell r="Q14367" t="str">
            <v>电机驱动</v>
          </cell>
        </row>
        <row r="14368">
          <cell r="O14368" t="str">
            <v>SD211VB-BK</v>
          </cell>
          <cell r="P14368" t="str">
            <v>FD1016A</v>
          </cell>
          <cell r="Q14368" t="str">
            <v>电机驱动</v>
          </cell>
        </row>
        <row r="14369">
          <cell r="O14369" t="str">
            <v>SD211VB-BK</v>
          </cell>
          <cell r="P14369" t="str">
            <v>FD1016A</v>
          </cell>
          <cell r="Q14369" t="str">
            <v>电机驱动</v>
          </cell>
        </row>
        <row r="14370">
          <cell r="O14370" t="str">
            <v>SD211VB-BK</v>
          </cell>
          <cell r="P14370" t="str">
            <v>FD1016A</v>
          </cell>
          <cell r="Q14370" t="str">
            <v>电机驱动</v>
          </cell>
        </row>
        <row r="14371">
          <cell r="O14371" t="str">
            <v>SD211VB-BK</v>
          </cell>
          <cell r="P14371" t="str">
            <v>FD1016A</v>
          </cell>
          <cell r="Q14371" t="str">
            <v>电机驱动</v>
          </cell>
        </row>
        <row r="14372">
          <cell r="O14372" t="str">
            <v>SD211VB-BK</v>
          </cell>
          <cell r="P14372" t="str">
            <v>FD1016A</v>
          </cell>
          <cell r="Q14372" t="str">
            <v>电机驱动</v>
          </cell>
        </row>
        <row r="14373">
          <cell r="O14373" t="str">
            <v>SD211VB-BK</v>
          </cell>
          <cell r="P14373" t="str">
            <v>FD1016A</v>
          </cell>
          <cell r="Q14373" t="str">
            <v>电机驱动</v>
          </cell>
        </row>
        <row r="14374">
          <cell r="O14374" t="str">
            <v>SC4643编程器</v>
          </cell>
          <cell r="P14374" t="str">
            <v xml:space="preserve"> </v>
          </cell>
          <cell r="Q14374" t="str">
            <v>电流传感器</v>
          </cell>
        </row>
        <row r="14375">
          <cell r="O14375" t="str">
            <v>SC2063SO-TR</v>
          </cell>
          <cell r="P14375" t="str">
            <v>STC9G001C</v>
          </cell>
          <cell r="Q14375" t="str">
            <v>磁性位置传感器</v>
          </cell>
        </row>
        <row r="14376">
          <cell r="O14376" t="str">
            <v>SC2063SO-TR</v>
          </cell>
          <cell r="P14376" t="str">
            <v>STC9G001C</v>
          </cell>
          <cell r="Q14376" t="str">
            <v>磁性位置传感器</v>
          </cell>
        </row>
        <row r="14377">
          <cell r="O14377" t="str">
            <v>SC2063SO-TR</v>
          </cell>
          <cell r="P14377" t="str">
            <v>STC9G001C</v>
          </cell>
          <cell r="Q14377" t="str">
            <v>磁性位置传感器</v>
          </cell>
        </row>
        <row r="14378">
          <cell r="O14378" t="str">
            <v>SC2443SO-TR-Q</v>
          </cell>
          <cell r="P14378" t="str">
            <v>STC9906T</v>
          </cell>
          <cell r="Q14378" t="str">
            <v>磁性位置传感器</v>
          </cell>
        </row>
        <row r="14379">
          <cell r="O14379" t="str">
            <v>SC2443SO-TR-Q</v>
          </cell>
          <cell r="P14379" t="str">
            <v>STC9906T</v>
          </cell>
          <cell r="Q14379" t="str">
            <v>磁性位置传感器</v>
          </cell>
        </row>
        <row r="14380">
          <cell r="O14380" t="str">
            <v>SC2443SO-TR-Q</v>
          </cell>
          <cell r="P14380" t="str">
            <v>STC9906T</v>
          </cell>
          <cell r="Q14380" t="str">
            <v>磁性位置传感器</v>
          </cell>
        </row>
        <row r="14381">
          <cell r="O14381" t="str">
            <v>SC9625VB-BK</v>
          </cell>
          <cell r="P14381" t="str">
            <v>STC9910E</v>
          </cell>
          <cell r="Q14381" t="str">
            <v>速度传感器</v>
          </cell>
        </row>
        <row r="14382">
          <cell r="O14382" t="str">
            <v>SC9625VB-BK</v>
          </cell>
          <cell r="P14382" t="str">
            <v>STC9910E</v>
          </cell>
          <cell r="Q14382" t="str">
            <v>速度传感器</v>
          </cell>
        </row>
        <row r="14383">
          <cell r="O14383" t="str">
            <v>SC9625VB-BK</v>
          </cell>
          <cell r="P14383" t="str">
            <v>STC9910E</v>
          </cell>
          <cell r="Q14383" t="str">
            <v>速度传感器</v>
          </cell>
        </row>
        <row r="14384">
          <cell r="O14384" t="str">
            <v>SC9641TS-PC-TR-Q</v>
          </cell>
          <cell r="P14384" t="str">
            <v>STC9A001I</v>
          </cell>
          <cell r="Q14384" t="str">
            <v>速度传感器</v>
          </cell>
        </row>
        <row r="14385">
          <cell r="O14385" t="str">
            <v>SC9641TS-PC-TR-Q</v>
          </cell>
          <cell r="P14385" t="str">
            <v>STC9A001I</v>
          </cell>
          <cell r="Q14385" t="str">
            <v>速度传感器</v>
          </cell>
        </row>
        <row r="14386">
          <cell r="O14386" t="str">
            <v>SC9641TS-PC-TR-Q</v>
          </cell>
          <cell r="P14386" t="str">
            <v>STC9A001I</v>
          </cell>
          <cell r="Q14386" t="str">
            <v>速度传感器</v>
          </cell>
        </row>
        <row r="14387">
          <cell r="O14387" t="str">
            <v>SC9641TS-PC-TR-Q</v>
          </cell>
          <cell r="P14387" t="str">
            <v>STC9A001I</v>
          </cell>
          <cell r="Q14387" t="str">
            <v>速度传感器</v>
          </cell>
        </row>
        <row r="14388">
          <cell r="O14388" t="str">
            <v>SC9641TS-PC-TR-Q</v>
          </cell>
          <cell r="P14388" t="str">
            <v>STC9A001I</v>
          </cell>
          <cell r="Q14388" t="str">
            <v>速度传感器</v>
          </cell>
        </row>
        <row r="14389">
          <cell r="O14389" t="str">
            <v>SC9641TS-PC-TR-Q</v>
          </cell>
          <cell r="P14389" t="str">
            <v>STC9A001I</v>
          </cell>
          <cell r="Q14389" t="str">
            <v>速度传感器</v>
          </cell>
        </row>
        <row r="14390">
          <cell r="O14390" t="str">
            <v>SC9641TS-PC-TR-Q</v>
          </cell>
          <cell r="P14390" t="str">
            <v>STC9A001I</v>
          </cell>
          <cell r="Q14390" t="str">
            <v>速度传感器</v>
          </cell>
        </row>
        <row r="14391">
          <cell r="O14391" t="str">
            <v>SC9641TS-PC-TR-Q</v>
          </cell>
          <cell r="P14391" t="str">
            <v>STC9A001I</v>
          </cell>
          <cell r="Q14391" t="str">
            <v>速度传感器</v>
          </cell>
        </row>
        <row r="14392">
          <cell r="O14392" t="str">
            <v>SC4643VB-G-BK-Q</v>
          </cell>
          <cell r="P14392" t="str">
            <v>STC9D03E</v>
          </cell>
          <cell r="Q14392" t="str">
            <v>电流传感器</v>
          </cell>
        </row>
        <row r="14393">
          <cell r="O14393" t="str">
            <v>通用编程器2.0</v>
          </cell>
          <cell r="P14393" t="str">
            <v xml:space="preserve"> </v>
          </cell>
          <cell r="Q14393" t="str">
            <v>速度传感器</v>
          </cell>
        </row>
        <row r="14394">
          <cell r="O14394" t="str">
            <v>SC2402SO-N-TR</v>
          </cell>
          <cell r="P14394" t="str">
            <v>STC9902J</v>
          </cell>
          <cell r="Q14394" t="str">
            <v>磁性位置传感器</v>
          </cell>
        </row>
        <row r="14395">
          <cell r="O14395" t="str">
            <v>SC4643VB-BK-Q</v>
          </cell>
          <cell r="P14395" t="str">
            <v>STC9D03E</v>
          </cell>
          <cell r="Q14395" t="str">
            <v>电流传感器</v>
          </cell>
        </row>
        <row r="14396">
          <cell r="O14396" t="str">
            <v>STC1009C</v>
          </cell>
          <cell r="P14396" t="str">
            <v>STC1009C</v>
          </cell>
          <cell r="Q14396" t="str">
            <v>磁性位置传感器</v>
          </cell>
        </row>
        <row r="14397">
          <cell r="O14397" t="str">
            <v>SC1445A1</v>
          </cell>
          <cell r="P14397" t="str">
            <v>STC2899AB</v>
          </cell>
          <cell r="Q14397" t="str">
            <v>磁性位置传感器</v>
          </cell>
        </row>
        <row r="14398">
          <cell r="O14398" t="str">
            <v>SC9632VB-BK</v>
          </cell>
          <cell r="P14398" t="str">
            <v>STC9905E</v>
          </cell>
          <cell r="Q14398" t="str">
            <v>速度传感器</v>
          </cell>
        </row>
        <row r="14399">
          <cell r="O14399" t="str">
            <v>SC1134SO-N-TR</v>
          </cell>
          <cell r="P14399" t="str">
            <v>STC1002AF</v>
          </cell>
          <cell r="Q14399" t="str">
            <v>磁性位置传感器</v>
          </cell>
        </row>
        <row r="14400">
          <cell r="O14400" t="str">
            <v>SC4688SA</v>
          </cell>
          <cell r="P14400" t="str">
            <v>STC9D01C</v>
          </cell>
          <cell r="Q14400" t="str">
            <v>角度传感器</v>
          </cell>
        </row>
        <row r="14401">
          <cell r="O14401" t="str">
            <v>SC60220SS-TB</v>
          </cell>
          <cell r="P14401" t="str">
            <v>STC9D04C</v>
          </cell>
          <cell r="Q14401" t="str">
            <v>电机编码器</v>
          </cell>
        </row>
        <row r="14402">
          <cell r="O14402" t="str">
            <v>SC60220SS-TB</v>
          </cell>
          <cell r="P14402" t="str">
            <v>STC9D04C</v>
          </cell>
          <cell r="Q14402" t="str">
            <v>电机编码器</v>
          </cell>
        </row>
        <row r="14403">
          <cell r="O14403" t="str">
            <v>SC4688SA</v>
          </cell>
          <cell r="P14403" t="str">
            <v>STC9D01C</v>
          </cell>
          <cell r="Q14403" t="str">
            <v>角度传感器</v>
          </cell>
        </row>
        <row r="14404">
          <cell r="O14404" t="str">
            <v>SC2462SO</v>
          </cell>
          <cell r="P14404" t="str">
            <v>STC9906J</v>
          </cell>
          <cell r="Q14404" t="str">
            <v>磁性位置传感器</v>
          </cell>
        </row>
        <row r="14405">
          <cell r="O14405" t="str">
            <v>SC2443SO-TR-Q</v>
          </cell>
          <cell r="P14405" t="str">
            <v>STC9906T</v>
          </cell>
          <cell r="Q14405" t="str">
            <v>磁性位置传感器</v>
          </cell>
        </row>
        <row r="14406">
          <cell r="O14406" t="str">
            <v>SC2443SO-TR-Q</v>
          </cell>
          <cell r="P14406" t="str">
            <v>STC9906T</v>
          </cell>
          <cell r="Q14406" t="str">
            <v>磁性位置传感器</v>
          </cell>
        </row>
        <row r="14407">
          <cell r="O14407" t="str">
            <v>SC2443SO-TR-Q</v>
          </cell>
          <cell r="P14407" t="str">
            <v>STC9906T</v>
          </cell>
          <cell r="Q14407" t="str">
            <v>磁性位置传感器</v>
          </cell>
        </row>
        <row r="14408">
          <cell r="O14408" t="str">
            <v>SC2443SO-TR-Q</v>
          </cell>
          <cell r="P14408" t="str">
            <v>STC9906T</v>
          </cell>
          <cell r="Q14408" t="str">
            <v>磁性位置传感器</v>
          </cell>
        </row>
        <row r="14409">
          <cell r="O14409" t="str">
            <v>SD2276VB-BK</v>
          </cell>
          <cell r="P14409" t="str">
            <v>FD1014A</v>
          </cell>
          <cell r="Q14409" t="str">
            <v>电机驱动</v>
          </cell>
        </row>
        <row r="14410">
          <cell r="O14410" t="str">
            <v>SD2276VB-BK</v>
          </cell>
          <cell r="P14410" t="str">
            <v>FD1014A</v>
          </cell>
          <cell r="Q14410" t="str">
            <v>电机驱动</v>
          </cell>
        </row>
        <row r="14411">
          <cell r="O14411" t="str">
            <v>SD2276VB-BK</v>
          </cell>
          <cell r="P14411" t="str">
            <v>FD1014A</v>
          </cell>
          <cell r="Q14411" t="str">
            <v>电机驱动</v>
          </cell>
        </row>
        <row r="14412">
          <cell r="O14412" t="str">
            <v>SD211VB-BK</v>
          </cell>
          <cell r="P14412" t="str">
            <v>FD1016A</v>
          </cell>
          <cell r="Q14412" t="str">
            <v>电机驱动</v>
          </cell>
        </row>
        <row r="14413">
          <cell r="O14413" t="str">
            <v>SC2402SO-N-TR</v>
          </cell>
          <cell r="P14413" t="str">
            <v>STC9902J</v>
          </cell>
          <cell r="Q14413" t="str">
            <v>磁性位置传感器</v>
          </cell>
        </row>
        <row r="14414">
          <cell r="O14414" t="str">
            <v>SC2402SO-N-TR</v>
          </cell>
          <cell r="P14414" t="str">
            <v>STC9902J</v>
          </cell>
          <cell r="Q14414" t="str">
            <v>磁性位置传感器</v>
          </cell>
        </row>
        <row r="14415">
          <cell r="O14415" t="str">
            <v>SC2402SO-N-TR</v>
          </cell>
          <cell r="P14415" t="str">
            <v>STC9902J</v>
          </cell>
          <cell r="Q14415" t="str">
            <v>磁性位置传感器</v>
          </cell>
        </row>
        <row r="14416">
          <cell r="O14416" t="str">
            <v>SC4643VB-P-TR-Q</v>
          </cell>
          <cell r="P14416" t="str">
            <v>STC9D03E</v>
          </cell>
          <cell r="Q14416" t="str">
            <v>电流传感器</v>
          </cell>
        </row>
        <row r="14417">
          <cell r="O14417" t="str">
            <v>SC4643VB-P-TR-Q</v>
          </cell>
          <cell r="P14417" t="str">
            <v>STC9D03E</v>
          </cell>
          <cell r="Q14417" t="str">
            <v>电流传感器</v>
          </cell>
        </row>
        <row r="14418">
          <cell r="O14418" t="str">
            <v>SC4643VB-P-TR-Q</v>
          </cell>
          <cell r="P14418" t="str">
            <v>STC9D03E</v>
          </cell>
          <cell r="Q14418" t="str">
            <v>电流传感器</v>
          </cell>
        </row>
        <row r="14419">
          <cell r="O14419" t="str">
            <v>SC4015SO-N-A-TR</v>
          </cell>
          <cell r="P14419" t="str">
            <v>STC4011E</v>
          </cell>
          <cell r="Q14419" t="str">
            <v>磁性位置传感器</v>
          </cell>
        </row>
        <row r="14420">
          <cell r="O14420" t="str">
            <v>SC4015SO-N-A-TR</v>
          </cell>
          <cell r="P14420" t="str">
            <v>STC4011E</v>
          </cell>
          <cell r="Q14420" t="str">
            <v>磁性位置传感器</v>
          </cell>
        </row>
        <row r="14421">
          <cell r="O14421" t="str">
            <v>SI485EDC-TR</v>
          </cell>
          <cell r="P14421" t="str">
            <v>STC42302C</v>
          </cell>
          <cell r="Q14421" t="str">
            <v>其他数模混合</v>
          </cell>
        </row>
        <row r="14422">
          <cell r="O14422" t="str">
            <v>SC2434SO-N-TR</v>
          </cell>
          <cell r="P14422" t="str">
            <v>STC9906I</v>
          </cell>
          <cell r="Q14422" t="str">
            <v>磁性位置传感器</v>
          </cell>
        </row>
        <row r="14423">
          <cell r="O14423" t="str">
            <v>SC2434SO-N-TR</v>
          </cell>
          <cell r="P14423" t="str">
            <v>STC9906I</v>
          </cell>
          <cell r="Q14423" t="str">
            <v>磁性位置传感器</v>
          </cell>
        </row>
        <row r="14424">
          <cell r="O14424" t="str">
            <v>SC2063UA</v>
          </cell>
          <cell r="P14424" t="str">
            <v>STC9G001C</v>
          </cell>
          <cell r="Q14424" t="str">
            <v>磁性位置传感器</v>
          </cell>
        </row>
        <row r="14425">
          <cell r="O14425" t="str">
            <v>SC2442SO-N-TR-Q</v>
          </cell>
          <cell r="P14425" t="str">
            <v>STC9906P</v>
          </cell>
          <cell r="Q14425" t="str">
            <v>磁性位置传感器</v>
          </cell>
        </row>
        <row r="14426">
          <cell r="O14426" t="str">
            <v>SC2442SO-N-TR-Q</v>
          </cell>
          <cell r="P14426" t="str">
            <v>STC9906P</v>
          </cell>
          <cell r="Q14426" t="str">
            <v>磁性位置传感器</v>
          </cell>
        </row>
        <row r="14427">
          <cell r="O14427" t="str">
            <v>SC2402SO-N-TR</v>
          </cell>
          <cell r="P14427" t="str">
            <v>STC9G002A</v>
          </cell>
          <cell r="Q14427" t="str">
            <v>磁性位置传感器</v>
          </cell>
        </row>
        <row r="14428">
          <cell r="O14428" t="str">
            <v>SC2466SO-TR</v>
          </cell>
          <cell r="P14428" t="str">
            <v>STC9906O</v>
          </cell>
          <cell r="Q14428" t="str">
            <v>磁性位置传感器</v>
          </cell>
        </row>
        <row r="14429">
          <cell r="O14429" t="str">
            <v>SC2466SO-TR</v>
          </cell>
          <cell r="P14429" t="str">
            <v>STC9906O</v>
          </cell>
          <cell r="Q14429" t="str">
            <v>磁性位置传感器</v>
          </cell>
        </row>
        <row r="14430">
          <cell r="O14430" t="str">
            <v>SC2466SO</v>
          </cell>
          <cell r="P14430" t="str">
            <v>STC9906O</v>
          </cell>
          <cell r="Q14430" t="str">
            <v>磁性位置传感器</v>
          </cell>
        </row>
        <row r="14431">
          <cell r="O14431" t="str">
            <v>SC9641TS-PC-TR-Q</v>
          </cell>
          <cell r="P14431" t="str">
            <v>STC9A001I</v>
          </cell>
          <cell r="Q14431" t="str">
            <v>速度传感器</v>
          </cell>
        </row>
        <row r="14432">
          <cell r="O14432" t="str">
            <v>SC9641TS-PC-TR-Q</v>
          </cell>
          <cell r="P14432" t="str">
            <v>STC9A001I</v>
          </cell>
          <cell r="Q14432" t="str">
            <v>速度传感器</v>
          </cell>
        </row>
        <row r="14433">
          <cell r="O14433" t="str">
            <v>SC9641TS-PC-TR-Q</v>
          </cell>
          <cell r="P14433" t="str">
            <v>STC9A001I</v>
          </cell>
          <cell r="Q14433" t="str">
            <v>速度传感器</v>
          </cell>
        </row>
        <row r="14434">
          <cell r="O14434" t="str">
            <v>SC9641TS-PC-TR-Q</v>
          </cell>
          <cell r="P14434" t="str">
            <v>STC9A001I</v>
          </cell>
          <cell r="Q14434" t="str">
            <v>速度传感器</v>
          </cell>
        </row>
        <row r="14435">
          <cell r="O14435" t="str">
            <v>SC9641TS-PC-TR-Q</v>
          </cell>
          <cell r="P14435" t="str">
            <v>STC9A001I</v>
          </cell>
          <cell r="Q14435" t="str">
            <v>速度传感器</v>
          </cell>
        </row>
        <row r="14436">
          <cell r="O14436" t="str">
            <v>SC9641TS-PC-TR-Q</v>
          </cell>
          <cell r="P14436" t="str">
            <v>STC9A001I</v>
          </cell>
          <cell r="Q14436" t="str">
            <v>速度传感器</v>
          </cell>
        </row>
        <row r="14437">
          <cell r="O14437" t="str">
            <v>SC9641TS-PC-TR-Q</v>
          </cell>
          <cell r="P14437" t="str">
            <v>STC9A001I</v>
          </cell>
          <cell r="Q14437" t="str">
            <v>速度传感器</v>
          </cell>
        </row>
        <row r="14438">
          <cell r="O14438" t="str">
            <v>SC9641TS-PC-TR-Q</v>
          </cell>
          <cell r="P14438" t="str">
            <v>STC9A001I</v>
          </cell>
          <cell r="Q14438" t="str">
            <v>速度传感器</v>
          </cell>
        </row>
        <row r="14439">
          <cell r="O14439" t="str">
            <v>SC9641TS-PC-TR-Q</v>
          </cell>
          <cell r="P14439" t="str">
            <v>STC9A001I</v>
          </cell>
          <cell r="Q14439" t="str">
            <v>速度传感器</v>
          </cell>
        </row>
        <row r="14440">
          <cell r="O14440" t="str">
            <v>SC9641TS-PC-TR-Q</v>
          </cell>
          <cell r="P14440" t="str">
            <v>STC9A001I</v>
          </cell>
          <cell r="Q14440" t="str">
            <v>速度传感器</v>
          </cell>
        </row>
        <row r="14441">
          <cell r="O14441" t="str">
            <v>SC9641TS-PC-TR-Q</v>
          </cell>
          <cell r="P14441" t="str">
            <v>STC9A001I</v>
          </cell>
          <cell r="Q14441" t="str">
            <v>速度传感器</v>
          </cell>
        </row>
        <row r="14442">
          <cell r="O14442" t="str">
            <v>SC1445A1</v>
          </cell>
          <cell r="P14442" t="str">
            <v>STC2899AB</v>
          </cell>
          <cell r="Q14442" t="str">
            <v>磁性位置传感器</v>
          </cell>
        </row>
        <row r="14443">
          <cell r="O14443" t="str">
            <v>SC2443SO-TR-Q</v>
          </cell>
          <cell r="P14443" t="str">
            <v>STC9906T</v>
          </cell>
          <cell r="Q14443" t="str">
            <v>磁性位置传感器</v>
          </cell>
        </row>
        <row r="14444">
          <cell r="O14444" t="str">
            <v>SC2462SO</v>
          </cell>
          <cell r="P14444" t="str">
            <v>STC9906J</v>
          </cell>
          <cell r="Q14444" t="str">
            <v>磁性位置传感器</v>
          </cell>
        </row>
        <row r="14445">
          <cell r="O14445" t="str">
            <v>SC2434SO-N-TR</v>
          </cell>
          <cell r="P14445" t="str">
            <v>STC9906I</v>
          </cell>
          <cell r="Q14445" t="str">
            <v>磁性位置传感器</v>
          </cell>
        </row>
        <row r="14446">
          <cell r="O14446" t="str">
            <v>SC2434SO-N-TR</v>
          </cell>
          <cell r="P14446" t="str">
            <v>STC9906I</v>
          </cell>
          <cell r="Q14446" t="str">
            <v>磁性位置传感器</v>
          </cell>
        </row>
        <row r="14447">
          <cell r="O14447" t="str">
            <v>SC9314UA-BK</v>
          </cell>
          <cell r="P14447" t="str">
            <v>STC9901AF</v>
          </cell>
          <cell r="Q14447" t="str">
            <v>速度传感器</v>
          </cell>
        </row>
        <row r="14448">
          <cell r="O14448" t="str">
            <v>SC9625VB-BK</v>
          </cell>
          <cell r="P14448" t="str">
            <v>STC9910E</v>
          </cell>
          <cell r="Q14448" t="str">
            <v>速度传感器</v>
          </cell>
        </row>
        <row r="14449">
          <cell r="O14449" t="str">
            <v>SC9625VB-BK</v>
          </cell>
          <cell r="P14449" t="str">
            <v>STC9910E</v>
          </cell>
          <cell r="Q14449" t="str">
            <v>速度传感器</v>
          </cell>
        </row>
        <row r="14450">
          <cell r="O14450" t="str">
            <v>SC2443SO-TR-Q</v>
          </cell>
          <cell r="P14450" t="str">
            <v>STC9906T</v>
          </cell>
          <cell r="Q14450" t="str">
            <v>磁性位置传感器</v>
          </cell>
        </row>
        <row r="14451">
          <cell r="O14451" t="str">
            <v>SC9641TS-P-TR</v>
          </cell>
          <cell r="P14451" t="str">
            <v>STC9A001I</v>
          </cell>
          <cell r="Q14451" t="str">
            <v>速度传感器</v>
          </cell>
        </row>
        <row r="14452">
          <cell r="O14452" t="str">
            <v>SC9641TS-P-TR</v>
          </cell>
          <cell r="P14452" t="str">
            <v>STC9A001I</v>
          </cell>
          <cell r="Q14452" t="str">
            <v>速度传感器</v>
          </cell>
        </row>
        <row r="14453">
          <cell r="O14453" t="str">
            <v>SC9641TS-P-TR</v>
          </cell>
          <cell r="P14453" t="str">
            <v>STC9A001I</v>
          </cell>
          <cell r="Q14453" t="str">
            <v>速度传感器</v>
          </cell>
        </row>
        <row r="14454">
          <cell r="O14454" t="str">
            <v>SC9641TS-P-TR</v>
          </cell>
          <cell r="P14454" t="str">
            <v>STC9A001I</v>
          </cell>
          <cell r="Q14454" t="str">
            <v>速度传感器</v>
          </cell>
        </row>
        <row r="14455">
          <cell r="O14455" t="str">
            <v>SC9641TS-P-TR</v>
          </cell>
          <cell r="P14455" t="str">
            <v>STC9A001I</v>
          </cell>
          <cell r="Q14455" t="str">
            <v>速度传感器</v>
          </cell>
        </row>
        <row r="14456">
          <cell r="O14456" t="str">
            <v>SC9641TS-P-TR</v>
          </cell>
          <cell r="P14456" t="str">
            <v>STC9A001I</v>
          </cell>
          <cell r="Q14456" t="str">
            <v>速度传感器</v>
          </cell>
        </row>
        <row r="14457">
          <cell r="O14457" t="str">
            <v>SC9641TS-P-TR</v>
          </cell>
          <cell r="P14457" t="str">
            <v>STC9A001I</v>
          </cell>
          <cell r="Q14457" t="str">
            <v>速度传感器</v>
          </cell>
        </row>
        <row r="14458">
          <cell r="O14458" t="str">
            <v>SC1134SO-N-TR-Q</v>
          </cell>
          <cell r="P14458" t="str">
            <v>STC1898AI</v>
          </cell>
          <cell r="Q14458" t="str">
            <v>磁性位置传感器</v>
          </cell>
        </row>
        <row r="14459">
          <cell r="O14459" t="str">
            <v>SC1138SO-N</v>
          </cell>
          <cell r="P14459" t="str">
            <v>STC1898AC</v>
          </cell>
          <cell r="Q14459" t="str">
            <v>磁性位置传感器</v>
          </cell>
        </row>
        <row r="14460">
          <cell r="O14460" t="str">
            <v>SC1138SO-N</v>
          </cell>
          <cell r="P14460" t="str">
            <v>STC1898AC</v>
          </cell>
          <cell r="Q14460" t="str">
            <v>磁性位置传感器</v>
          </cell>
        </row>
        <row r="14461">
          <cell r="O14461" t="str">
            <v>SC1138SO-N</v>
          </cell>
          <cell r="P14461" t="str">
            <v>STC1898AC</v>
          </cell>
          <cell r="Q14461" t="str">
            <v>磁性位置传感器</v>
          </cell>
        </row>
        <row r="14462">
          <cell r="O14462" t="str">
            <v>SC4688SA</v>
          </cell>
          <cell r="P14462" t="str">
            <v>STC9D01C</v>
          </cell>
          <cell r="Q14462" t="str">
            <v>角度传感器</v>
          </cell>
        </row>
        <row r="14463">
          <cell r="O14463" t="str">
            <v>SC4688SA</v>
          </cell>
          <cell r="P14463" t="str">
            <v>STC9D01C</v>
          </cell>
          <cell r="Q14463" t="str">
            <v>角度传感器</v>
          </cell>
        </row>
        <row r="14464">
          <cell r="O14464" t="str">
            <v>SC4688SA</v>
          </cell>
          <cell r="P14464" t="str">
            <v>STC9D01C</v>
          </cell>
          <cell r="Q14464" t="str">
            <v>角度传感器</v>
          </cell>
        </row>
        <row r="14465">
          <cell r="O14465" t="str">
            <v>SC4688SA</v>
          </cell>
          <cell r="P14465" t="str">
            <v>STC9D01C</v>
          </cell>
          <cell r="Q14465" t="str">
            <v>角度传感器</v>
          </cell>
        </row>
        <row r="14466">
          <cell r="O14466" t="str">
            <v>SC4688SA</v>
          </cell>
          <cell r="P14466" t="str">
            <v>STC9D01C</v>
          </cell>
          <cell r="Q14466" t="str">
            <v>角度传感器</v>
          </cell>
        </row>
        <row r="14467">
          <cell r="O14467" t="str">
            <v>SC1845S1-BK</v>
          </cell>
          <cell r="P14467" t="str">
            <v>STC2899AI</v>
          </cell>
          <cell r="Q14467" t="str">
            <v>磁性位置传感器</v>
          </cell>
        </row>
        <row r="14468">
          <cell r="O14468" t="str">
            <v>SC1845S1-BK</v>
          </cell>
          <cell r="P14468" t="str">
            <v>STC2899AI</v>
          </cell>
          <cell r="Q14468" t="str">
            <v>磁性位置传感器</v>
          </cell>
        </row>
        <row r="14469">
          <cell r="O14469" t="str">
            <v>SC1845S1-BK</v>
          </cell>
          <cell r="P14469" t="str">
            <v>STC2899AI</v>
          </cell>
          <cell r="Q14469" t="str">
            <v>磁性位置传感器</v>
          </cell>
        </row>
        <row r="14470">
          <cell r="O14470" t="str">
            <v>SC1845S1-BK</v>
          </cell>
          <cell r="P14470" t="str">
            <v>STC2899AI</v>
          </cell>
          <cell r="Q14470" t="str">
            <v>磁性位置传感器</v>
          </cell>
        </row>
        <row r="14471">
          <cell r="O14471" t="str">
            <v>SC1845S1-BK</v>
          </cell>
          <cell r="P14471" t="str">
            <v>STC2899AI</v>
          </cell>
          <cell r="Q14471" t="str">
            <v>磁性位置传感器</v>
          </cell>
        </row>
        <row r="14472">
          <cell r="O14472" t="str">
            <v>SC1845S1-BK</v>
          </cell>
          <cell r="P14472" t="str">
            <v>STC2899AI</v>
          </cell>
          <cell r="Q14472" t="str">
            <v>磁性位置传感器</v>
          </cell>
        </row>
        <row r="14473">
          <cell r="O14473" t="str">
            <v>SC1845S1-BK</v>
          </cell>
          <cell r="P14473" t="str">
            <v>STC2899AI</v>
          </cell>
          <cell r="Q14473" t="str">
            <v>磁性位置传感器</v>
          </cell>
        </row>
        <row r="14474">
          <cell r="O14474" t="str">
            <v>SC9675IM-P-LRF01</v>
          </cell>
          <cell r="P14474" t="str">
            <v>STC9A002B</v>
          </cell>
          <cell r="Q14474" t="str">
            <v>速度传感器</v>
          </cell>
        </row>
        <row r="14475">
          <cell r="O14475" t="str">
            <v>SC1945B1-BK</v>
          </cell>
          <cell r="P14475" t="str">
            <v>STC2899AJ</v>
          </cell>
          <cell r="Q14475" t="str">
            <v>磁性位置传感器</v>
          </cell>
        </row>
        <row r="14476">
          <cell r="O14476" t="str">
            <v>SC1945B1-BK</v>
          </cell>
          <cell r="P14476" t="str">
            <v>STC2899AJ</v>
          </cell>
          <cell r="Q14476" t="str">
            <v>磁性位置传感器</v>
          </cell>
        </row>
        <row r="14477">
          <cell r="O14477" t="str">
            <v>SC1645A1-BK</v>
          </cell>
          <cell r="P14477" t="str">
            <v>STC2899AE</v>
          </cell>
          <cell r="Q14477" t="str">
            <v>磁性位置传感器</v>
          </cell>
        </row>
        <row r="14478">
          <cell r="O14478" t="str">
            <v>SC1645A1-BK</v>
          </cell>
          <cell r="P14478" t="str">
            <v>STC2899AE</v>
          </cell>
          <cell r="Q14478" t="str">
            <v>磁性位置传感器</v>
          </cell>
        </row>
        <row r="14479">
          <cell r="O14479" t="str">
            <v>SC1645A1-BK</v>
          </cell>
          <cell r="P14479" t="str">
            <v>STC2899AE</v>
          </cell>
          <cell r="Q14479" t="str">
            <v>磁性位置传感器</v>
          </cell>
        </row>
        <row r="14480">
          <cell r="O14480" t="str">
            <v>SC1645A1-BK</v>
          </cell>
          <cell r="P14480" t="str">
            <v>STC2899AE</v>
          </cell>
          <cell r="Q14480" t="str">
            <v>磁性位置传感器</v>
          </cell>
        </row>
        <row r="14481">
          <cell r="O14481" t="str">
            <v>SC1645A1-BK</v>
          </cell>
          <cell r="P14481" t="str">
            <v>STC2899AE</v>
          </cell>
          <cell r="Q14481" t="str">
            <v>磁性位置传感器</v>
          </cell>
        </row>
        <row r="14482">
          <cell r="O14482" t="str">
            <v>SC1645A1-BK</v>
          </cell>
          <cell r="P14482" t="str">
            <v>STC2899AE</v>
          </cell>
          <cell r="Q14482" t="str">
            <v>磁性位置传感器</v>
          </cell>
        </row>
        <row r="14483">
          <cell r="O14483" t="str">
            <v>SC1645A1-BK</v>
          </cell>
          <cell r="P14483" t="str">
            <v>STC2899AE</v>
          </cell>
          <cell r="Q14483" t="str">
            <v>磁性位置传感器</v>
          </cell>
        </row>
        <row r="14484">
          <cell r="O14484" t="str">
            <v>SC1645A1-BK</v>
          </cell>
          <cell r="P14484" t="str">
            <v>STC2899AE</v>
          </cell>
          <cell r="Q14484" t="str">
            <v>磁性位置传感器</v>
          </cell>
        </row>
        <row r="14485">
          <cell r="O14485" t="str">
            <v>SC60224-D-1024</v>
          </cell>
          <cell r="P14485" t="str">
            <v>STC9D04C</v>
          </cell>
          <cell r="Q14485" t="str">
            <v>电机编码器</v>
          </cell>
        </row>
        <row r="14486">
          <cell r="O14486" t="str">
            <v>SC9634VB</v>
          </cell>
          <cell r="P14486" t="str">
            <v>STC9905G</v>
          </cell>
          <cell r="Q14486" t="str">
            <v>速度传感器</v>
          </cell>
        </row>
        <row r="14487">
          <cell r="O14487" t="str">
            <v>SC1002A3-BK</v>
          </cell>
          <cell r="P14487" t="str">
            <v>STC1002AG</v>
          </cell>
          <cell r="Q14487" t="str">
            <v>磁性位置传感器</v>
          </cell>
        </row>
        <row r="14488">
          <cell r="O14488" t="str">
            <v>SD2276VB-BK</v>
          </cell>
          <cell r="P14488" t="str">
            <v>FD1014A</v>
          </cell>
          <cell r="Q14488" t="str">
            <v>电机驱动</v>
          </cell>
        </row>
        <row r="14489">
          <cell r="O14489" t="str">
            <v>SC1134BU-TR</v>
          </cell>
          <cell r="P14489" t="str">
            <v>STC1898AI</v>
          </cell>
          <cell r="Q14489" t="str">
            <v>磁性位置传感器</v>
          </cell>
        </row>
        <row r="14490">
          <cell r="O14490" t="str">
            <v>SC1134UA-BK</v>
          </cell>
          <cell r="P14490" t="str">
            <v>STC1898AI</v>
          </cell>
          <cell r="Q14490" t="str">
            <v>磁性位置传感器</v>
          </cell>
        </row>
        <row r="14491">
          <cell r="O14491" t="str">
            <v>SC1134UA-BK</v>
          </cell>
          <cell r="P14491" t="str">
            <v>STC1898AI</v>
          </cell>
          <cell r="Q14491" t="str">
            <v>磁性位置传感器</v>
          </cell>
        </row>
        <row r="14492">
          <cell r="O14492" t="str">
            <v>SC9633VB-BK</v>
          </cell>
          <cell r="P14492" t="str">
            <v>STC9905F</v>
          </cell>
          <cell r="Q14492" t="str">
            <v>速度传感器</v>
          </cell>
        </row>
        <row r="14493">
          <cell r="O14493" t="str">
            <v>SD211VB-BK</v>
          </cell>
          <cell r="P14493" t="str">
            <v>FD1016A</v>
          </cell>
          <cell r="Q14493" t="str">
            <v>电机驱动</v>
          </cell>
        </row>
        <row r="14494">
          <cell r="O14494" t="str">
            <v>SD2276VB-BK</v>
          </cell>
          <cell r="P14494" t="str">
            <v>FD1014A</v>
          </cell>
          <cell r="Q14494" t="str">
            <v>电机驱动</v>
          </cell>
        </row>
        <row r="14495">
          <cell r="O14495" t="str">
            <v>SD2276VB-BK</v>
          </cell>
          <cell r="P14495" t="str">
            <v>FD1014A</v>
          </cell>
          <cell r="Q14495" t="str">
            <v>电机驱动</v>
          </cell>
        </row>
        <row r="14496">
          <cell r="O14496" t="str">
            <v>SC2402SO-N-TR</v>
          </cell>
          <cell r="P14496" t="str">
            <v>STC9902J</v>
          </cell>
          <cell r="Q14496" t="str">
            <v>磁性位置传感器</v>
          </cell>
        </row>
        <row r="14497">
          <cell r="O14497" t="str">
            <v>SD211VB-BK</v>
          </cell>
          <cell r="P14497" t="str">
            <v>FD1016A</v>
          </cell>
          <cell r="Q14497" t="str">
            <v>电机驱动</v>
          </cell>
        </row>
        <row r="14498">
          <cell r="O14498" t="str">
            <v>SC4015SO-N-A-TR</v>
          </cell>
          <cell r="P14498" t="str">
            <v>STC4011E</v>
          </cell>
          <cell r="Q14498" t="str">
            <v>磁性位置传感器</v>
          </cell>
        </row>
        <row r="14499">
          <cell r="O14499" t="str">
            <v>SC4923SO-N-TR</v>
          </cell>
          <cell r="P14499" t="str">
            <v>SC4009B</v>
          </cell>
          <cell r="Q14499" t="str">
            <v>磁性位置传感器</v>
          </cell>
        </row>
        <row r="14500">
          <cell r="O14500" t="str">
            <v>SI485EDC-TR</v>
          </cell>
          <cell r="P14500" t="str">
            <v>STC42302C</v>
          </cell>
          <cell r="Q14500" t="str">
            <v>其他数模混合</v>
          </cell>
        </row>
        <row r="14501">
          <cell r="O14501" t="str">
            <v>SI485EDC-TR</v>
          </cell>
          <cell r="P14501" t="str">
            <v>STC42302C</v>
          </cell>
          <cell r="Q14501" t="str">
            <v>其他数模混合</v>
          </cell>
        </row>
        <row r="14502">
          <cell r="O14502" t="str">
            <v>SC1134SO-N-TR-Q</v>
          </cell>
          <cell r="P14502" t="str">
            <v>STC1898AI</v>
          </cell>
          <cell r="Q14502" t="str">
            <v>磁性位置传感器</v>
          </cell>
        </row>
        <row r="14503">
          <cell r="O14503" t="str">
            <v>SC4011DN</v>
          </cell>
          <cell r="P14503" t="str">
            <v>STC4011B</v>
          </cell>
          <cell r="Q14503" t="str">
            <v>磁性位置传感器</v>
          </cell>
        </row>
        <row r="14504">
          <cell r="O14504" t="str">
            <v>SC4645编程器</v>
          </cell>
          <cell r="P14504" t="str">
            <v xml:space="preserve"> </v>
          </cell>
          <cell r="Q14504" t="str">
            <v>电流传感器</v>
          </cell>
        </row>
        <row r="14505">
          <cell r="O14505" t="str">
            <v>SC2402UA-BK</v>
          </cell>
          <cell r="P14505" t="str">
            <v>STC9G002B</v>
          </cell>
          <cell r="Q14505" t="str">
            <v>磁性位置传感器</v>
          </cell>
        </row>
        <row r="14506">
          <cell r="O14506" t="str">
            <v>SYLMV324BPD2R</v>
          </cell>
          <cell r="P14506" t="str">
            <v>STC9G003B</v>
          </cell>
          <cell r="Q14506" t="str">
            <v>其他数模混合</v>
          </cell>
        </row>
        <row r="14507">
          <cell r="O14507" t="str">
            <v>SC2434SO</v>
          </cell>
          <cell r="P14507" t="str">
            <v>STC9906I</v>
          </cell>
          <cell r="Q14507" t="str">
            <v>磁性位置传感器</v>
          </cell>
        </row>
        <row r="14508">
          <cell r="O14508" t="str">
            <v>SC2402UA-BK</v>
          </cell>
          <cell r="P14508" t="str">
            <v>STC9G002B</v>
          </cell>
          <cell r="Q14508" t="str">
            <v>磁性位置传感器</v>
          </cell>
        </row>
        <row r="14509">
          <cell r="O14509" t="str">
            <v>SC2402SO-N-TR</v>
          </cell>
          <cell r="P14509" t="str">
            <v>STC9G002A</v>
          </cell>
          <cell r="Q14509" t="str">
            <v>磁性位置传感器</v>
          </cell>
        </row>
        <row r="14510">
          <cell r="O14510" t="str">
            <v>SC2402SO-N-TR</v>
          </cell>
          <cell r="P14510" t="str">
            <v>STC9G002A</v>
          </cell>
          <cell r="Q14510" t="str">
            <v>磁性位置传感器</v>
          </cell>
        </row>
        <row r="14511">
          <cell r="O14511" t="str">
            <v>STC4011B-DS</v>
          </cell>
          <cell r="P14511" t="str">
            <v>STC4011B</v>
          </cell>
          <cell r="Q14511" t="str">
            <v>磁性位置传感器</v>
          </cell>
        </row>
        <row r="14512">
          <cell r="O14512" t="str">
            <v>STC4011B-DS</v>
          </cell>
          <cell r="P14512" t="str">
            <v>STC4011B</v>
          </cell>
          <cell r="Q14512" t="str">
            <v>磁性位置传感器</v>
          </cell>
        </row>
        <row r="14513">
          <cell r="O14513" t="str">
            <v>STC4011B-DS</v>
          </cell>
          <cell r="P14513" t="str">
            <v>STC4011B</v>
          </cell>
          <cell r="Q14513" t="str">
            <v>磁性位置传感器</v>
          </cell>
        </row>
        <row r="14514">
          <cell r="O14514" t="str">
            <v>STC4011B-DS</v>
          </cell>
          <cell r="P14514" t="str">
            <v>STC4011B</v>
          </cell>
          <cell r="Q14514" t="str">
            <v>磁性位置传感器</v>
          </cell>
        </row>
        <row r="14515">
          <cell r="O14515" t="str">
            <v>STC4011B-DS</v>
          </cell>
          <cell r="P14515" t="str">
            <v>STC4011B</v>
          </cell>
          <cell r="Q14515" t="str">
            <v>磁性位置传感器</v>
          </cell>
        </row>
        <row r="14516">
          <cell r="O14516" t="str">
            <v>STC4011B-DS</v>
          </cell>
          <cell r="P14516" t="str">
            <v>STC4011B</v>
          </cell>
          <cell r="Q14516" t="str">
            <v>磁性位置传感器</v>
          </cell>
        </row>
        <row r="14517">
          <cell r="O14517" t="str">
            <v>SC2442SO-N-TR-Q</v>
          </cell>
          <cell r="P14517" t="str">
            <v>STC11102B</v>
          </cell>
          <cell r="Q14517" t="str">
            <v>磁性位置传感器</v>
          </cell>
        </row>
        <row r="14518">
          <cell r="O14518" t="str">
            <v>SC2442SO-N-TR-Q</v>
          </cell>
          <cell r="P14518" t="str">
            <v>STC11102B</v>
          </cell>
          <cell r="Q14518" t="str">
            <v>磁性位置传感器</v>
          </cell>
        </row>
        <row r="14519">
          <cell r="O14519" t="str">
            <v>SC2442SO-N-TR-Q</v>
          </cell>
          <cell r="P14519" t="str">
            <v>STC11102B</v>
          </cell>
          <cell r="Q14519" t="str">
            <v>磁性位置传感器</v>
          </cell>
        </row>
        <row r="14520">
          <cell r="O14520" t="str">
            <v>SC2442SO-N-TR-Q</v>
          </cell>
          <cell r="P14520" t="str">
            <v>STC11102B</v>
          </cell>
          <cell r="Q14520" t="str">
            <v>磁性位置传感器</v>
          </cell>
        </row>
        <row r="14521">
          <cell r="O14521" t="str">
            <v>SC2442SO-N-TR-Q</v>
          </cell>
          <cell r="P14521" t="str">
            <v>STC11102B</v>
          </cell>
          <cell r="Q14521" t="str">
            <v>磁性位置传感器</v>
          </cell>
        </row>
        <row r="14522">
          <cell r="O14522" t="str">
            <v>SC2442SO-N-TR-Q</v>
          </cell>
          <cell r="P14522" t="str">
            <v>STC11102B</v>
          </cell>
          <cell r="Q14522" t="str">
            <v>磁性位置传感器</v>
          </cell>
        </row>
        <row r="14523">
          <cell r="O14523" t="str">
            <v>SC2442SO-N-TR-Q</v>
          </cell>
          <cell r="P14523" t="str">
            <v>STC11102B</v>
          </cell>
          <cell r="Q14523" t="str">
            <v>磁性位置传感器</v>
          </cell>
        </row>
        <row r="14524">
          <cell r="O14524" t="str">
            <v>SC2442SO-N-TR-Q</v>
          </cell>
          <cell r="P14524" t="str">
            <v>STC11102B</v>
          </cell>
          <cell r="Q14524" t="str">
            <v>磁性位置传感器</v>
          </cell>
        </row>
        <row r="14525">
          <cell r="O14525" t="str">
            <v>SC2442SO-N-TR-Q</v>
          </cell>
          <cell r="P14525" t="str">
            <v>STC11102B</v>
          </cell>
          <cell r="Q14525" t="str">
            <v>磁性位置传感器</v>
          </cell>
        </row>
        <row r="14526">
          <cell r="O14526" t="str">
            <v>SC2442SO-N-TR-Q</v>
          </cell>
          <cell r="P14526" t="str">
            <v>STC11102B</v>
          </cell>
          <cell r="Q14526" t="str">
            <v>磁性位置传感器</v>
          </cell>
        </row>
        <row r="14527">
          <cell r="O14527" t="str">
            <v>SC2242SO-TR-Q</v>
          </cell>
          <cell r="P14527" t="str">
            <v>STC9906H</v>
          </cell>
          <cell r="Q14527" t="str">
            <v>磁性位置传感器</v>
          </cell>
        </row>
        <row r="14528">
          <cell r="O14528" t="str">
            <v>SC2242SO-TR-Q</v>
          </cell>
          <cell r="P14528" t="str">
            <v>STC9906H</v>
          </cell>
          <cell r="Q14528" t="str">
            <v>磁性位置传感器</v>
          </cell>
        </row>
        <row r="14529">
          <cell r="O14529" t="str">
            <v>SC2242UA-BK-Q</v>
          </cell>
          <cell r="P14529" t="str">
            <v>STC9906H</v>
          </cell>
          <cell r="Q14529" t="str">
            <v>磁性位置传感器</v>
          </cell>
        </row>
        <row r="14530">
          <cell r="O14530" t="str">
            <v>SC2442UA-BK-Q</v>
          </cell>
          <cell r="P14530" t="str">
            <v>STC11102B</v>
          </cell>
          <cell r="Q14530" t="str">
            <v>磁性位置传感器</v>
          </cell>
        </row>
        <row r="14531">
          <cell r="O14531" t="str">
            <v>SC9642TS-EC</v>
          </cell>
          <cell r="P14531" t="str">
            <v>STC9A001H</v>
          </cell>
          <cell r="Q14531" t="str">
            <v>速度传感器</v>
          </cell>
        </row>
        <row r="14532">
          <cell r="O14532" t="str">
            <v>SC9642TS-EC</v>
          </cell>
          <cell r="P14532" t="str">
            <v>STC9A001H</v>
          </cell>
          <cell r="Q14532" t="str">
            <v>速度传感器</v>
          </cell>
        </row>
        <row r="14533">
          <cell r="O14533" t="str">
            <v>SC2442SO-N-TR-Q</v>
          </cell>
          <cell r="P14533" t="str">
            <v>STC9906P</v>
          </cell>
          <cell r="Q14533" t="str">
            <v>磁性位置传感器</v>
          </cell>
        </row>
        <row r="14534">
          <cell r="O14534" t="str">
            <v>SC2442SO-N-TR-Q</v>
          </cell>
          <cell r="P14534" t="str">
            <v>STC9906P</v>
          </cell>
          <cell r="Q14534" t="str">
            <v>磁性位置传感器</v>
          </cell>
        </row>
        <row r="14535">
          <cell r="O14535" t="str">
            <v>SC2442SO-N-TR-Q</v>
          </cell>
          <cell r="P14535" t="str">
            <v>STC9906P</v>
          </cell>
          <cell r="Q14535" t="str">
            <v>磁性位置传感器</v>
          </cell>
        </row>
        <row r="14536">
          <cell r="O14536" t="str">
            <v>SC2442SO-N-TR-Q</v>
          </cell>
          <cell r="P14536" t="str">
            <v>STC9906P</v>
          </cell>
          <cell r="Q14536" t="str">
            <v>磁性位置传感器</v>
          </cell>
        </row>
        <row r="14537">
          <cell r="O14537" t="str">
            <v>SC2442SO-N-TR-Q</v>
          </cell>
          <cell r="P14537" t="str">
            <v>STC9906P</v>
          </cell>
          <cell r="Q14537" t="str">
            <v>磁性位置传感器</v>
          </cell>
        </row>
        <row r="14538">
          <cell r="O14538" t="str">
            <v>SC2442SO-N-TR-Q</v>
          </cell>
          <cell r="P14538" t="str">
            <v>STC9906P</v>
          </cell>
          <cell r="Q14538" t="str">
            <v>磁性位置传感器</v>
          </cell>
        </row>
        <row r="14539">
          <cell r="O14539" t="str">
            <v>SC4643VB-S-BK-Q</v>
          </cell>
          <cell r="P14539" t="str">
            <v>STC9D03E</v>
          </cell>
          <cell r="Q14539" t="str">
            <v>电流传感器</v>
          </cell>
        </row>
        <row r="14540">
          <cell r="O14540" t="str">
            <v>SC4643VB-S-BK-Q</v>
          </cell>
          <cell r="P14540" t="str">
            <v>STC9D03E</v>
          </cell>
          <cell r="Q14540" t="str">
            <v>电流传感器</v>
          </cell>
        </row>
        <row r="14541">
          <cell r="O14541" t="str">
            <v>SC9641TS-P-TR</v>
          </cell>
          <cell r="P14541" t="str">
            <v>STC9A001I</v>
          </cell>
          <cell r="Q14541" t="str">
            <v>速度传感器</v>
          </cell>
        </row>
        <row r="14542">
          <cell r="O14542" t="str">
            <v>SC9641TS-P-TR</v>
          </cell>
          <cell r="P14542" t="str">
            <v>STC9A001I</v>
          </cell>
          <cell r="Q14542" t="str">
            <v>速度传感器</v>
          </cell>
        </row>
        <row r="14543">
          <cell r="O14543" t="str">
            <v>SC2442SO-TR-Q</v>
          </cell>
          <cell r="P14543" t="str">
            <v>STC11102B</v>
          </cell>
          <cell r="Q14543" t="str">
            <v>磁性位置传感器</v>
          </cell>
        </row>
        <row r="14544">
          <cell r="O14544" t="str">
            <v>SC2442SO-TR-Q</v>
          </cell>
          <cell r="P14544" t="str">
            <v>STC11102B</v>
          </cell>
          <cell r="Q14544" t="str">
            <v>磁性位置传感器</v>
          </cell>
        </row>
        <row r="14545">
          <cell r="O14545" t="str">
            <v>SC2442SO-TR-Q</v>
          </cell>
          <cell r="P14545" t="str">
            <v>STC11102B</v>
          </cell>
          <cell r="Q14545" t="str">
            <v>磁性位置传感器</v>
          </cell>
        </row>
        <row r="14546">
          <cell r="O14546" t="str">
            <v>SC2442SO-TR-Q</v>
          </cell>
          <cell r="P14546" t="str">
            <v>STC11102B</v>
          </cell>
          <cell r="Q14546" t="str">
            <v>磁性位置传感器</v>
          </cell>
        </row>
        <row r="14547">
          <cell r="O14547" t="str">
            <v>ZH6252C</v>
          </cell>
          <cell r="P14547" t="str">
            <v>ZH6252C</v>
          </cell>
          <cell r="Q14547" t="str">
            <v>电机驱动</v>
          </cell>
        </row>
        <row r="14548">
          <cell r="O14548" t="str">
            <v>ZH6352B-Mask</v>
          </cell>
          <cell r="P14548" t="str">
            <v xml:space="preserve"> </v>
          </cell>
          <cell r="Q14548" t="str">
            <v>电机驱动</v>
          </cell>
        </row>
        <row r="14549">
          <cell r="O14549" t="str">
            <v>SC2498UA-N-BK-Q</v>
          </cell>
          <cell r="P14549" t="str">
            <v>STC11102B</v>
          </cell>
          <cell r="Q14549" t="str">
            <v>磁性位置传感器</v>
          </cell>
        </row>
        <row r="14550">
          <cell r="O14550" t="str">
            <v>SC2498UA-N-BK-Q</v>
          </cell>
          <cell r="P14550" t="str">
            <v>STC11102B</v>
          </cell>
          <cell r="Q14550" t="str">
            <v>磁性位置传感器</v>
          </cell>
        </row>
        <row r="14551">
          <cell r="O14551" t="str">
            <v>SC2498UA-N-BK-Q</v>
          </cell>
          <cell r="P14551" t="str">
            <v>STC11102B</v>
          </cell>
          <cell r="Q14551" t="str">
            <v>磁性位置传感器</v>
          </cell>
        </row>
        <row r="14552">
          <cell r="O14552" t="str">
            <v>SC2498UA-N-BK-Q</v>
          </cell>
          <cell r="P14552" t="str">
            <v>STC11102B</v>
          </cell>
          <cell r="Q14552" t="str">
            <v>磁性位置传感器</v>
          </cell>
        </row>
        <row r="14553">
          <cell r="O14553" t="str">
            <v>SC2498UA-N-BK-Q</v>
          </cell>
          <cell r="P14553" t="str">
            <v>STC11102B</v>
          </cell>
          <cell r="Q14553" t="str">
            <v>磁性位置传感器</v>
          </cell>
        </row>
        <row r="14554">
          <cell r="O14554" t="str">
            <v>SC2498UA-N-BK-Q</v>
          </cell>
          <cell r="P14554" t="str">
            <v>STC11102B</v>
          </cell>
          <cell r="Q14554" t="str">
            <v>磁性位置传感器</v>
          </cell>
        </row>
        <row r="14555">
          <cell r="O14555" t="str">
            <v>SC2498UA-N-BK-Q</v>
          </cell>
          <cell r="P14555" t="str">
            <v>STC11102B</v>
          </cell>
          <cell r="Q14555" t="str">
            <v>磁性位置传感器</v>
          </cell>
        </row>
        <row r="14556">
          <cell r="O14556" t="str">
            <v>SC9641TS-PC-TR-Q</v>
          </cell>
          <cell r="P14556" t="str">
            <v>STC9A001I</v>
          </cell>
          <cell r="Q14556" t="str">
            <v>速度传感器</v>
          </cell>
        </row>
        <row r="14557">
          <cell r="O14557" t="str">
            <v>SC9641TS-PC-TR-Q</v>
          </cell>
          <cell r="P14557" t="str">
            <v>STC9A001I</v>
          </cell>
          <cell r="Q14557" t="str">
            <v>速度传感器</v>
          </cell>
        </row>
        <row r="14558">
          <cell r="O14558" t="str">
            <v>SC4643VB-BK-Q</v>
          </cell>
          <cell r="P14558" t="str">
            <v>STC9D03E</v>
          </cell>
          <cell r="Q14558" t="str">
            <v>电流传感器</v>
          </cell>
        </row>
        <row r="14559">
          <cell r="O14559" t="str">
            <v>SC9634VB</v>
          </cell>
          <cell r="P14559" t="str">
            <v>STC9905G</v>
          </cell>
          <cell r="Q14559" t="str">
            <v>速度传感器</v>
          </cell>
        </row>
        <row r="14560">
          <cell r="O14560" t="str">
            <v>SC60221-U-P1-256-244-mai</v>
          </cell>
          <cell r="P14560" t="str">
            <v>STC9D04C</v>
          </cell>
          <cell r="Q14560" t="str">
            <v>电机编码器</v>
          </cell>
        </row>
        <row r="14561">
          <cell r="O14561" t="str">
            <v>SC60221-U-P1-256-244-mai</v>
          </cell>
          <cell r="P14561" t="str">
            <v>STC9D04C</v>
          </cell>
          <cell r="Q14561" t="str">
            <v>电机编码器</v>
          </cell>
        </row>
        <row r="14562">
          <cell r="O14562" t="str">
            <v>SC60221-U-256-976</v>
          </cell>
          <cell r="P14562" t="str">
            <v>STC9D04C</v>
          </cell>
          <cell r="Q14562" t="str">
            <v>电机编码器</v>
          </cell>
        </row>
        <row r="14563">
          <cell r="O14563" t="str">
            <v>SC60221-U-256-976</v>
          </cell>
          <cell r="P14563" t="str">
            <v>STC9D04C</v>
          </cell>
          <cell r="Q14563" t="str">
            <v>电机编码器</v>
          </cell>
        </row>
        <row r="14564">
          <cell r="O14564" t="str">
            <v>SC60228DC-TR</v>
          </cell>
          <cell r="P14564" t="str">
            <v>STC9D04C</v>
          </cell>
          <cell r="Q14564" t="str">
            <v>电机编码器</v>
          </cell>
        </row>
        <row r="14565">
          <cell r="O14565" t="str">
            <v>SC60228DC-TR</v>
          </cell>
          <cell r="P14565" t="str">
            <v>STC9D04C</v>
          </cell>
          <cell r="Q14565" t="str">
            <v>电机编码器</v>
          </cell>
        </row>
        <row r="14566">
          <cell r="O14566" t="str">
            <v>SC60224-D-1024-976-BSD-01</v>
          </cell>
          <cell r="P14566" t="str">
            <v>STC9D04C</v>
          </cell>
          <cell r="Q14566" t="str">
            <v>电机编码器</v>
          </cell>
        </row>
        <row r="14567">
          <cell r="O14567" t="str">
            <v>SD2276VB-BK</v>
          </cell>
          <cell r="P14567" t="str">
            <v>FD1014A</v>
          </cell>
          <cell r="Q14567" t="str">
            <v>电机驱动</v>
          </cell>
        </row>
        <row r="14568">
          <cell r="O14568" t="str">
            <v>SD2276VB-BK</v>
          </cell>
          <cell r="P14568" t="str">
            <v>FD1014A</v>
          </cell>
          <cell r="Q14568" t="str">
            <v>电机驱动</v>
          </cell>
        </row>
        <row r="14569">
          <cell r="O14569" t="str">
            <v>SC4923SO-N-TR</v>
          </cell>
          <cell r="P14569" t="str">
            <v>SC4009D</v>
          </cell>
          <cell r="Q14569" t="str">
            <v>磁性位置传感器</v>
          </cell>
        </row>
        <row r="14570">
          <cell r="O14570" t="str">
            <v>SC4923SO-N-TR</v>
          </cell>
          <cell r="P14570" t="str">
            <v>SC4009D</v>
          </cell>
          <cell r="Q14570" t="str">
            <v>磁性位置传感器</v>
          </cell>
        </row>
        <row r="14571">
          <cell r="O14571" t="str">
            <v>SC4645VB-BK</v>
          </cell>
          <cell r="P14571" t="str">
            <v>STC9D06F</v>
          </cell>
          <cell r="Q14571" t="str">
            <v>电流传感器</v>
          </cell>
        </row>
        <row r="14572">
          <cell r="O14572" t="str">
            <v>SC4645VB-BK</v>
          </cell>
          <cell r="P14572" t="str">
            <v>STC9D06F</v>
          </cell>
          <cell r="Q14572" t="str">
            <v>电流传感器</v>
          </cell>
        </row>
        <row r="14573">
          <cell r="O14573" t="str">
            <v>SC2402UA-BK</v>
          </cell>
          <cell r="P14573" t="str">
            <v>STC9G002B</v>
          </cell>
          <cell r="Q14573" t="str">
            <v>磁性位置传感器</v>
          </cell>
        </row>
        <row r="14574">
          <cell r="O14574" t="str">
            <v>SC2402UA-BK</v>
          </cell>
          <cell r="P14574" t="str">
            <v>STC9G002B</v>
          </cell>
          <cell r="Q14574" t="str">
            <v>磁性位置传感器</v>
          </cell>
        </row>
        <row r="14575">
          <cell r="O14575" t="str">
            <v>SC9641TS-PC-TR-Q</v>
          </cell>
          <cell r="P14575" t="str">
            <v>STC9A001I</v>
          </cell>
          <cell r="Q14575" t="str">
            <v>速度传感器</v>
          </cell>
        </row>
        <row r="14576">
          <cell r="O14576" t="str">
            <v>SC9641TS-PC-TR-Q</v>
          </cell>
          <cell r="P14576" t="str">
            <v>STC9A001I</v>
          </cell>
          <cell r="Q14576" t="str">
            <v>速度传感器</v>
          </cell>
        </row>
        <row r="14577">
          <cell r="O14577" t="str">
            <v>SC9641TS-PC-TR-Q</v>
          </cell>
          <cell r="P14577" t="str">
            <v>STC9A001I</v>
          </cell>
          <cell r="Q14577" t="str">
            <v>速度传感器</v>
          </cell>
        </row>
        <row r="14578">
          <cell r="O14578" t="str">
            <v>SC2242SO-TR-Q</v>
          </cell>
          <cell r="P14578" t="str">
            <v>STC9906H</v>
          </cell>
          <cell r="Q14578" t="str">
            <v>磁性位置传感器</v>
          </cell>
        </row>
        <row r="14579">
          <cell r="O14579" t="str">
            <v>SC2242SO-TR-Q</v>
          </cell>
          <cell r="P14579" t="str">
            <v>STC9906H</v>
          </cell>
          <cell r="Q14579" t="str">
            <v>磁性位置传感器</v>
          </cell>
        </row>
        <row r="14580">
          <cell r="O14580" t="str">
            <v>SD211VB-BK</v>
          </cell>
          <cell r="P14580" t="str">
            <v>FD1016A</v>
          </cell>
          <cell r="Q14580" t="str">
            <v>电机驱动</v>
          </cell>
        </row>
        <row r="14581">
          <cell r="O14581" t="str">
            <v>SD211VB-BK</v>
          </cell>
          <cell r="P14581" t="str">
            <v>FD1016A</v>
          </cell>
          <cell r="Q14581" t="str">
            <v>电机驱动</v>
          </cell>
        </row>
        <row r="14582">
          <cell r="O14582" t="str">
            <v>SC2442SO-N-TR-Q</v>
          </cell>
          <cell r="P14582" t="str">
            <v>STC9906P</v>
          </cell>
          <cell r="Q14582" t="str">
            <v>磁性位置传感器</v>
          </cell>
        </row>
        <row r="14583">
          <cell r="O14583" t="str">
            <v>SC2442SO-N-TR-Q</v>
          </cell>
          <cell r="P14583" t="str">
            <v>STC9906P</v>
          </cell>
          <cell r="Q14583" t="str">
            <v>磁性位置传感器</v>
          </cell>
        </row>
        <row r="14584">
          <cell r="O14584" t="str">
            <v>SC2442SO-N-TR-Q</v>
          </cell>
          <cell r="P14584" t="str">
            <v>STC9906P</v>
          </cell>
          <cell r="Q14584" t="str">
            <v>磁性位置传感器</v>
          </cell>
        </row>
        <row r="14585">
          <cell r="O14585" t="str">
            <v>SC2442SO-N-TR-Q</v>
          </cell>
          <cell r="P14585" t="str">
            <v>STC9906P</v>
          </cell>
          <cell r="Q14585" t="str">
            <v>磁性位置传感器</v>
          </cell>
        </row>
        <row r="14586">
          <cell r="O14586" t="str">
            <v>SC2442SO-N-TR-Q</v>
          </cell>
          <cell r="P14586" t="str">
            <v>STC9906P</v>
          </cell>
          <cell r="Q14586" t="str">
            <v>磁性位置传感器</v>
          </cell>
        </row>
        <row r="14587">
          <cell r="O14587" t="str">
            <v>SD2276VB-BK</v>
          </cell>
          <cell r="P14587" t="str">
            <v>FD1014A</v>
          </cell>
          <cell r="Q14587" t="str">
            <v>电机驱动</v>
          </cell>
        </row>
        <row r="14588">
          <cell r="O14588" t="str">
            <v>SD211VB-BK</v>
          </cell>
          <cell r="P14588" t="str">
            <v>FD1016A</v>
          </cell>
          <cell r="Q14588" t="str">
            <v>电机驱动</v>
          </cell>
        </row>
        <row r="14589">
          <cell r="O14589" t="str">
            <v>SD211VB-BK</v>
          </cell>
          <cell r="P14589" t="str">
            <v>FD1016A</v>
          </cell>
          <cell r="Q14589" t="str">
            <v>电机驱动</v>
          </cell>
        </row>
        <row r="14590">
          <cell r="O14590" t="str">
            <v>SD2276VB-BK</v>
          </cell>
          <cell r="P14590" t="str">
            <v>FD1014A</v>
          </cell>
          <cell r="Q14590" t="str">
            <v>电机驱动</v>
          </cell>
        </row>
        <row r="14591">
          <cell r="O14591" t="str">
            <v>SD2276VB-BK</v>
          </cell>
          <cell r="P14591" t="str">
            <v>FD1014A</v>
          </cell>
          <cell r="Q14591" t="str">
            <v>电机驱动</v>
          </cell>
        </row>
        <row r="14592">
          <cell r="O14592" t="str">
            <v>SD2276VB-BK</v>
          </cell>
          <cell r="P14592" t="str">
            <v>FD1014A</v>
          </cell>
          <cell r="Q14592" t="str">
            <v>电机驱动</v>
          </cell>
        </row>
        <row r="14593">
          <cell r="O14593" t="str">
            <v>SD2276VB-BK</v>
          </cell>
          <cell r="P14593" t="str">
            <v>FD1014A</v>
          </cell>
          <cell r="Q14593" t="str">
            <v>电机驱动</v>
          </cell>
        </row>
        <row r="14594">
          <cell r="O14594" t="str">
            <v>SD2276VB-BK</v>
          </cell>
          <cell r="P14594" t="str">
            <v>FD1014A</v>
          </cell>
          <cell r="Q14594" t="str">
            <v>电机驱动</v>
          </cell>
        </row>
        <row r="14595">
          <cell r="O14595" t="str">
            <v>SD2276VB-BK</v>
          </cell>
          <cell r="P14595" t="str">
            <v>FD1014A</v>
          </cell>
          <cell r="Q14595" t="str">
            <v>电机驱动</v>
          </cell>
        </row>
        <row r="14596">
          <cell r="O14596" t="str">
            <v>SC9641TS-P-TR</v>
          </cell>
          <cell r="P14596" t="str">
            <v>STC9A001I</v>
          </cell>
          <cell r="Q14596" t="str">
            <v>速度传感器</v>
          </cell>
        </row>
        <row r="14597">
          <cell r="O14597" t="str">
            <v>SC9648TS-TR</v>
          </cell>
          <cell r="P14597" t="str">
            <v>STC9A001I</v>
          </cell>
          <cell r="Q14597" t="str">
            <v>速度传感器</v>
          </cell>
        </row>
        <row r="14598">
          <cell r="O14598" t="str">
            <v>SC9648TS-TR</v>
          </cell>
          <cell r="P14598" t="str">
            <v>STC9A001I</v>
          </cell>
          <cell r="Q14598" t="str">
            <v>速度传感器</v>
          </cell>
        </row>
        <row r="14599">
          <cell r="O14599" t="str">
            <v>SC9648TS-TR</v>
          </cell>
          <cell r="P14599" t="str">
            <v>STC9A001I</v>
          </cell>
          <cell r="Q14599" t="str">
            <v>速度传感器</v>
          </cell>
        </row>
        <row r="14600">
          <cell r="O14600" t="str">
            <v>SC2432SO-TR-Q</v>
          </cell>
          <cell r="P14600" t="str">
            <v>STC9906M</v>
          </cell>
          <cell r="Q14600" t="str">
            <v>磁性位置传感器</v>
          </cell>
        </row>
        <row r="14601">
          <cell r="O14601" t="str">
            <v>SC2432SO-TR-Q</v>
          </cell>
          <cell r="P14601" t="str">
            <v>STC9906M</v>
          </cell>
          <cell r="Q14601" t="str">
            <v>磁性位置传感器</v>
          </cell>
        </row>
        <row r="14602">
          <cell r="O14602" t="str">
            <v>SC4688DC-TR-Q</v>
          </cell>
          <cell r="P14602" t="str">
            <v>STC9D01C</v>
          </cell>
          <cell r="Q14602" t="str">
            <v>角度传感器</v>
          </cell>
        </row>
        <row r="14603">
          <cell r="O14603" t="str">
            <v>SC4688DC-TR-Q</v>
          </cell>
          <cell r="P14603" t="str">
            <v>STC9D01C</v>
          </cell>
          <cell r="Q14603" t="str">
            <v>角度传感器</v>
          </cell>
        </row>
        <row r="14604">
          <cell r="O14604" t="str">
            <v>SC69401-A</v>
          </cell>
          <cell r="P14604" t="str">
            <v>STC9H002DQ</v>
          </cell>
          <cell r="Q14604" t="str">
            <v>角度传感器</v>
          </cell>
        </row>
        <row r="14605">
          <cell r="O14605" t="str">
            <v>SC9641TS-P-TR</v>
          </cell>
          <cell r="P14605" t="str">
            <v>STC9A001I</v>
          </cell>
          <cell r="Q14605" t="str">
            <v>速度传感器</v>
          </cell>
        </row>
        <row r="14606">
          <cell r="O14606" t="str">
            <v>SC9641TS-P-TR</v>
          </cell>
          <cell r="P14606" t="str">
            <v>STC9A001I</v>
          </cell>
          <cell r="Q14606" t="str">
            <v>速度传感器</v>
          </cell>
        </row>
        <row r="14607">
          <cell r="O14607" t="str">
            <v>SC9641TS-P-TR</v>
          </cell>
          <cell r="P14607" t="str">
            <v>STC9A001I</v>
          </cell>
          <cell r="Q14607" t="str">
            <v>速度传感器</v>
          </cell>
        </row>
        <row r="14608">
          <cell r="O14608" t="str">
            <v>ZH6521P2-Mask</v>
          </cell>
          <cell r="P14608" t="str">
            <v xml:space="preserve"> </v>
          </cell>
          <cell r="Q14608" t="str">
            <v>电机驱动</v>
          </cell>
        </row>
        <row r="14609">
          <cell r="O14609" t="str">
            <v>ZH6521P2</v>
          </cell>
          <cell r="P14609" t="str">
            <v>ZH6521P2</v>
          </cell>
          <cell r="Q14609" t="str">
            <v>电机驱动</v>
          </cell>
        </row>
        <row r="14610">
          <cell r="O14610" t="str">
            <v>SC69401-A</v>
          </cell>
          <cell r="P14610" t="str">
            <v>STC9H002DQ</v>
          </cell>
          <cell r="Q14610" t="str">
            <v>角度传感器</v>
          </cell>
        </row>
        <row r="14611">
          <cell r="O14611" t="str">
            <v>SC2442SO-N</v>
          </cell>
          <cell r="P14611" t="str">
            <v>STC9906P</v>
          </cell>
          <cell r="Q14611" t="str">
            <v>磁性位置传感器</v>
          </cell>
        </row>
        <row r="14612">
          <cell r="O14612" t="str">
            <v>SC2442SO-N</v>
          </cell>
          <cell r="P14612" t="str">
            <v>STC9906P</v>
          </cell>
          <cell r="Q14612" t="str">
            <v>磁性位置传感器</v>
          </cell>
        </row>
        <row r="14613">
          <cell r="O14613" t="str">
            <v>SC2442SO-N</v>
          </cell>
          <cell r="P14613" t="str">
            <v>STC9906P</v>
          </cell>
          <cell r="Q14613" t="str">
            <v>磁性位置传感器</v>
          </cell>
        </row>
        <row r="14614">
          <cell r="O14614" t="str">
            <v>SC2442SO-N</v>
          </cell>
          <cell r="P14614" t="str">
            <v>STC9906P</v>
          </cell>
          <cell r="Q14614" t="str">
            <v>磁性位置传感器</v>
          </cell>
        </row>
        <row r="14615">
          <cell r="O14615" t="str">
            <v>SC2442SO-N</v>
          </cell>
          <cell r="P14615" t="str">
            <v>STC9906P</v>
          </cell>
          <cell r="Q14615" t="str">
            <v>磁性位置传感器</v>
          </cell>
        </row>
        <row r="14616">
          <cell r="O14616" t="str">
            <v>SC4688编程器</v>
          </cell>
          <cell r="P14616" t="str">
            <v xml:space="preserve"> </v>
          </cell>
          <cell r="Q14616" t="str">
            <v>角度传感器</v>
          </cell>
        </row>
        <row r="14617">
          <cell r="O14617" t="str">
            <v>SC1645A1-BK</v>
          </cell>
          <cell r="P14617" t="str">
            <v>STC2899AE</v>
          </cell>
          <cell r="Q14617" t="str">
            <v>磁性位置传感器</v>
          </cell>
        </row>
        <row r="14618">
          <cell r="O14618" t="str">
            <v>SC1645A1-BK</v>
          </cell>
          <cell r="P14618" t="str">
            <v>STC2899AE</v>
          </cell>
          <cell r="Q14618" t="str">
            <v>磁性位置传感器</v>
          </cell>
        </row>
        <row r="14619">
          <cell r="O14619" t="str">
            <v>SC1645A1-BK</v>
          </cell>
          <cell r="P14619" t="str">
            <v>STC2899AE</v>
          </cell>
          <cell r="Q14619" t="str">
            <v>磁性位置传感器</v>
          </cell>
        </row>
        <row r="14620">
          <cell r="O14620" t="str">
            <v>SC1645A1-BK</v>
          </cell>
          <cell r="P14620" t="str">
            <v>STC2899AE</v>
          </cell>
          <cell r="Q14620" t="str">
            <v>磁性位置传感器</v>
          </cell>
        </row>
        <row r="14621">
          <cell r="O14621" t="str">
            <v>SC1645A1-BK</v>
          </cell>
          <cell r="P14621" t="str">
            <v>STC2899AE</v>
          </cell>
          <cell r="Q14621" t="str">
            <v>磁性位置传感器</v>
          </cell>
        </row>
        <row r="14622">
          <cell r="O14622" t="str">
            <v>SC1919UA-BK</v>
          </cell>
          <cell r="P14622" t="str">
            <v>STC9913D</v>
          </cell>
          <cell r="Q14622" t="str">
            <v>磁性位置传感器</v>
          </cell>
        </row>
        <row r="14623">
          <cell r="O14623" t="str">
            <v>SC4923SO-N-TR</v>
          </cell>
          <cell r="P14623" t="str">
            <v>SC4009D</v>
          </cell>
          <cell r="Q14623" t="str">
            <v>磁性位置传感器</v>
          </cell>
        </row>
        <row r="14624">
          <cell r="O14624" t="str">
            <v>SC4923SO-N-TR</v>
          </cell>
          <cell r="P14624" t="str">
            <v>SC4009D</v>
          </cell>
          <cell r="Q14624" t="str">
            <v>磁性位置传感器</v>
          </cell>
        </row>
        <row r="14625">
          <cell r="O14625" t="str">
            <v>SC243XUA</v>
          </cell>
          <cell r="P14625" t="str">
            <v>STC9906I</v>
          </cell>
          <cell r="Q14625" t="str">
            <v>磁性位置传感器</v>
          </cell>
        </row>
        <row r="14626">
          <cell r="O14626" t="str">
            <v>SC4923SO-N-TR</v>
          </cell>
          <cell r="P14626" t="str">
            <v>SC4009D</v>
          </cell>
          <cell r="Q14626" t="str">
            <v>磁性位置传感器</v>
          </cell>
        </row>
        <row r="14627">
          <cell r="O14627" t="str">
            <v>SC4923SO-N-TR</v>
          </cell>
          <cell r="P14627" t="str">
            <v>SC4009D</v>
          </cell>
          <cell r="Q14627" t="str">
            <v>磁性位置传感器</v>
          </cell>
        </row>
        <row r="14628">
          <cell r="O14628" t="str">
            <v>SC4923SO-N-TR</v>
          </cell>
          <cell r="P14628" t="str">
            <v>SC4009D</v>
          </cell>
          <cell r="Q14628" t="str">
            <v>磁性位置传感器</v>
          </cell>
        </row>
        <row r="14629">
          <cell r="O14629" t="str">
            <v>SC4923SO-N-TR</v>
          </cell>
          <cell r="P14629" t="str">
            <v>SC4009D</v>
          </cell>
          <cell r="Q14629" t="str">
            <v>磁性位置传感器</v>
          </cell>
        </row>
        <row r="14630">
          <cell r="O14630" t="str">
            <v>SI485EDC-TR</v>
          </cell>
          <cell r="P14630" t="str">
            <v>STC42302C</v>
          </cell>
          <cell r="Q14630" t="str">
            <v>其他数模混合</v>
          </cell>
        </row>
        <row r="14631">
          <cell r="O14631" t="str">
            <v>SC2402SO-N-TR</v>
          </cell>
          <cell r="P14631" t="str">
            <v>STC9902J</v>
          </cell>
          <cell r="Q14631" t="str">
            <v>磁性位置传感器</v>
          </cell>
        </row>
        <row r="14632">
          <cell r="O14632" t="str">
            <v>SC2442SO-N</v>
          </cell>
          <cell r="P14632" t="str">
            <v>STC9906P</v>
          </cell>
          <cell r="Q14632" t="str">
            <v>磁性位置传感器</v>
          </cell>
        </row>
        <row r="14633">
          <cell r="O14633" t="str">
            <v>SC2442SO-N</v>
          </cell>
          <cell r="P14633" t="str">
            <v>STC9906P</v>
          </cell>
          <cell r="Q14633" t="str">
            <v>磁性位置传感器</v>
          </cell>
        </row>
        <row r="14634">
          <cell r="O14634" t="str">
            <v>SC2442SO-N-TR-Q</v>
          </cell>
          <cell r="P14634" t="str">
            <v>STC11102B</v>
          </cell>
          <cell r="Q14634" t="str">
            <v>磁性位置传感器</v>
          </cell>
        </row>
        <row r="14635">
          <cell r="O14635" t="str">
            <v>SC2442SO-N-TR-Q</v>
          </cell>
          <cell r="P14635" t="str">
            <v>STC11102B</v>
          </cell>
          <cell r="Q14635" t="str">
            <v>磁性位置传感器</v>
          </cell>
        </row>
        <row r="14636">
          <cell r="O14636" t="str">
            <v>SC2442SO-N-TR-Q</v>
          </cell>
          <cell r="P14636" t="str">
            <v>STC11102B</v>
          </cell>
          <cell r="Q14636" t="str">
            <v>磁性位置传感器</v>
          </cell>
        </row>
        <row r="14637">
          <cell r="O14637" t="str">
            <v>SC2442SO-N-TR-Q</v>
          </cell>
          <cell r="P14637" t="str">
            <v>STC11102B</v>
          </cell>
          <cell r="Q14637" t="str">
            <v>磁性位置传感器</v>
          </cell>
        </row>
        <row r="14638">
          <cell r="O14638" t="str">
            <v>ZH639D0JT</v>
          </cell>
          <cell r="P14638" t="str">
            <v xml:space="preserve"> </v>
          </cell>
          <cell r="Q14638" t="str">
            <v>电机驱动</v>
          </cell>
        </row>
        <row r="14639">
          <cell r="O14639" t="str">
            <v>SC9641TS-PC-TR-Q</v>
          </cell>
          <cell r="P14639" t="str">
            <v>STC9A001I</v>
          </cell>
          <cell r="Q14639" t="str">
            <v>速度传感器</v>
          </cell>
        </row>
        <row r="14640">
          <cell r="O14640" t="str">
            <v>SC9641TS-PC-TR-Q</v>
          </cell>
          <cell r="P14640" t="str">
            <v>STC9A001I</v>
          </cell>
          <cell r="Q14640" t="str">
            <v>速度传感器</v>
          </cell>
        </row>
        <row r="14641">
          <cell r="O14641" t="str">
            <v>SC25270SO6</v>
          </cell>
          <cell r="P14641" t="str">
            <v>STC11131A</v>
          </cell>
          <cell r="Q14641" t="str">
            <v>磁性位置传感器</v>
          </cell>
        </row>
        <row r="14642">
          <cell r="O14642" t="str">
            <v>SC2442UA-BK-Q</v>
          </cell>
          <cell r="P14642" t="str">
            <v>STC11102B</v>
          </cell>
          <cell r="Q14642" t="str">
            <v>磁性位置传感器</v>
          </cell>
        </row>
        <row r="14643">
          <cell r="O14643" t="str">
            <v>SC2436SO-TR</v>
          </cell>
          <cell r="P14643" t="str">
            <v>STC9906M</v>
          </cell>
          <cell r="Q14643" t="str">
            <v>磁性位置传感器</v>
          </cell>
        </row>
        <row r="14644">
          <cell r="O14644" t="str">
            <v>SC2436SO-TR</v>
          </cell>
          <cell r="P14644" t="str">
            <v>STC9906M</v>
          </cell>
          <cell r="Q14644" t="str">
            <v>磁性位置传感器</v>
          </cell>
        </row>
        <row r="14645">
          <cell r="O14645" t="str">
            <v>SC2436SO-TR</v>
          </cell>
          <cell r="P14645" t="str">
            <v>STC9906M</v>
          </cell>
          <cell r="Q14645" t="str">
            <v>磁性位置传感器</v>
          </cell>
        </row>
        <row r="14646">
          <cell r="O14646" t="str">
            <v>SC9625VB-BK</v>
          </cell>
          <cell r="P14646" t="str">
            <v>STC9910E</v>
          </cell>
          <cell r="Q14646" t="str">
            <v>速度传感器</v>
          </cell>
        </row>
        <row r="14647">
          <cell r="O14647" t="str">
            <v>SC4643VB-P</v>
          </cell>
          <cell r="P14647" t="str">
            <v>STC9D03E</v>
          </cell>
          <cell r="Q14647" t="str">
            <v>电流传感器</v>
          </cell>
        </row>
        <row r="14648">
          <cell r="O14648" t="str">
            <v>SC9642TS-EC-TR-Q</v>
          </cell>
          <cell r="P14648" t="str">
            <v>STC9A001H</v>
          </cell>
          <cell r="Q14648" t="str">
            <v>速度传感器</v>
          </cell>
        </row>
        <row r="14649">
          <cell r="O14649" t="str">
            <v>SC9642TS-EC-TR-Q</v>
          </cell>
          <cell r="P14649" t="str">
            <v>STC9A001H</v>
          </cell>
          <cell r="Q14649" t="str">
            <v>速度传感器</v>
          </cell>
        </row>
        <row r="14650">
          <cell r="O14650" t="str">
            <v>SC9642TS-EC-TR-Q</v>
          </cell>
          <cell r="P14650" t="str">
            <v>STC9A001H</v>
          </cell>
          <cell r="Q14650" t="str">
            <v>速度传感器</v>
          </cell>
        </row>
        <row r="14651">
          <cell r="O14651" t="str">
            <v>SC9642TS-EC-TR-Q</v>
          </cell>
          <cell r="P14651" t="str">
            <v>STC9A001H</v>
          </cell>
          <cell r="Q14651" t="str">
            <v>速度传感器</v>
          </cell>
        </row>
        <row r="14652">
          <cell r="O14652" t="str">
            <v>SC9641TS-PC-TR-Q</v>
          </cell>
          <cell r="P14652" t="str">
            <v>STC9A001I</v>
          </cell>
          <cell r="Q14652" t="str">
            <v>速度传感器</v>
          </cell>
        </row>
        <row r="14653">
          <cell r="O14653" t="str">
            <v>SC9641TS-PC-TR-Q</v>
          </cell>
          <cell r="P14653" t="str">
            <v>STC9A001I</v>
          </cell>
          <cell r="Q14653" t="str">
            <v>速度传感器</v>
          </cell>
        </row>
        <row r="14654">
          <cell r="O14654" t="str">
            <v>SC9641TS-PC-TR-Q</v>
          </cell>
          <cell r="P14654" t="str">
            <v>STC9A001I</v>
          </cell>
          <cell r="Q14654" t="str">
            <v>速度传感器</v>
          </cell>
        </row>
        <row r="14655">
          <cell r="O14655" t="str">
            <v>SC9641TS-PC-TR-Q</v>
          </cell>
          <cell r="P14655" t="str">
            <v>STC9A001I</v>
          </cell>
          <cell r="Q14655" t="str">
            <v>速度传感器</v>
          </cell>
        </row>
        <row r="14656">
          <cell r="O14656" t="str">
            <v>SC9641TS-PC-TR-Q</v>
          </cell>
          <cell r="P14656" t="str">
            <v>STC9A001I</v>
          </cell>
          <cell r="Q14656" t="str">
            <v>速度传感器</v>
          </cell>
        </row>
        <row r="14657">
          <cell r="O14657" t="str">
            <v>SC9641TS-PC-TR-Q</v>
          </cell>
          <cell r="P14657" t="str">
            <v>STC9A001I</v>
          </cell>
          <cell r="Q14657" t="str">
            <v>速度传感器</v>
          </cell>
        </row>
        <row r="14658">
          <cell r="O14658" t="str">
            <v>SC9641TS-PC-TR-Q</v>
          </cell>
          <cell r="P14658" t="str">
            <v>STC9A001I</v>
          </cell>
          <cell r="Q14658" t="str">
            <v>速度传感器</v>
          </cell>
        </row>
        <row r="14659">
          <cell r="O14659" t="str">
            <v>SC9641TS-PC-TR-Q</v>
          </cell>
          <cell r="P14659" t="str">
            <v>STC9A001I</v>
          </cell>
          <cell r="Q14659" t="str">
            <v>速度传感器</v>
          </cell>
        </row>
        <row r="14660">
          <cell r="O14660" t="str">
            <v>SC9641TS-PC-TR-Q</v>
          </cell>
          <cell r="P14660" t="str">
            <v>STC9A001I</v>
          </cell>
          <cell r="Q14660" t="str">
            <v>速度传感器</v>
          </cell>
        </row>
        <row r="14661">
          <cell r="O14661" t="str">
            <v>SC2443UA</v>
          </cell>
          <cell r="P14661" t="str">
            <v>STC9906W</v>
          </cell>
          <cell r="Q14661" t="str">
            <v>磁性位置传感器</v>
          </cell>
        </row>
        <row r="14662">
          <cell r="O14662" t="str">
            <v>SC2443UA</v>
          </cell>
          <cell r="P14662" t="str">
            <v>STC9906W</v>
          </cell>
          <cell r="Q14662" t="str">
            <v>磁性位置传感器</v>
          </cell>
        </row>
        <row r="14663">
          <cell r="O14663" t="str">
            <v>SC2443UA</v>
          </cell>
          <cell r="P14663" t="str">
            <v>STC9906W</v>
          </cell>
          <cell r="Q14663" t="str">
            <v>磁性位置传感器</v>
          </cell>
        </row>
        <row r="14664">
          <cell r="O14664" t="str">
            <v>SC2443UA</v>
          </cell>
          <cell r="P14664" t="str">
            <v>STC9906W</v>
          </cell>
          <cell r="Q14664" t="str">
            <v>磁性位置传感器</v>
          </cell>
        </row>
        <row r="14665">
          <cell r="O14665" t="str">
            <v>SC2443UA</v>
          </cell>
          <cell r="P14665" t="str">
            <v>STC9906W</v>
          </cell>
          <cell r="Q14665" t="str">
            <v>磁性位置传感器</v>
          </cell>
        </row>
        <row r="14666">
          <cell r="O14666" t="str">
            <v>SC69401D</v>
          </cell>
          <cell r="P14666" t="str">
            <v>STC9H002DQ</v>
          </cell>
          <cell r="Q14666" t="str">
            <v>角度传感器</v>
          </cell>
        </row>
        <row r="14667">
          <cell r="O14667" t="str">
            <v>SC1134S1-BK</v>
          </cell>
          <cell r="P14667" t="str">
            <v>STC1898AI</v>
          </cell>
          <cell r="Q14667" t="str">
            <v>磁性位置传感器</v>
          </cell>
        </row>
        <row r="14668">
          <cell r="O14668" t="str">
            <v>SC1134S1-BK</v>
          </cell>
          <cell r="P14668" t="str">
            <v>STC1898AI</v>
          </cell>
          <cell r="Q14668" t="str">
            <v>磁性位置传感器</v>
          </cell>
        </row>
        <row r="14669">
          <cell r="O14669" t="str">
            <v>SC1445S2-BK</v>
          </cell>
          <cell r="P14669" t="str">
            <v>STC2899AB</v>
          </cell>
          <cell r="Q14669" t="str">
            <v>磁性位置传感器</v>
          </cell>
        </row>
        <row r="14670">
          <cell r="O14670" t="str">
            <v>SC1445S2-BK</v>
          </cell>
          <cell r="P14670" t="str">
            <v>STC2899AB</v>
          </cell>
          <cell r="Q14670" t="str">
            <v>磁性位置传感器</v>
          </cell>
        </row>
        <row r="14671">
          <cell r="O14671" t="str">
            <v>SC1445S2-BK</v>
          </cell>
          <cell r="P14671" t="str">
            <v>STC2899AB</v>
          </cell>
          <cell r="Q14671" t="str">
            <v>磁性位置传感器</v>
          </cell>
        </row>
        <row r="14672">
          <cell r="O14672" t="str">
            <v>SC2498SO</v>
          </cell>
          <cell r="P14672" t="str">
            <v>SC9915C</v>
          </cell>
          <cell r="Q14672" t="str">
            <v>磁性位置传感器</v>
          </cell>
        </row>
        <row r="14673">
          <cell r="O14673" t="str">
            <v>SC2498SO</v>
          </cell>
          <cell r="P14673" t="str">
            <v>SC9915C</v>
          </cell>
          <cell r="Q14673" t="str">
            <v>磁性位置传感器</v>
          </cell>
        </row>
        <row r="14674">
          <cell r="O14674" t="str">
            <v>SC2498SO</v>
          </cell>
          <cell r="P14674" t="str">
            <v>SC9915C</v>
          </cell>
          <cell r="Q14674" t="str">
            <v>磁性位置传感器</v>
          </cell>
        </row>
        <row r="14675">
          <cell r="O14675" t="str">
            <v>SC2498SO</v>
          </cell>
          <cell r="P14675" t="str">
            <v>SC9915C</v>
          </cell>
          <cell r="Q14675" t="str">
            <v>磁性位置传感器</v>
          </cell>
        </row>
        <row r="14676">
          <cell r="O14676" t="str">
            <v>SC2498SO</v>
          </cell>
          <cell r="P14676" t="str">
            <v>SC9915C</v>
          </cell>
          <cell r="Q14676" t="str">
            <v>磁性位置传感器</v>
          </cell>
        </row>
        <row r="14677">
          <cell r="O14677" t="str">
            <v>SC2498SO</v>
          </cell>
          <cell r="P14677" t="str">
            <v>SC9915C</v>
          </cell>
          <cell r="Q14677" t="str">
            <v>磁性位置传感器</v>
          </cell>
        </row>
        <row r="14678">
          <cell r="O14678" t="str">
            <v>SC2498SO</v>
          </cell>
          <cell r="P14678" t="str">
            <v>SC9915C</v>
          </cell>
          <cell r="Q14678" t="str">
            <v>磁性位置传感器</v>
          </cell>
        </row>
        <row r="14679">
          <cell r="O14679" t="str">
            <v>SC2498SO</v>
          </cell>
          <cell r="P14679" t="str">
            <v>SC9915C</v>
          </cell>
          <cell r="Q14679" t="str">
            <v>磁性位置传感器</v>
          </cell>
        </row>
        <row r="14680">
          <cell r="O14680" t="str">
            <v>SC2498SO</v>
          </cell>
          <cell r="P14680" t="str">
            <v>SC9915C</v>
          </cell>
          <cell r="Q14680" t="str">
            <v>磁性位置传感器</v>
          </cell>
        </row>
        <row r="14681">
          <cell r="O14681" t="str">
            <v>SC2498SO</v>
          </cell>
          <cell r="P14681" t="str">
            <v>SC9915C</v>
          </cell>
          <cell r="Q14681" t="str">
            <v>磁性位置传感器</v>
          </cell>
        </row>
        <row r="14682">
          <cell r="O14682" t="str">
            <v>SC2498SO</v>
          </cell>
          <cell r="P14682" t="str">
            <v>SC9915C</v>
          </cell>
          <cell r="Q14682" t="str">
            <v>磁性位置传感器</v>
          </cell>
        </row>
        <row r="14683">
          <cell r="O14683" t="str">
            <v>SC2498SO</v>
          </cell>
          <cell r="P14683" t="str">
            <v>SC9915C</v>
          </cell>
          <cell r="Q14683" t="str">
            <v>磁性位置传感器</v>
          </cell>
        </row>
        <row r="14684">
          <cell r="O14684" t="str">
            <v>SC2498SO</v>
          </cell>
          <cell r="P14684" t="str">
            <v>SC9915C</v>
          </cell>
          <cell r="Q14684" t="str">
            <v>磁性位置传感器</v>
          </cell>
        </row>
        <row r="14685">
          <cell r="O14685" t="str">
            <v>SC2498SO</v>
          </cell>
          <cell r="P14685" t="str">
            <v>SC9915C</v>
          </cell>
          <cell r="Q14685" t="str">
            <v>磁性位置传感器</v>
          </cell>
        </row>
        <row r="14686">
          <cell r="O14686" t="str">
            <v>SC2498SO</v>
          </cell>
          <cell r="P14686" t="str">
            <v>SC9915C</v>
          </cell>
          <cell r="Q14686" t="str">
            <v>磁性位置传感器</v>
          </cell>
        </row>
        <row r="14687">
          <cell r="O14687" t="str">
            <v>SC2498SO</v>
          </cell>
          <cell r="P14687" t="str">
            <v>SC9915C</v>
          </cell>
          <cell r="Q14687" t="str">
            <v>磁性位置传感器</v>
          </cell>
        </row>
        <row r="14688">
          <cell r="O14688" t="str">
            <v>SC2498SO</v>
          </cell>
          <cell r="P14688" t="str">
            <v>SC9915C</v>
          </cell>
          <cell r="Q14688" t="str">
            <v>磁性位置传感器</v>
          </cell>
        </row>
        <row r="14689">
          <cell r="O14689" t="str">
            <v>SC2498SO</v>
          </cell>
          <cell r="P14689" t="str">
            <v>SC9915C</v>
          </cell>
          <cell r="Q14689" t="str">
            <v>磁性位置传感器</v>
          </cell>
        </row>
        <row r="14690">
          <cell r="O14690" t="str">
            <v>SC2498SO</v>
          </cell>
          <cell r="P14690" t="str">
            <v>SC9915C</v>
          </cell>
          <cell r="Q14690" t="str">
            <v>磁性位置传感器</v>
          </cell>
        </row>
        <row r="14691">
          <cell r="O14691" t="str">
            <v>SC2498SO</v>
          </cell>
          <cell r="P14691" t="str">
            <v>SC9915C</v>
          </cell>
          <cell r="Q14691" t="str">
            <v>磁性位置传感器</v>
          </cell>
        </row>
        <row r="14692">
          <cell r="O14692" t="str">
            <v>SC2498SO</v>
          </cell>
          <cell r="P14692" t="str">
            <v>SC9915C</v>
          </cell>
          <cell r="Q14692" t="str">
            <v>磁性位置传感器</v>
          </cell>
        </row>
        <row r="14693">
          <cell r="O14693" t="str">
            <v>SC2498SO</v>
          </cell>
          <cell r="P14693" t="str">
            <v>SC9915C</v>
          </cell>
          <cell r="Q14693" t="str">
            <v>磁性位置传感器</v>
          </cell>
        </row>
        <row r="14694">
          <cell r="O14694" t="str">
            <v>SC2498SO</v>
          </cell>
          <cell r="P14694" t="str">
            <v>SC9915C</v>
          </cell>
          <cell r="Q14694" t="str">
            <v>磁性位置传感器</v>
          </cell>
        </row>
        <row r="14695">
          <cell r="O14695" t="str">
            <v>SC2498SO</v>
          </cell>
          <cell r="P14695" t="str">
            <v>SC9915C</v>
          </cell>
          <cell r="Q14695" t="str">
            <v>磁性位置传感器</v>
          </cell>
        </row>
        <row r="14696">
          <cell r="O14696" t="str">
            <v>SC2498SO</v>
          </cell>
          <cell r="P14696" t="str">
            <v>SC9915C</v>
          </cell>
          <cell r="Q14696" t="str">
            <v>磁性位置传感器</v>
          </cell>
        </row>
        <row r="14697">
          <cell r="O14697" t="str">
            <v>SC2498TSO</v>
          </cell>
          <cell r="P14697" t="str">
            <v>STC11300C</v>
          </cell>
          <cell r="Q14697" t="str">
            <v>磁性位置传感器</v>
          </cell>
        </row>
        <row r="14698">
          <cell r="O14698" t="str">
            <v>SC2448SO</v>
          </cell>
          <cell r="P14698" t="str">
            <v>STC11102B</v>
          </cell>
          <cell r="Q14698" t="str">
            <v>磁性位置传感器</v>
          </cell>
        </row>
        <row r="14699">
          <cell r="O14699" t="str">
            <v>SC2448SO</v>
          </cell>
          <cell r="P14699" t="str">
            <v>STC11102B</v>
          </cell>
          <cell r="Q14699" t="str">
            <v>磁性位置传感器</v>
          </cell>
        </row>
        <row r="14700">
          <cell r="O14700" t="str">
            <v>SC2448SO-TR-Q</v>
          </cell>
          <cell r="P14700" t="str">
            <v>STC9906S</v>
          </cell>
          <cell r="Q14700" t="str">
            <v>磁性位置传感器</v>
          </cell>
        </row>
        <row r="14701">
          <cell r="O14701" t="str">
            <v>SC2448SO-TR-Q</v>
          </cell>
          <cell r="P14701" t="str">
            <v>STC9906S</v>
          </cell>
          <cell r="Q14701" t="str">
            <v>磁性位置传感器</v>
          </cell>
        </row>
        <row r="14702">
          <cell r="O14702" t="str">
            <v>SC2442SO-TR-Q</v>
          </cell>
          <cell r="P14702" t="str">
            <v>STC11102B</v>
          </cell>
          <cell r="Q14702" t="str">
            <v>磁性位置传感器</v>
          </cell>
        </row>
        <row r="14703">
          <cell r="O14703" t="str">
            <v>STC1009C</v>
          </cell>
          <cell r="P14703" t="str">
            <v>STC1009C</v>
          </cell>
          <cell r="Q14703" t="str">
            <v>磁性位置传感器</v>
          </cell>
        </row>
        <row r="14704">
          <cell r="O14704" t="str">
            <v>SC9641TS-PC-TR-Q</v>
          </cell>
          <cell r="P14704" t="str">
            <v>STC9A001I</v>
          </cell>
          <cell r="Q14704" t="str">
            <v>速度传感器</v>
          </cell>
        </row>
        <row r="14705">
          <cell r="O14705" t="str">
            <v>SC9641TS-PC-TR-Q</v>
          </cell>
          <cell r="P14705" t="str">
            <v>STC9A001I</v>
          </cell>
          <cell r="Q14705" t="str">
            <v>速度传感器</v>
          </cell>
        </row>
        <row r="14706">
          <cell r="O14706" t="str">
            <v>SC9641TS-PC-TR-Q</v>
          </cell>
          <cell r="P14706" t="str">
            <v>STC9A001I</v>
          </cell>
          <cell r="Q14706" t="str">
            <v>速度传感器</v>
          </cell>
        </row>
        <row r="14707">
          <cell r="O14707" t="str">
            <v>SC9641TS-PC-TR-Q</v>
          </cell>
          <cell r="P14707" t="str">
            <v>STC9A001I</v>
          </cell>
          <cell r="Q14707" t="str">
            <v>速度传感器</v>
          </cell>
        </row>
        <row r="14708">
          <cell r="O14708" t="str">
            <v>SC9641TS-PC-TR-Q</v>
          </cell>
          <cell r="P14708" t="str">
            <v>STC9A001I</v>
          </cell>
          <cell r="Q14708" t="str">
            <v>速度传感器</v>
          </cell>
        </row>
        <row r="14709">
          <cell r="O14709" t="str">
            <v>SC9641TS-PC-TR-Q</v>
          </cell>
          <cell r="P14709" t="str">
            <v>STC9A001I</v>
          </cell>
          <cell r="Q14709" t="str">
            <v>速度传感器</v>
          </cell>
        </row>
        <row r="14710">
          <cell r="O14710" t="str">
            <v>SC9642TS</v>
          </cell>
          <cell r="P14710" t="str">
            <v>STC9A001G</v>
          </cell>
          <cell r="Q14710" t="str">
            <v>速度传感器</v>
          </cell>
        </row>
        <row r="14711">
          <cell r="O14711" t="str">
            <v>SC9642TS</v>
          </cell>
          <cell r="P14711" t="str">
            <v>STC9A001G</v>
          </cell>
          <cell r="Q14711" t="str">
            <v>速度传感器</v>
          </cell>
        </row>
        <row r="14712">
          <cell r="O14712" t="str">
            <v>SC9642TS</v>
          </cell>
          <cell r="P14712" t="str">
            <v>STC9A001G</v>
          </cell>
          <cell r="Q14712" t="str">
            <v>速度传感器</v>
          </cell>
        </row>
        <row r="14713">
          <cell r="O14713" t="str">
            <v>SC9642TS</v>
          </cell>
          <cell r="P14713" t="str">
            <v>STC9A001G</v>
          </cell>
          <cell r="Q14713" t="str">
            <v>速度传感器</v>
          </cell>
        </row>
        <row r="14714">
          <cell r="O14714" t="str">
            <v>SC9641TS-TR-Q</v>
          </cell>
          <cell r="P14714" t="str">
            <v>STC9910BN</v>
          </cell>
          <cell r="Q14714" t="str">
            <v>速度传感器</v>
          </cell>
        </row>
        <row r="14715">
          <cell r="O14715" t="str">
            <v>SC9641TS-TR-Q</v>
          </cell>
          <cell r="P14715" t="str">
            <v>STC9910BN</v>
          </cell>
          <cell r="Q14715" t="str">
            <v>速度传感器</v>
          </cell>
        </row>
        <row r="14716">
          <cell r="O14716" t="str">
            <v>SC9641TS-TR-Q</v>
          </cell>
          <cell r="P14716" t="str">
            <v>STC9910BN</v>
          </cell>
          <cell r="Q14716" t="str">
            <v>速度传感器</v>
          </cell>
        </row>
        <row r="14717">
          <cell r="O14717" t="str">
            <v>SC9641TS-TR-Q</v>
          </cell>
          <cell r="P14717" t="str">
            <v>STC9910BN</v>
          </cell>
          <cell r="Q14717" t="str">
            <v>速度传感器</v>
          </cell>
        </row>
        <row r="14718">
          <cell r="O14718" t="str">
            <v>SC9641TS-TR-Q</v>
          </cell>
          <cell r="P14718" t="str">
            <v>STC9910BN</v>
          </cell>
          <cell r="Q14718" t="str">
            <v>速度传感器</v>
          </cell>
        </row>
        <row r="14719">
          <cell r="O14719" t="str">
            <v>SC9641TS-TR-Q</v>
          </cell>
          <cell r="P14719" t="str">
            <v>STC9910BN</v>
          </cell>
          <cell r="Q14719" t="str">
            <v>速度传感器</v>
          </cell>
        </row>
        <row r="14720">
          <cell r="O14720" t="str">
            <v>SC4643VB</v>
          </cell>
          <cell r="P14720" t="str">
            <v>STC9D03E</v>
          </cell>
          <cell r="Q14720" t="str">
            <v>电流传感器</v>
          </cell>
        </row>
        <row r="14721">
          <cell r="O14721" t="str">
            <v>SC60340</v>
          </cell>
          <cell r="P14721" t="str">
            <v>STC9D05C</v>
          </cell>
          <cell r="Q14721" t="str">
            <v>电机编码器</v>
          </cell>
        </row>
        <row r="14722">
          <cell r="O14722" t="str">
            <v>SC1445A1</v>
          </cell>
          <cell r="P14722" t="str">
            <v>STC2899AB</v>
          </cell>
          <cell r="Q14722" t="str">
            <v>磁性位置传感器</v>
          </cell>
        </row>
        <row r="14723">
          <cell r="O14723" t="str">
            <v>SD477VB-BK</v>
          </cell>
          <cell r="P14723" t="str">
            <v>STC22304C</v>
          </cell>
          <cell r="Q14723" t="str">
            <v>电机驱动</v>
          </cell>
        </row>
        <row r="14724">
          <cell r="O14724" t="str">
            <v>SC1645B1</v>
          </cell>
          <cell r="P14724" t="str">
            <v>STC2899AE</v>
          </cell>
          <cell r="Q14724" t="str">
            <v>磁性位置传感器</v>
          </cell>
        </row>
        <row r="14725">
          <cell r="O14725" t="str">
            <v>SC1645B1</v>
          </cell>
          <cell r="P14725" t="str">
            <v>STC2899AE</v>
          </cell>
          <cell r="Q14725" t="str">
            <v>磁性位置传感器</v>
          </cell>
        </row>
        <row r="14726">
          <cell r="O14726" t="str">
            <v>SC2402UA-BK</v>
          </cell>
          <cell r="P14726" t="str">
            <v>STC9902J</v>
          </cell>
          <cell r="Q14726" t="str">
            <v>磁性位置传感器</v>
          </cell>
        </row>
        <row r="14727">
          <cell r="O14727" t="str">
            <v>SC2402UA-BK</v>
          </cell>
          <cell r="P14727" t="str">
            <v>STC9902J</v>
          </cell>
          <cell r="Q14727" t="str">
            <v>磁性位置传感器</v>
          </cell>
        </row>
        <row r="14728">
          <cell r="O14728" t="str">
            <v>SC2402UA-BK</v>
          </cell>
          <cell r="P14728" t="str">
            <v>STC9902J</v>
          </cell>
          <cell r="Q14728" t="str">
            <v>磁性位置传感器</v>
          </cell>
        </row>
        <row r="14729">
          <cell r="O14729" t="str">
            <v>SC4688SA</v>
          </cell>
          <cell r="P14729" t="str">
            <v>STC9D01C</v>
          </cell>
          <cell r="Q14729" t="str">
            <v>角度传感器</v>
          </cell>
        </row>
        <row r="14730">
          <cell r="O14730" t="str">
            <v>SC4688SA</v>
          </cell>
          <cell r="P14730" t="str">
            <v>STC9D01C</v>
          </cell>
          <cell r="Q14730" t="str">
            <v>角度传感器</v>
          </cell>
        </row>
        <row r="14731">
          <cell r="O14731" t="str">
            <v>SC4688SA</v>
          </cell>
          <cell r="P14731" t="str">
            <v>STC9D01C</v>
          </cell>
          <cell r="Q14731" t="str">
            <v>角度传感器</v>
          </cell>
        </row>
        <row r="14732">
          <cell r="O14732" t="str">
            <v>SC9632VB-BK</v>
          </cell>
          <cell r="P14732" t="str">
            <v>STC9905E</v>
          </cell>
          <cell r="Q14732" t="str">
            <v>速度传感器</v>
          </cell>
        </row>
        <row r="14733">
          <cell r="O14733" t="str">
            <v>SC2448SO</v>
          </cell>
          <cell r="P14733" t="str">
            <v>STC9906S</v>
          </cell>
          <cell r="Q14733" t="str">
            <v>磁性位置传感器</v>
          </cell>
        </row>
        <row r="14734">
          <cell r="O14734" t="str">
            <v>SC2448SO</v>
          </cell>
          <cell r="P14734" t="str">
            <v>STC9906S</v>
          </cell>
          <cell r="Q14734" t="str">
            <v>磁性位置传感器</v>
          </cell>
        </row>
        <row r="14735">
          <cell r="O14735" t="str">
            <v>SC2448SO</v>
          </cell>
          <cell r="P14735" t="str">
            <v>STC9906S</v>
          </cell>
          <cell r="Q14735" t="str">
            <v>磁性位置传感器</v>
          </cell>
        </row>
        <row r="14736">
          <cell r="O14736" t="str">
            <v>SYLMV324BPD2R</v>
          </cell>
          <cell r="P14736" t="str">
            <v>STC9G003B</v>
          </cell>
          <cell r="Q14736" t="str">
            <v>其他数模混合</v>
          </cell>
        </row>
        <row r="14737">
          <cell r="O14737" t="str">
            <v>SYLMV324BPD2R</v>
          </cell>
          <cell r="P14737" t="str">
            <v>STC9G003B</v>
          </cell>
          <cell r="Q14737" t="str">
            <v>其他数模混合</v>
          </cell>
        </row>
        <row r="14738">
          <cell r="O14738" t="str">
            <v>SYLMV324BPD2R</v>
          </cell>
          <cell r="P14738" t="str">
            <v>STC9G003B</v>
          </cell>
          <cell r="Q14738" t="str">
            <v>其他数模混合</v>
          </cell>
        </row>
        <row r="14739">
          <cell r="O14739" t="str">
            <v>SC4643编程器</v>
          </cell>
          <cell r="P14739" t="str">
            <v xml:space="preserve"> </v>
          </cell>
          <cell r="Q14739" t="str">
            <v>电流传感器</v>
          </cell>
        </row>
        <row r="14740">
          <cell r="O14740" t="str">
            <v>SC4103DN</v>
          </cell>
          <cell r="P14740" t="str">
            <v>STC11201B</v>
          </cell>
          <cell r="Q14740" t="str">
            <v>磁性位置传感器</v>
          </cell>
        </row>
        <row r="14741">
          <cell r="O14741" t="str">
            <v>SC4101DN</v>
          </cell>
          <cell r="P14741" t="str">
            <v>STC11201B</v>
          </cell>
          <cell r="Q14741" t="str">
            <v>磁性位置传感器</v>
          </cell>
        </row>
        <row r="14742">
          <cell r="O14742" t="str">
            <v>SC2546VB</v>
          </cell>
          <cell r="P14742" t="str">
            <v>STC9906H</v>
          </cell>
          <cell r="Q14742" t="str">
            <v>磁性位置传感器</v>
          </cell>
        </row>
        <row r="14743">
          <cell r="O14743" t="str">
            <v>SC69401</v>
          </cell>
          <cell r="P14743" t="str">
            <v>STC9H002D</v>
          </cell>
          <cell r="Q14743" t="str">
            <v>角度传感器</v>
          </cell>
        </row>
        <row r="14744">
          <cell r="O14744" t="str">
            <v>SC4011SO-N</v>
          </cell>
          <cell r="P14744" t="str">
            <v>STC4011B</v>
          </cell>
          <cell r="Q14744" t="str">
            <v>磁性位置传感器</v>
          </cell>
        </row>
        <row r="14745">
          <cell r="O14745" t="str">
            <v>SC9642TS-E</v>
          </cell>
          <cell r="P14745" t="str">
            <v>STC9A001H</v>
          </cell>
          <cell r="Q14745" t="str">
            <v>速度传感器</v>
          </cell>
        </row>
        <row r="14746">
          <cell r="O14746" t="str">
            <v>SL54123APA1R</v>
          </cell>
          <cell r="P14746" t="str">
            <v>STC16100B</v>
          </cell>
          <cell r="Q14746" t="str">
            <v>电流传感器</v>
          </cell>
        </row>
        <row r="14747">
          <cell r="O14747" t="str">
            <v>SC9641TS-P</v>
          </cell>
          <cell r="P14747" t="str">
            <v>STC9A001I</v>
          </cell>
          <cell r="Q14747" t="str">
            <v>速度传感器</v>
          </cell>
        </row>
        <row r="14748">
          <cell r="O14748" t="str">
            <v>SC2498TSO</v>
          </cell>
          <cell r="P14748" t="str">
            <v>STC11300C</v>
          </cell>
          <cell r="Q14748" t="str">
            <v>磁性位置传感器</v>
          </cell>
        </row>
        <row r="14749">
          <cell r="O14749" t="str">
            <v>SC25891SE-A</v>
          </cell>
          <cell r="P14749" t="str">
            <v>STC11210G-Q</v>
          </cell>
          <cell r="Q14749" t="str">
            <v>磁性位置传感器</v>
          </cell>
        </row>
        <row r="14750">
          <cell r="O14750" t="str">
            <v>SC4643VB-P</v>
          </cell>
          <cell r="P14750" t="str">
            <v>STC9D03E</v>
          </cell>
          <cell r="Q14750" t="str">
            <v>电流传感器</v>
          </cell>
        </row>
        <row r="14751">
          <cell r="O14751" t="str">
            <v>SC4688SA-A</v>
          </cell>
          <cell r="P14751" t="str">
            <v>STC9D01C</v>
          </cell>
          <cell r="Q14751" t="str">
            <v>角度传感器</v>
          </cell>
        </row>
        <row r="14752">
          <cell r="O14752" t="str">
            <v>SC4101DN</v>
          </cell>
          <cell r="P14752" t="str">
            <v>STC11201B</v>
          </cell>
          <cell r="Q14752" t="str">
            <v>磁性位置传感器</v>
          </cell>
        </row>
        <row r="14753">
          <cell r="O14753" t="str">
            <v>SC2402SO-N</v>
          </cell>
          <cell r="P14753" t="str">
            <v>STC9G002A</v>
          </cell>
          <cell r="Q14753" t="str">
            <v>磁性位置传感器</v>
          </cell>
        </row>
        <row r="14754">
          <cell r="O14754" t="str">
            <v>SC2402SO-N</v>
          </cell>
          <cell r="P14754" t="str">
            <v>STC9G002A</v>
          </cell>
          <cell r="Q14754" t="str">
            <v>磁性位置传感器</v>
          </cell>
        </row>
        <row r="14755">
          <cell r="O14755" t="str">
            <v>SC4104DN</v>
          </cell>
          <cell r="P14755" t="str">
            <v>STC11201B</v>
          </cell>
          <cell r="Q14755" t="str">
            <v>磁性位置传感器</v>
          </cell>
        </row>
        <row r="14756">
          <cell r="O14756" t="str">
            <v>SC2402DN</v>
          </cell>
          <cell r="P14756" t="str">
            <v>STC9G002B</v>
          </cell>
          <cell r="Q14756" t="str">
            <v>磁性位置传感器</v>
          </cell>
        </row>
        <row r="14757">
          <cell r="O14757" t="str">
            <v>SC4103DN</v>
          </cell>
          <cell r="P14757" t="str">
            <v>STC11201B</v>
          </cell>
          <cell r="Q14757" t="str">
            <v>磁性位置传感器</v>
          </cell>
        </row>
        <row r="14758">
          <cell r="O14758" t="str">
            <v>SC4102DN</v>
          </cell>
          <cell r="P14758" t="str">
            <v>STC11201B</v>
          </cell>
          <cell r="Q14758" t="str">
            <v>磁性位置传感器</v>
          </cell>
        </row>
        <row r="14759">
          <cell r="O14759" t="str">
            <v>SC2442SO-N</v>
          </cell>
          <cell r="P14759" t="str">
            <v>STC11102B</v>
          </cell>
          <cell r="Q14759" t="str">
            <v>磁性位置传感器</v>
          </cell>
        </row>
        <row r="14760">
          <cell r="O14760" t="str">
            <v>SC2498SO</v>
          </cell>
          <cell r="P14760" t="str">
            <v>SC9915C</v>
          </cell>
          <cell r="Q14760" t="str">
            <v>磁性位置传感器</v>
          </cell>
        </row>
        <row r="14761">
          <cell r="O14761" t="str">
            <v>SC2033SO-N</v>
          </cell>
          <cell r="P14761" t="str">
            <v>STC9G001D</v>
          </cell>
          <cell r="Q14761" t="str">
            <v>磁性位置传感器</v>
          </cell>
        </row>
        <row r="14762">
          <cell r="O14762" t="str">
            <v>SC2063UA</v>
          </cell>
          <cell r="P14762" t="str">
            <v>STC9G001C</v>
          </cell>
          <cell r="Q14762" t="str">
            <v>磁性位置传感器</v>
          </cell>
        </row>
        <row r="14763">
          <cell r="O14763" t="str">
            <v>SC4002UA</v>
          </cell>
          <cell r="P14763" t="str">
            <v>STC4000AA</v>
          </cell>
          <cell r="Q14763" t="str">
            <v>磁性位置传感器</v>
          </cell>
        </row>
        <row r="14764">
          <cell r="O14764" t="str">
            <v>SC9625VB-L</v>
          </cell>
          <cell r="P14764" t="str">
            <v>STC9910E</v>
          </cell>
          <cell r="Q14764" t="str">
            <v>速度传感器</v>
          </cell>
        </row>
        <row r="14765">
          <cell r="O14765" t="str">
            <v>SC2063SO</v>
          </cell>
          <cell r="P14765" t="str">
            <v>STC9G001C</v>
          </cell>
          <cell r="Q14765" t="str">
            <v>磁性位置传感器</v>
          </cell>
        </row>
        <row r="14766">
          <cell r="O14766" t="str">
            <v>SC2063SO</v>
          </cell>
          <cell r="P14766" t="str">
            <v>STC9G001C</v>
          </cell>
          <cell r="Q14766" t="str">
            <v>磁性位置传感器</v>
          </cell>
        </row>
        <row r="14767">
          <cell r="O14767" t="str">
            <v>SC4616UA-10NV</v>
          </cell>
          <cell r="P14767" t="str">
            <v>STC9907D</v>
          </cell>
          <cell r="Q14767" t="str">
            <v>电流传感器</v>
          </cell>
        </row>
        <row r="14768">
          <cell r="O14768" t="str">
            <v>SC2448UA-N</v>
          </cell>
          <cell r="P14768" t="str">
            <v>STC9906S</v>
          </cell>
          <cell r="Q14768" t="str">
            <v>磁性位置传感器</v>
          </cell>
        </row>
        <row r="14769">
          <cell r="O14769" t="str">
            <v>SC9314UA</v>
          </cell>
          <cell r="P14769" t="str">
            <v>STC9901AF</v>
          </cell>
          <cell r="Q14769" t="str">
            <v>速度传感器</v>
          </cell>
        </row>
        <row r="14770">
          <cell r="O14770" t="str">
            <v>SC4645VB</v>
          </cell>
          <cell r="P14770" t="str">
            <v>STC9D06F</v>
          </cell>
          <cell r="Q14770" t="str">
            <v>电流传感器</v>
          </cell>
        </row>
        <row r="14771">
          <cell r="O14771" t="str">
            <v>SC2464UA</v>
          </cell>
          <cell r="P14771" t="str">
            <v>STC9906J</v>
          </cell>
          <cell r="Q14771" t="str">
            <v>磁性位置传感器</v>
          </cell>
        </row>
        <row r="14772">
          <cell r="O14772" t="str">
            <v>SC2242SO</v>
          </cell>
          <cell r="P14772" t="str">
            <v>STC9906H</v>
          </cell>
          <cell r="Q14772" t="str">
            <v>磁性位置传感器</v>
          </cell>
        </row>
        <row r="14773">
          <cell r="O14773" t="str">
            <v>SC2438SO</v>
          </cell>
          <cell r="P14773" t="str">
            <v>STC9906I</v>
          </cell>
          <cell r="Q14773" t="str">
            <v>磁性位置传感器</v>
          </cell>
        </row>
        <row r="14774">
          <cell r="O14774" t="str">
            <v>SC2242UA</v>
          </cell>
          <cell r="P14774" t="str">
            <v>STC9906H</v>
          </cell>
          <cell r="Q14774" t="str">
            <v>磁性位置传感器</v>
          </cell>
        </row>
        <row r="14775">
          <cell r="O14775" t="str">
            <v>SC2242UA</v>
          </cell>
          <cell r="P14775" t="str">
            <v>STC9906H</v>
          </cell>
          <cell r="Q14775" t="str">
            <v>磁性位置传感器</v>
          </cell>
        </row>
        <row r="14776">
          <cell r="O14776" t="str">
            <v>SC2242UA</v>
          </cell>
          <cell r="P14776" t="str">
            <v>STC9906H</v>
          </cell>
          <cell r="Q14776" t="str">
            <v>磁性位置传感器</v>
          </cell>
        </row>
        <row r="14777">
          <cell r="O14777" t="str">
            <v>SC2242UA</v>
          </cell>
          <cell r="P14777" t="str">
            <v>STC9906H</v>
          </cell>
          <cell r="Q14777" t="str">
            <v>磁性位置传感器</v>
          </cell>
        </row>
        <row r="14778">
          <cell r="O14778" t="str">
            <v>SC2242UA</v>
          </cell>
          <cell r="P14778" t="str">
            <v>STC9906H</v>
          </cell>
          <cell r="Q14778" t="str">
            <v>磁性位置传感器</v>
          </cell>
        </row>
        <row r="14779">
          <cell r="O14779" t="str">
            <v>SC2462SO</v>
          </cell>
          <cell r="P14779" t="str">
            <v>STC9906J</v>
          </cell>
          <cell r="Q14779" t="str">
            <v>磁性位置传感器</v>
          </cell>
        </row>
        <row r="14780">
          <cell r="O14780" t="str">
            <v>SC2462SO</v>
          </cell>
          <cell r="P14780" t="str">
            <v>STC9906J</v>
          </cell>
          <cell r="Q14780" t="str">
            <v>磁性位置传感器</v>
          </cell>
        </row>
        <row r="14781">
          <cell r="O14781" t="str">
            <v>SC1245SO-N</v>
          </cell>
          <cell r="P14781" t="str">
            <v>STC1898AD</v>
          </cell>
          <cell r="Q14781" t="str">
            <v>磁性位置传感器</v>
          </cell>
        </row>
        <row r="14782">
          <cell r="O14782" t="str">
            <v>SC2202SO-N</v>
          </cell>
          <cell r="P14782" t="str">
            <v>STC9902E</v>
          </cell>
          <cell r="Q14782" t="str">
            <v>磁性位置传感器</v>
          </cell>
        </row>
        <row r="14783">
          <cell r="O14783" t="str">
            <v>SC2202SO-N</v>
          </cell>
          <cell r="P14783" t="str">
            <v>STC9902E</v>
          </cell>
          <cell r="Q14783" t="str">
            <v>磁性位置传感器</v>
          </cell>
        </row>
        <row r="14784">
          <cell r="O14784" t="str">
            <v>SC2202SO-N</v>
          </cell>
          <cell r="P14784" t="str">
            <v>STC9902E</v>
          </cell>
          <cell r="Q14784" t="str">
            <v>磁性位置传感器</v>
          </cell>
        </row>
        <row r="14785">
          <cell r="O14785" t="str">
            <v>SC1138SO-N</v>
          </cell>
          <cell r="P14785" t="str">
            <v>STC1898AC</v>
          </cell>
          <cell r="Q14785" t="str">
            <v>磁性位置传感器</v>
          </cell>
        </row>
        <row r="14786">
          <cell r="O14786" t="str">
            <v>SC4001SE</v>
          </cell>
          <cell r="P14786" t="str">
            <v>STC4001AB</v>
          </cell>
          <cell r="Q14786" t="str">
            <v>磁性位置传感器</v>
          </cell>
        </row>
        <row r="14787">
          <cell r="O14787" t="str">
            <v>SC4001UA</v>
          </cell>
          <cell r="P14787" t="str">
            <v>STC4001AB</v>
          </cell>
          <cell r="Q14787" t="str">
            <v>磁性位置传感器</v>
          </cell>
        </row>
        <row r="14788">
          <cell r="O14788" t="str">
            <v>SC60228DC</v>
          </cell>
          <cell r="P14788" t="str">
            <v>STC9D04C</v>
          </cell>
          <cell r="Q14788" t="str">
            <v>电机编码器</v>
          </cell>
        </row>
        <row r="14789">
          <cell r="O14789" t="str">
            <v>SC2434SO-N</v>
          </cell>
          <cell r="P14789" t="str">
            <v>STC9906I</v>
          </cell>
          <cell r="Q14789" t="str">
            <v>磁性位置传感器</v>
          </cell>
        </row>
        <row r="14790">
          <cell r="O14790" t="str">
            <v>SC1245A1</v>
          </cell>
          <cell r="P14790" t="str">
            <v>STC1898AD</v>
          </cell>
          <cell r="Q14790" t="str">
            <v>磁性位置传感器</v>
          </cell>
        </row>
        <row r="14791">
          <cell r="O14791" t="str">
            <v>SC1134UA</v>
          </cell>
          <cell r="P14791" t="str">
            <v>STC1898AI</v>
          </cell>
          <cell r="Q14791" t="str">
            <v>磁性位置传感器</v>
          </cell>
        </row>
        <row r="14792">
          <cell r="O14792" t="str">
            <v>SC1134UA</v>
          </cell>
          <cell r="P14792" t="str">
            <v>STC1898AI</v>
          </cell>
          <cell r="Q14792" t="str">
            <v>磁性位置传感器</v>
          </cell>
        </row>
        <row r="14793">
          <cell r="O14793" t="str">
            <v>SC2202UA</v>
          </cell>
          <cell r="P14793" t="str">
            <v>STC9902E</v>
          </cell>
          <cell r="Q14793" t="str">
            <v>磁性位置传感器</v>
          </cell>
        </row>
        <row r="14794">
          <cell r="O14794" t="str">
            <v>SC2448SO</v>
          </cell>
          <cell r="P14794" t="str">
            <v>STC9906S</v>
          </cell>
          <cell r="Q14794" t="str">
            <v>磁性位置传感器</v>
          </cell>
        </row>
        <row r="14795">
          <cell r="O14795" t="str">
            <v>SC2436SO</v>
          </cell>
          <cell r="P14795" t="str">
            <v>STC9906M</v>
          </cell>
          <cell r="Q14795" t="str">
            <v>磁性位置传感器</v>
          </cell>
        </row>
        <row r="14796">
          <cell r="O14796" t="str">
            <v>SC2436SO</v>
          </cell>
          <cell r="P14796" t="str">
            <v>STC9906I</v>
          </cell>
          <cell r="Q14796" t="str">
            <v>磁性位置传感器</v>
          </cell>
        </row>
        <row r="14797">
          <cell r="O14797" t="str">
            <v>SC2402UA</v>
          </cell>
          <cell r="P14797" t="str">
            <v>STC9902J</v>
          </cell>
          <cell r="Q14797" t="str">
            <v>磁性位置传感器</v>
          </cell>
        </row>
        <row r="14798">
          <cell r="O14798" t="str">
            <v>SC1134SO-N</v>
          </cell>
          <cell r="P14798" t="str">
            <v>STC1002AF</v>
          </cell>
          <cell r="Q14798" t="str">
            <v>磁性位置传感器</v>
          </cell>
        </row>
        <row r="14799">
          <cell r="O14799" t="str">
            <v>SC1134SO-N</v>
          </cell>
          <cell r="P14799" t="str">
            <v>STC1898AI</v>
          </cell>
          <cell r="Q14799" t="str">
            <v>磁性位置传感器</v>
          </cell>
        </row>
        <row r="14800">
          <cell r="O14800" t="str">
            <v>SC1134SO-N</v>
          </cell>
          <cell r="P14800" t="str">
            <v>STC1898AI</v>
          </cell>
          <cell r="Q14800" t="str">
            <v>磁性位置传感器</v>
          </cell>
        </row>
        <row r="14801">
          <cell r="O14801" t="str">
            <v>SC2464SO</v>
          </cell>
          <cell r="P14801" t="str">
            <v>STC9906J</v>
          </cell>
          <cell r="Q14801" t="str">
            <v>磁性位置传感器</v>
          </cell>
        </row>
        <row r="14802">
          <cell r="O14802" t="str">
            <v>SC2442SO</v>
          </cell>
          <cell r="P14802" t="str">
            <v>STC9906R</v>
          </cell>
          <cell r="Q14802" t="str">
            <v>磁性位置传感器</v>
          </cell>
        </row>
        <row r="14803">
          <cell r="O14803" t="str">
            <v>SC2442UA</v>
          </cell>
          <cell r="P14803" t="str">
            <v>STC9906P</v>
          </cell>
          <cell r="Q14803" t="str">
            <v>磁性位置传感器</v>
          </cell>
        </row>
        <row r="14804">
          <cell r="O14804" t="str">
            <v>SC2442UA</v>
          </cell>
          <cell r="P14804" t="str">
            <v>STC9906P</v>
          </cell>
          <cell r="Q14804" t="str">
            <v>磁性位置传感器</v>
          </cell>
        </row>
        <row r="14805">
          <cell r="O14805" t="str">
            <v>SC2462UA</v>
          </cell>
          <cell r="P14805" t="str">
            <v>STC9906J</v>
          </cell>
          <cell r="Q14805" t="str">
            <v>磁性位置传感器</v>
          </cell>
        </row>
        <row r="14806">
          <cell r="O14806" t="str">
            <v>SC4643VB-S-BK-Q</v>
          </cell>
          <cell r="P14806" t="str">
            <v>STC9D03E</v>
          </cell>
          <cell r="Q14806" t="str">
            <v>电流传感器</v>
          </cell>
        </row>
        <row r="14807">
          <cell r="O14807" t="str">
            <v>SC2442SO</v>
          </cell>
          <cell r="P14807" t="str">
            <v>STC11102B</v>
          </cell>
          <cell r="Q14807" t="str">
            <v>磁性位置传感器</v>
          </cell>
        </row>
        <row r="14808">
          <cell r="O14808" t="str">
            <v>SC2442SO-TR-Q</v>
          </cell>
          <cell r="P14808" t="str">
            <v>STC11102B</v>
          </cell>
          <cell r="Q14808" t="str">
            <v>磁性位置传感器</v>
          </cell>
        </row>
        <row r="14809">
          <cell r="O14809" t="str">
            <v>SC2442SO-TR-Q</v>
          </cell>
          <cell r="P14809" t="str">
            <v>STC11102B</v>
          </cell>
          <cell r="Q14809" t="str">
            <v>磁性位置传感器</v>
          </cell>
        </row>
        <row r="14810">
          <cell r="O14810" t="str">
            <v>SC1134BU-TR</v>
          </cell>
          <cell r="P14810" t="str">
            <v>STC1898AI</v>
          </cell>
          <cell r="Q14810" t="str">
            <v>磁性位置传感器</v>
          </cell>
        </row>
        <row r="14811">
          <cell r="O14811" t="str">
            <v>SC9625VB-BK</v>
          </cell>
          <cell r="P14811" t="str">
            <v>STC9910E</v>
          </cell>
          <cell r="Q14811" t="str">
            <v>速度传感器</v>
          </cell>
        </row>
        <row r="14812">
          <cell r="O14812" t="str">
            <v>SC1134UA-BK</v>
          </cell>
          <cell r="P14812" t="str">
            <v>STC1898AI</v>
          </cell>
          <cell r="Q14812" t="str">
            <v>磁性位置传感器</v>
          </cell>
        </row>
        <row r="14813">
          <cell r="O14813" t="str">
            <v>SC4688编程器</v>
          </cell>
          <cell r="P14813" t="str">
            <v xml:space="preserve"> </v>
          </cell>
          <cell r="Q14813" t="str">
            <v>角度传感器</v>
          </cell>
        </row>
        <row r="14814">
          <cell r="O14814" t="str">
            <v>SC9641TS-P-TR</v>
          </cell>
          <cell r="P14814" t="str">
            <v>STC9A001I</v>
          </cell>
          <cell r="Q14814" t="str">
            <v>速度传感器</v>
          </cell>
        </row>
        <row r="14815">
          <cell r="O14815" t="str">
            <v>SC9641TS-P-TR</v>
          </cell>
          <cell r="P14815" t="str">
            <v>STC9A001I</v>
          </cell>
          <cell r="Q14815" t="str">
            <v>速度传感器</v>
          </cell>
        </row>
        <row r="14816">
          <cell r="O14816" t="str">
            <v>SC9641TS-P-TR</v>
          </cell>
          <cell r="P14816" t="str">
            <v>STC9A001I</v>
          </cell>
          <cell r="Q14816" t="str">
            <v>速度传感器</v>
          </cell>
        </row>
        <row r="14817">
          <cell r="O14817" t="str">
            <v>SC4688SA</v>
          </cell>
          <cell r="P14817" t="str">
            <v>STC9D01C</v>
          </cell>
          <cell r="Q14817" t="str">
            <v>角度传感器</v>
          </cell>
        </row>
        <row r="14818">
          <cell r="O14818" t="str">
            <v>SC2462SO</v>
          </cell>
          <cell r="P14818" t="str">
            <v>STC9906J</v>
          </cell>
          <cell r="Q14818" t="str">
            <v>磁性位置传感器</v>
          </cell>
        </row>
        <row r="14819">
          <cell r="O14819" t="str">
            <v>SC9641TS-P-TR</v>
          </cell>
          <cell r="P14819" t="str">
            <v>STC9A001I</v>
          </cell>
          <cell r="Q14819" t="str">
            <v>速度传感器</v>
          </cell>
        </row>
        <row r="14820">
          <cell r="O14820" t="str">
            <v>SC9641TS-P-TR</v>
          </cell>
          <cell r="P14820" t="str">
            <v>STC9A001I</v>
          </cell>
          <cell r="Q14820" t="str">
            <v>速度传感器</v>
          </cell>
        </row>
        <row r="14821">
          <cell r="O14821" t="str">
            <v>SC9641TS-P-TR</v>
          </cell>
          <cell r="P14821" t="str">
            <v>STC9A001I</v>
          </cell>
          <cell r="Q14821" t="str">
            <v>速度传感器</v>
          </cell>
        </row>
        <row r="14822">
          <cell r="O14822" t="str">
            <v>SC2442SO-TR-Q</v>
          </cell>
          <cell r="P14822" t="str">
            <v>STC9906R</v>
          </cell>
          <cell r="Q14822" t="str">
            <v>磁性位置传感器</v>
          </cell>
        </row>
        <row r="14823">
          <cell r="O14823" t="str">
            <v>SC2442SO-TR-Q</v>
          </cell>
          <cell r="P14823" t="str">
            <v>STC9906R</v>
          </cell>
          <cell r="Q14823" t="str">
            <v>磁性位置传感器</v>
          </cell>
        </row>
        <row r="14824">
          <cell r="O14824" t="str">
            <v>SC2442SO-TR-Q</v>
          </cell>
          <cell r="P14824" t="str">
            <v>STC9906R</v>
          </cell>
          <cell r="Q14824" t="str">
            <v>磁性位置传感器</v>
          </cell>
        </row>
        <row r="14825">
          <cell r="O14825" t="str">
            <v>PSTC4000AA-0</v>
          </cell>
          <cell r="P14825" t="str">
            <v>STC4000AA</v>
          </cell>
          <cell r="Q14825" t="str">
            <v>磁性位置传感器</v>
          </cell>
        </row>
        <row r="14826">
          <cell r="O14826" t="str">
            <v>SC9641TS-PC-TR-Q</v>
          </cell>
          <cell r="P14826" t="str">
            <v>STC9A001I</v>
          </cell>
          <cell r="Q14826" t="str">
            <v>速度传感器</v>
          </cell>
        </row>
        <row r="14827">
          <cell r="O14827" t="str">
            <v>SC9641TS-PC-TR-Q</v>
          </cell>
          <cell r="P14827" t="str">
            <v>STC9A001I</v>
          </cell>
          <cell r="Q14827" t="str">
            <v>速度传感器</v>
          </cell>
        </row>
        <row r="14828">
          <cell r="O14828" t="str">
            <v>SC4689SA-A</v>
          </cell>
          <cell r="P14828" t="str">
            <v>STC9D01F</v>
          </cell>
          <cell r="Q14828" t="str">
            <v>角度传感器</v>
          </cell>
        </row>
        <row r="14829">
          <cell r="O14829" t="str">
            <v>SC4689SA-BK-Q</v>
          </cell>
          <cell r="P14829" t="str">
            <v>STC9D01F</v>
          </cell>
          <cell r="Q14829" t="str">
            <v>角度传感器</v>
          </cell>
        </row>
        <row r="14830">
          <cell r="O14830" t="str">
            <v>SC2242UA-BK-Q</v>
          </cell>
          <cell r="P14830" t="str">
            <v>STC9906H</v>
          </cell>
          <cell r="Q14830" t="str">
            <v>磁性位置传感器</v>
          </cell>
        </row>
        <row r="14831">
          <cell r="O14831" t="str">
            <v>SC2242UA-BK-Q</v>
          </cell>
          <cell r="P14831" t="str">
            <v>STC9906H</v>
          </cell>
          <cell r="Q14831" t="str">
            <v>磁性位置传感器</v>
          </cell>
        </row>
        <row r="14832">
          <cell r="O14832" t="str">
            <v>SC2242UA-BK-Q</v>
          </cell>
          <cell r="P14832" t="str">
            <v>STC9906H</v>
          </cell>
          <cell r="Q14832" t="str">
            <v>磁性位置传感器</v>
          </cell>
        </row>
        <row r="14833">
          <cell r="O14833" t="str">
            <v>SC4688编程器</v>
          </cell>
          <cell r="P14833" t="str">
            <v xml:space="preserve"> </v>
          </cell>
          <cell r="Q14833" t="str">
            <v>角度传感器</v>
          </cell>
        </row>
        <row r="14834">
          <cell r="O14834" t="str">
            <v>SC60224-D-16</v>
          </cell>
          <cell r="P14834" t="str">
            <v>STC9D04C</v>
          </cell>
          <cell r="Q14834" t="str">
            <v>电机编码器</v>
          </cell>
        </row>
        <row r="14835">
          <cell r="O14835" t="str">
            <v>SC60224-D-16</v>
          </cell>
          <cell r="P14835" t="str">
            <v>STC9D04C</v>
          </cell>
          <cell r="Q14835" t="str">
            <v>电机编码器</v>
          </cell>
        </row>
        <row r="14836">
          <cell r="O14836" t="str">
            <v>SC4688DC-TR-Q</v>
          </cell>
          <cell r="P14836" t="str">
            <v>STC9D01C</v>
          </cell>
          <cell r="Q14836" t="str">
            <v>角度传感器</v>
          </cell>
        </row>
        <row r="14837">
          <cell r="O14837" t="str">
            <v>SC2462UA-BK</v>
          </cell>
          <cell r="P14837" t="str">
            <v>STC9906J</v>
          </cell>
          <cell r="Q14837" t="str">
            <v>磁性位置传感器</v>
          </cell>
        </row>
        <row r="14838">
          <cell r="O14838" t="str">
            <v>SC9314UA-BK</v>
          </cell>
          <cell r="P14838" t="str">
            <v>STC9901AF</v>
          </cell>
          <cell r="Q14838" t="str">
            <v>速度传感器</v>
          </cell>
        </row>
        <row r="14839">
          <cell r="O14839" t="str">
            <v>SC9314UA-BK</v>
          </cell>
          <cell r="P14839" t="str">
            <v>STC9901AF</v>
          </cell>
          <cell r="Q14839" t="str">
            <v>速度传感器</v>
          </cell>
        </row>
        <row r="14840">
          <cell r="O14840" t="str">
            <v>SC1134BU-TR</v>
          </cell>
          <cell r="P14840" t="str">
            <v>STC1898AI</v>
          </cell>
          <cell r="Q14840" t="str">
            <v>磁性位置传感器</v>
          </cell>
        </row>
        <row r="14841">
          <cell r="O14841" t="str">
            <v>SC1134BU-TR</v>
          </cell>
          <cell r="P14841" t="str">
            <v>STC1898AI</v>
          </cell>
          <cell r="Q14841" t="str">
            <v>磁性位置传感器</v>
          </cell>
        </row>
        <row r="14842">
          <cell r="O14842" t="str">
            <v>SC1645A1-BK</v>
          </cell>
          <cell r="P14842" t="str">
            <v>STC2899AE</v>
          </cell>
          <cell r="Q14842" t="str">
            <v>磁性位置传感器</v>
          </cell>
        </row>
        <row r="14843">
          <cell r="O14843" t="str">
            <v>SD477VB-BK</v>
          </cell>
          <cell r="P14843" t="str">
            <v>STC22304C</v>
          </cell>
          <cell r="Q14843" t="str">
            <v>电机驱动</v>
          </cell>
        </row>
        <row r="14844">
          <cell r="O14844" t="str">
            <v>SC2402UA-BK</v>
          </cell>
          <cell r="P14844" t="str">
            <v>STC9902J</v>
          </cell>
          <cell r="Q14844" t="str">
            <v>磁性位置传感器</v>
          </cell>
        </row>
        <row r="14845">
          <cell r="O14845" t="str">
            <v>SD2276VB-BK</v>
          </cell>
          <cell r="P14845" t="str">
            <v>FD1014A</v>
          </cell>
          <cell r="Q14845" t="str">
            <v>电机驱动</v>
          </cell>
        </row>
        <row r="14846">
          <cell r="O14846" t="str">
            <v>SC1134BU-TR</v>
          </cell>
          <cell r="P14846" t="str">
            <v>STC1898AI</v>
          </cell>
          <cell r="Q14846" t="str">
            <v>磁性位置传感器</v>
          </cell>
        </row>
        <row r="14847">
          <cell r="O14847" t="str">
            <v>SC2402SO-N-TR</v>
          </cell>
          <cell r="P14847" t="str">
            <v>STC9902J</v>
          </cell>
          <cell r="Q14847" t="str">
            <v>磁性位置传感器</v>
          </cell>
        </row>
        <row r="14848">
          <cell r="O14848" t="str">
            <v>SC1645A1-BK</v>
          </cell>
          <cell r="P14848" t="str">
            <v>STC2899AE</v>
          </cell>
          <cell r="Q14848" t="str">
            <v>磁性位置传感器</v>
          </cell>
        </row>
        <row r="14849">
          <cell r="O14849" t="str">
            <v>SC1645A1-BK</v>
          </cell>
          <cell r="P14849" t="str">
            <v>STC2899AE</v>
          </cell>
          <cell r="Q14849" t="str">
            <v>磁性位置传感器</v>
          </cell>
        </row>
        <row r="14850">
          <cell r="O14850" t="str">
            <v>SC4015SO-N-A-TR</v>
          </cell>
          <cell r="P14850" t="str">
            <v>STC4011E</v>
          </cell>
          <cell r="Q14850" t="str">
            <v>磁性位置传感器</v>
          </cell>
        </row>
        <row r="14851">
          <cell r="O14851" t="str">
            <v>SC4015SO-N-A-TR</v>
          </cell>
          <cell r="P14851" t="str">
            <v>STC4011E</v>
          </cell>
          <cell r="Q14851" t="str">
            <v>磁性位置传感器</v>
          </cell>
        </row>
        <row r="14852">
          <cell r="O14852" t="str">
            <v>SC4923SO-N-TR</v>
          </cell>
          <cell r="P14852" t="str">
            <v>SC4009D</v>
          </cell>
          <cell r="Q14852" t="str">
            <v>磁性位置传感器</v>
          </cell>
        </row>
        <row r="14853">
          <cell r="O14853" t="str">
            <v>SC4923SO-N-TR</v>
          </cell>
          <cell r="P14853" t="str">
            <v>SC4009D</v>
          </cell>
          <cell r="Q14853" t="str">
            <v>磁性位置传感器</v>
          </cell>
        </row>
        <row r="14854">
          <cell r="O14854" t="str">
            <v>SC4923SO-N-TR</v>
          </cell>
          <cell r="P14854" t="str">
            <v>SC4009D</v>
          </cell>
          <cell r="Q14854" t="str">
            <v>磁性位置传感器</v>
          </cell>
        </row>
        <row r="14855">
          <cell r="O14855" t="str">
            <v>SC4923SO-N-TR</v>
          </cell>
          <cell r="P14855" t="str">
            <v>SC4009D</v>
          </cell>
          <cell r="Q14855" t="str">
            <v>磁性位置传感器</v>
          </cell>
        </row>
        <row r="14856">
          <cell r="O14856" t="str">
            <v>SC4923SO-N-TR</v>
          </cell>
          <cell r="P14856" t="str">
            <v>SC4009D</v>
          </cell>
          <cell r="Q14856" t="str">
            <v>磁性位置传感器</v>
          </cell>
        </row>
        <row r="14857">
          <cell r="O14857" t="str">
            <v>SC4015SO-N-TR</v>
          </cell>
          <cell r="P14857" t="str">
            <v>STC4011E</v>
          </cell>
          <cell r="Q14857" t="str">
            <v>磁性位置传感器</v>
          </cell>
        </row>
        <row r="14858">
          <cell r="O14858" t="str">
            <v>SC4015SO-N-TR</v>
          </cell>
          <cell r="P14858" t="str">
            <v>STC4011E</v>
          </cell>
          <cell r="Q14858" t="str">
            <v>磁性位置传感器</v>
          </cell>
        </row>
        <row r="14859">
          <cell r="O14859" t="str">
            <v>SC4015SO-N-TR</v>
          </cell>
          <cell r="P14859" t="str">
            <v>STC4011E</v>
          </cell>
          <cell r="Q14859" t="str">
            <v>磁性位置传感器</v>
          </cell>
        </row>
        <row r="14860">
          <cell r="O14860" t="str">
            <v>SC4015SO-N-TR</v>
          </cell>
          <cell r="P14860" t="str">
            <v>STC4011E</v>
          </cell>
          <cell r="Q14860" t="str">
            <v>磁性位置传感器</v>
          </cell>
        </row>
        <row r="14861">
          <cell r="O14861" t="str">
            <v>SC4015SO-N-TR</v>
          </cell>
          <cell r="P14861" t="str">
            <v>STC4011E</v>
          </cell>
          <cell r="Q14861" t="str">
            <v>磁性位置传感器</v>
          </cell>
        </row>
        <row r="14862">
          <cell r="O14862" t="str">
            <v>SC4015SO-N-TR</v>
          </cell>
          <cell r="P14862" t="str">
            <v>STC4011E</v>
          </cell>
          <cell r="Q14862" t="str">
            <v>磁性位置传感器</v>
          </cell>
        </row>
        <row r="14863">
          <cell r="O14863" t="str">
            <v>SC4015SO-N-TR</v>
          </cell>
          <cell r="P14863" t="str">
            <v>STC4011E</v>
          </cell>
          <cell r="Q14863" t="str">
            <v>磁性位置传感器</v>
          </cell>
        </row>
        <row r="14864">
          <cell r="O14864" t="str">
            <v>SC4015SO-N-TR</v>
          </cell>
          <cell r="P14864" t="str">
            <v>STC4011E</v>
          </cell>
          <cell r="Q14864" t="str">
            <v>磁性位置传感器</v>
          </cell>
        </row>
        <row r="14865">
          <cell r="O14865" t="str">
            <v>SC4015SO-N-TR</v>
          </cell>
          <cell r="P14865" t="str">
            <v>STC4011E</v>
          </cell>
          <cell r="Q14865" t="str">
            <v>磁性位置传感器</v>
          </cell>
        </row>
        <row r="14866">
          <cell r="O14866" t="str">
            <v>SC2464SO</v>
          </cell>
          <cell r="P14866" t="str">
            <v>STC9906J</v>
          </cell>
          <cell r="Q14866" t="str">
            <v>磁性位置传感器</v>
          </cell>
        </row>
        <row r="14867">
          <cell r="O14867" t="str">
            <v>SC2466SO</v>
          </cell>
          <cell r="P14867" t="str">
            <v>STC9906O</v>
          </cell>
          <cell r="Q14867" t="str">
            <v>磁性位置传感器</v>
          </cell>
        </row>
        <row r="14868">
          <cell r="O14868" t="str">
            <v>SC2466SO</v>
          </cell>
          <cell r="P14868" t="str">
            <v>STC9906O</v>
          </cell>
          <cell r="Q14868" t="str">
            <v>磁性位置传感器</v>
          </cell>
        </row>
        <row r="14869">
          <cell r="O14869" t="str">
            <v>SC1245UA</v>
          </cell>
          <cell r="P14869" t="str">
            <v>STC1898AD</v>
          </cell>
          <cell r="Q14869" t="str">
            <v>磁性位置传感器</v>
          </cell>
        </row>
        <row r="14870">
          <cell r="O14870" t="str">
            <v>SC4002UA-BK</v>
          </cell>
          <cell r="P14870" t="str">
            <v>STC4000AA</v>
          </cell>
          <cell r="Q14870" t="str">
            <v>磁性位置传感器</v>
          </cell>
        </row>
        <row r="14871">
          <cell r="O14871" t="str">
            <v>SC2402SO-N-TR</v>
          </cell>
          <cell r="P14871" t="str">
            <v>STC9G002A</v>
          </cell>
          <cell r="Q14871" t="str">
            <v>磁性位置传感器</v>
          </cell>
        </row>
        <row r="14872">
          <cell r="O14872" t="str">
            <v>SC2442UA</v>
          </cell>
          <cell r="P14872" t="str">
            <v>STC11102B</v>
          </cell>
          <cell r="Q14872" t="str">
            <v>磁性位置传感器</v>
          </cell>
        </row>
        <row r="14873">
          <cell r="O14873" t="str">
            <v>SC2064UA</v>
          </cell>
          <cell r="P14873" t="str">
            <v>STC9G001C</v>
          </cell>
          <cell r="Q14873" t="str">
            <v>磁性位置传感器</v>
          </cell>
        </row>
        <row r="14874">
          <cell r="O14874" t="str">
            <v>SC2464SO</v>
          </cell>
          <cell r="P14874" t="str">
            <v>STC9906J</v>
          </cell>
          <cell r="Q14874" t="str">
            <v>磁性位置传感器</v>
          </cell>
        </row>
        <row r="14875">
          <cell r="O14875" t="str">
            <v>SC2498TSO</v>
          </cell>
          <cell r="P14875" t="str">
            <v>STC11300C</v>
          </cell>
          <cell r="Q14875" t="str">
            <v>磁性位置传感器</v>
          </cell>
        </row>
        <row r="14876">
          <cell r="O14876" t="str">
            <v>SC2434SO-N-TR</v>
          </cell>
          <cell r="P14876" t="str">
            <v>STC9906I</v>
          </cell>
          <cell r="Q14876" t="str">
            <v>磁性位置传感器</v>
          </cell>
        </row>
        <row r="14877">
          <cell r="O14877" t="str">
            <v>SC9641TS-P-TR</v>
          </cell>
          <cell r="P14877" t="str">
            <v>STC9A001I</v>
          </cell>
          <cell r="Q14877" t="str">
            <v>速度传感器</v>
          </cell>
        </row>
        <row r="14878">
          <cell r="O14878" t="str">
            <v>SC9641TS-P-TR</v>
          </cell>
          <cell r="P14878" t="str">
            <v>STC9A001I</v>
          </cell>
          <cell r="Q14878" t="str">
            <v>速度传感器</v>
          </cell>
        </row>
        <row r="14879">
          <cell r="O14879" t="str">
            <v>SC9642TS-E</v>
          </cell>
          <cell r="P14879" t="str">
            <v>STC9A001H</v>
          </cell>
          <cell r="Q14879" t="str">
            <v>速度传感器</v>
          </cell>
        </row>
        <row r="14880">
          <cell r="O14880" t="str">
            <v>SC69401-A</v>
          </cell>
          <cell r="P14880" t="str">
            <v>STC9H002DQ</v>
          </cell>
          <cell r="Q14880" t="str">
            <v>角度传感器</v>
          </cell>
        </row>
        <row r="14881">
          <cell r="O14881" t="str">
            <v>SC69401-A</v>
          </cell>
          <cell r="P14881" t="str">
            <v>STC9H002DQ</v>
          </cell>
          <cell r="Q14881" t="str">
            <v>角度传感器</v>
          </cell>
        </row>
        <row r="14882">
          <cell r="O14882" t="str">
            <v>SC69401-A</v>
          </cell>
          <cell r="P14882" t="str">
            <v>STC9H002DQ</v>
          </cell>
          <cell r="Q14882" t="str">
            <v>角度传感器</v>
          </cell>
        </row>
        <row r="14883">
          <cell r="O14883" t="str">
            <v>SC69401-A</v>
          </cell>
          <cell r="P14883" t="str">
            <v>STC9H002DQ</v>
          </cell>
          <cell r="Q14883" t="str">
            <v>角度传感器</v>
          </cell>
        </row>
        <row r="14884">
          <cell r="O14884" t="str">
            <v>SC9314UA-BK</v>
          </cell>
          <cell r="P14884" t="str">
            <v>STC9901AF</v>
          </cell>
          <cell r="Q14884" t="str">
            <v>速度传感器</v>
          </cell>
        </row>
        <row r="14885">
          <cell r="O14885" t="str">
            <v>SC9314UA-BK</v>
          </cell>
          <cell r="P14885" t="str">
            <v>STC9901AF</v>
          </cell>
          <cell r="Q14885" t="str">
            <v>速度传感器</v>
          </cell>
        </row>
        <row r="14886">
          <cell r="O14886" t="str">
            <v>3100</v>
          </cell>
          <cell r="P14886" t="str">
            <v>STC9D06G</v>
          </cell>
          <cell r="Q14886" t="str">
            <v>电流传感器</v>
          </cell>
        </row>
        <row r="14887">
          <cell r="O14887" t="str">
            <v>ZH619DC-TR</v>
          </cell>
          <cell r="P14887" t="str">
            <v>STC22303</v>
          </cell>
          <cell r="Q14887" t="str">
            <v>电机驱动</v>
          </cell>
        </row>
        <row r="14888">
          <cell r="O14888" t="str">
            <v>SC4643VB-A</v>
          </cell>
          <cell r="P14888" t="str">
            <v>STC9D03E</v>
          </cell>
          <cell r="Q14888" t="str">
            <v>电流传感器</v>
          </cell>
        </row>
        <row r="14889">
          <cell r="O14889" t="str">
            <v>SC4643VB-A</v>
          </cell>
          <cell r="P14889" t="str">
            <v>STC9D03E</v>
          </cell>
          <cell r="Q14889" t="str">
            <v>电流传感器</v>
          </cell>
        </row>
        <row r="14890">
          <cell r="O14890" t="str">
            <v>SC4643VB-A</v>
          </cell>
          <cell r="P14890" t="str">
            <v>STC9D03E</v>
          </cell>
          <cell r="Q14890" t="str">
            <v>电流传感器</v>
          </cell>
        </row>
        <row r="14891">
          <cell r="O14891" t="str">
            <v>SC4643VB-A</v>
          </cell>
          <cell r="P14891" t="str">
            <v>STC9D03E</v>
          </cell>
          <cell r="Q14891" t="str">
            <v>电流传感器</v>
          </cell>
        </row>
        <row r="14892">
          <cell r="O14892" t="str">
            <v>SC2442SO-TR-Q</v>
          </cell>
          <cell r="P14892" t="str">
            <v>STC9906R</v>
          </cell>
          <cell r="Q14892" t="str">
            <v>磁性位置传感器</v>
          </cell>
        </row>
        <row r="14893">
          <cell r="O14893" t="str">
            <v>SC2442SO-TR-Q</v>
          </cell>
          <cell r="P14893" t="str">
            <v>STC9906R</v>
          </cell>
          <cell r="Q14893" t="str">
            <v>磁性位置传感器</v>
          </cell>
        </row>
        <row r="14894">
          <cell r="O14894" t="str">
            <v>SC2442SO-TR-Q</v>
          </cell>
          <cell r="P14894" t="str">
            <v>STC9906R</v>
          </cell>
          <cell r="Q14894" t="str">
            <v>磁性位置传感器</v>
          </cell>
        </row>
        <row r="14895">
          <cell r="O14895" t="str">
            <v>SC2442SO-TR-Q</v>
          </cell>
          <cell r="P14895" t="str">
            <v>STC9906R</v>
          </cell>
          <cell r="Q14895" t="str">
            <v>磁性位置传感器</v>
          </cell>
        </row>
        <row r="14896">
          <cell r="O14896" t="str">
            <v>SC9641TS-P-TR</v>
          </cell>
          <cell r="P14896" t="str">
            <v>STC9A001I</v>
          </cell>
          <cell r="Q14896" t="str">
            <v>速度传感器</v>
          </cell>
        </row>
        <row r="14897">
          <cell r="O14897" t="str">
            <v>SC9641TS-P-TR</v>
          </cell>
          <cell r="P14897" t="str">
            <v>STC9A001I</v>
          </cell>
          <cell r="Q14897" t="str">
            <v>速度传感器</v>
          </cell>
        </row>
        <row r="14898">
          <cell r="O14898" t="str">
            <v>SC9641TS</v>
          </cell>
          <cell r="P14898" t="str">
            <v>STC9910BN</v>
          </cell>
          <cell r="Q14898" t="str">
            <v>速度传感器</v>
          </cell>
        </row>
        <row r="14899">
          <cell r="O14899" t="str">
            <v>SC9641TS</v>
          </cell>
          <cell r="P14899" t="str">
            <v>STC9910BN</v>
          </cell>
          <cell r="Q14899" t="str">
            <v>速度传感器</v>
          </cell>
        </row>
        <row r="14900">
          <cell r="O14900" t="str">
            <v>SC9641TS</v>
          </cell>
          <cell r="P14900" t="str">
            <v>STC9910BN</v>
          </cell>
          <cell r="Q14900" t="str">
            <v>速度传感器</v>
          </cell>
        </row>
        <row r="14901">
          <cell r="O14901" t="str">
            <v>SC2443UA</v>
          </cell>
          <cell r="P14901" t="str">
            <v>STC9906G</v>
          </cell>
          <cell r="Q14901" t="str">
            <v>磁性位置传感器</v>
          </cell>
        </row>
        <row r="14902">
          <cell r="O14902" t="str">
            <v>SC9314UA</v>
          </cell>
          <cell r="P14902" t="str">
            <v>STC9901AF</v>
          </cell>
          <cell r="Q14902" t="str">
            <v>速度传感器</v>
          </cell>
        </row>
        <row r="14903">
          <cell r="O14903" t="str">
            <v>SC9314UA</v>
          </cell>
          <cell r="P14903" t="str">
            <v>STC9901AF</v>
          </cell>
          <cell r="Q14903" t="str">
            <v>速度传感器</v>
          </cell>
        </row>
        <row r="14904">
          <cell r="O14904" t="str">
            <v>SC9641TS-PC-TR-Q</v>
          </cell>
          <cell r="P14904" t="str">
            <v>STC9A001I</v>
          </cell>
          <cell r="Q14904" t="str">
            <v>速度传感器</v>
          </cell>
        </row>
        <row r="14905">
          <cell r="O14905" t="str">
            <v>SC9641TS-PC-TR-Q</v>
          </cell>
          <cell r="P14905" t="str">
            <v>STC9A001I</v>
          </cell>
          <cell r="Q14905" t="str">
            <v>速度传感器</v>
          </cell>
        </row>
        <row r="14906">
          <cell r="O14906" t="str">
            <v>SC9641TS-PC-TR-Q</v>
          </cell>
          <cell r="P14906" t="str">
            <v>STC9A001I</v>
          </cell>
          <cell r="Q14906" t="str">
            <v>速度传感器</v>
          </cell>
        </row>
        <row r="14907">
          <cell r="O14907" t="str">
            <v>SC9641TS-PC-TR-Q</v>
          </cell>
          <cell r="P14907" t="str">
            <v>STC9A001I</v>
          </cell>
          <cell r="Q14907" t="str">
            <v>速度传感器</v>
          </cell>
        </row>
        <row r="14908">
          <cell r="O14908" t="str">
            <v>SC9641TS-PC-TR-Q</v>
          </cell>
          <cell r="P14908" t="str">
            <v>STC9A001I</v>
          </cell>
          <cell r="Q14908" t="str">
            <v>速度传感器</v>
          </cell>
        </row>
        <row r="14909">
          <cell r="O14909" t="str">
            <v>SC69401-A</v>
          </cell>
          <cell r="P14909" t="str">
            <v>STC9H002DQ</v>
          </cell>
          <cell r="Q14909" t="str">
            <v>角度传感器</v>
          </cell>
        </row>
        <row r="14910">
          <cell r="O14910" t="str">
            <v>SC69401-A</v>
          </cell>
          <cell r="P14910" t="str">
            <v>STC9H002DQ</v>
          </cell>
          <cell r="Q14910" t="str">
            <v>角度传感器</v>
          </cell>
        </row>
        <row r="14911">
          <cell r="O14911" t="str">
            <v>SC69401-A</v>
          </cell>
          <cell r="P14911" t="str">
            <v>STC9H002DQ</v>
          </cell>
          <cell r="Q14911" t="str">
            <v>角度传感器</v>
          </cell>
        </row>
        <row r="14912">
          <cell r="O14912" t="str">
            <v>SC41HL-A2</v>
          </cell>
          <cell r="P14912" t="str">
            <v>STC1898AD</v>
          </cell>
          <cell r="Q14912" t="str">
            <v>磁性位置传感器</v>
          </cell>
        </row>
        <row r="14913">
          <cell r="O14913" t="str">
            <v>SC41HL-A2</v>
          </cell>
          <cell r="P14913" t="str">
            <v>STC1898AD</v>
          </cell>
          <cell r="Q14913" t="str">
            <v>磁性位置传感器</v>
          </cell>
        </row>
        <row r="14914">
          <cell r="O14914" t="str">
            <v>SC1002S2-BK</v>
          </cell>
          <cell r="P14914" t="str">
            <v>STC1002AG</v>
          </cell>
          <cell r="Q14914" t="str">
            <v>磁性位置传感器</v>
          </cell>
        </row>
        <row r="14915">
          <cell r="O14915" t="str">
            <v>SC1002S2-BK</v>
          </cell>
          <cell r="P14915" t="str">
            <v>STC1002AG</v>
          </cell>
          <cell r="Q14915" t="str">
            <v>磁性位置传感器</v>
          </cell>
        </row>
        <row r="14916">
          <cell r="O14916" t="str">
            <v>SC1002S2-BK</v>
          </cell>
          <cell r="P14916" t="str">
            <v>STC1002AG</v>
          </cell>
          <cell r="Q14916" t="str">
            <v>磁性位置传感器</v>
          </cell>
        </row>
        <row r="14917">
          <cell r="O14917" t="str">
            <v>SC1002S2-BK</v>
          </cell>
          <cell r="P14917" t="str">
            <v>STC1002AG</v>
          </cell>
          <cell r="Q14917" t="str">
            <v>磁性位置传感器</v>
          </cell>
        </row>
        <row r="14918">
          <cell r="O14918" t="str">
            <v>SC2442SO-TR-Q</v>
          </cell>
          <cell r="P14918" t="str">
            <v>STC11102B</v>
          </cell>
          <cell r="Q14918" t="str">
            <v>磁性位置传感器</v>
          </cell>
        </row>
        <row r="14919">
          <cell r="O14919" t="str">
            <v>SC2442SO-TR-Q</v>
          </cell>
          <cell r="P14919" t="str">
            <v>STC11102B</v>
          </cell>
          <cell r="Q14919" t="str">
            <v>磁性位置传感器</v>
          </cell>
        </row>
        <row r="14920">
          <cell r="O14920" t="str">
            <v>SD2276VB-BK</v>
          </cell>
          <cell r="P14920" t="str">
            <v>FD1014A</v>
          </cell>
          <cell r="Q14920" t="str">
            <v>电机驱动</v>
          </cell>
        </row>
        <row r="14921">
          <cell r="O14921" t="str">
            <v>SD2276VB-BK</v>
          </cell>
          <cell r="P14921" t="str">
            <v>FD1014A</v>
          </cell>
          <cell r="Q14921" t="str">
            <v>电机驱动</v>
          </cell>
        </row>
        <row r="14922">
          <cell r="O14922" t="str">
            <v>STC42302C</v>
          </cell>
          <cell r="P14922" t="str">
            <v>STC42302C</v>
          </cell>
          <cell r="Q14922" t="str">
            <v>其他数模混合</v>
          </cell>
        </row>
        <row r="14923">
          <cell r="O14923" t="str">
            <v>SC2402SO-N-TR</v>
          </cell>
          <cell r="P14923" t="str">
            <v>STC9902J</v>
          </cell>
          <cell r="Q14923" t="str">
            <v>磁性位置传感器</v>
          </cell>
        </row>
        <row r="14924">
          <cell r="O14924" t="str">
            <v>SC2402SO-N-TR</v>
          </cell>
          <cell r="P14924" t="str">
            <v>STC9902J</v>
          </cell>
          <cell r="Q14924" t="str">
            <v>磁性位置传感器</v>
          </cell>
        </row>
        <row r="14925">
          <cell r="O14925" t="str">
            <v>SC1134UA-BK</v>
          </cell>
          <cell r="P14925" t="str">
            <v>STC1898AI</v>
          </cell>
          <cell r="Q14925" t="str">
            <v>磁性位置传感器</v>
          </cell>
        </row>
        <row r="14926">
          <cell r="O14926" t="str">
            <v>SC2434SO-N-TR</v>
          </cell>
          <cell r="P14926" t="str">
            <v>STC9906I</v>
          </cell>
          <cell r="Q14926" t="str">
            <v>磁性位置传感器</v>
          </cell>
        </row>
        <row r="14927">
          <cell r="O14927" t="str">
            <v>SC2434SO-N-TR</v>
          </cell>
          <cell r="P14927" t="str">
            <v>STC9906I</v>
          </cell>
          <cell r="Q14927" t="str">
            <v>磁性位置传感器</v>
          </cell>
        </row>
        <row r="14928">
          <cell r="O14928" t="str">
            <v>STC4011B-DS</v>
          </cell>
          <cell r="P14928" t="str">
            <v>STC4011B</v>
          </cell>
          <cell r="Q14928" t="str">
            <v>磁性位置传感器</v>
          </cell>
        </row>
        <row r="14929">
          <cell r="O14929" t="str">
            <v>STC4011B-DS</v>
          </cell>
          <cell r="P14929" t="str">
            <v>STC4011B</v>
          </cell>
          <cell r="Q14929" t="str">
            <v>磁性位置传感器</v>
          </cell>
        </row>
        <row r="14930">
          <cell r="O14930" t="str">
            <v>STC4011B-DS</v>
          </cell>
          <cell r="P14930" t="str">
            <v>STC4011B</v>
          </cell>
          <cell r="Q14930" t="str">
            <v>磁性位置传感器</v>
          </cell>
        </row>
        <row r="14931">
          <cell r="O14931" t="str">
            <v>SC1445A1</v>
          </cell>
          <cell r="P14931" t="str">
            <v>STC2899AB</v>
          </cell>
          <cell r="Q14931" t="str">
            <v>磁性位置传感器</v>
          </cell>
        </row>
        <row r="14932">
          <cell r="O14932" t="str">
            <v>SC4689SA-BK-Q</v>
          </cell>
          <cell r="P14932" t="str">
            <v>STC9D01F</v>
          </cell>
          <cell r="Q14932" t="str">
            <v>角度传感器</v>
          </cell>
        </row>
        <row r="14933">
          <cell r="O14933" t="str">
            <v>SC4689SA-BK-Q</v>
          </cell>
          <cell r="P14933" t="str">
            <v>STC9D01F</v>
          </cell>
          <cell r="Q14933" t="str">
            <v>角度传感器</v>
          </cell>
        </row>
        <row r="14934">
          <cell r="O14934" t="str">
            <v>SC9625VB-BK</v>
          </cell>
          <cell r="P14934" t="str">
            <v>STC9910E</v>
          </cell>
          <cell r="Q14934" t="str">
            <v>速度传感器</v>
          </cell>
        </row>
        <row r="14935">
          <cell r="O14935" t="str">
            <v>SC9625VB-BK</v>
          </cell>
          <cell r="P14935" t="str">
            <v>STC9910E</v>
          </cell>
          <cell r="Q14935" t="str">
            <v>速度传感器</v>
          </cell>
        </row>
        <row r="14936">
          <cell r="O14936" t="str">
            <v>SC9625VB-BK</v>
          </cell>
          <cell r="P14936" t="str">
            <v>STC9910E</v>
          </cell>
          <cell r="Q14936" t="str">
            <v>速度传感器</v>
          </cell>
        </row>
        <row r="14937">
          <cell r="O14937" t="str">
            <v>SC9314UA-BK</v>
          </cell>
          <cell r="P14937" t="str">
            <v>STC9901AF</v>
          </cell>
          <cell r="Q14937" t="str">
            <v>速度传感器</v>
          </cell>
        </row>
        <row r="14938">
          <cell r="O14938" t="str">
            <v>SC9641TS-P-TR</v>
          </cell>
          <cell r="P14938" t="str">
            <v>STC9A001I</v>
          </cell>
          <cell r="Q14938" t="str">
            <v>速度传感器</v>
          </cell>
        </row>
        <row r="14939">
          <cell r="O14939" t="str">
            <v>SC9641TS-P-TR</v>
          </cell>
          <cell r="P14939" t="str">
            <v>STC9A001I</v>
          </cell>
          <cell r="Q14939" t="str">
            <v>速度传感器</v>
          </cell>
        </row>
        <row r="14940">
          <cell r="O14940" t="str">
            <v>SC9641TS-P-TR</v>
          </cell>
          <cell r="P14940" t="str">
            <v>STC9A001I</v>
          </cell>
          <cell r="Q14940" t="str">
            <v>速度传感器</v>
          </cell>
        </row>
        <row r="14941">
          <cell r="O14941" t="str">
            <v>SC9641TS-P-TR</v>
          </cell>
          <cell r="P14941" t="str">
            <v>STC9A001I</v>
          </cell>
          <cell r="Q14941" t="str">
            <v>速度传感器</v>
          </cell>
        </row>
        <row r="14942">
          <cell r="O14942" t="str">
            <v>SC2443UA</v>
          </cell>
          <cell r="P14942" t="str">
            <v>STC9906W</v>
          </cell>
          <cell r="Q14942" t="str">
            <v>磁性位置传感器</v>
          </cell>
        </row>
        <row r="14943">
          <cell r="O14943" t="str">
            <v>SC2443UA</v>
          </cell>
          <cell r="P14943" t="str">
            <v>STC9906W</v>
          </cell>
          <cell r="Q14943" t="str">
            <v>磁性位置传感器</v>
          </cell>
        </row>
        <row r="14944">
          <cell r="O14944" t="str">
            <v>SC2443UA</v>
          </cell>
          <cell r="P14944" t="str">
            <v>STC9906W</v>
          </cell>
          <cell r="Q14944" t="str">
            <v>磁性位置传感器</v>
          </cell>
        </row>
        <row r="14945">
          <cell r="O14945" t="str">
            <v>SC2443UA</v>
          </cell>
          <cell r="P14945" t="str">
            <v>STC9906W</v>
          </cell>
          <cell r="Q14945" t="str">
            <v>磁性位置传感器</v>
          </cell>
        </row>
        <row r="14946">
          <cell r="O14946" t="str">
            <v>SC2443UA</v>
          </cell>
          <cell r="P14946" t="str">
            <v>STC9906W</v>
          </cell>
          <cell r="Q14946" t="str">
            <v>磁性位置传感器</v>
          </cell>
        </row>
        <row r="14947">
          <cell r="O14947" t="str">
            <v>SC2434SO-N-TR</v>
          </cell>
          <cell r="P14947" t="str">
            <v>STC9906I</v>
          </cell>
          <cell r="Q14947" t="str">
            <v>磁性位置传感器</v>
          </cell>
        </row>
        <row r="14948">
          <cell r="O14948" t="str">
            <v>SC2434SO-N-TR</v>
          </cell>
          <cell r="P14948" t="str">
            <v>STC9906I</v>
          </cell>
          <cell r="Q14948" t="str">
            <v>磁性位置传感器</v>
          </cell>
        </row>
        <row r="14949">
          <cell r="O14949" t="str">
            <v>SC4643VB</v>
          </cell>
          <cell r="P14949" t="str">
            <v>STC9D03E</v>
          </cell>
          <cell r="Q14949" t="str">
            <v>电流传感器</v>
          </cell>
        </row>
        <row r="14950">
          <cell r="O14950" t="str">
            <v>SC2443UA</v>
          </cell>
          <cell r="P14950" t="str">
            <v>STC9906W</v>
          </cell>
          <cell r="Q14950" t="str">
            <v>磁性位置传感器</v>
          </cell>
        </row>
        <row r="14951">
          <cell r="O14951" t="str">
            <v>SC1138SO-N-TR-Q</v>
          </cell>
          <cell r="P14951" t="str">
            <v>STC1898AC</v>
          </cell>
          <cell r="Q14951" t="str">
            <v>磁性位置传感器</v>
          </cell>
        </row>
        <row r="14952">
          <cell r="O14952" t="str">
            <v>SC1138SO-N-TR-Q</v>
          </cell>
          <cell r="P14952" t="str">
            <v>STC1898AC</v>
          </cell>
          <cell r="Q14952" t="str">
            <v>磁性位置传感器</v>
          </cell>
        </row>
        <row r="14953">
          <cell r="O14953" t="str">
            <v>SC1138SO-N-TR-Q</v>
          </cell>
          <cell r="P14953" t="str">
            <v>STC1898AC</v>
          </cell>
          <cell r="Q14953" t="str">
            <v>磁性位置传感器</v>
          </cell>
        </row>
        <row r="14954">
          <cell r="O14954" t="str">
            <v>SC9685TS-RP120-TR-Q</v>
          </cell>
          <cell r="P14954" t="str">
            <v>STC12100B</v>
          </cell>
          <cell r="Q14954" t="str">
            <v>速度传感器</v>
          </cell>
        </row>
        <row r="14955">
          <cell r="O14955" t="str">
            <v>SC9642TS-E</v>
          </cell>
          <cell r="P14955" t="str">
            <v>STC9A001H</v>
          </cell>
          <cell r="Q14955" t="str">
            <v>速度传感器</v>
          </cell>
        </row>
        <row r="14956">
          <cell r="O14956" t="str">
            <v>SC4688SA</v>
          </cell>
          <cell r="P14956" t="str">
            <v>STC9D01C</v>
          </cell>
          <cell r="Q14956" t="str">
            <v>角度传感器</v>
          </cell>
        </row>
        <row r="14957">
          <cell r="O14957" t="str">
            <v>SD2276VB-BK</v>
          </cell>
          <cell r="P14957" t="str">
            <v>FD1014A</v>
          </cell>
          <cell r="Q14957" t="str">
            <v>电机驱动</v>
          </cell>
        </row>
        <row r="14958">
          <cell r="O14958" t="str">
            <v>SC4688SA</v>
          </cell>
          <cell r="P14958" t="str">
            <v>STC9D01C</v>
          </cell>
          <cell r="Q14958" t="str">
            <v>角度传感器</v>
          </cell>
        </row>
        <row r="14959">
          <cell r="O14959" t="str">
            <v>SC4688SA</v>
          </cell>
          <cell r="P14959" t="str">
            <v>STC9D01C</v>
          </cell>
          <cell r="Q14959" t="str">
            <v>角度传感器</v>
          </cell>
        </row>
        <row r="14960">
          <cell r="O14960" t="str">
            <v>SC4015SO-N-A-TR</v>
          </cell>
          <cell r="P14960" t="str">
            <v>STC4011E</v>
          </cell>
          <cell r="Q14960" t="str">
            <v>磁性位置传感器</v>
          </cell>
        </row>
        <row r="14961">
          <cell r="O14961" t="str">
            <v>SC4923SO-N-TR</v>
          </cell>
          <cell r="P14961" t="str">
            <v>SC4009D</v>
          </cell>
          <cell r="Q14961" t="str">
            <v>磁性位置传感器</v>
          </cell>
        </row>
        <row r="14962">
          <cell r="O14962" t="str">
            <v>SC4923SO-N-TR</v>
          </cell>
          <cell r="P14962" t="str">
            <v>SC4009D</v>
          </cell>
          <cell r="Q14962" t="str">
            <v>磁性位置传感器</v>
          </cell>
        </row>
        <row r="14963">
          <cell r="O14963" t="str">
            <v>SC4923SO-N-TR</v>
          </cell>
          <cell r="P14963" t="str">
            <v>SC4009D</v>
          </cell>
          <cell r="Q14963" t="str">
            <v>磁性位置传感器</v>
          </cell>
        </row>
        <row r="14964">
          <cell r="O14964" t="str">
            <v>SC60221-D-50</v>
          </cell>
          <cell r="P14964" t="str">
            <v>STC9D04C</v>
          </cell>
          <cell r="Q14964" t="str">
            <v>电机编码器</v>
          </cell>
        </row>
        <row r="14965">
          <cell r="O14965" t="str">
            <v>SC60221-D-50</v>
          </cell>
          <cell r="P14965" t="str">
            <v>STC9D04C</v>
          </cell>
          <cell r="Q14965" t="str">
            <v>电机编码器</v>
          </cell>
        </row>
        <row r="14966">
          <cell r="O14966" t="str">
            <v>SC2402SO-N-TR</v>
          </cell>
          <cell r="P14966" t="str">
            <v>STC9G002A</v>
          </cell>
          <cell r="Q14966" t="str">
            <v>磁性位置传感器</v>
          </cell>
        </row>
        <row r="14967">
          <cell r="O14967" t="str">
            <v>SC2402SO-N-TR</v>
          </cell>
          <cell r="P14967" t="str">
            <v>STC9G002A</v>
          </cell>
          <cell r="Q14967" t="str">
            <v>磁性位置传感器</v>
          </cell>
        </row>
        <row r="14968">
          <cell r="O14968" t="str">
            <v>SC2402UA-BK</v>
          </cell>
          <cell r="P14968" t="str">
            <v>STC9G002B</v>
          </cell>
          <cell r="Q14968" t="str">
            <v>磁性位置传感器</v>
          </cell>
        </row>
        <row r="14969">
          <cell r="O14969" t="str">
            <v>SC2402UA-BK</v>
          </cell>
          <cell r="P14969" t="str">
            <v>STC9G002B</v>
          </cell>
          <cell r="Q14969" t="str">
            <v>磁性位置传感器</v>
          </cell>
        </row>
        <row r="14970">
          <cell r="O14970" t="str">
            <v>SC1134SO-N</v>
          </cell>
          <cell r="P14970" t="str">
            <v>STC1002AF</v>
          </cell>
          <cell r="Q14970" t="str">
            <v>磁性位置传感器</v>
          </cell>
        </row>
        <row r="14971">
          <cell r="O14971" t="str">
            <v>SC2526VB-SD-BK</v>
          </cell>
          <cell r="P14971" t="str">
            <v>STC11131A</v>
          </cell>
          <cell r="Q14971" t="str">
            <v>磁性位置传感器</v>
          </cell>
        </row>
        <row r="14972">
          <cell r="O14972" t="str">
            <v>SC2442SO</v>
          </cell>
          <cell r="P14972" t="str">
            <v>STC11102B</v>
          </cell>
          <cell r="Q14972" t="str">
            <v>磁性位置传感器</v>
          </cell>
        </row>
        <row r="14973">
          <cell r="O14973" t="str">
            <v>SC4688DC-TR-Q</v>
          </cell>
          <cell r="P14973" t="str">
            <v>STC9D01C</v>
          </cell>
          <cell r="Q14973" t="str">
            <v>角度传感器</v>
          </cell>
        </row>
        <row r="14974">
          <cell r="O14974" t="str">
            <v>SC2443SO-TR-Q</v>
          </cell>
          <cell r="P14974" t="str">
            <v>STC9906T</v>
          </cell>
          <cell r="Q14974" t="str">
            <v>磁性位置传感器</v>
          </cell>
        </row>
        <row r="14975">
          <cell r="O14975" t="str">
            <v>SC9641TS-TR-Q</v>
          </cell>
          <cell r="P14975" t="str">
            <v>STC9910BN</v>
          </cell>
          <cell r="Q14975" t="str">
            <v>速度传感器</v>
          </cell>
        </row>
        <row r="14976">
          <cell r="O14976" t="str">
            <v>SC69401D</v>
          </cell>
          <cell r="P14976" t="str">
            <v>STC9H002DQ</v>
          </cell>
          <cell r="Q14976" t="str">
            <v>角度传感器</v>
          </cell>
        </row>
        <row r="14977">
          <cell r="O14977" t="str">
            <v>SC4643VB-P-BK-Q</v>
          </cell>
          <cell r="P14977" t="str">
            <v>STC9D03E</v>
          </cell>
          <cell r="Q14977" t="str">
            <v>电流传感器</v>
          </cell>
        </row>
        <row r="14978">
          <cell r="O14978" t="str">
            <v>SC69401D</v>
          </cell>
          <cell r="P14978" t="str">
            <v>STC9H002DQ</v>
          </cell>
          <cell r="Q14978" t="str">
            <v>角度传感器</v>
          </cell>
        </row>
        <row r="14979">
          <cell r="O14979" t="str">
            <v>SC4688SA</v>
          </cell>
          <cell r="P14979" t="str">
            <v>STC9D01C</v>
          </cell>
          <cell r="Q14979" t="str">
            <v>角度传感器</v>
          </cell>
        </row>
        <row r="14980">
          <cell r="O14980" t="str">
            <v>SC4688SA</v>
          </cell>
          <cell r="P14980" t="str">
            <v>STC9D01C</v>
          </cell>
          <cell r="Q14980" t="str">
            <v>角度传感器</v>
          </cell>
        </row>
        <row r="14981">
          <cell r="O14981" t="str">
            <v>SC4688SA</v>
          </cell>
          <cell r="P14981" t="str">
            <v>STC9D01C</v>
          </cell>
          <cell r="Q14981" t="str">
            <v>角度传感器</v>
          </cell>
        </row>
        <row r="14982">
          <cell r="O14982" t="str">
            <v>SC1138SO-N</v>
          </cell>
          <cell r="P14982" t="str">
            <v>STC1898AC</v>
          </cell>
          <cell r="Q14982" t="str">
            <v>磁性位置传感器</v>
          </cell>
        </row>
        <row r="14983">
          <cell r="O14983" t="str">
            <v>SC2402SO-N-TR</v>
          </cell>
          <cell r="P14983" t="str">
            <v>STC9902J</v>
          </cell>
          <cell r="Q14983" t="str">
            <v>磁性位置传感器</v>
          </cell>
        </row>
        <row r="14984">
          <cell r="O14984" t="str">
            <v>SC2432SO-TR-Q</v>
          </cell>
          <cell r="P14984" t="str">
            <v>STC9906M</v>
          </cell>
          <cell r="Q14984" t="str">
            <v>磁性位置传感器</v>
          </cell>
        </row>
        <row r="14985">
          <cell r="O14985" t="str">
            <v>SC2432SO-TR-Q</v>
          </cell>
          <cell r="P14985" t="str">
            <v>STC9906M</v>
          </cell>
          <cell r="Q14985" t="str">
            <v>磁性位置传感器</v>
          </cell>
        </row>
        <row r="14986">
          <cell r="O14986" t="str">
            <v>SC2432SO-TR-Q</v>
          </cell>
          <cell r="P14986" t="str">
            <v>STC9906M</v>
          </cell>
          <cell r="Q14986" t="str">
            <v>磁性位置传感器</v>
          </cell>
        </row>
        <row r="14987">
          <cell r="O14987" t="str">
            <v>SC2432SO-TR-Q</v>
          </cell>
          <cell r="P14987" t="str">
            <v>STC9906M</v>
          </cell>
          <cell r="Q14987" t="str">
            <v>磁性位置传感器</v>
          </cell>
        </row>
        <row r="14988">
          <cell r="O14988" t="str">
            <v>SC2432SO-TR-Q</v>
          </cell>
          <cell r="P14988" t="str">
            <v>STC9906M</v>
          </cell>
          <cell r="Q14988" t="str">
            <v>磁性位置传感器</v>
          </cell>
        </row>
        <row r="14989">
          <cell r="O14989" t="str">
            <v>SC2442SO-N-TR-Q</v>
          </cell>
          <cell r="P14989" t="str">
            <v>STC9906P</v>
          </cell>
          <cell r="Q14989" t="str">
            <v>磁性位置传感器</v>
          </cell>
        </row>
        <row r="14990">
          <cell r="O14990" t="str">
            <v>SC2442SO-N-TR-Q</v>
          </cell>
          <cell r="P14990" t="str">
            <v>STC9906P</v>
          </cell>
          <cell r="Q14990" t="str">
            <v>磁性位置传感器</v>
          </cell>
        </row>
        <row r="14991">
          <cell r="O14991" t="str">
            <v>SC4643VB</v>
          </cell>
          <cell r="P14991" t="str">
            <v>STC9D03E</v>
          </cell>
          <cell r="Q14991" t="str">
            <v>电流传感器</v>
          </cell>
        </row>
        <row r="14992">
          <cell r="O14992" t="str">
            <v>SC9685TS-RP180-TR-Q</v>
          </cell>
          <cell r="P14992" t="str">
            <v>STC12100B</v>
          </cell>
          <cell r="Q14992" t="str">
            <v>速度传感器</v>
          </cell>
        </row>
        <row r="14993">
          <cell r="O14993" t="str">
            <v>SC9621VB</v>
          </cell>
          <cell r="P14993" t="str">
            <v>STC9910C</v>
          </cell>
          <cell r="Q14993" t="str">
            <v>速度传感器</v>
          </cell>
        </row>
        <row r="14994">
          <cell r="O14994" t="str">
            <v>SC9314UA-BK</v>
          </cell>
          <cell r="P14994" t="str">
            <v>STC9901AF</v>
          </cell>
          <cell r="Q14994" t="str">
            <v>速度传感器</v>
          </cell>
        </row>
        <row r="14995">
          <cell r="O14995" t="str">
            <v>SC9314UA-BK</v>
          </cell>
          <cell r="P14995" t="str">
            <v>STC9901AF</v>
          </cell>
          <cell r="Q14995" t="str">
            <v>速度传感器</v>
          </cell>
        </row>
        <row r="14996">
          <cell r="O14996" t="str">
            <v>SC9641TS-P-TR</v>
          </cell>
          <cell r="P14996" t="str">
            <v>STC9A001I</v>
          </cell>
          <cell r="Q14996" t="str">
            <v>速度传感器</v>
          </cell>
        </row>
        <row r="14997">
          <cell r="O14997" t="str">
            <v>SC9641TS-P-TR</v>
          </cell>
          <cell r="P14997" t="str">
            <v>STC9A001I</v>
          </cell>
          <cell r="Q14997" t="str">
            <v>速度传感器</v>
          </cell>
        </row>
        <row r="14998">
          <cell r="O14998" t="str">
            <v>SC9683TS-TR-Q</v>
          </cell>
          <cell r="P14998" t="str">
            <v>STC12100B</v>
          </cell>
          <cell r="Q14998" t="str">
            <v>速度传感器</v>
          </cell>
        </row>
        <row r="14999">
          <cell r="O14999" t="str">
            <v>SC4643VB</v>
          </cell>
          <cell r="P14999" t="str">
            <v>STC9D03E</v>
          </cell>
          <cell r="Q14999" t="str">
            <v>电流传感器</v>
          </cell>
        </row>
        <row r="15000">
          <cell r="O15000" t="str">
            <v>SC4688DC-TR-Q</v>
          </cell>
          <cell r="P15000" t="str">
            <v>STC9D01C</v>
          </cell>
          <cell r="Q15000" t="str">
            <v>角度传感器</v>
          </cell>
        </row>
        <row r="15001">
          <cell r="O15001" t="str">
            <v>SC4688DC-TR-Q</v>
          </cell>
          <cell r="P15001" t="str">
            <v>STC9D01C</v>
          </cell>
          <cell r="Q15001" t="str">
            <v>角度传感器</v>
          </cell>
        </row>
        <row r="15002">
          <cell r="O15002" t="str">
            <v>SC4923SO-N-TR</v>
          </cell>
          <cell r="P15002" t="str">
            <v>SC4009D</v>
          </cell>
          <cell r="Q15002" t="str">
            <v>磁性位置传感器</v>
          </cell>
        </row>
        <row r="15003">
          <cell r="O15003" t="str">
            <v>SC4923SO-N-TR</v>
          </cell>
          <cell r="P15003" t="str">
            <v>SC4009D</v>
          </cell>
          <cell r="Q15003" t="str">
            <v>磁性位置传感器</v>
          </cell>
        </row>
        <row r="15004">
          <cell r="O15004" t="str">
            <v>SC4923SO-N-TR</v>
          </cell>
          <cell r="P15004" t="str">
            <v>SC4009D</v>
          </cell>
          <cell r="Q15004" t="str">
            <v>磁性位置传感器</v>
          </cell>
        </row>
        <row r="15005">
          <cell r="O15005" t="str">
            <v>SC4923SO-N-TR</v>
          </cell>
          <cell r="P15005" t="str">
            <v>SC4009D</v>
          </cell>
          <cell r="Q15005" t="str">
            <v>磁性位置传感器</v>
          </cell>
        </row>
        <row r="15006">
          <cell r="O15006" t="str">
            <v>SC2402SO-N-TR</v>
          </cell>
          <cell r="P15006" t="str">
            <v>STC9G002A</v>
          </cell>
          <cell r="Q15006" t="str">
            <v>磁性位置传感器</v>
          </cell>
        </row>
        <row r="15007">
          <cell r="O15007" t="str">
            <v>SD2276VB-BK</v>
          </cell>
          <cell r="P15007" t="str">
            <v>FD1014A</v>
          </cell>
          <cell r="Q15007" t="str">
            <v>电机驱动</v>
          </cell>
        </row>
        <row r="15008">
          <cell r="O15008" t="str">
            <v>SC1645B1</v>
          </cell>
          <cell r="P15008" t="str">
            <v>STC2899AE</v>
          </cell>
          <cell r="Q15008" t="str">
            <v>磁性位置传感器</v>
          </cell>
        </row>
        <row r="15009">
          <cell r="O15009" t="str">
            <v>SD2276VB-BK</v>
          </cell>
          <cell r="P15009" t="str">
            <v>FD1014A</v>
          </cell>
          <cell r="Q15009" t="str">
            <v>电机驱动</v>
          </cell>
        </row>
        <row r="15010">
          <cell r="O15010" t="str">
            <v>SD2276VB-BK</v>
          </cell>
          <cell r="P15010" t="str">
            <v>FD1014A</v>
          </cell>
          <cell r="Q15010" t="str">
            <v>电机驱动</v>
          </cell>
        </row>
        <row r="15011">
          <cell r="O15011" t="str">
            <v>SD2276VB-BK</v>
          </cell>
          <cell r="P15011" t="str">
            <v>FD1014A</v>
          </cell>
          <cell r="Q15011" t="str">
            <v>电机驱动</v>
          </cell>
        </row>
        <row r="15012">
          <cell r="O15012" t="str">
            <v>SD211VB-BK</v>
          </cell>
          <cell r="P15012" t="str">
            <v>FD1016A</v>
          </cell>
          <cell r="Q15012" t="str">
            <v>电机驱动</v>
          </cell>
        </row>
        <row r="15013">
          <cell r="O15013" t="str">
            <v>SC1645A1-BK</v>
          </cell>
          <cell r="P15013" t="str">
            <v>STC2899AE</v>
          </cell>
          <cell r="Q15013" t="str">
            <v>磁性位置传感器</v>
          </cell>
        </row>
        <row r="15014">
          <cell r="O15014" t="str">
            <v>SC1645A1-BK</v>
          </cell>
          <cell r="P15014" t="str">
            <v>STC2899AE</v>
          </cell>
          <cell r="Q15014" t="str">
            <v>磁性位置传感器</v>
          </cell>
        </row>
        <row r="15015">
          <cell r="O15015" t="str">
            <v>SC1645A1-BK</v>
          </cell>
          <cell r="P15015" t="str">
            <v>STC2899AE</v>
          </cell>
          <cell r="Q15015" t="str">
            <v>磁性位置传感器</v>
          </cell>
        </row>
        <row r="15016">
          <cell r="O15016" t="str">
            <v>SC1645A1-BK</v>
          </cell>
          <cell r="P15016" t="str">
            <v>STC2899AE</v>
          </cell>
          <cell r="Q15016" t="str">
            <v>磁性位置传感器</v>
          </cell>
        </row>
        <row r="15017">
          <cell r="O15017" t="str">
            <v>SC1645A1-BK</v>
          </cell>
          <cell r="P15017" t="str">
            <v>STC2899AE</v>
          </cell>
          <cell r="Q15017" t="str">
            <v>磁性位置传感器</v>
          </cell>
        </row>
        <row r="15018">
          <cell r="O15018" t="str">
            <v>SC1645A1-BK</v>
          </cell>
          <cell r="P15018" t="str">
            <v>STC2899AE</v>
          </cell>
          <cell r="Q15018" t="str">
            <v>磁性位置传感器</v>
          </cell>
        </row>
        <row r="15019">
          <cell r="O15019" t="str">
            <v>SC1645A1-BK</v>
          </cell>
          <cell r="P15019" t="str">
            <v>STC2899AE</v>
          </cell>
          <cell r="Q15019" t="str">
            <v>磁性位置传感器</v>
          </cell>
        </row>
        <row r="15020">
          <cell r="O15020" t="str">
            <v>SC4015SO-N-A-TR</v>
          </cell>
          <cell r="P15020" t="str">
            <v>STC4011E</v>
          </cell>
          <cell r="Q15020" t="str">
            <v>磁性位置传感器</v>
          </cell>
        </row>
        <row r="15021">
          <cell r="O15021" t="str">
            <v>SC4923SO-N-TR</v>
          </cell>
          <cell r="P15021" t="str">
            <v>SC4009D</v>
          </cell>
          <cell r="Q15021" t="str">
            <v>磁性位置传感器</v>
          </cell>
        </row>
        <row r="15022">
          <cell r="O15022" t="str">
            <v>SC4923SO-N-TR</v>
          </cell>
          <cell r="P15022" t="str">
            <v>SC4009D</v>
          </cell>
          <cell r="Q15022" t="str">
            <v>磁性位置传感器</v>
          </cell>
        </row>
        <row r="15023">
          <cell r="O15023" t="str">
            <v>SC9632VB</v>
          </cell>
          <cell r="P15023" t="str">
            <v>STC9905E</v>
          </cell>
          <cell r="Q15023" t="str">
            <v>速度传感器</v>
          </cell>
        </row>
        <row r="15024">
          <cell r="O15024" t="str">
            <v>SC2462SO</v>
          </cell>
          <cell r="P15024" t="str">
            <v>STC9906J</v>
          </cell>
          <cell r="Q15024" t="str">
            <v>磁性位置传感器</v>
          </cell>
        </row>
        <row r="15025">
          <cell r="O15025" t="str">
            <v>SC1134UA-BK</v>
          </cell>
          <cell r="P15025" t="str">
            <v>STC1898AI</v>
          </cell>
          <cell r="Q15025" t="str">
            <v>磁性位置传感器</v>
          </cell>
        </row>
        <row r="15026">
          <cell r="O15026" t="str">
            <v>SC1134UA-BK</v>
          </cell>
          <cell r="P15026" t="str">
            <v>STC1898AI</v>
          </cell>
          <cell r="Q15026" t="str">
            <v>磁性位置传感器</v>
          </cell>
        </row>
        <row r="15027">
          <cell r="O15027" t="str">
            <v>SC1134BU-TR</v>
          </cell>
          <cell r="P15027" t="str">
            <v>STC1898AI</v>
          </cell>
          <cell r="Q15027" t="str">
            <v>磁性位置传感器</v>
          </cell>
        </row>
        <row r="15028">
          <cell r="O15028" t="str">
            <v>SC2432SO-TR</v>
          </cell>
          <cell r="P15028" t="str">
            <v>STC9906M</v>
          </cell>
          <cell r="Q15028" t="str">
            <v>磁性位置传感器</v>
          </cell>
        </row>
        <row r="15029">
          <cell r="O15029" t="str">
            <v>SC1245SO-N-TR</v>
          </cell>
          <cell r="P15029" t="str">
            <v>STC1898AD</v>
          </cell>
          <cell r="Q15029" t="str">
            <v>磁性位置传感器</v>
          </cell>
        </row>
        <row r="15030">
          <cell r="O15030" t="str">
            <v>SC1245SO-N-TR</v>
          </cell>
          <cell r="P15030" t="str">
            <v>STC1898AD</v>
          </cell>
          <cell r="Q15030" t="str">
            <v>磁性位置传感器</v>
          </cell>
        </row>
        <row r="15031">
          <cell r="O15031" t="str">
            <v>SC2442SO-N-TR-Q</v>
          </cell>
          <cell r="P15031" t="str">
            <v>STC11102B</v>
          </cell>
          <cell r="Q15031" t="str">
            <v>磁性位置传感器</v>
          </cell>
        </row>
        <row r="15032">
          <cell r="O15032" t="str">
            <v>SC2442SO-N-TR-Q</v>
          </cell>
          <cell r="P15032" t="str">
            <v>STC11102B</v>
          </cell>
          <cell r="Q15032" t="str">
            <v>磁性位置传感器</v>
          </cell>
        </row>
        <row r="15033">
          <cell r="O15033" t="str">
            <v>SC2402SO-N-TR</v>
          </cell>
          <cell r="P15033" t="str">
            <v>STC9G002A</v>
          </cell>
          <cell r="Q15033" t="str">
            <v>磁性位置传感器</v>
          </cell>
        </row>
        <row r="15034">
          <cell r="O15034" t="str">
            <v>SC2434SO-N</v>
          </cell>
          <cell r="P15034" t="str">
            <v>STC9906I</v>
          </cell>
          <cell r="Q15034" t="str">
            <v>磁性位置传感器</v>
          </cell>
        </row>
        <row r="15035">
          <cell r="O15035" t="str">
            <v>SC4002BU</v>
          </cell>
          <cell r="P15035" t="str">
            <v>STC4000AA</v>
          </cell>
          <cell r="Q15035" t="str">
            <v>磁性位置传感器</v>
          </cell>
        </row>
        <row r="15036">
          <cell r="O15036" t="str">
            <v>SC2462SO</v>
          </cell>
          <cell r="P15036" t="str">
            <v>STC9906J</v>
          </cell>
          <cell r="Q15036" t="str">
            <v>磁性位置传感器</v>
          </cell>
        </row>
        <row r="15037">
          <cell r="O15037" t="str">
            <v>SC2432SO-N</v>
          </cell>
          <cell r="P15037" t="str">
            <v>STC9906I</v>
          </cell>
          <cell r="Q15037" t="str">
            <v>磁性位置传感器</v>
          </cell>
        </row>
        <row r="15038">
          <cell r="O15038" t="str">
            <v>SC2432SO-N</v>
          </cell>
          <cell r="P15038" t="str">
            <v>STC9906I</v>
          </cell>
          <cell r="Q15038" t="str">
            <v>磁性位置传感器</v>
          </cell>
        </row>
        <row r="15039">
          <cell r="O15039" t="str">
            <v>SC2432SO-N</v>
          </cell>
          <cell r="P15039" t="str">
            <v>STC9906I</v>
          </cell>
          <cell r="Q15039" t="str">
            <v>磁性位置传感器</v>
          </cell>
        </row>
        <row r="15040">
          <cell r="O15040" t="str">
            <v>SC4688DC-TR-Q</v>
          </cell>
          <cell r="P15040" t="str">
            <v>STC9D01C</v>
          </cell>
          <cell r="Q15040" t="str">
            <v>角度传感器</v>
          </cell>
        </row>
        <row r="15041">
          <cell r="O15041" t="str">
            <v>SC2432SO-TR-Q</v>
          </cell>
          <cell r="P15041" t="str">
            <v>STC9906M</v>
          </cell>
          <cell r="Q15041" t="str">
            <v>磁性位置传感器</v>
          </cell>
        </row>
        <row r="15042">
          <cell r="O15042" t="str">
            <v>SC9314UA</v>
          </cell>
          <cell r="P15042" t="str">
            <v>STC9901AF</v>
          </cell>
          <cell r="Q15042" t="str">
            <v>速度传感器</v>
          </cell>
        </row>
        <row r="15043">
          <cell r="O15043" t="str">
            <v>SC9314UA-BK</v>
          </cell>
          <cell r="P15043" t="str">
            <v>STC9901AF</v>
          </cell>
          <cell r="Q15043" t="str">
            <v>速度传感器</v>
          </cell>
        </row>
        <row r="15044">
          <cell r="O15044" t="str">
            <v>SC9314UA-BK</v>
          </cell>
          <cell r="P15044" t="str">
            <v>STC9901AF</v>
          </cell>
          <cell r="Q15044" t="str">
            <v>速度传感器</v>
          </cell>
        </row>
        <row r="15045">
          <cell r="O15045" t="str">
            <v>SC4002BU</v>
          </cell>
          <cell r="P15045" t="str">
            <v>STC4000AA</v>
          </cell>
          <cell r="Q15045" t="str">
            <v>磁性位置传感器</v>
          </cell>
        </row>
        <row r="15046">
          <cell r="O15046" t="str">
            <v>SC4002BU</v>
          </cell>
          <cell r="P15046" t="str">
            <v>STC4000AA</v>
          </cell>
          <cell r="Q15046" t="str">
            <v>磁性位置传感器</v>
          </cell>
        </row>
        <row r="15047">
          <cell r="O15047" t="str">
            <v>SC2443SO</v>
          </cell>
          <cell r="P15047" t="str">
            <v>STC9906T</v>
          </cell>
          <cell r="Q15047" t="str">
            <v>磁性位置传感器</v>
          </cell>
        </row>
        <row r="15048">
          <cell r="O15048" t="str">
            <v>SC2443SO</v>
          </cell>
          <cell r="P15048" t="str">
            <v>STC9906T</v>
          </cell>
          <cell r="Q15048" t="str">
            <v>磁性位置传感器</v>
          </cell>
        </row>
        <row r="15049">
          <cell r="O15049" t="str">
            <v>SC2443SO</v>
          </cell>
          <cell r="P15049" t="str">
            <v>STC9906T</v>
          </cell>
          <cell r="Q15049" t="str">
            <v>磁性位置传感器</v>
          </cell>
        </row>
        <row r="15050">
          <cell r="O15050" t="str">
            <v>SC2443SO</v>
          </cell>
          <cell r="P15050" t="str">
            <v>STC9906T</v>
          </cell>
          <cell r="Q15050" t="str">
            <v>磁性位置传感器</v>
          </cell>
        </row>
        <row r="15051">
          <cell r="O15051" t="str">
            <v>SC2443SO</v>
          </cell>
          <cell r="P15051" t="str">
            <v>STC9906T</v>
          </cell>
          <cell r="Q15051" t="str">
            <v>磁性位置传感器</v>
          </cell>
        </row>
        <row r="15052">
          <cell r="O15052" t="str">
            <v>SC2443SO</v>
          </cell>
          <cell r="P15052" t="str">
            <v>STC9906T</v>
          </cell>
          <cell r="Q15052" t="str">
            <v>磁性位置传感器</v>
          </cell>
        </row>
        <row r="15053">
          <cell r="O15053" t="str">
            <v>SC2443SO</v>
          </cell>
          <cell r="P15053" t="str">
            <v>STC9906T</v>
          </cell>
          <cell r="Q15053" t="str">
            <v>磁性位置传感器</v>
          </cell>
        </row>
        <row r="15054">
          <cell r="O15054" t="str">
            <v>SC2443SO</v>
          </cell>
          <cell r="P15054" t="str">
            <v>STC9906T</v>
          </cell>
          <cell r="Q15054" t="str">
            <v>磁性位置传感器</v>
          </cell>
        </row>
        <row r="15055">
          <cell r="O15055" t="str">
            <v>SC2443SO</v>
          </cell>
          <cell r="P15055" t="str">
            <v>STC9906T</v>
          </cell>
          <cell r="Q15055" t="str">
            <v>磁性位置传感器</v>
          </cell>
        </row>
        <row r="15056">
          <cell r="O15056" t="str">
            <v>SC2443SO</v>
          </cell>
          <cell r="P15056" t="str">
            <v>STC9906T</v>
          </cell>
          <cell r="Q15056" t="str">
            <v>磁性位置传感器</v>
          </cell>
        </row>
        <row r="15057">
          <cell r="O15057" t="str">
            <v>SC2443SO</v>
          </cell>
          <cell r="P15057" t="str">
            <v>STC9906T</v>
          </cell>
          <cell r="Q15057" t="str">
            <v>磁性位置传感器</v>
          </cell>
        </row>
        <row r="15058">
          <cell r="O15058" t="str">
            <v>SC2443SO</v>
          </cell>
          <cell r="P15058" t="str">
            <v>STC9906T</v>
          </cell>
          <cell r="Q15058" t="str">
            <v>磁性位置传感器</v>
          </cell>
        </row>
        <row r="15059">
          <cell r="O15059" t="str">
            <v>SC2443SO</v>
          </cell>
          <cell r="P15059" t="str">
            <v>STC9906T</v>
          </cell>
          <cell r="Q15059" t="str">
            <v>磁性位置传感器</v>
          </cell>
        </row>
        <row r="15060">
          <cell r="O15060" t="str">
            <v>SC2443SO</v>
          </cell>
          <cell r="P15060" t="str">
            <v>STC9906T</v>
          </cell>
          <cell r="Q15060" t="str">
            <v>磁性位置传感器</v>
          </cell>
        </row>
        <row r="15061">
          <cell r="O15061" t="str">
            <v>SC2443SO</v>
          </cell>
          <cell r="P15061" t="str">
            <v>STC9906T</v>
          </cell>
          <cell r="Q15061" t="str">
            <v>磁性位置传感器</v>
          </cell>
        </row>
        <row r="15062">
          <cell r="O15062" t="str">
            <v>SC2443SO</v>
          </cell>
          <cell r="P15062" t="str">
            <v>STC9906T</v>
          </cell>
          <cell r="Q15062" t="str">
            <v>磁性位置传感器</v>
          </cell>
        </row>
        <row r="15063">
          <cell r="O15063" t="str">
            <v>SC2443SO</v>
          </cell>
          <cell r="P15063" t="str">
            <v>STC9906T</v>
          </cell>
          <cell r="Q15063" t="str">
            <v>磁性位置传感器</v>
          </cell>
        </row>
        <row r="15064">
          <cell r="O15064" t="str">
            <v>SC4643VB-G-BK-Q</v>
          </cell>
          <cell r="P15064" t="str">
            <v>STC9D03E</v>
          </cell>
          <cell r="Q15064" t="str">
            <v>电流传感器</v>
          </cell>
        </row>
        <row r="15065">
          <cell r="O15065" t="str">
            <v>SC4643VB-G-BK-Q</v>
          </cell>
          <cell r="P15065" t="str">
            <v>STC9D03E</v>
          </cell>
          <cell r="Q15065" t="str">
            <v>电流传感器</v>
          </cell>
        </row>
        <row r="15066">
          <cell r="O15066" t="str">
            <v>SC4688SA</v>
          </cell>
          <cell r="P15066" t="str">
            <v>STC9D01C</v>
          </cell>
          <cell r="Q15066" t="str">
            <v>角度传感器</v>
          </cell>
        </row>
        <row r="15067">
          <cell r="O15067" t="str">
            <v>SC4688SA</v>
          </cell>
          <cell r="P15067" t="str">
            <v>STC9D01C</v>
          </cell>
          <cell r="Q15067" t="str">
            <v>角度传感器</v>
          </cell>
        </row>
        <row r="15068">
          <cell r="O15068" t="str">
            <v>SC4688SA</v>
          </cell>
          <cell r="P15068" t="str">
            <v>STC9D01C</v>
          </cell>
          <cell r="Q15068" t="str">
            <v>角度传感器</v>
          </cell>
        </row>
        <row r="15069">
          <cell r="O15069" t="str">
            <v>SC4688SA</v>
          </cell>
          <cell r="P15069" t="str">
            <v>STC9D01C</v>
          </cell>
          <cell r="Q15069" t="str">
            <v>角度传感器</v>
          </cell>
        </row>
        <row r="15070">
          <cell r="O15070" t="str">
            <v>SC1138SO-N</v>
          </cell>
          <cell r="P15070" t="str">
            <v>STC1898AC</v>
          </cell>
          <cell r="Q15070" t="str">
            <v>磁性位置传感器</v>
          </cell>
        </row>
        <row r="15071">
          <cell r="O15071" t="str">
            <v>SC1138SO-N</v>
          </cell>
          <cell r="P15071" t="str">
            <v>STC1898AC</v>
          </cell>
          <cell r="Q15071" t="str">
            <v>磁性位置传感器</v>
          </cell>
        </row>
        <row r="15072">
          <cell r="O15072" t="str">
            <v>SC1138SO-N</v>
          </cell>
          <cell r="P15072" t="str">
            <v>STC1898AC</v>
          </cell>
          <cell r="Q15072" t="str">
            <v>磁性位置传感器</v>
          </cell>
        </row>
        <row r="15073">
          <cell r="O15073" t="str">
            <v>SC1138SO-N</v>
          </cell>
          <cell r="P15073" t="str">
            <v>STC1898AC</v>
          </cell>
          <cell r="Q15073" t="str">
            <v>磁性位置传感器</v>
          </cell>
        </row>
        <row r="15074">
          <cell r="O15074" t="str">
            <v>SC9641TS</v>
          </cell>
          <cell r="P15074" t="str">
            <v>STC9910BN</v>
          </cell>
          <cell r="Q15074" t="str">
            <v>速度传感器</v>
          </cell>
        </row>
        <row r="15075">
          <cell r="O15075" t="str">
            <v>SC9641TS</v>
          </cell>
          <cell r="P15075" t="str">
            <v>STC9910BN</v>
          </cell>
          <cell r="Q15075" t="str">
            <v>速度传感器</v>
          </cell>
        </row>
        <row r="15076">
          <cell r="O15076" t="str">
            <v>SC9641TS</v>
          </cell>
          <cell r="P15076" t="str">
            <v>STC9910BN</v>
          </cell>
          <cell r="Q15076" t="str">
            <v>速度传感器</v>
          </cell>
        </row>
        <row r="15077">
          <cell r="O15077" t="str">
            <v>SC1445S2-BK</v>
          </cell>
          <cell r="P15077" t="str">
            <v>STC2899AB</v>
          </cell>
          <cell r="Q15077" t="str">
            <v>磁性位置传感器</v>
          </cell>
        </row>
        <row r="15078">
          <cell r="O15078" t="str">
            <v>SC4695DC</v>
          </cell>
          <cell r="P15078" t="str">
            <v>STC9D01C</v>
          </cell>
          <cell r="Q15078" t="str">
            <v>角度传感器</v>
          </cell>
        </row>
        <row r="15079">
          <cell r="O15079" t="str">
            <v>SC4695DC</v>
          </cell>
          <cell r="P15079" t="str">
            <v>STC9D01C</v>
          </cell>
          <cell r="Q15079" t="str">
            <v>角度传感器</v>
          </cell>
        </row>
        <row r="15080">
          <cell r="O15080" t="str">
            <v>SC4695DC</v>
          </cell>
          <cell r="P15080" t="str">
            <v>STC9D01C</v>
          </cell>
          <cell r="Q15080" t="str">
            <v>角度传感器</v>
          </cell>
        </row>
        <row r="15081">
          <cell r="O15081" t="str">
            <v>SC4695DC</v>
          </cell>
          <cell r="P15081" t="str">
            <v>STC9D01C</v>
          </cell>
          <cell r="Q15081" t="str">
            <v>角度传感器</v>
          </cell>
        </row>
        <row r="15082">
          <cell r="O15082" t="str">
            <v>SC4695DC</v>
          </cell>
          <cell r="P15082" t="str">
            <v>STC9D01C</v>
          </cell>
          <cell r="Q15082" t="str">
            <v>角度传感器</v>
          </cell>
        </row>
        <row r="15083">
          <cell r="O15083" t="str">
            <v>SC4688DC-TR-Q</v>
          </cell>
          <cell r="P15083" t="str">
            <v>STC9D01C</v>
          </cell>
          <cell r="Q15083" t="str">
            <v>角度传感器</v>
          </cell>
        </row>
        <row r="15084">
          <cell r="O15084" t="str">
            <v>SC4688DC-TR-Q</v>
          </cell>
          <cell r="P15084" t="str">
            <v>STC9D01C</v>
          </cell>
          <cell r="Q15084" t="str">
            <v>角度传感器</v>
          </cell>
        </row>
        <row r="15085">
          <cell r="O15085" t="str">
            <v>SC4688DC-TR-Q</v>
          </cell>
          <cell r="P15085" t="str">
            <v>STC9D01C</v>
          </cell>
          <cell r="Q15085" t="str">
            <v>角度传感器</v>
          </cell>
        </row>
        <row r="15086">
          <cell r="O15086" t="str">
            <v>SC4688DC-TR-Q</v>
          </cell>
          <cell r="P15086" t="str">
            <v>STC9D01C</v>
          </cell>
          <cell r="Q15086" t="str">
            <v>角度传感器</v>
          </cell>
        </row>
        <row r="15087">
          <cell r="O15087" t="str">
            <v>SC4688DC-TR-Q</v>
          </cell>
          <cell r="P15087" t="str">
            <v>STC9D01C</v>
          </cell>
          <cell r="Q15087" t="str">
            <v>角度传感器</v>
          </cell>
        </row>
        <row r="15088">
          <cell r="O15088" t="str">
            <v>SC9314UA</v>
          </cell>
          <cell r="P15088" t="str">
            <v>STC9901AF</v>
          </cell>
          <cell r="Q15088" t="str">
            <v>速度传感器</v>
          </cell>
        </row>
        <row r="15089">
          <cell r="O15089" t="str">
            <v>SC9314UA</v>
          </cell>
          <cell r="P15089" t="str">
            <v>STC9901AF</v>
          </cell>
          <cell r="Q15089" t="str">
            <v>速度传感器</v>
          </cell>
        </row>
        <row r="15090">
          <cell r="O15090" t="str">
            <v>SC60104</v>
          </cell>
          <cell r="P15090" t="str">
            <v>STC9D02C</v>
          </cell>
          <cell r="Q15090" t="str">
            <v>电机编码器</v>
          </cell>
        </row>
        <row r="15091">
          <cell r="O15091" t="str">
            <v>SC60104</v>
          </cell>
          <cell r="P15091" t="str">
            <v>STC9D02C</v>
          </cell>
          <cell r="Q15091" t="str">
            <v>电机编码器</v>
          </cell>
        </row>
        <row r="15092">
          <cell r="O15092" t="str">
            <v>SC60104</v>
          </cell>
          <cell r="P15092" t="str">
            <v>STC9D02C</v>
          </cell>
          <cell r="Q15092" t="str">
            <v>电机编码器</v>
          </cell>
        </row>
        <row r="15093">
          <cell r="O15093" t="str">
            <v>SC60224-D-1024</v>
          </cell>
          <cell r="P15093" t="str">
            <v>STC9D04C</v>
          </cell>
          <cell r="Q15093" t="str">
            <v>电机编码器</v>
          </cell>
        </row>
        <row r="15094">
          <cell r="O15094" t="str">
            <v>SC1645B2-BK</v>
          </cell>
          <cell r="P15094" t="str">
            <v>STC2899AI</v>
          </cell>
          <cell r="Q15094" t="str">
            <v>磁性位置传感器</v>
          </cell>
        </row>
        <row r="15095">
          <cell r="O15095" t="str">
            <v>SC1645B2-BK</v>
          </cell>
          <cell r="P15095" t="str">
            <v>STC2899AI</v>
          </cell>
          <cell r="Q15095" t="str">
            <v>磁性位置传感器</v>
          </cell>
        </row>
        <row r="15096">
          <cell r="O15096" t="str">
            <v>SC2064SO-TR</v>
          </cell>
          <cell r="P15096" t="str">
            <v>STC9G001C</v>
          </cell>
          <cell r="Q15096" t="str">
            <v>磁性位置传感器</v>
          </cell>
        </row>
        <row r="15097">
          <cell r="O15097" t="str">
            <v>SC2442SO-N-TR-Q</v>
          </cell>
          <cell r="P15097" t="str">
            <v>STC11102B</v>
          </cell>
          <cell r="Q15097" t="str">
            <v>磁性位置传感器</v>
          </cell>
        </row>
        <row r="15098">
          <cell r="O15098" t="str">
            <v>SC2442SO-N-TR-Q</v>
          </cell>
          <cell r="P15098" t="str">
            <v>STC11102B</v>
          </cell>
          <cell r="Q15098" t="str">
            <v>磁性位置传感器</v>
          </cell>
        </row>
        <row r="15099">
          <cell r="O15099" t="str">
            <v>SC2442SO-N-TR-Q</v>
          </cell>
          <cell r="P15099" t="str">
            <v>STC11102B</v>
          </cell>
          <cell r="Q15099" t="str">
            <v>磁性位置传感器</v>
          </cell>
        </row>
        <row r="15100">
          <cell r="O15100" t="str">
            <v>SC2442SO-N-TR-Q</v>
          </cell>
          <cell r="P15100" t="str">
            <v>STC11102B</v>
          </cell>
          <cell r="Q15100" t="str">
            <v>磁性位置传感器</v>
          </cell>
        </row>
        <row r="15101">
          <cell r="O15101" t="str">
            <v>SC2442SO-N-TR-Q</v>
          </cell>
          <cell r="P15101" t="str">
            <v>STC11102B</v>
          </cell>
          <cell r="Q15101" t="str">
            <v>磁性位置传感器</v>
          </cell>
        </row>
        <row r="15102">
          <cell r="O15102" t="str">
            <v>SC2430UA-BK</v>
          </cell>
          <cell r="P15102" t="str">
            <v>STC9906I</v>
          </cell>
          <cell r="Q15102" t="str">
            <v>磁性位置传感器</v>
          </cell>
        </row>
        <row r="15103">
          <cell r="O15103" t="str">
            <v>SC2430UA-BK</v>
          </cell>
          <cell r="P15103" t="str">
            <v>STC9906I</v>
          </cell>
          <cell r="Q15103" t="str">
            <v>磁性位置传感器</v>
          </cell>
        </row>
        <row r="15104">
          <cell r="O15104" t="str">
            <v>SC2064SO-TR</v>
          </cell>
          <cell r="P15104" t="str">
            <v>STC9G001C</v>
          </cell>
          <cell r="Q15104" t="str">
            <v>磁性位置传感器</v>
          </cell>
        </row>
        <row r="15105">
          <cell r="O15105" t="str">
            <v>SC4015SO-N-A-TR</v>
          </cell>
          <cell r="P15105" t="str">
            <v>STC4011E</v>
          </cell>
          <cell r="Q15105" t="str">
            <v>磁性位置传感器</v>
          </cell>
        </row>
        <row r="15106">
          <cell r="O15106" t="str">
            <v>SC4015SO-N-A-TR</v>
          </cell>
          <cell r="P15106" t="str">
            <v>STC4011E</v>
          </cell>
          <cell r="Q15106" t="str">
            <v>磁性位置传感器</v>
          </cell>
        </row>
        <row r="15107">
          <cell r="O15107" t="str">
            <v>SC4015SO-N-A-TR</v>
          </cell>
          <cell r="P15107" t="str">
            <v>STC4011E</v>
          </cell>
          <cell r="Q15107" t="str">
            <v>磁性位置传感器</v>
          </cell>
        </row>
        <row r="15108">
          <cell r="O15108" t="str">
            <v>SC4015SO-N-A-TR</v>
          </cell>
          <cell r="P15108" t="str">
            <v>STC4011E</v>
          </cell>
          <cell r="Q15108" t="str">
            <v>磁性位置传感器</v>
          </cell>
        </row>
        <row r="15109">
          <cell r="O15109" t="str">
            <v>SC4015SO-N-A-TR</v>
          </cell>
          <cell r="P15109" t="str">
            <v>STC4011E</v>
          </cell>
          <cell r="Q15109" t="str">
            <v>磁性位置传感器</v>
          </cell>
        </row>
        <row r="15110">
          <cell r="O15110" t="str">
            <v>SC4015SO-N-A-TR</v>
          </cell>
          <cell r="P15110" t="str">
            <v>STC4011E</v>
          </cell>
          <cell r="Q15110" t="str">
            <v>磁性位置传感器</v>
          </cell>
        </row>
        <row r="15111">
          <cell r="O15111" t="str">
            <v>SC4015SO-N-A-TR</v>
          </cell>
          <cell r="P15111" t="str">
            <v>STC4011E</v>
          </cell>
          <cell r="Q15111" t="str">
            <v>磁性位置传感器</v>
          </cell>
        </row>
        <row r="15112">
          <cell r="O15112" t="str">
            <v>SC4015SO-N-A-TR</v>
          </cell>
          <cell r="P15112" t="str">
            <v>STC4011E</v>
          </cell>
          <cell r="Q15112" t="str">
            <v>磁性位置传感器</v>
          </cell>
        </row>
        <row r="15113">
          <cell r="O15113" t="str">
            <v>SC4015SO-N-A-TR</v>
          </cell>
          <cell r="P15113" t="str">
            <v>STC4011E</v>
          </cell>
          <cell r="Q15113" t="str">
            <v>磁性位置传感器</v>
          </cell>
        </row>
        <row r="15114">
          <cell r="O15114" t="str">
            <v>SC9633VB</v>
          </cell>
          <cell r="P15114" t="str">
            <v>STC9905F</v>
          </cell>
          <cell r="Q15114" t="str">
            <v>速度传感器</v>
          </cell>
        </row>
        <row r="15115">
          <cell r="O15115" t="str">
            <v>SC9621VB</v>
          </cell>
          <cell r="P15115" t="str">
            <v>STC9910C</v>
          </cell>
          <cell r="Q15115" t="str">
            <v>速度传感器</v>
          </cell>
        </row>
        <row r="15116">
          <cell r="O15116" t="str">
            <v>SC9641TS-P-TR</v>
          </cell>
          <cell r="P15116" t="str">
            <v>STC9A001I</v>
          </cell>
          <cell r="Q15116" t="str">
            <v>速度传感器</v>
          </cell>
        </row>
        <row r="15117">
          <cell r="O15117" t="str">
            <v>SC9641TS-P-TR</v>
          </cell>
          <cell r="P15117" t="str">
            <v>STC9A001I</v>
          </cell>
          <cell r="Q15117" t="str">
            <v>速度传感器</v>
          </cell>
        </row>
        <row r="15118">
          <cell r="O15118" t="str">
            <v>SC9641TS-P-TR</v>
          </cell>
          <cell r="P15118" t="str">
            <v>STC9A001I</v>
          </cell>
          <cell r="Q15118" t="str">
            <v>速度传感器</v>
          </cell>
        </row>
        <row r="15119">
          <cell r="O15119" t="str">
            <v>SC9641TS-P-TR</v>
          </cell>
          <cell r="P15119" t="str">
            <v>STC9A001I</v>
          </cell>
          <cell r="Q15119" t="str">
            <v>速度传感器</v>
          </cell>
        </row>
        <row r="15120">
          <cell r="O15120" t="str">
            <v>SC9641TS-P-TR</v>
          </cell>
          <cell r="P15120" t="str">
            <v>STC9A001I</v>
          </cell>
          <cell r="Q15120" t="str">
            <v>速度传感器</v>
          </cell>
        </row>
        <row r="15121">
          <cell r="O15121" t="str">
            <v>SC9641TS-P-TR</v>
          </cell>
          <cell r="P15121" t="str">
            <v>STC9A001I</v>
          </cell>
          <cell r="Q15121" t="str">
            <v>速度传感器</v>
          </cell>
        </row>
        <row r="15122">
          <cell r="O15122" t="str">
            <v>SC9641TS-P-TR</v>
          </cell>
          <cell r="P15122" t="str">
            <v>STC9A001I</v>
          </cell>
          <cell r="Q15122" t="str">
            <v>速度传感器</v>
          </cell>
        </row>
        <row r="15123">
          <cell r="O15123" t="str">
            <v>SC9641TS-P-TR</v>
          </cell>
          <cell r="P15123" t="str">
            <v>STC9A001I</v>
          </cell>
          <cell r="Q15123" t="str">
            <v>速度传感器</v>
          </cell>
        </row>
        <row r="15124">
          <cell r="O15124" t="str">
            <v>SC9625VB</v>
          </cell>
          <cell r="P15124" t="str">
            <v>STC9910E</v>
          </cell>
          <cell r="Q15124" t="str">
            <v>速度传感器</v>
          </cell>
        </row>
        <row r="15125">
          <cell r="O15125" t="str">
            <v>SC9625VB</v>
          </cell>
          <cell r="P15125" t="str">
            <v>STC9910E</v>
          </cell>
          <cell r="Q15125" t="str">
            <v>速度传感器</v>
          </cell>
        </row>
        <row r="15126">
          <cell r="O15126" t="str">
            <v>SC9625VB</v>
          </cell>
          <cell r="P15126" t="str">
            <v>STC9910E</v>
          </cell>
          <cell r="Q15126" t="str">
            <v>速度传感器</v>
          </cell>
        </row>
        <row r="15127">
          <cell r="O15127" t="str">
            <v>SC9625VB-L</v>
          </cell>
          <cell r="P15127" t="str">
            <v>STC9910E</v>
          </cell>
          <cell r="Q15127" t="str">
            <v>速度传感器</v>
          </cell>
        </row>
        <row r="15128">
          <cell r="O15128" t="str">
            <v>SC9625VB-L</v>
          </cell>
          <cell r="P15128" t="str">
            <v>STC9910E</v>
          </cell>
          <cell r="Q15128" t="str">
            <v>速度传感器</v>
          </cell>
        </row>
        <row r="15129">
          <cell r="O15129" t="str">
            <v>SC9625VB-L</v>
          </cell>
          <cell r="P15129" t="str">
            <v>STC9910E</v>
          </cell>
          <cell r="Q15129" t="str">
            <v>速度传感器</v>
          </cell>
        </row>
        <row r="15130">
          <cell r="O15130" t="str">
            <v>SC9625VB-L</v>
          </cell>
          <cell r="P15130" t="str">
            <v>STC9910E</v>
          </cell>
          <cell r="Q15130" t="str">
            <v>速度传感器</v>
          </cell>
        </row>
        <row r="15131">
          <cell r="O15131" t="str">
            <v>SC9625VB-L</v>
          </cell>
          <cell r="P15131" t="str">
            <v>STC9910E</v>
          </cell>
          <cell r="Q15131" t="str">
            <v>速度传感器</v>
          </cell>
        </row>
        <row r="15132">
          <cell r="O15132" t="str">
            <v>SC9625VB-L</v>
          </cell>
          <cell r="P15132" t="str">
            <v>STC9910E</v>
          </cell>
          <cell r="Q15132" t="str">
            <v>速度传感器</v>
          </cell>
        </row>
        <row r="15133">
          <cell r="O15133" t="str">
            <v>SC9625VB-L</v>
          </cell>
          <cell r="P15133" t="str">
            <v>STC9910E</v>
          </cell>
          <cell r="Q15133" t="str">
            <v>速度传感器</v>
          </cell>
        </row>
        <row r="15134">
          <cell r="O15134" t="str">
            <v>SC9625VB-L</v>
          </cell>
          <cell r="P15134" t="str">
            <v>STC9910E</v>
          </cell>
          <cell r="Q15134" t="str">
            <v>速度传感器</v>
          </cell>
        </row>
        <row r="15135">
          <cell r="O15135" t="str">
            <v>SC9625VB-L</v>
          </cell>
          <cell r="P15135" t="str">
            <v>STC9910E</v>
          </cell>
          <cell r="Q15135" t="str">
            <v>速度传感器</v>
          </cell>
        </row>
        <row r="15136">
          <cell r="O15136" t="str">
            <v>SC9621VB</v>
          </cell>
          <cell r="P15136" t="str">
            <v>STC9910C</v>
          </cell>
          <cell r="Q15136" t="str">
            <v>速度传感器</v>
          </cell>
        </row>
        <row r="15137">
          <cell r="O15137" t="str">
            <v>SC2402SO-N-TR</v>
          </cell>
          <cell r="P15137" t="str">
            <v>STC9G002A</v>
          </cell>
          <cell r="Q15137" t="str">
            <v>磁性位置传感器</v>
          </cell>
        </row>
        <row r="15138">
          <cell r="O15138" t="str">
            <v>SC2442SO-TR-Q</v>
          </cell>
          <cell r="P15138" t="str">
            <v>STC11102B</v>
          </cell>
          <cell r="Q15138" t="str">
            <v>磁性位置传感器</v>
          </cell>
        </row>
        <row r="15139">
          <cell r="O15139" t="str">
            <v>SC9641TS-PC-TR-Q</v>
          </cell>
          <cell r="P15139" t="str">
            <v>STC9A001I</v>
          </cell>
          <cell r="Q15139" t="str">
            <v>速度传感器</v>
          </cell>
        </row>
        <row r="15140">
          <cell r="O15140" t="str">
            <v>SC2064SO-TR</v>
          </cell>
          <cell r="P15140" t="str">
            <v>STC9G001C</v>
          </cell>
          <cell r="Q15140" t="str">
            <v>磁性位置传感器</v>
          </cell>
        </row>
        <row r="15141">
          <cell r="O15141" t="str">
            <v>VE1430Q1CA3R33</v>
          </cell>
          <cell r="P15141" t="str">
            <v>VA2201D</v>
          </cell>
          <cell r="Q15141" t="str">
            <v>电源管理</v>
          </cell>
        </row>
        <row r="15142">
          <cell r="O15142" t="str">
            <v>SC9641TS-PC-TR-Q</v>
          </cell>
          <cell r="P15142" t="str">
            <v>STC9A001I</v>
          </cell>
          <cell r="Q15142" t="str">
            <v>速度传感器</v>
          </cell>
        </row>
        <row r="15143">
          <cell r="O15143" t="str">
            <v>SC9641TS-PC-TR-Q</v>
          </cell>
          <cell r="P15143" t="str">
            <v>STC9A001I</v>
          </cell>
          <cell r="Q15143" t="str">
            <v>速度传感器</v>
          </cell>
        </row>
        <row r="15144">
          <cell r="O15144" t="str">
            <v>SC2948SO</v>
          </cell>
          <cell r="P15144" t="str">
            <v>STC11102A</v>
          </cell>
          <cell r="Q15144" t="str">
            <v>磁性位置传感器</v>
          </cell>
        </row>
        <row r="15145">
          <cell r="O15145" t="str">
            <v>SC2442SO-TR-Q</v>
          </cell>
          <cell r="P15145" t="str">
            <v>STC11102B</v>
          </cell>
          <cell r="Q15145" t="str">
            <v>磁性位置传感器</v>
          </cell>
        </row>
        <row r="15146">
          <cell r="O15146" t="str">
            <v>SC2442SO-TR-Q</v>
          </cell>
          <cell r="P15146" t="str">
            <v>STC11102B</v>
          </cell>
          <cell r="Q15146" t="str">
            <v>磁性位置传感器</v>
          </cell>
        </row>
        <row r="15147">
          <cell r="O15147" t="str">
            <v>SC2432SO-N</v>
          </cell>
          <cell r="P15147" t="str">
            <v>STC9906I</v>
          </cell>
          <cell r="Q15147" t="str">
            <v>磁性位置传感器</v>
          </cell>
        </row>
        <row r="15148">
          <cell r="O15148" t="str">
            <v>SC9314UA</v>
          </cell>
          <cell r="P15148" t="str">
            <v>STC9901AF</v>
          </cell>
          <cell r="Q15148" t="str">
            <v>速度传感器</v>
          </cell>
        </row>
        <row r="15149">
          <cell r="O15149" t="str">
            <v>SC9314UA</v>
          </cell>
          <cell r="P15149" t="str">
            <v>STC9901AF</v>
          </cell>
          <cell r="Q15149" t="str">
            <v>速度传感器</v>
          </cell>
        </row>
        <row r="15150">
          <cell r="O15150" t="str">
            <v>SC9314UA</v>
          </cell>
          <cell r="P15150" t="str">
            <v>STC9901AF</v>
          </cell>
          <cell r="Q15150" t="str">
            <v>速度传感器</v>
          </cell>
        </row>
        <row r="15151">
          <cell r="O15151" t="str">
            <v>SC9314UA</v>
          </cell>
          <cell r="P15151" t="str">
            <v>STC9901AF</v>
          </cell>
          <cell r="Q15151" t="str">
            <v>速度传感器</v>
          </cell>
        </row>
        <row r="15152">
          <cell r="O15152" t="str">
            <v>SC9314UA</v>
          </cell>
          <cell r="P15152" t="str">
            <v>STC9901AF</v>
          </cell>
          <cell r="Q15152" t="str">
            <v>速度传感器</v>
          </cell>
        </row>
        <row r="15153">
          <cell r="O15153" t="str">
            <v>SC9314UA</v>
          </cell>
          <cell r="P15153" t="str">
            <v>STC9901AF</v>
          </cell>
          <cell r="Q15153" t="str">
            <v>速度传感器</v>
          </cell>
        </row>
        <row r="15154">
          <cell r="O15154" t="str">
            <v>SC9314UA</v>
          </cell>
          <cell r="P15154" t="str">
            <v>STC9901AF</v>
          </cell>
          <cell r="Q15154" t="str">
            <v>速度传感器</v>
          </cell>
        </row>
        <row r="15155">
          <cell r="O15155" t="str">
            <v>SC9314UA</v>
          </cell>
          <cell r="P15155" t="str">
            <v>STC9901AF</v>
          </cell>
          <cell r="Q15155" t="str">
            <v>速度传感器</v>
          </cell>
        </row>
        <row r="15156">
          <cell r="O15156" t="str">
            <v>SC9675IM-P-HRF00</v>
          </cell>
          <cell r="P15156" t="str">
            <v>STC9A002B</v>
          </cell>
          <cell r="Q15156" t="str">
            <v>速度传感器</v>
          </cell>
        </row>
        <row r="15157">
          <cell r="O15157" t="str">
            <v>SC9314UA</v>
          </cell>
          <cell r="P15157" t="str">
            <v>STC9901AF</v>
          </cell>
          <cell r="Q15157" t="str">
            <v>速度传感器</v>
          </cell>
        </row>
        <row r="15158">
          <cell r="O15158" t="str">
            <v>SC9314UA</v>
          </cell>
          <cell r="P15158" t="str">
            <v>STC9901AF</v>
          </cell>
          <cell r="Q15158" t="str">
            <v>速度传感器</v>
          </cell>
        </row>
        <row r="15159">
          <cell r="O15159" t="str">
            <v>SC9314UA</v>
          </cell>
          <cell r="P15159" t="str">
            <v>STC9901AF</v>
          </cell>
          <cell r="Q15159" t="str">
            <v>速度传感器</v>
          </cell>
        </row>
        <row r="15160">
          <cell r="O15160" t="str">
            <v>SC9314UA-BK</v>
          </cell>
          <cell r="P15160" t="str">
            <v>STC9901AF</v>
          </cell>
          <cell r="Q15160" t="str">
            <v>速度传感器</v>
          </cell>
        </row>
        <row r="15161">
          <cell r="O15161" t="str">
            <v>SC1945B1-BK</v>
          </cell>
          <cell r="P15161" t="str">
            <v>STC2899AJ</v>
          </cell>
          <cell r="Q15161" t="str">
            <v>磁性位置传感器</v>
          </cell>
        </row>
        <row r="15162">
          <cell r="O15162" t="str">
            <v>SC1645A1-BK</v>
          </cell>
          <cell r="P15162" t="str">
            <v>STC2899AE</v>
          </cell>
          <cell r="Q15162" t="str">
            <v>磁性位置传感器</v>
          </cell>
        </row>
        <row r="15163">
          <cell r="O15163" t="str">
            <v>SC60220</v>
          </cell>
          <cell r="P15163" t="str">
            <v>STC9D04C</v>
          </cell>
          <cell r="Q15163" t="str">
            <v>电机编码器</v>
          </cell>
        </row>
        <row r="15164">
          <cell r="O15164" t="str">
            <v>SC60220</v>
          </cell>
          <cell r="P15164" t="str">
            <v>STC9D04C</v>
          </cell>
          <cell r="Q15164" t="str">
            <v>电机编码器</v>
          </cell>
        </row>
        <row r="15165">
          <cell r="O15165" t="str">
            <v>SC60221-D-256</v>
          </cell>
          <cell r="P15165" t="str">
            <v>STC9D04C</v>
          </cell>
          <cell r="Q15165" t="str">
            <v>电机编码器</v>
          </cell>
        </row>
        <row r="15166">
          <cell r="O15166" t="str">
            <v>SC1138SO-N</v>
          </cell>
          <cell r="P15166" t="str">
            <v>STC1898AC</v>
          </cell>
          <cell r="Q15166" t="str">
            <v>磁性位置传感器</v>
          </cell>
        </row>
        <row r="15167">
          <cell r="O15167" t="str">
            <v>SC1138SO-N</v>
          </cell>
          <cell r="P15167" t="str">
            <v>STC1898AC</v>
          </cell>
          <cell r="Q15167" t="str">
            <v>磁性位置传感器</v>
          </cell>
        </row>
        <row r="15168">
          <cell r="O15168" t="str">
            <v>SC2462SO</v>
          </cell>
          <cell r="P15168" t="str">
            <v>STC9906J</v>
          </cell>
          <cell r="Q15168" t="str">
            <v>磁性位置传感器</v>
          </cell>
        </row>
        <row r="15169">
          <cell r="O15169" t="str">
            <v>STC9902J</v>
          </cell>
          <cell r="P15169" t="str">
            <v>STC9902J</v>
          </cell>
          <cell r="Q15169" t="str">
            <v>磁性位置传感器</v>
          </cell>
        </row>
        <row r="15170">
          <cell r="O15170" t="str">
            <v>SD477VB-BK</v>
          </cell>
          <cell r="P15170" t="str">
            <v>STC22304C</v>
          </cell>
          <cell r="Q15170" t="str">
            <v>电机驱动</v>
          </cell>
        </row>
        <row r="15171">
          <cell r="O15171" t="str">
            <v>SC4015SO-N-A-TR</v>
          </cell>
          <cell r="P15171" t="str">
            <v>STC4011E</v>
          </cell>
          <cell r="Q15171" t="str">
            <v>磁性位置传感器</v>
          </cell>
        </row>
        <row r="15172">
          <cell r="O15172" t="str">
            <v>SC1134UA-BK</v>
          </cell>
          <cell r="P15172" t="str">
            <v>STC1898AI</v>
          </cell>
          <cell r="Q15172" t="str">
            <v>磁性位置传感器</v>
          </cell>
        </row>
        <row r="15173">
          <cell r="O15173" t="str">
            <v>SC1134UA-BK</v>
          </cell>
          <cell r="P15173" t="str">
            <v>STC1898AI</v>
          </cell>
          <cell r="Q15173" t="str">
            <v>磁性位置传感器</v>
          </cell>
        </row>
        <row r="15174">
          <cell r="O15174" t="str">
            <v>SC2434SO-N-TR</v>
          </cell>
          <cell r="P15174" t="str">
            <v>STC9906I</v>
          </cell>
          <cell r="Q15174" t="str">
            <v>磁性位置传感器</v>
          </cell>
        </row>
        <row r="15175">
          <cell r="O15175" t="str">
            <v>SC60221-D-50</v>
          </cell>
          <cell r="P15175" t="str">
            <v>STC9D04C</v>
          </cell>
          <cell r="Q15175" t="str">
            <v>电机编码器</v>
          </cell>
        </row>
        <row r="15176">
          <cell r="O15176" t="str">
            <v>SC2442SO-N-TR-Q</v>
          </cell>
          <cell r="P15176" t="str">
            <v>STC11102B</v>
          </cell>
          <cell r="Q15176" t="str">
            <v>磁性位置传感器</v>
          </cell>
        </row>
        <row r="15177">
          <cell r="O15177" t="str">
            <v>SC2442SO-N-TR-Q</v>
          </cell>
          <cell r="P15177" t="str">
            <v>STC11102B</v>
          </cell>
          <cell r="Q15177" t="str">
            <v>磁性位置传感器</v>
          </cell>
        </row>
        <row r="15178">
          <cell r="O15178" t="str">
            <v>SC2442SO-N-TR-Q</v>
          </cell>
          <cell r="P15178" t="str">
            <v>STC11102B</v>
          </cell>
          <cell r="Q15178" t="str">
            <v>磁性位置传感器</v>
          </cell>
        </row>
        <row r="15179">
          <cell r="O15179" t="str">
            <v>SC2442SO-N-TR-Q</v>
          </cell>
          <cell r="P15179" t="str">
            <v>STC11102B</v>
          </cell>
          <cell r="Q15179" t="str">
            <v>磁性位置传感器</v>
          </cell>
        </row>
        <row r="15180">
          <cell r="O15180" t="str">
            <v>SC9641TS-PC-TR-Q</v>
          </cell>
          <cell r="P15180" t="str">
            <v>STC9A001I</v>
          </cell>
          <cell r="Q15180" t="str">
            <v>速度传感器</v>
          </cell>
        </row>
        <row r="15181">
          <cell r="O15181" t="str">
            <v>SC9675IM-P-LRF00</v>
          </cell>
          <cell r="P15181" t="str">
            <v>STC9A002B</v>
          </cell>
          <cell r="Q15181" t="str">
            <v>速度传感器</v>
          </cell>
        </row>
        <row r="15182">
          <cell r="O15182" t="str">
            <v>SC9675IM-P-LRF00</v>
          </cell>
          <cell r="P15182" t="str">
            <v>STC9A002B</v>
          </cell>
          <cell r="Q15182" t="str">
            <v>速度传感器</v>
          </cell>
        </row>
        <row r="15183">
          <cell r="O15183" t="str">
            <v>SC9675IM-P-LRF00</v>
          </cell>
          <cell r="P15183" t="str">
            <v>STC9A002B</v>
          </cell>
          <cell r="Q15183" t="str">
            <v>速度传感器</v>
          </cell>
        </row>
        <row r="15184">
          <cell r="O15184" t="str">
            <v>SC9675IM-P-LRF00</v>
          </cell>
          <cell r="P15184" t="str">
            <v>STC9A002B</v>
          </cell>
          <cell r="Q15184" t="str">
            <v>速度传感器</v>
          </cell>
        </row>
        <row r="15185">
          <cell r="O15185" t="str">
            <v>SC9675IM-P-LRF00</v>
          </cell>
          <cell r="P15185" t="str">
            <v>STC9A002B</v>
          </cell>
          <cell r="Q15185" t="str">
            <v>速度传感器</v>
          </cell>
        </row>
        <row r="15186">
          <cell r="O15186" t="str">
            <v>SC9675IM-P-LRF00</v>
          </cell>
          <cell r="P15186" t="str">
            <v>STC9A002B</v>
          </cell>
          <cell r="Q15186" t="str">
            <v>速度传感器</v>
          </cell>
        </row>
        <row r="15187">
          <cell r="O15187" t="str">
            <v>SC9675IM-P-LRF00</v>
          </cell>
          <cell r="P15187" t="str">
            <v>STC9A002B</v>
          </cell>
          <cell r="Q15187" t="str">
            <v>速度传感器</v>
          </cell>
        </row>
        <row r="15188">
          <cell r="O15188" t="str">
            <v>SC9641TS-P-TR</v>
          </cell>
          <cell r="P15188" t="str">
            <v>STC9A001I</v>
          </cell>
          <cell r="Q15188" t="str">
            <v>速度传感器</v>
          </cell>
        </row>
        <row r="15189">
          <cell r="O15189" t="str">
            <v>SC9641TS-P-TR</v>
          </cell>
          <cell r="P15189" t="str">
            <v>STC9A001I</v>
          </cell>
          <cell r="Q15189" t="str">
            <v>速度传感器</v>
          </cell>
        </row>
        <row r="15190">
          <cell r="O15190" t="str">
            <v>SC9641TS-P-TR</v>
          </cell>
          <cell r="P15190" t="str">
            <v>STC9A001I</v>
          </cell>
          <cell r="Q15190" t="str">
            <v>速度传感器</v>
          </cell>
        </row>
        <row r="15191">
          <cell r="O15191" t="str">
            <v>SC9641TS-PC-TR-Q</v>
          </cell>
          <cell r="P15191" t="str">
            <v>STC9A001I</v>
          </cell>
          <cell r="Q15191" t="str">
            <v>速度传感器</v>
          </cell>
        </row>
        <row r="15192">
          <cell r="O15192" t="str">
            <v>SC9641TS-PC-TR-Q</v>
          </cell>
          <cell r="P15192" t="str">
            <v>STC9A001I</v>
          </cell>
          <cell r="Q15192" t="str">
            <v>速度传感器</v>
          </cell>
        </row>
        <row r="15193">
          <cell r="O15193" t="str">
            <v>SC2443SO</v>
          </cell>
          <cell r="P15193" t="str">
            <v>STC9906T</v>
          </cell>
          <cell r="Q15193" t="str">
            <v>磁性位置传感器</v>
          </cell>
        </row>
        <row r="15194">
          <cell r="O15194" t="str">
            <v>SC2443SO</v>
          </cell>
          <cell r="P15194" t="str">
            <v>STC9906T</v>
          </cell>
          <cell r="Q15194" t="str">
            <v>磁性位置传感器</v>
          </cell>
        </row>
        <row r="15195">
          <cell r="O15195" t="str">
            <v>SC2443UA</v>
          </cell>
          <cell r="P15195" t="str">
            <v>STC9906W</v>
          </cell>
          <cell r="Q15195" t="str">
            <v>磁性位置传感器</v>
          </cell>
        </row>
        <row r="15196">
          <cell r="O15196" t="str">
            <v>SC2443UA</v>
          </cell>
          <cell r="P15196" t="str">
            <v>STC9906W</v>
          </cell>
          <cell r="Q15196" t="str">
            <v>磁性位置传感器</v>
          </cell>
        </row>
        <row r="15197">
          <cell r="O15197" t="str">
            <v>SC2443UA</v>
          </cell>
          <cell r="P15197" t="str">
            <v>STC9906W</v>
          </cell>
          <cell r="Q15197" t="str">
            <v>磁性位置传感器</v>
          </cell>
        </row>
        <row r="15198">
          <cell r="O15198" t="str">
            <v>SC2443UA</v>
          </cell>
          <cell r="P15198" t="str">
            <v>STC9906W</v>
          </cell>
          <cell r="Q15198" t="str">
            <v>磁性位置传感器</v>
          </cell>
        </row>
        <row r="15199">
          <cell r="O15199" t="str">
            <v>SC2443UA</v>
          </cell>
          <cell r="P15199" t="str">
            <v>STC9906W</v>
          </cell>
          <cell r="Q15199" t="str">
            <v>磁性位置传感器</v>
          </cell>
        </row>
        <row r="15200">
          <cell r="O15200" t="str">
            <v>SC2443UA</v>
          </cell>
          <cell r="P15200" t="str">
            <v>STC9906W</v>
          </cell>
          <cell r="Q15200" t="str">
            <v>磁性位置传感器</v>
          </cell>
        </row>
        <row r="15201">
          <cell r="O15201" t="str">
            <v>SC2443UA</v>
          </cell>
          <cell r="P15201" t="str">
            <v>STC9906W</v>
          </cell>
          <cell r="Q15201" t="str">
            <v>磁性位置传感器</v>
          </cell>
        </row>
        <row r="15202">
          <cell r="O15202" t="str">
            <v>SC2443UA</v>
          </cell>
          <cell r="P15202" t="str">
            <v>STC9906W</v>
          </cell>
          <cell r="Q15202" t="str">
            <v>磁性位置传感器</v>
          </cell>
        </row>
        <row r="15203">
          <cell r="O15203" t="str">
            <v>SC2443UA</v>
          </cell>
          <cell r="P15203" t="str">
            <v>STC9906W</v>
          </cell>
          <cell r="Q15203" t="str">
            <v>磁性位置传感器</v>
          </cell>
        </row>
        <row r="15204">
          <cell r="O15204" t="str">
            <v>SC60370</v>
          </cell>
          <cell r="P15204" t="str">
            <v>STC9D05C</v>
          </cell>
          <cell r="Q15204" t="str">
            <v>电机编码器</v>
          </cell>
        </row>
        <row r="15205">
          <cell r="O15205" t="str">
            <v>SC2442SO-N-TR-Q</v>
          </cell>
          <cell r="P15205" t="str">
            <v>STC9906P</v>
          </cell>
          <cell r="Q15205" t="str">
            <v>磁性位置传感器</v>
          </cell>
        </row>
        <row r="15206">
          <cell r="O15206" t="str">
            <v>SC1645A1-BK</v>
          </cell>
          <cell r="P15206" t="str">
            <v>STC2899AE</v>
          </cell>
          <cell r="Q15206" t="str">
            <v>磁性位置传感器</v>
          </cell>
        </row>
        <row r="15207">
          <cell r="O15207" t="str">
            <v>SC1645A1-BK</v>
          </cell>
          <cell r="P15207" t="str">
            <v>STC2899AE</v>
          </cell>
          <cell r="Q15207" t="str">
            <v>磁性位置传感器</v>
          </cell>
        </row>
        <row r="15208">
          <cell r="O15208" t="str">
            <v>SC1645A1-BK</v>
          </cell>
          <cell r="P15208" t="str">
            <v>STC2899AE</v>
          </cell>
          <cell r="Q15208" t="str">
            <v>磁性位置传感器</v>
          </cell>
        </row>
        <row r="15209">
          <cell r="O15209" t="str">
            <v>SC60224-D-1000</v>
          </cell>
          <cell r="P15209" t="str">
            <v>STC9D04C</v>
          </cell>
          <cell r="Q15209" t="str">
            <v>电机编码器</v>
          </cell>
        </row>
        <row r="15210">
          <cell r="O15210" t="str">
            <v>SC69401D</v>
          </cell>
          <cell r="P15210" t="str">
            <v>STC9H002DQ</v>
          </cell>
          <cell r="Q15210" t="str">
            <v>角度传感器</v>
          </cell>
        </row>
        <row r="15211">
          <cell r="O15211" t="str">
            <v>SC60370</v>
          </cell>
          <cell r="P15211" t="str">
            <v>STC9D05C</v>
          </cell>
          <cell r="Q15211" t="str">
            <v>电机编码器</v>
          </cell>
        </row>
        <row r="15212">
          <cell r="O15212" t="str">
            <v>SC60370</v>
          </cell>
          <cell r="P15212" t="str">
            <v>STC9D05C</v>
          </cell>
          <cell r="Q15212" t="str">
            <v>电机编码器</v>
          </cell>
        </row>
        <row r="15213">
          <cell r="O15213" t="str">
            <v>SC60370</v>
          </cell>
          <cell r="P15213" t="str">
            <v>STC9D05C</v>
          </cell>
          <cell r="Q15213" t="str">
            <v>电机编码器</v>
          </cell>
        </row>
        <row r="15214">
          <cell r="O15214" t="str">
            <v>SC60221-U-P1-256-244-mai</v>
          </cell>
          <cell r="P15214" t="str">
            <v>STC9D04C</v>
          </cell>
          <cell r="Q15214" t="str">
            <v>电机编码器</v>
          </cell>
        </row>
        <row r="15215">
          <cell r="O15215" t="str">
            <v>SC60221-U-P1-256-244-mai</v>
          </cell>
          <cell r="P15215" t="str">
            <v>STC9D04C</v>
          </cell>
          <cell r="Q15215" t="str">
            <v>电机编码器</v>
          </cell>
        </row>
        <row r="15216">
          <cell r="O15216" t="str">
            <v>SC2064SO-TR</v>
          </cell>
          <cell r="P15216" t="str">
            <v>STC9G001C</v>
          </cell>
          <cell r="Q15216" t="str">
            <v>磁性位置传感器</v>
          </cell>
        </row>
        <row r="15217">
          <cell r="O15217" t="str">
            <v>SD477VB-BK</v>
          </cell>
          <cell r="P15217" t="str">
            <v>STC22304C</v>
          </cell>
          <cell r="Q15217" t="str">
            <v>电机驱动</v>
          </cell>
        </row>
        <row r="15218">
          <cell r="O15218" t="str">
            <v>SC2063SO-TR</v>
          </cell>
          <cell r="P15218" t="str">
            <v>STC9G001C</v>
          </cell>
          <cell r="Q15218" t="str">
            <v>磁性位置传感器</v>
          </cell>
        </row>
        <row r="15219">
          <cell r="O15219" t="str">
            <v>SC2063SO-TR</v>
          </cell>
          <cell r="P15219" t="str">
            <v>STC9G001C</v>
          </cell>
          <cell r="Q15219" t="str">
            <v>磁性位置传感器</v>
          </cell>
        </row>
        <row r="15220">
          <cell r="O15220" t="str">
            <v>SC1645A1-BK</v>
          </cell>
          <cell r="P15220" t="str">
            <v>STC2899AE</v>
          </cell>
          <cell r="Q15220" t="str">
            <v>磁性位置传感器</v>
          </cell>
        </row>
        <row r="15221">
          <cell r="O15221" t="str">
            <v>SC1645A1-BK</v>
          </cell>
          <cell r="P15221" t="str">
            <v>STC2899AE</v>
          </cell>
          <cell r="Q15221" t="str">
            <v>磁性位置传感器</v>
          </cell>
        </row>
        <row r="15222">
          <cell r="O15222" t="str">
            <v>SC4688SA</v>
          </cell>
          <cell r="P15222" t="str">
            <v>STC9D01C</v>
          </cell>
          <cell r="Q15222" t="str">
            <v>角度传感器</v>
          </cell>
        </row>
        <row r="15223">
          <cell r="O15223" t="str">
            <v>SC1134UA-BK</v>
          </cell>
          <cell r="P15223" t="str">
            <v>STC1898AI</v>
          </cell>
          <cell r="Q15223" t="str">
            <v>磁性位置传感器</v>
          </cell>
        </row>
        <row r="15224">
          <cell r="O15224" t="str">
            <v>SC60221-D-256</v>
          </cell>
          <cell r="P15224" t="str">
            <v>STC9D04C</v>
          </cell>
          <cell r="Q15224" t="str">
            <v>电机编码器</v>
          </cell>
        </row>
        <row r="15225">
          <cell r="O15225" t="str">
            <v>SC60221-D-256</v>
          </cell>
          <cell r="P15225" t="str">
            <v>STC9D04C</v>
          </cell>
          <cell r="Q15225" t="str">
            <v>电机编码器</v>
          </cell>
        </row>
        <row r="15226">
          <cell r="O15226" t="str">
            <v>SC2434SO-N-TR</v>
          </cell>
          <cell r="P15226" t="str">
            <v>STC9906I</v>
          </cell>
          <cell r="Q15226" t="str">
            <v>磁性位置传感器</v>
          </cell>
        </row>
        <row r="15227">
          <cell r="O15227" t="str">
            <v>SC1134UA-BK</v>
          </cell>
          <cell r="P15227" t="str">
            <v>STC1898AI</v>
          </cell>
          <cell r="Q15227" t="str">
            <v>磁性位置传感器</v>
          </cell>
        </row>
        <row r="15228">
          <cell r="O15228" t="str">
            <v>SC1134UA-BK</v>
          </cell>
          <cell r="P15228" t="str">
            <v>STC1898AI</v>
          </cell>
          <cell r="Q15228" t="str">
            <v>磁性位置传感器</v>
          </cell>
        </row>
        <row r="15229">
          <cell r="O15229" t="str">
            <v>SC1134UA-BK</v>
          </cell>
          <cell r="P15229" t="str">
            <v>STC1898AI</v>
          </cell>
          <cell r="Q15229" t="str">
            <v>磁性位置传感器</v>
          </cell>
        </row>
        <row r="15230">
          <cell r="O15230" t="str">
            <v>SC1134UA-BK</v>
          </cell>
          <cell r="P15230" t="str">
            <v>STC1898AI</v>
          </cell>
          <cell r="Q15230" t="str">
            <v>磁性位置传感器</v>
          </cell>
        </row>
        <row r="15231">
          <cell r="O15231" t="str">
            <v>SC2442SO-N-TR-Q</v>
          </cell>
          <cell r="P15231" t="str">
            <v>STC11102B</v>
          </cell>
          <cell r="Q15231" t="str">
            <v>磁性位置传感器</v>
          </cell>
        </row>
        <row r="15232">
          <cell r="O15232" t="str">
            <v>SC2442SO-N-TR-Q</v>
          </cell>
          <cell r="P15232" t="str">
            <v>STC11102B</v>
          </cell>
          <cell r="Q15232" t="str">
            <v>磁性位置传感器</v>
          </cell>
        </row>
        <row r="15233">
          <cell r="O15233" t="str">
            <v>SD211VB-BK</v>
          </cell>
          <cell r="P15233" t="str">
            <v>FD1016A</v>
          </cell>
          <cell r="Q15233" t="str">
            <v>电机驱动</v>
          </cell>
        </row>
        <row r="15234">
          <cell r="O15234" t="str">
            <v>SD211VB-BK</v>
          </cell>
          <cell r="P15234" t="str">
            <v>FD1016A</v>
          </cell>
          <cell r="Q15234" t="str">
            <v>电机驱动</v>
          </cell>
        </row>
        <row r="15235">
          <cell r="O15235" t="str">
            <v>SD211VB-BK</v>
          </cell>
          <cell r="P15235" t="str">
            <v>FD1016A</v>
          </cell>
          <cell r="Q15235" t="str">
            <v>电机驱动</v>
          </cell>
        </row>
        <row r="15236">
          <cell r="O15236" t="str">
            <v>SD2276VB-BK</v>
          </cell>
          <cell r="P15236" t="str">
            <v>FD1014A</v>
          </cell>
          <cell r="Q15236" t="str">
            <v>电机驱动</v>
          </cell>
        </row>
        <row r="15237">
          <cell r="O15237" t="str">
            <v>SD2276VB-BK</v>
          </cell>
          <cell r="P15237" t="str">
            <v>FD1014A</v>
          </cell>
          <cell r="Q15237" t="str">
            <v>电机驱动</v>
          </cell>
        </row>
        <row r="15238">
          <cell r="O15238" t="str">
            <v>SD2276VB-BK</v>
          </cell>
          <cell r="P15238" t="str">
            <v>FD1014A</v>
          </cell>
          <cell r="Q15238" t="str">
            <v>电机驱动</v>
          </cell>
        </row>
        <row r="15239">
          <cell r="O15239" t="str">
            <v>SC2402SO-N-TR</v>
          </cell>
          <cell r="P15239" t="str">
            <v>STC9G002A</v>
          </cell>
          <cell r="Q15239" t="str">
            <v>磁性位置传感器</v>
          </cell>
        </row>
        <row r="15240">
          <cell r="O15240" t="str">
            <v>SC2402SO-N-TR</v>
          </cell>
          <cell r="P15240" t="str">
            <v>STC9G002A</v>
          </cell>
          <cell r="Q15240" t="str">
            <v>磁性位置传感器</v>
          </cell>
        </row>
        <row r="15241">
          <cell r="O15241" t="str">
            <v>SC2402SO-N-TR</v>
          </cell>
          <cell r="P15241" t="str">
            <v>STC9G002A</v>
          </cell>
          <cell r="Q15241" t="str">
            <v>磁性位置传感器</v>
          </cell>
        </row>
        <row r="15242">
          <cell r="O15242" t="str">
            <v>SC2402SO-N-TR</v>
          </cell>
          <cell r="P15242" t="str">
            <v>STC9G002A</v>
          </cell>
          <cell r="Q15242" t="str">
            <v>磁性位置传感器</v>
          </cell>
        </row>
        <row r="15243">
          <cell r="O15243" t="str">
            <v>SC2402SO-N-TR</v>
          </cell>
          <cell r="P15243" t="str">
            <v>STC9G002A</v>
          </cell>
          <cell r="Q15243" t="str">
            <v>磁性位置传感器</v>
          </cell>
        </row>
        <row r="15244">
          <cell r="O15244" t="str">
            <v>SC2402SO-N-TR</v>
          </cell>
          <cell r="P15244" t="str">
            <v>STC9G002A</v>
          </cell>
          <cell r="Q15244" t="str">
            <v>磁性位置传感器</v>
          </cell>
        </row>
        <row r="15245">
          <cell r="O15245" t="str">
            <v>SC2402SO-N-TR</v>
          </cell>
          <cell r="P15245" t="str">
            <v>STC9G002A</v>
          </cell>
          <cell r="Q15245" t="str">
            <v>磁性位置传感器</v>
          </cell>
        </row>
        <row r="15246">
          <cell r="O15246" t="str">
            <v>SC2402SO-N-TR</v>
          </cell>
          <cell r="P15246" t="str">
            <v>STC9G002A</v>
          </cell>
          <cell r="Q15246" t="str">
            <v>磁性位置传感器</v>
          </cell>
        </row>
        <row r="15247">
          <cell r="O15247" t="str">
            <v>SC2402SO-N-TR</v>
          </cell>
          <cell r="P15247" t="str">
            <v>STC9G002A</v>
          </cell>
          <cell r="Q15247" t="str">
            <v>磁性位置传感器</v>
          </cell>
        </row>
        <row r="15248">
          <cell r="O15248" t="str">
            <v>SC2442UA-BK-Q</v>
          </cell>
          <cell r="P15248" t="str">
            <v>STC11102B</v>
          </cell>
          <cell r="Q15248" t="str">
            <v>磁性位置传感器</v>
          </cell>
        </row>
        <row r="15249">
          <cell r="O15249" t="str">
            <v>SC2432SO-TR-Q</v>
          </cell>
          <cell r="P15249" t="str">
            <v>STC9906M</v>
          </cell>
          <cell r="Q15249" t="str">
            <v>磁性位置传感器</v>
          </cell>
        </row>
        <row r="15250">
          <cell r="O15250" t="str">
            <v>SC2442SO-N-TR-Q</v>
          </cell>
          <cell r="P15250" t="str">
            <v>STC9906P</v>
          </cell>
          <cell r="Q15250" t="str">
            <v>磁性位置传感器</v>
          </cell>
        </row>
        <row r="15251">
          <cell r="O15251" t="str">
            <v>SC2442SO-N-TR-Q</v>
          </cell>
          <cell r="P15251" t="str">
            <v>STC9906P</v>
          </cell>
          <cell r="Q15251" t="str">
            <v>磁性位置传感器</v>
          </cell>
        </row>
        <row r="15252">
          <cell r="O15252" t="str">
            <v>SC2442SO-N-TR-Q</v>
          </cell>
          <cell r="P15252" t="str">
            <v>STC9906P</v>
          </cell>
          <cell r="Q15252" t="str">
            <v>磁性位置传感器</v>
          </cell>
        </row>
        <row r="15253">
          <cell r="O15253" t="str">
            <v>SC2442SO-N-TR-Q</v>
          </cell>
          <cell r="P15253" t="str">
            <v>STC9906P</v>
          </cell>
          <cell r="Q15253" t="str">
            <v>磁性位置传感器</v>
          </cell>
        </row>
        <row r="15254">
          <cell r="O15254" t="str">
            <v>SC2442SO-N-TR-Q</v>
          </cell>
          <cell r="P15254" t="str">
            <v>STC9906P</v>
          </cell>
          <cell r="Q15254" t="str">
            <v>磁性位置传感器</v>
          </cell>
        </row>
        <row r="15255">
          <cell r="O15255" t="str">
            <v>SC2242SO-TR-Q</v>
          </cell>
          <cell r="P15255" t="str">
            <v>STC9906H</v>
          </cell>
          <cell r="Q15255" t="str">
            <v>磁性位置传感器</v>
          </cell>
        </row>
        <row r="15256">
          <cell r="O15256" t="str">
            <v>SC2242SO-TR-Q</v>
          </cell>
          <cell r="P15256" t="str">
            <v>STC9906H</v>
          </cell>
          <cell r="Q15256" t="str">
            <v>磁性位置传感器</v>
          </cell>
        </row>
        <row r="15257">
          <cell r="O15257" t="str">
            <v>SC2242SO-TR-Q</v>
          </cell>
          <cell r="P15257" t="str">
            <v>STC9906H</v>
          </cell>
          <cell r="Q15257" t="str">
            <v>磁性位置传感器</v>
          </cell>
        </row>
        <row r="15258">
          <cell r="O15258" t="str">
            <v>V2305C</v>
          </cell>
          <cell r="P15258" t="str">
            <v>V2305C</v>
          </cell>
          <cell r="Q15258" t="str">
            <v>电源管理</v>
          </cell>
        </row>
        <row r="15259">
          <cell r="O15259" t="str">
            <v>SC9642TS-EC-TR-Q</v>
          </cell>
          <cell r="P15259" t="str">
            <v>STC9A001H</v>
          </cell>
          <cell r="Q15259" t="str">
            <v>速度传感器</v>
          </cell>
        </row>
        <row r="15260">
          <cell r="O15260" t="str">
            <v>SC9648TS-TR</v>
          </cell>
          <cell r="P15260" t="str">
            <v>STC9A001I</v>
          </cell>
          <cell r="Q15260" t="str">
            <v>速度传感器</v>
          </cell>
        </row>
        <row r="15261">
          <cell r="O15261" t="str">
            <v>SC9648TS-TR</v>
          </cell>
          <cell r="P15261" t="str">
            <v>STC9A001I</v>
          </cell>
          <cell r="Q15261" t="str">
            <v>速度传感器</v>
          </cell>
        </row>
        <row r="15262">
          <cell r="O15262" t="str">
            <v>SC9648TS-TR</v>
          </cell>
          <cell r="P15262" t="str">
            <v>STC9A001I</v>
          </cell>
          <cell r="Q15262" t="str">
            <v>速度传感器</v>
          </cell>
        </row>
        <row r="15263">
          <cell r="O15263" t="str">
            <v>SC9648TS-TR</v>
          </cell>
          <cell r="P15263" t="str">
            <v>STC9A001I</v>
          </cell>
          <cell r="Q15263" t="str">
            <v>速度传感器</v>
          </cell>
        </row>
        <row r="15264">
          <cell r="O15264" t="str">
            <v>SC9648TS-TR</v>
          </cell>
          <cell r="P15264" t="str">
            <v>STC9A001I</v>
          </cell>
          <cell r="Q15264" t="str">
            <v>速度传感器</v>
          </cell>
        </row>
        <row r="15265">
          <cell r="O15265" t="str">
            <v>SC9648TS-TR</v>
          </cell>
          <cell r="P15265" t="str">
            <v>STC9A001I</v>
          </cell>
          <cell r="Q15265" t="str">
            <v>速度传感器</v>
          </cell>
        </row>
        <row r="15266">
          <cell r="O15266" t="str">
            <v>SC9648TS-TR</v>
          </cell>
          <cell r="P15266" t="str">
            <v>STC9A001I</v>
          </cell>
          <cell r="Q15266" t="str">
            <v>速度传感器</v>
          </cell>
        </row>
        <row r="15267">
          <cell r="O15267" t="str">
            <v>SC2442UA-BK-Q</v>
          </cell>
          <cell r="P15267" t="str">
            <v>STC11102B</v>
          </cell>
          <cell r="Q15267" t="str">
            <v>磁性位置传感器</v>
          </cell>
        </row>
        <row r="15268">
          <cell r="O15268" t="str">
            <v>SC9641TS-P-BK</v>
          </cell>
          <cell r="P15268" t="str">
            <v>STC9A001I</v>
          </cell>
          <cell r="Q15268" t="str">
            <v>速度传感器</v>
          </cell>
        </row>
        <row r="15269">
          <cell r="O15269" t="str">
            <v>SC9641TS-P-BK</v>
          </cell>
          <cell r="P15269" t="str">
            <v>STC9A001I</v>
          </cell>
          <cell r="Q15269" t="str">
            <v>速度传感器</v>
          </cell>
        </row>
        <row r="15270">
          <cell r="O15270" t="str">
            <v>SC2242UA-BK-Q</v>
          </cell>
          <cell r="P15270" t="str">
            <v>STC9906H</v>
          </cell>
          <cell r="Q15270" t="str">
            <v>磁性位置传感器</v>
          </cell>
        </row>
        <row r="15271">
          <cell r="O15271" t="str">
            <v>SC2242UA-BK-Q</v>
          </cell>
          <cell r="P15271" t="str">
            <v>STC9906H</v>
          </cell>
          <cell r="Q15271" t="str">
            <v>磁性位置传感器</v>
          </cell>
        </row>
        <row r="15272">
          <cell r="O15272" t="str">
            <v>SC2432SO-TR</v>
          </cell>
          <cell r="P15272" t="str">
            <v>STC9906M</v>
          </cell>
          <cell r="Q15272" t="str">
            <v>磁性位置传感器</v>
          </cell>
        </row>
        <row r="15273">
          <cell r="O15273" t="str">
            <v>SC1645A1-BK</v>
          </cell>
          <cell r="P15273" t="str">
            <v>STC2899AE</v>
          </cell>
          <cell r="Q15273" t="str">
            <v>磁性位置传感器</v>
          </cell>
        </row>
        <row r="15274">
          <cell r="O15274" t="str">
            <v>SD477VB-BK</v>
          </cell>
          <cell r="P15274" t="str">
            <v>STC22304C</v>
          </cell>
          <cell r="Q15274" t="str">
            <v>电机驱动</v>
          </cell>
        </row>
        <row r="15275">
          <cell r="O15275" t="str">
            <v>SC2242SO-TR-Q</v>
          </cell>
          <cell r="P15275" t="str">
            <v>STC9906H</v>
          </cell>
          <cell r="Q15275" t="str">
            <v>磁性位置传感器</v>
          </cell>
        </row>
        <row r="15276">
          <cell r="O15276" t="str">
            <v>SC1134SO-N</v>
          </cell>
          <cell r="P15276" t="str">
            <v>STC1002AF</v>
          </cell>
          <cell r="Q15276" t="str">
            <v>磁性位置传感器</v>
          </cell>
        </row>
        <row r="15277">
          <cell r="O15277" t="str">
            <v>SC2402SO-N-TR</v>
          </cell>
          <cell r="P15277" t="str">
            <v>STC9G002A</v>
          </cell>
          <cell r="Q15277" t="str">
            <v>磁性位置传感器</v>
          </cell>
        </row>
        <row r="15278">
          <cell r="O15278" t="str">
            <v>SC2402SO-N-TR</v>
          </cell>
          <cell r="P15278" t="str">
            <v>STC9G002A</v>
          </cell>
          <cell r="Q15278" t="str">
            <v>磁性位置传感器</v>
          </cell>
        </row>
        <row r="15279">
          <cell r="O15279" t="str">
            <v>SC2202SO-N-TR</v>
          </cell>
          <cell r="P15279" t="str">
            <v>STC9902E</v>
          </cell>
          <cell r="Q15279" t="str">
            <v>磁性位置传感器</v>
          </cell>
        </row>
        <row r="15280">
          <cell r="O15280" t="str">
            <v>SC2202SO-N-TR</v>
          </cell>
          <cell r="P15280" t="str">
            <v>STC9902E</v>
          </cell>
          <cell r="Q15280" t="str">
            <v>磁性位置传感器</v>
          </cell>
        </row>
        <row r="15281">
          <cell r="O15281" t="str">
            <v>SC2432SO-TR</v>
          </cell>
          <cell r="P15281" t="str">
            <v>STC9906M</v>
          </cell>
          <cell r="Q15281" t="str">
            <v>磁性位置传感器</v>
          </cell>
        </row>
        <row r="15282">
          <cell r="O15282" t="str">
            <v>SC2432SO-TR</v>
          </cell>
          <cell r="P15282" t="str">
            <v>STC9906M</v>
          </cell>
          <cell r="Q15282" t="str">
            <v>磁性位置传感器</v>
          </cell>
        </row>
        <row r="15283">
          <cell r="O15283" t="str">
            <v>SC2432SO-TR-Q</v>
          </cell>
          <cell r="P15283" t="str">
            <v>STC9906M</v>
          </cell>
          <cell r="Q15283" t="str">
            <v>磁性位置传感器</v>
          </cell>
        </row>
        <row r="15284">
          <cell r="O15284" t="str">
            <v>ZH6352B</v>
          </cell>
          <cell r="P15284" t="str">
            <v>ZH6352B</v>
          </cell>
          <cell r="Q15284" t="str">
            <v>电机驱动</v>
          </cell>
        </row>
        <row r="15285">
          <cell r="O15285" t="str">
            <v>ZH6352B</v>
          </cell>
          <cell r="P15285" t="str">
            <v>ZH6352B</v>
          </cell>
          <cell r="Q15285" t="str">
            <v>电机驱动</v>
          </cell>
        </row>
        <row r="15286">
          <cell r="O15286" t="str">
            <v>ZH6219LB</v>
          </cell>
          <cell r="P15286" t="str">
            <v>ZH6219LB</v>
          </cell>
          <cell r="Q15286" t="str">
            <v>电机驱动</v>
          </cell>
        </row>
        <row r="15287">
          <cell r="O15287" t="str">
            <v>SC9314UA-BK</v>
          </cell>
          <cell r="P15287" t="str">
            <v>STC9901AF</v>
          </cell>
          <cell r="Q15287" t="str">
            <v>速度传感器</v>
          </cell>
        </row>
        <row r="15288">
          <cell r="O15288" t="str">
            <v>SC9641TS-P-TR</v>
          </cell>
          <cell r="P15288" t="str">
            <v>STC9A001I</v>
          </cell>
          <cell r="Q15288" t="str">
            <v>速度传感器</v>
          </cell>
        </row>
        <row r="15289">
          <cell r="O15289" t="str">
            <v>SC9641TS-P-TR</v>
          </cell>
          <cell r="P15289" t="str">
            <v>STC9A001I</v>
          </cell>
          <cell r="Q15289" t="str">
            <v>速度传感器</v>
          </cell>
        </row>
        <row r="15290">
          <cell r="O15290" t="str">
            <v>SC9641TS-P-TR</v>
          </cell>
          <cell r="P15290" t="str">
            <v>STC9A001I</v>
          </cell>
          <cell r="Q15290" t="str">
            <v>速度传感器</v>
          </cell>
        </row>
        <row r="15291">
          <cell r="O15291" t="str">
            <v>SC9641TS-P-TR</v>
          </cell>
          <cell r="P15291" t="str">
            <v>STC9A001I</v>
          </cell>
          <cell r="Q15291" t="str">
            <v>速度传感器</v>
          </cell>
        </row>
        <row r="15292">
          <cell r="O15292" t="str">
            <v>SC9641TS-P-TR</v>
          </cell>
          <cell r="P15292" t="str">
            <v>STC9A001I</v>
          </cell>
          <cell r="Q15292" t="str">
            <v>速度传感器</v>
          </cell>
        </row>
        <row r="15293">
          <cell r="O15293" t="str">
            <v>SC9641TS-P-TR</v>
          </cell>
          <cell r="P15293" t="str">
            <v>STC9A001I</v>
          </cell>
          <cell r="Q15293" t="str">
            <v>速度传感器</v>
          </cell>
        </row>
        <row r="15294">
          <cell r="O15294" t="str">
            <v>SC9641TS-P-TR</v>
          </cell>
          <cell r="P15294" t="str">
            <v>STC9A001I</v>
          </cell>
          <cell r="Q15294" t="str">
            <v>速度传感器</v>
          </cell>
        </row>
        <row r="15295">
          <cell r="O15295" t="str">
            <v>SC2498CUA-N</v>
          </cell>
          <cell r="P15295" t="str">
            <v>SC9915C</v>
          </cell>
          <cell r="Q15295" t="str">
            <v>磁性位置传感器</v>
          </cell>
        </row>
        <row r="15296">
          <cell r="O15296" t="str">
            <v>SC2498CUA-N</v>
          </cell>
          <cell r="P15296" t="str">
            <v>SC9915C</v>
          </cell>
          <cell r="Q15296" t="str">
            <v>磁性位置传感器</v>
          </cell>
        </row>
        <row r="15297">
          <cell r="O15297" t="str">
            <v>SC2442SO-N</v>
          </cell>
          <cell r="P15297" t="str">
            <v>STC9906P</v>
          </cell>
          <cell r="Q15297" t="str">
            <v>磁性位置传感器</v>
          </cell>
        </row>
        <row r="15298">
          <cell r="O15298" t="str">
            <v>SC9314UA</v>
          </cell>
          <cell r="P15298" t="str">
            <v>STC9901AF</v>
          </cell>
          <cell r="Q15298" t="str">
            <v>速度传感器</v>
          </cell>
        </row>
        <row r="15299">
          <cell r="O15299" t="str">
            <v>SC9314UA</v>
          </cell>
          <cell r="P15299" t="str">
            <v>STC9901AF</v>
          </cell>
          <cell r="Q15299" t="str">
            <v>速度传感器</v>
          </cell>
        </row>
        <row r="15300">
          <cell r="O15300" t="str">
            <v>SC9675IM-P-LRF00</v>
          </cell>
          <cell r="P15300" t="str">
            <v>STC9A002B</v>
          </cell>
          <cell r="Q15300" t="str">
            <v>速度传感器</v>
          </cell>
        </row>
        <row r="15301">
          <cell r="O15301" t="str">
            <v>SC9675IM-P-LRF01</v>
          </cell>
          <cell r="P15301" t="str">
            <v>STC9A002B</v>
          </cell>
          <cell r="Q15301" t="str">
            <v>速度传感器</v>
          </cell>
        </row>
        <row r="15302">
          <cell r="O15302" t="str">
            <v>SC9675IM-P-LRF01</v>
          </cell>
          <cell r="P15302" t="str">
            <v>STC9A002B</v>
          </cell>
          <cell r="Q15302" t="str">
            <v>速度传感器</v>
          </cell>
        </row>
        <row r="15303">
          <cell r="O15303" t="str">
            <v>SC9675IM-P-LRF01</v>
          </cell>
          <cell r="P15303" t="str">
            <v>STC9A002B</v>
          </cell>
          <cell r="Q15303" t="str">
            <v>速度传感器</v>
          </cell>
        </row>
        <row r="15304">
          <cell r="O15304" t="str">
            <v>SC9675IM-P-LRF01</v>
          </cell>
          <cell r="P15304" t="str">
            <v>STC9A002B</v>
          </cell>
          <cell r="Q15304" t="str">
            <v>速度传感器</v>
          </cell>
        </row>
        <row r="15305">
          <cell r="O15305" t="str">
            <v>SC9675IM-P-LRF01</v>
          </cell>
          <cell r="P15305" t="str">
            <v>STC9A002B</v>
          </cell>
          <cell r="Q15305" t="str">
            <v>速度传感器</v>
          </cell>
        </row>
        <row r="15306">
          <cell r="O15306" t="str">
            <v>SC9675IM-P-LRF01</v>
          </cell>
          <cell r="P15306" t="str">
            <v>STC9A002B</v>
          </cell>
          <cell r="Q15306" t="str">
            <v>速度传感器</v>
          </cell>
        </row>
        <row r="15307">
          <cell r="O15307" t="str">
            <v>SC9675IM-P-LRF01</v>
          </cell>
          <cell r="P15307" t="str">
            <v>STC9A002B</v>
          </cell>
          <cell r="Q15307" t="str">
            <v>速度传感器</v>
          </cell>
        </row>
        <row r="15308">
          <cell r="O15308" t="str">
            <v>SC9675IM-P-LRF01</v>
          </cell>
          <cell r="P15308" t="str">
            <v>STC9A002B</v>
          </cell>
          <cell r="Q15308" t="str">
            <v>速度传感器</v>
          </cell>
        </row>
        <row r="15309">
          <cell r="O15309" t="str">
            <v>SC9642TS-EC-TR-Q</v>
          </cell>
          <cell r="P15309" t="str">
            <v>STC9A001H</v>
          </cell>
          <cell r="Q15309" t="str">
            <v>速度传感器</v>
          </cell>
        </row>
        <row r="15310">
          <cell r="O15310" t="str">
            <v>SC9641TS-PC-BK-Q</v>
          </cell>
          <cell r="P15310" t="str">
            <v>STC9A001I</v>
          </cell>
          <cell r="Q15310" t="str">
            <v>速度传感器</v>
          </cell>
        </row>
        <row r="15311">
          <cell r="O15311" t="str">
            <v>SC9641TS-PC-BK-Q</v>
          </cell>
          <cell r="P15311" t="str">
            <v>STC9A001I</v>
          </cell>
          <cell r="Q15311" t="str">
            <v>速度传感器</v>
          </cell>
        </row>
        <row r="15312">
          <cell r="O15312" t="str">
            <v>SC9641TS-PC-BK-Q</v>
          </cell>
          <cell r="P15312" t="str">
            <v>STC9A001I</v>
          </cell>
          <cell r="Q15312" t="str">
            <v>速度传感器</v>
          </cell>
        </row>
        <row r="15313">
          <cell r="O15313" t="str">
            <v>SC9641TS-PC</v>
          </cell>
          <cell r="P15313" t="str">
            <v>STC9A001I</v>
          </cell>
          <cell r="Q15313" t="str">
            <v>速度传感器</v>
          </cell>
        </row>
        <row r="15314">
          <cell r="O15314" t="str">
            <v>SC60224-D-1024</v>
          </cell>
          <cell r="P15314" t="str">
            <v>STC9D04C</v>
          </cell>
          <cell r="Q15314" t="str">
            <v>电机编码器</v>
          </cell>
        </row>
        <row r="15315">
          <cell r="O15315" t="str">
            <v>SC60224-D-1024</v>
          </cell>
          <cell r="P15315" t="str">
            <v>STC9D04C</v>
          </cell>
          <cell r="Q15315" t="str">
            <v>电机编码器</v>
          </cell>
        </row>
        <row r="15316">
          <cell r="O15316" t="str">
            <v>SC60224-D-1024</v>
          </cell>
          <cell r="P15316" t="str">
            <v>STC9D04C</v>
          </cell>
          <cell r="Q15316" t="str">
            <v>电机编码器</v>
          </cell>
        </row>
        <row r="15317">
          <cell r="O15317" t="str">
            <v>SC60224-D-1024</v>
          </cell>
          <cell r="P15317" t="str">
            <v>STC9D04C</v>
          </cell>
          <cell r="Q15317" t="str">
            <v>电机编码器</v>
          </cell>
        </row>
        <row r="15318">
          <cell r="O15318" t="str">
            <v>SC60224-D-1024</v>
          </cell>
          <cell r="P15318" t="str">
            <v>STC9D04C</v>
          </cell>
          <cell r="Q15318" t="str">
            <v>电机编码器</v>
          </cell>
        </row>
        <row r="15319">
          <cell r="O15319" t="str">
            <v>SC60224-D-1024</v>
          </cell>
          <cell r="P15319" t="str">
            <v>STC9D04C</v>
          </cell>
          <cell r="Q15319" t="str">
            <v>电机编码器</v>
          </cell>
        </row>
        <row r="15320">
          <cell r="O15320" t="str">
            <v>SC1134UA-BK</v>
          </cell>
          <cell r="P15320" t="str">
            <v>STC1898AI</v>
          </cell>
          <cell r="Q15320" t="str">
            <v>磁性位置传感器</v>
          </cell>
        </row>
        <row r="15321">
          <cell r="O15321" t="str">
            <v>SC2064SO-TR</v>
          </cell>
          <cell r="P15321" t="str">
            <v>STC9G001C</v>
          </cell>
          <cell r="Q15321" t="str">
            <v>磁性位置传感器</v>
          </cell>
        </row>
        <row r="15322">
          <cell r="O15322" t="str">
            <v>SC2064SO-TR</v>
          </cell>
          <cell r="P15322" t="str">
            <v>STC9G001C</v>
          </cell>
          <cell r="Q15322" t="str">
            <v>磁性位置传感器</v>
          </cell>
        </row>
        <row r="15323">
          <cell r="O15323" t="str">
            <v>SC2064SO-TR</v>
          </cell>
          <cell r="P15323" t="str">
            <v>STC9G001C</v>
          </cell>
          <cell r="Q15323" t="str">
            <v>磁性位置传感器</v>
          </cell>
        </row>
        <row r="15324">
          <cell r="O15324" t="str">
            <v>SD477VB-BK</v>
          </cell>
          <cell r="P15324" t="str">
            <v>STC22304C</v>
          </cell>
          <cell r="Q15324" t="str">
            <v>电机驱动</v>
          </cell>
        </row>
        <row r="15325">
          <cell r="O15325" t="str">
            <v>SC9632VB-BK</v>
          </cell>
          <cell r="P15325" t="str">
            <v>STC9905E</v>
          </cell>
          <cell r="Q15325" t="str">
            <v>速度传感器</v>
          </cell>
        </row>
        <row r="15326">
          <cell r="O15326" t="str">
            <v>SC9314UA-BK</v>
          </cell>
          <cell r="P15326" t="str">
            <v>STC9901AF</v>
          </cell>
          <cell r="Q15326" t="str">
            <v>速度传感器</v>
          </cell>
        </row>
        <row r="15327">
          <cell r="O15327" t="str">
            <v>SC2442SO-TR-Q</v>
          </cell>
          <cell r="P15327" t="str">
            <v>STC9906R</v>
          </cell>
          <cell r="Q15327" t="str">
            <v>磁性位置传感器</v>
          </cell>
        </row>
        <row r="15328">
          <cell r="O15328" t="str">
            <v>SC2442SO-N-TR-Q</v>
          </cell>
          <cell r="P15328" t="str">
            <v>STC11102B</v>
          </cell>
          <cell r="Q15328" t="str">
            <v>磁性位置传感器</v>
          </cell>
        </row>
        <row r="15329">
          <cell r="O15329" t="str">
            <v>SD2276VB-BK</v>
          </cell>
          <cell r="P15329" t="str">
            <v>FD1014A</v>
          </cell>
          <cell r="Q15329" t="str">
            <v>电机驱动</v>
          </cell>
        </row>
        <row r="15330">
          <cell r="O15330" t="str">
            <v>SD2276VB-BK</v>
          </cell>
          <cell r="P15330" t="str">
            <v>FD1014A</v>
          </cell>
          <cell r="Q15330" t="str">
            <v>电机驱动</v>
          </cell>
        </row>
        <row r="15331">
          <cell r="O15331" t="str">
            <v>SD2276VB-BK</v>
          </cell>
          <cell r="P15331" t="str">
            <v>FD1014A</v>
          </cell>
          <cell r="Q15331" t="str">
            <v>电机驱动</v>
          </cell>
        </row>
        <row r="15332">
          <cell r="O15332" t="str">
            <v>SD2276VB-BK</v>
          </cell>
          <cell r="P15332" t="str">
            <v>FD1014A</v>
          </cell>
          <cell r="Q15332" t="str">
            <v>电机驱动</v>
          </cell>
        </row>
        <row r="15333">
          <cell r="O15333" t="str">
            <v>SC2402SO-N-TR</v>
          </cell>
          <cell r="P15333" t="str">
            <v>STC9H001A</v>
          </cell>
          <cell r="Q15333" t="str">
            <v>磁性位置传感器</v>
          </cell>
        </row>
        <row r="15334">
          <cell r="O15334" t="str">
            <v>SD477VB-BK</v>
          </cell>
          <cell r="P15334" t="str">
            <v>STC22304C</v>
          </cell>
          <cell r="Q15334" t="str">
            <v>电机驱动</v>
          </cell>
        </row>
        <row r="15335">
          <cell r="O15335" t="str">
            <v>SC4015SO-N-A-TR</v>
          </cell>
          <cell r="P15335" t="str">
            <v>STC4011E</v>
          </cell>
          <cell r="Q15335" t="str">
            <v>磁性位置传感器</v>
          </cell>
        </row>
        <row r="15336">
          <cell r="O15336" t="str">
            <v>SYLMV321BSOR</v>
          </cell>
          <cell r="P15336" t="str">
            <v>STC9G003B</v>
          </cell>
          <cell r="Q15336" t="str">
            <v>其他数模混合</v>
          </cell>
        </row>
        <row r="15337">
          <cell r="O15337" t="str">
            <v>SC9632VB-BK</v>
          </cell>
          <cell r="P15337" t="str">
            <v>STC9905E</v>
          </cell>
          <cell r="Q15337" t="str">
            <v>速度传感器</v>
          </cell>
        </row>
        <row r="15338">
          <cell r="O15338" t="str">
            <v>SC9632VB-BK</v>
          </cell>
          <cell r="P15338" t="str">
            <v>STC9905E</v>
          </cell>
          <cell r="Q15338" t="str">
            <v>速度传感器</v>
          </cell>
        </row>
        <row r="15339">
          <cell r="O15339" t="str">
            <v>SC1134SO-N-TR-Q</v>
          </cell>
          <cell r="P15339" t="str">
            <v>STC1898AI</v>
          </cell>
          <cell r="Q15339" t="str">
            <v>磁性位置传感器</v>
          </cell>
        </row>
        <row r="15340">
          <cell r="O15340" t="str">
            <v>SC1134SO-N-TR-Q</v>
          </cell>
          <cell r="P15340" t="str">
            <v>STC1898AI</v>
          </cell>
          <cell r="Q15340" t="str">
            <v>磁性位置传感器</v>
          </cell>
        </row>
        <row r="15341">
          <cell r="O15341" t="str">
            <v>SC2402UA-BK</v>
          </cell>
          <cell r="P15341" t="str">
            <v>STC9G002B</v>
          </cell>
          <cell r="Q15341" t="str">
            <v>磁性位置传感器</v>
          </cell>
        </row>
        <row r="15342">
          <cell r="O15342" t="str">
            <v>SC1445A1</v>
          </cell>
          <cell r="P15342" t="str">
            <v>STC2899AB</v>
          </cell>
          <cell r="Q15342" t="str">
            <v>磁性位置传感器</v>
          </cell>
        </row>
        <row r="15343">
          <cell r="O15343" t="str">
            <v>SC2063SO-TR</v>
          </cell>
          <cell r="P15343" t="str">
            <v>STC9G001C</v>
          </cell>
          <cell r="Q15343" t="str">
            <v>磁性位置传感器</v>
          </cell>
        </row>
        <row r="15344">
          <cell r="O15344" t="str">
            <v>SC2242SO-TR-Q</v>
          </cell>
          <cell r="P15344" t="str">
            <v>STC9906H</v>
          </cell>
          <cell r="Q15344" t="str">
            <v>磁性位置传感器</v>
          </cell>
        </row>
        <row r="15345">
          <cell r="O15345" t="str">
            <v>SC2464UA</v>
          </cell>
          <cell r="P15345" t="str">
            <v>STC9906J</v>
          </cell>
          <cell r="Q15345" t="str">
            <v>磁性位置传感器</v>
          </cell>
        </row>
        <row r="15346">
          <cell r="O15346" t="str">
            <v>SC1133UA</v>
          </cell>
          <cell r="P15346" t="str">
            <v>STC1898AJ</v>
          </cell>
          <cell r="Q15346" t="str">
            <v>磁性位置传感器</v>
          </cell>
        </row>
        <row r="15347">
          <cell r="O15347" t="str">
            <v>SC1133UA</v>
          </cell>
          <cell r="P15347" t="str">
            <v>STC1898AJ</v>
          </cell>
          <cell r="Q15347" t="str">
            <v>磁性位置传感器</v>
          </cell>
        </row>
        <row r="15348">
          <cell r="O15348" t="str">
            <v>SC1133UA</v>
          </cell>
          <cell r="P15348" t="str">
            <v>STC1898AJ</v>
          </cell>
          <cell r="Q15348" t="str">
            <v>磁性位置传感器</v>
          </cell>
        </row>
        <row r="15349">
          <cell r="O15349" t="str">
            <v>SC1133UA</v>
          </cell>
          <cell r="P15349" t="str">
            <v>STC1898AJ</v>
          </cell>
          <cell r="Q15349" t="str">
            <v>磁性位置传感器</v>
          </cell>
        </row>
        <row r="15350">
          <cell r="O15350" t="str">
            <v>SC2442UA</v>
          </cell>
          <cell r="P15350" t="str">
            <v>STC11102B</v>
          </cell>
          <cell r="Q15350" t="str">
            <v>磁性位置传感器</v>
          </cell>
        </row>
        <row r="15351">
          <cell r="O15351" t="str">
            <v>SC2442UA</v>
          </cell>
          <cell r="P15351" t="str">
            <v>STC11102B</v>
          </cell>
          <cell r="Q15351" t="str">
            <v>磁性位置传感器</v>
          </cell>
        </row>
        <row r="15352">
          <cell r="O15352" t="str">
            <v>SC2442UA</v>
          </cell>
          <cell r="P15352" t="str">
            <v>STC11102B</v>
          </cell>
          <cell r="Q15352" t="str">
            <v>磁性位置传感器</v>
          </cell>
        </row>
        <row r="15353">
          <cell r="O15353" t="str">
            <v>SC2202SO-N-TR</v>
          </cell>
          <cell r="P15353" t="str">
            <v>STC9902E</v>
          </cell>
          <cell r="Q15353" t="str">
            <v>磁性位置传感器</v>
          </cell>
        </row>
        <row r="15354">
          <cell r="O15354" t="str">
            <v>SC2202SO-N-TR</v>
          </cell>
          <cell r="P15354" t="str">
            <v>STC9902E</v>
          </cell>
          <cell r="Q15354" t="str">
            <v>磁性位置传感器</v>
          </cell>
        </row>
        <row r="15355">
          <cell r="O15355" t="str">
            <v>SC2202SO-N-TR</v>
          </cell>
          <cell r="P15355" t="str">
            <v>STC9902E</v>
          </cell>
          <cell r="Q15355" t="str">
            <v>磁性位置传感器</v>
          </cell>
        </row>
        <row r="15356">
          <cell r="O15356" t="str">
            <v>SD2276VB-BK</v>
          </cell>
          <cell r="P15356" t="str">
            <v>FD1014A</v>
          </cell>
          <cell r="Q15356" t="str">
            <v>电机驱动</v>
          </cell>
        </row>
        <row r="15357">
          <cell r="O15357" t="str">
            <v>SD2276VB-BK</v>
          </cell>
          <cell r="P15357" t="str">
            <v>FD1014A</v>
          </cell>
          <cell r="Q15357" t="str">
            <v>电机驱动</v>
          </cell>
        </row>
        <row r="15358">
          <cell r="O15358" t="str">
            <v>SD2276VB-BK</v>
          </cell>
          <cell r="P15358" t="str">
            <v>FD1014A</v>
          </cell>
          <cell r="Q15358" t="str">
            <v>电机驱动</v>
          </cell>
        </row>
        <row r="15359">
          <cell r="O15359" t="str">
            <v>SD2276VB-BK</v>
          </cell>
          <cell r="P15359" t="str">
            <v>FD1014A</v>
          </cell>
          <cell r="Q15359" t="str">
            <v>电机驱动</v>
          </cell>
        </row>
        <row r="15360">
          <cell r="O15360" t="str">
            <v>SD2276VB-BK</v>
          </cell>
          <cell r="P15360" t="str">
            <v>FD1014A</v>
          </cell>
          <cell r="Q15360" t="str">
            <v>电机驱动</v>
          </cell>
        </row>
        <row r="15361">
          <cell r="O15361" t="str">
            <v>SD2276VB-BK</v>
          </cell>
          <cell r="P15361" t="str">
            <v>FD1014A</v>
          </cell>
          <cell r="Q15361" t="str">
            <v>电机驱动</v>
          </cell>
        </row>
        <row r="15362">
          <cell r="O15362" t="str">
            <v>SD2276VB-BK</v>
          </cell>
          <cell r="P15362" t="str">
            <v>FD1014A</v>
          </cell>
          <cell r="Q15362" t="str">
            <v>电机驱动</v>
          </cell>
        </row>
        <row r="15363">
          <cell r="O15363" t="str">
            <v>SD2276VB-BK</v>
          </cell>
          <cell r="P15363" t="str">
            <v>FD1014A</v>
          </cell>
          <cell r="Q15363" t="str">
            <v>电机驱动</v>
          </cell>
        </row>
        <row r="15364">
          <cell r="O15364" t="str">
            <v>SD2276VB-BK</v>
          </cell>
          <cell r="P15364" t="str">
            <v>FD1014A</v>
          </cell>
          <cell r="Q15364" t="str">
            <v>电机驱动</v>
          </cell>
        </row>
        <row r="15365">
          <cell r="O15365" t="str">
            <v>VE2430Q1A8R</v>
          </cell>
          <cell r="P15365" t="str">
            <v>V2318B</v>
          </cell>
          <cell r="Q15365" t="str">
            <v>电源管理</v>
          </cell>
        </row>
        <row r="15366">
          <cell r="O15366" t="str">
            <v>SC9675T3-TR-Q</v>
          </cell>
          <cell r="P15366" t="str">
            <v>STC9A002B</v>
          </cell>
          <cell r="Q15366" t="str">
            <v>速度传感器</v>
          </cell>
        </row>
        <row r="15367">
          <cell r="O15367" t="str">
            <v>SC69401D</v>
          </cell>
          <cell r="P15367" t="str">
            <v>STC9H002DQ</v>
          </cell>
          <cell r="Q15367" t="str">
            <v>角度传感器</v>
          </cell>
        </row>
        <row r="15368">
          <cell r="O15368" t="str">
            <v>SC69401D</v>
          </cell>
          <cell r="P15368" t="str">
            <v>STC9H002DQ</v>
          </cell>
          <cell r="Q15368" t="str">
            <v>角度传感器</v>
          </cell>
        </row>
        <row r="15369">
          <cell r="O15369" t="str">
            <v>SC69401D</v>
          </cell>
          <cell r="P15369" t="str">
            <v>STC9H002DQ</v>
          </cell>
          <cell r="Q15369" t="str">
            <v>角度传感器</v>
          </cell>
        </row>
        <row r="15370">
          <cell r="O15370" t="str">
            <v>SC9642TS-EC-TR-Q</v>
          </cell>
          <cell r="P15370" t="str">
            <v>STC9A001H</v>
          </cell>
          <cell r="Q15370" t="str">
            <v>速度传感器</v>
          </cell>
        </row>
        <row r="15371">
          <cell r="O15371" t="str">
            <v>SC9642TS-EC-TR-Q</v>
          </cell>
          <cell r="P15371" t="str">
            <v>STC9A001H</v>
          </cell>
          <cell r="Q15371" t="str">
            <v>速度传感器</v>
          </cell>
        </row>
        <row r="15372">
          <cell r="O15372" t="str">
            <v>SC9641TS-PC-TR-Q</v>
          </cell>
          <cell r="P15372" t="str">
            <v>STC9A001I</v>
          </cell>
          <cell r="Q15372" t="str">
            <v>速度传感器</v>
          </cell>
        </row>
        <row r="15373">
          <cell r="O15373" t="str">
            <v>SC9641TS-PC-TR-Q</v>
          </cell>
          <cell r="P15373" t="str">
            <v>STC9A001I</v>
          </cell>
          <cell r="Q15373" t="str">
            <v>速度传感器</v>
          </cell>
        </row>
        <row r="15374">
          <cell r="O15374" t="str">
            <v>SC60228DC-TR</v>
          </cell>
          <cell r="P15374" t="str">
            <v>STC9D04C</v>
          </cell>
          <cell r="Q15374" t="str">
            <v>电机编码器</v>
          </cell>
        </row>
        <row r="15375">
          <cell r="O15375" t="str">
            <v>SC4643VB</v>
          </cell>
          <cell r="P15375" t="str">
            <v>STC9D03E</v>
          </cell>
          <cell r="Q15375" t="str">
            <v>电流传感器</v>
          </cell>
        </row>
        <row r="15376">
          <cell r="O15376" t="str">
            <v>PSTC1898AD-0</v>
          </cell>
          <cell r="P15376" t="str">
            <v>STC1898AD</v>
          </cell>
          <cell r="Q15376" t="str">
            <v>磁性位置传感器</v>
          </cell>
        </row>
        <row r="15377">
          <cell r="O15377" t="str">
            <v>SC4643SA-A</v>
          </cell>
          <cell r="P15377" t="str">
            <v>STC9D03E</v>
          </cell>
          <cell r="Q15377" t="str">
            <v>电流传感器</v>
          </cell>
        </row>
        <row r="15378">
          <cell r="O15378" t="str">
            <v>SC69401D</v>
          </cell>
          <cell r="P15378" t="str">
            <v>STC9H002DQ</v>
          </cell>
          <cell r="Q15378" t="str">
            <v>角度传感器</v>
          </cell>
        </row>
        <row r="15379">
          <cell r="O15379" t="str">
            <v>SC69401D</v>
          </cell>
          <cell r="P15379" t="str">
            <v>STC9H002DQ</v>
          </cell>
          <cell r="Q15379" t="str">
            <v>角度传感器</v>
          </cell>
        </row>
        <row r="15380">
          <cell r="O15380" t="str">
            <v>SC69401D</v>
          </cell>
          <cell r="P15380" t="str">
            <v>STC9H002DQ</v>
          </cell>
          <cell r="Q15380" t="str">
            <v>角度传感器</v>
          </cell>
        </row>
        <row r="15381">
          <cell r="O15381" t="str">
            <v>SC69401D</v>
          </cell>
          <cell r="P15381" t="str">
            <v>STC9H002DQ</v>
          </cell>
          <cell r="Q15381" t="str">
            <v>角度传感器</v>
          </cell>
        </row>
        <row r="15382">
          <cell r="O15382" t="str">
            <v>SC69401D</v>
          </cell>
          <cell r="P15382" t="str">
            <v>STC9H002DQ</v>
          </cell>
          <cell r="Q15382" t="str">
            <v>角度传感器</v>
          </cell>
        </row>
        <row r="15383">
          <cell r="O15383" t="str">
            <v>SC60228DC-TR</v>
          </cell>
          <cell r="P15383" t="str">
            <v>STC9D04C</v>
          </cell>
          <cell r="Q15383" t="str">
            <v>电机编码器</v>
          </cell>
        </row>
        <row r="15384">
          <cell r="O15384" t="str">
            <v>SC60224-D-200</v>
          </cell>
          <cell r="P15384" t="str">
            <v>STC9D04C</v>
          </cell>
          <cell r="Q15384" t="str">
            <v>电机编码器</v>
          </cell>
        </row>
        <row r="15385">
          <cell r="O15385" t="str">
            <v>SC60224-D-200</v>
          </cell>
          <cell r="P15385" t="str">
            <v>STC9D04C</v>
          </cell>
          <cell r="Q15385" t="str">
            <v>电机编码器</v>
          </cell>
        </row>
        <row r="15386">
          <cell r="O15386" t="str">
            <v>SC60224-D-1024-Z1</v>
          </cell>
          <cell r="P15386" t="str">
            <v>STC9D04C</v>
          </cell>
          <cell r="Q15386" t="str">
            <v>电机编码器</v>
          </cell>
        </row>
        <row r="15387">
          <cell r="O15387" t="str">
            <v>SC60224-D-1024-Z1</v>
          </cell>
          <cell r="P15387" t="str">
            <v>STC9D04C</v>
          </cell>
          <cell r="Q15387" t="str">
            <v>电机编码器</v>
          </cell>
        </row>
        <row r="15388">
          <cell r="O15388" t="str">
            <v>SD477VB-BK</v>
          </cell>
          <cell r="P15388" t="str">
            <v>STC22304C</v>
          </cell>
          <cell r="Q15388" t="str">
            <v>电机驱动</v>
          </cell>
        </row>
        <row r="15389">
          <cell r="O15389" t="str">
            <v>SD477VB-BK</v>
          </cell>
          <cell r="P15389" t="str">
            <v>STC22304C</v>
          </cell>
          <cell r="Q15389" t="str">
            <v>电机驱动</v>
          </cell>
        </row>
        <row r="15390">
          <cell r="O15390" t="str">
            <v>SC4015SO-N-A-TR</v>
          </cell>
          <cell r="P15390" t="str">
            <v>STC4011E</v>
          </cell>
          <cell r="Q15390" t="str">
            <v>磁性位置传感器</v>
          </cell>
        </row>
        <row r="15391">
          <cell r="O15391" t="str">
            <v>SC4015SO-N-A-TR</v>
          </cell>
          <cell r="P15391" t="str">
            <v>STC4011E</v>
          </cell>
          <cell r="Q15391" t="str">
            <v>磁性位置传感器</v>
          </cell>
        </row>
        <row r="15392">
          <cell r="O15392" t="str">
            <v>SC4923SO-N-TR</v>
          </cell>
          <cell r="P15392" t="str">
            <v>SC4009D</v>
          </cell>
          <cell r="Q15392" t="str">
            <v>磁性位置传感器</v>
          </cell>
        </row>
        <row r="15393">
          <cell r="O15393" t="str">
            <v>SC4643SA-BK-Q</v>
          </cell>
          <cell r="P15393" t="str">
            <v>STC9D03E</v>
          </cell>
          <cell r="Q15393" t="str">
            <v>电流传感器</v>
          </cell>
        </row>
        <row r="15394">
          <cell r="O15394" t="str">
            <v>2100</v>
          </cell>
          <cell r="P15394" t="str">
            <v>STC9D03E</v>
          </cell>
          <cell r="Q15394" t="str">
            <v>电流传感器</v>
          </cell>
        </row>
        <row r="15395">
          <cell r="O15395" t="str">
            <v>2100</v>
          </cell>
          <cell r="P15395" t="str">
            <v>STC9D03E</v>
          </cell>
          <cell r="Q15395" t="str">
            <v>电流传感器</v>
          </cell>
        </row>
        <row r="15396">
          <cell r="O15396" t="str">
            <v>2100</v>
          </cell>
          <cell r="P15396" t="str">
            <v>STC9D03E</v>
          </cell>
          <cell r="Q15396" t="str">
            <v>电流传感器</v>
          </cell>
        </row>
        <row r="15397">
          <cell r="O15397" t="str">
            <v>2100</v>
          </cell>
          <cell r="P15397" t="str">
            <v>STC9D03E</v>
          </cell>
          <cell r="Q15397" t="str">
            <v>电流传感器</v>
          </cell>
        </row>
        <row r="15398">
          <cell r="O15398" t="str">
            <v>2100</v>
          </cell>
          <cell r="P15398" t="str">
            <v>STC9D03E</v>
          </cell>
          <cell r="Q15398" t="str">
            <v>电流传感器</v>
          </cell>
        </row>
        <row r="15399">
          <cell r="O15399" t="str">
            <v>2100</v>
          </cell>
          <cell r="P15399" t="str">
            <v>STC9D03E</v>
          </cell>
          <cell r="Q15399" t="str">
            <v>电流传感器</v>
          </cell>
        </row>
        <row r="15400">
          <cell r="O15400" t="str">
            <v>2100</v>
          </cell>
          <cell r="P15400" t="str">
            <v>STC9D03E</v>
          </cell>
          <cell r="Q15400" t="str">
            <v>电流传感器</v>
          </cell>
        </row>
        <row r="15401">
          <cell r="O15401" t="str">
            <v>2100</v>
          </cell>
          <cell r="P15401" t="str">
            <v>STC9D03E</v>
          </cell>
          <cell r="Q15401" t="str">
            <v>电流传感器</v>
          </cell>
        </row>
        <row r="15402">
          <cell r="O15402" t="str">
            <v>2100</v>
          </cell>
          <cell r="P15402" t="str">
            <v>STC9D03E</v>
          </cell>
          <cell r="Q15402" t="str">
            <v>电流传感器</v>
          </cell>
        </row>
        <row r="15403">
          <cell r="O15403" t="str">
            <v>2100</v>
          </cell>
          <cell r="P15403" t="str">
            <v>STC9D03E</v>
          </cell>
          <cell r="Q15403" t="str">
            <v>电流传感器</v>
          </cell>
        </row>
        <row r="15404">
          <cell r="O15404" t="str">
            <v>2100HBL</v>
          </cell>
          <cell r="P15404" t="str">
            <v>STC9D03E</v>
          </cell>
          <cell r="Q15404" t="str">
            <v>电流传感器</v>
          </cell>
        </row>
        <row r="15405">
          <cell r="O15405" t="str">
            <v>SC4645VB</v>
          </cell>
          <cell r="P15405" t="str">
            <v>STC9D06F</v>
          </cell>
          <cell r="Q15405" t="str">
            <v>电流传感器</v>
          </cell>
        </row>
        <row r="15406">
          <cell r="O15406" t="str">
            <v>SC4645VB</v>
          </cell>
          <cell r="P15406" t="str">
            <v>STC9D06F</v>
          </cell>
          <cell r="Q15406" t="str">
            <v>电流传感器</v>
          </cell>
        </row>
        <row r="15407">
          <cell r="O15407" t="str">
            <v>SC2442SO-N-TR-Q</v>
          </cell>
          <cell r="P15407" t="str">
            <v>STC11102B</v>
          </cell>
          <cell r="Q15407" t="str">
            <v>磁性位置传感器</v>
          </cell>
        </row>
        <row r="15408">
          <cell r="O15408" t="str">
            <v>SC2442SO-N-TR-Q</v>
          </cell>
          <cell r="P15408" t="str">
            <v>STC11102B</v>
          </cell>
          <cell r="Q15408" t="str">
            <v>磁性位置传感器</v>
          </cell>
        </row>
        <row r="15409">
          <cell r="O15409" t="str">
            <v>SC2442SO-N-TR-Q</v>
          </cell>
          <cell r="P15409" t="str">
            <v>STC11102B</v>
          </cell>
          <cell r="Q15409" t="str">
            <v>磁性位置传感器</v>
          </cell>
        </row>
        <row r="15410">
          <cell r="O15410" t="str">
            <v>SD95109B</v>
          </cell>
          <cell r="P15410" t="str">
            <v>S22302A</v>
          </cell>
          <cell r="Q15410" t="str">
            <v>电机驱动</v>
          </cell>
        </row>
        <row r="15411">
          <cell r="O15411" t="str">
            <v>SD95109B</v>
          </cell>
          <cell r="P15411" t="str">
            <v>S22302A</v>
          </cell>
          <cell r="Q15411" t="str">
            <v>电机驱动</v>
          </cell>
        </row>
        <row r="15412">
          <cell r="O15412" t="str">
            <v>SD95109B</v>
          </cell>
          <cell r="P15412" t="str">
            <v>S22302A</v>
          </cell>
          <cell r="Q15412" t="str">
            <v>电机驱动</v>
          </cell>
        </row>
        <row r="15413">
          <cell r="O15413" t="str">
            <v>SC724SP30B5</v>
          </cell>
          <cell r="P15413" t="str">
            <v>STC9D06F</v>
          </cell>
          <cell r="Q15413" t="str">
            <v>电流传感器</v>
          </cell>
        </row>
        <row r="15414">
          <cell r="O15414" t="str">
            <v>SC724SP30B5</v>
          </cell>
          <cell r="P15414" t="str">
            <v>STC9D06F</v>
          </cell>
          <cell r="Q15414" t="str">
            <v>电流传感器</v>
          </cell>
        </row>
        <row r="15415">
          <cell r="O15415" t="str">
            <v>SD95109B</v>
          </cell>
          <cell r="P15415" t="str">
            <v>S22302A</v>
          </cell>
          <cell r="Q15415" t="str">
            <v>电机驱动</v>
          </cell>
        </row>
        <row r="15416">
          <cell r="O15416" t="str">
            <v>SC2432SO-TR-Q</v>
          </cell>
          <cell r="P15416" t="str">
            <v>STC9906M</v>
          </cell>
          <cell r="Q15416" t="str">
            <v>磁性位置传感器</v>
          </cell>
        </row>
        <row r="15417">
          <cell r="O15417" t="str">
            <v>SC2434SO</v>
          </cell>
          <cell r="P15417" t="str">
            <v>STC9906I</v>
          </cell>
          <cell r="Q15417" t="str">
            <v>磁性位置传感器</v>
          </cell>
        </row>
        <row r="15418">
          <cell r="O15418" t="str">
            <v>SC1445A1</v>
          </cell>
          <cell r="P15418" t="str">
            <v>STC2899AB</v>
          </cell>
          <cell r="Q15418" t="str">
            <v>磁性位置传感器</v>
          </cell>
        </row>
        <row r="15419">
          <cell r="O15419" t="str">
            <v>SC1134SO-N-TR-Q</v>
          </cell>
          <cell r="P15419" t="str">
            <v>STC1898AI</v>
          </cell>
          <cell r="Q15419" t="str">
            <v>磁性位置传感器</v>
          </cell>
        </row>
        <row r="15420">
          <cell r="O15420" t="str">
            <v>SC1134SO-N-TR-Q</v>
          </cell>
          <cell r="P15420" t="str">
            <v>STC1898AI</v>
          </cell>
          <cell r="Q15420" t="str">
            <v>磁性位置传感器</v>
          </cell>
        </row>
        <row r="15421">
          <cell r="O15421" t="str">
            <v>SC9314UA-BK</v>
          </cell>
          <cell r="P15421" t="str">
            <v>STC9901AF</v>
          </cell>
          <cell r="Q15421" t="str">
            <v>速度传感器</v>
          </cell>
        </row>
        <row r="15422">
          <cell r="O15422" t="str">
            <v>SC2442SO-N-TR-Q</v>
          </cell>
          <cell r="P15422" t="str">
            <v>STC11102B</v>
          </cell>
          <cell r="Q15422" t="str">
            <v>磁性位置传感器</v>
          </cell>
        </row>
        <row r="15423">
          <cell r="O15423" t="str">
            <v>SC2442SO-N-TR-Q</v>
          </cell>
          <cell r="P15423" t="str">
            <v>STC11102B</v>
          </cell>
          <cell r="Q15423" t="str">
            <v>磁性位置传感器</v>
          </cell>
        </row>
        <row r="15424">
          <cell r="O15424" t="str">
            <v>SC2442SO-N-TR-Q</v>
          </cell>
          <cell r="P15424" t="str">
            <v>STC11102B</v>
          </cell>
          <cell r="Q15424" t="str">
            <v>磁性位置传感器</v>
          </cell>
        </row>
        <row r="15425">
          <cell r="O15425" t="str">
            <v>SC2442SO-N-TR-Q</v>
          </cell>
          <cell r="P15425" t="str">
            <v>STC11102B</v>
          </cell>
          <cell r="Q15425" t="str">
            <v>磁性位置传感器</v>
          </cell>
        </row>
        <row r="15426">
          <cell r="O15426" t="str">
            <v>SC2498UA-N</v>
          </cell>
          <cell r="P15426" t="str">
            <v>SC9915C</v>
          </cell>
          <cell r="Q15426" t="str">
            <v>磁性位置传感器</v>
          </cell>
        </row>
        <row r="15427">
          <cell r="O15427" t="str">
            <v>SC2498UA-N</v>
          </cell>
          <cell r="P15427" t="str">
            <v>SC9915C</v>
          </cell>
          <cell r="Q15427" t="str">
            <v>磁性位置传感器</v>
          </cell>
        </row>
        <row r="15428">
          <cell r="O15428" t="str">
            <v>SC2442SO-N-TR-Q</v>
          </cell>
          <cell r="P15428" t="str">
            <v>STC9906P</v>
          </cell>
          <cell r="Q15428" t="str">
            <v>磁性位置传感器</v>
          </cell>
        </row>
        <row r="15429">
          <cell r="O15429" t="str">
            <v>SC2442SO-N-TR-Q</v>
          </cell>
          <cell r="P15429" t="str">
            <v>STC9906P</v>
          </cell>
          <cell r="Q15429" t="str">
            <v>磁性位置传感器</v>
          </cell>
        </row>
        <row r="15430">
          <cell r="O15430" t="str">
            <v>SC2442SO-N-TR-Q</v>
          </cell>
          <cell r="P15430" t="str">
            <v>STC9906P</v>
          </cell>
          <cell r="Q15430" t="str">
            <v>磁性位置传感器</v>
          </cell>
        </row>
        <row r="15431">
          <cell r="O15431" t="str">
            <v>SC2442SO-N-TR-Q</v>
          </cell>
          <cell r="P15431" t="str">
            <v>STC9906P</v>
          </cell>
          <cell r="Q15431" t="str">
            <v>磁性位置传感器</v>
          </cell>
        </row>
        <row r="15432">
          <cell r="O15432" t="str">
            <v>SC2442SO-TR-Q</v>
          </cell>
          <cell r="P15432" t="str">
            <v>STC9906R</v>
          </cell>
          <cell r="Q15432" t="str">
            <v>磁性位置传感器</v>
          </cell>
        </row>
        <row r="15433">
          <cell r="O15433" t="str">
            <v>SC2442SO-TR-Q</v>
          </cell>
          <cell r="P15433" t="str">
            <v>STC9906R</v>
          </cell>
          <cell r="Q15433" t="str">
            <v>磁性位置传感器</v>
          </cell>
        </row>
        <row r="15434">
          <cell r="O15434" t="str">
            <v>SC2442SO-TR-Q</v>
          </cell>
          <cell r="P15434" t="str">
            <v>STC9906R</v>
          </cell>
          <cell r="Q15434" t="str">
            <v>磁性位置传感器</v>
          </cell>
        </row>
        <row r="15435">
          <cell r="O15435" t="str">
            <v>SC2442SO-TR-Q</v>
          </cell>
          <cell r="P15435" t="str">
            <v>STC9906R</v>
          </cell>
          <cell r="Q15435" t="str">
            <v>磁性位置传感器</v>
          </cell>
        </row>
        <row r="15436">
          <cell r="O15436" t="str">
            <v>SC9641TS-TR-Q</v>
          </cell>
          <cell r="P15436" t="str">
            <v>STC9910BN</v>
          </cell>
          <cell r="Q15436" t="str">
            <v>速度传感器</v>
          </cell>
        </row>
        <row r="15437">
          <cell r="O15437" t="str">
            <v>SC9641TS-TR-Q</v>
          </cell>
          <cell r="P15437" t="str">
            <v>STC9910BN</v>
          </cell>
          <cell r="Q15437" t="str">
            <v>速度传感器</v>
          </cell>
        </row>
        <row r="15438">
          <cell r="O15438" t="str">
            <v>SC9641TS-TR-Q</v>
          </cell>
          <cell r="P15438" t="str">
            <v>STC9910BN</v>
          </cell>
          <cell r="Q15438" t="str">
            <v>速度传感器</v>
          </cell>
        </row>
        <row r="15439">
          <cell r="O15439" t="str">
            <v>SC9641TS-TR-Q</v>
          </cell>
          <cell r="P15439" t="str">
            <v>STC9910BN</v>
          </cell>
          <cell r="Q15439" t="str">
            <v>速度传感器</v>
          </cell>
        </row>
        <row r="15440">
          <cell r="O15440" t="str">
            <v>SC9641TS-TR-Q</v>
          </cell>
          <cell r="P15440" t="str">
            <v>STC9910BN</v>
          </cell>
          <cell r="Q15440" t="str">
            <v>速度传感器</v>
          </cell>
        </row>
        <row r="15441">
          <cell r="O15441" t="str">
            <v>SC9641TS-TR-Q</v>
          </cell>
          <cell r="P15441" t="str">
            <v>STC9910BN</v>
          </cell>
          <cell r="Q15441" t="str">
            <v>速度传感器</v>
          </cell>
        </row>
        <row r="15442">
          <cell r="O15442" t="str">
            <v>SC9675IM-P-HRF00</v>
          </cell>
          <cell r="P15442" t="str">
            <v>STC9A002B</v>
          </cell>
          <cell r="Q15442" t="str">
            <v>速度传感器</v>
          </cell>
        </row>
        <row r="15443">
          <cell r="O15443" t="str">
            <v>SC9675IM-P-HRF00</v>
          </cell>
          <cell r="P15443" t="str">
            <v>STC9A002B</v>
          </cell>
          <cell r="Q15443" t="str">
            <v>速度传感器</v>
          </cell>
        </row>
        <row r="15444">
          <cell r="O15444" t="str">
            <v>SC9675IM-P-HRF00</v>
          </cell>
          <cell r="P15444" t="str">
            <v>STC9A002B</v>
          </cell>
          <cell r="Q15444" t="str">
            <v>速度传感器</v>
          </cell>
        </row>
        <row r="15445">
          <cell r="O15445" t="str">
            <v>SC9675IM-P-HRF00</v>
          </cell>
          <cell r="P15445" t="str">
            <v>STC9A002B</v>
          </cell>
          <cell r="Q15445" t="str">
            <v>速度传感器</v>
          </cell>
        </row>
        <row r="15446">
          <cell r="O15446" t="str">
            <v>SC9675IM-P-HRF00</v>
          </cell>
          <cell r="P15446" t="str">
            <v>STC9A002B</v>
          </cell>
          <cell r="Q15446" t="str">
            <v>速度传感器</v>
          </cell>
        </row>
        <row r="15447">
          <cell r="O15447" t="str">
            <v>SC9642TS-E</v>
          </cell>
          <cell r="P15447" t="str">
            <v>STC9A001H</v>
          </cell>
          <cell r="Q15447" t="str">
            <v>速度传感器</v>
          </cell>
        </row>
        <row r="15448">
          <cell r="O15448" t="str">
            <v>SC9642TS-E</v>
          </cell>
          <cell r="P15448" t="str">
            <v>STC9A001H</v>
          </cell>
          <cell r="Q15448" t="str">
            <v>速度传感器</v>
          </cell>
        </row>
        <row r="15449">
          <cell r="O15449" t="str">
            <v>SC4689SA-BK-Q</v>
          </cell>
          <cell r="P15449" t="str">
            <v>STC9D01F</v>
          </cell>
          <cell r="Q15449" t="str">
            <v>角度传感器</v>
          </cell>
        </row>
        <row r="15450">
          <cell r="O15450" t="str">
            <v>SC1645A1-BK</v>
          </cell>
          <cell r="P15450" t="str">
            <v>STC2899AE</v>
          </cell>
          <cell r="Q15450" t="str">
            <v>磁性位置传感器</v>
          </cell>
        </row>
        <row r="15451">
          <cell r="O15451" t="str">
            <v>SC1645A1-BK</v>
          </cell>
          <cell r="P15451" t="str">
            <v>STC2899AE</v>
          </cell>
          <cell r="Q15451" t="str">
            <v>磁性位置传感器</v>
          </cell>
        </row>
        <row r="15452">
          <cell r="O15452" t="str">
            <v>SC1645A1-BK</v>
          </cell>
          <cell r="P15452" t="str">
            <v>STC2899AE</v>
          </cell>
          <cell r="Q15452" t="str">
            <v>磁性位置传感器</v>
          </cell>
        </row>
        <row r="15453">
          <cell r="O15453" t="str">
            <v>SC69401-A</v>
          </cell>
          <cell r="P15453" t="str">
            <v>STC9H002DQ</v>
          </cell>
          <cell r="Q15453" t="str">
            <v>角度传感器</v>
          </cell>
        </row>
        <row r="15454">
          <cell r="O15454" t="str">
            <v>SC60228DC-TR</v>
          </cell>
          <cell r="P15454" t="str">
            <v>STC9D04C</v>
          </cell>
          <cell r="Q15454" t="str">
            <v>电机编码器</v>
          </cell>
        </row>
        <row r="15455">
          <cell r="O15455" t="str">
            <v>SC60228DC-TR</v>
          </cell>
          <cell r="P15455" t="str">
            <v>STC9D04C</v>
          </cell>
          <cell r="Q15455" t="str">
            <v>电机编码器</v>
          </cell>
        </row>
        <row r="15456">
          <cell r="O15456" t="str">
            <v>SC9314UA-BK</v>
          </cell>
          <cell r="P15456" t="str">
            <v>STC9901AF</v>
          </cell>
          <cell r="Q15456" t="str">
            <v>速度传感器</v>
          </cell>
        </row>
        <row r="15457">
          <cell r="O15457" t="str">
            <v>SC1445A1</v>
          </cell>
          <cell r="P15457" t="str">
            <v>STC2899AB</v>
          </cell>
          <cell r="Q15457" t="str">
            <v>磁性位置传感器</v>
          </cell>
        </row>
        <row r="15458">
          <cell r="O15458" t="str">
            <v>SC2442UA-BK-Q</v>
          </cell>
          <cell r="P15458" t="str">
            <v>STC11102B</v>
          </cell>
          <cell r="Q15458" t="str">
            <v>磁性位置传感器</v>
          </cell>
        </row>
        <row r="15459">
          <cell r="O15459" t="str">
            <v>SC2442UA-BK-Q</v>
          </cell>
          <cell r="P15459" t="str">
            <v>STC11102B</v>
          </cell>
          <cell r="Q15459" t="str">
            <v>磁性位置传感器</v>
          </cell>
        </row>
        <row r="15460">
          <cell r="O15460" t="str">
            <v>SC2442UA-BK-Q</v>
          </cell>
          <cell r="P15460" t="str">
            <v>STC11102B</v>
          </cell>
          <cell r="Q15460" t="str">
            <v>磁性位置传感器</v>
          </cell>
        </row>
        <row r="15461">
          <cell r="O15461" t="str">
            <v>SC2443SO-TR-Q</v>
          </cell>
          <cell r="P15461" t="str">
            <v>STC9906T</v>
          </cell>
          <cell r="Q15461" t="str">
            <v>磁性位置传感器</v>
          </cell>
        </row>
        <row r="15462">
          <cell r="O15462" t="str">
            <v>SC2443SO-TR-Q</v>
          </cell>
          <cell r="P15462" t="str">
            <v>STC9906T</v>
          </cell>
          <cell r="Q15462" t="str">
            <v>磁性位置传感器</v>
          </cell>
        </row>
        <row r="15463">
          <cell r="O15463" t="str">
            <v>SC2443SO-TR-Q</v>
          </cell>
          <cell r="P15463" t="str">
            <v>STC9906T</v>
          </cell>
          <cell r="Q15463" t="str">
            <v>磁性位置传感器</v>
          </cell>
        </row>
        <row r="15464">
          <cell r="O15464" t="str">
            <v>SC4015SO-N-TR</v>
          </cell>
          <cell r="P15464" t="str">
            <v>STC4011E</v>
          </cell>
          <cell r="Q15464" t="str">
            <v>磁性位置传感器</v>
          </cell>
        </row>
        <row r="15465">
          <cell r="O15465" t="str">
            <v>SC4015SO-N-TR</v>
          </cell>
          <cell r="P15465" t="str">
            <v>STC4011E</v>
          </cell>
          <cell r="Q15465" t="str">
            <v>磁性位置传感器</v>
          </cell>
        </row>
        <row r="15466">
          <cell r="O15466" t="str">
            <v>SC4015SO-N-TR</v>
          </cell>
          <cell r="P15466" t="str">
            <v>STC4011E</v>
          </cell>
          <cell r="Q15466" t="str">
            <v>磁性位置传感器</v>
          </cell>
        </row>
        <row r="15467">
          <cell r="O15467" t="str">
            <v>SC4015SO-N-TR</v>
          </cell>
          <cell r="P15467" t="str">
            <v>STC4011E</v>
          </cell>
          <cell r="Q15467" t="str">
            <v>磁性位置传感器</v>
          </cell>
        </row>
        <row r="15468">
          <cell r="O15468" t="str">
            <v>SC4015SO-N-TR</v>
          </cell>
          <cell r="P15468" t="str">
            <v>STC4011E</v>
          </cell>
          <cell r="Q15468" t="str">
            <v>磁性位置传感器</v>
          </cell>
        </row>
        <row r="15469">
          <cell r="O15469" t="str">
            <v>SC4104SO</v>
          </cell>
          <cell r="P15469" t="str">
            <v>STC11201B1</v>
          </cell>
          <cell r="Q15469" t="str">
            <v>磁性位置传感器</v>
          </cell>
        </row>
        <row r="15470">
          <cell r="O15470" t="str">
            <v>SC1133UA</v>
          </cell>
          <cell r="P15470" t="str">
            <v>STC1898AJ</v>
          </cell>
          <cell r="Q15470" t="str">
            <v>磁性位置传感器</v>
          </cell>
        </row>
        <row r="15471">
          <cell r="O15471" t="str">
            <v>SC1133UA</v>
          </cell>
          <cell r="P15471" t="str">
            <v>STC1898AJ</v>
          </cell>
          <cell r="Q15471" t="str">
            <v>磁性位置传感器</v>
          </cell>
        </row>
        <row r="15472">
          <cell r="O15472" t="str">
            <v>SC1133UA</v>
          </cell>
          <cell r="P15472" t="str">
            <v>STC1898AJ</v>
          </cell>
          <cell r="Q15472" t="str">
            <v>磁性位置传感器</v>
          </cell>
        </row>
        <row r="15473">
          <cell r="O15473" t="str">
            <v>SC1133UA</v>
          </cell>
          <cell r="P15473" t="str">
            <v>STC1898AJ</v>
          </cell>
          <cell r="Q15473" t="str">
            <v>磁性位置传感器</v>
          </cell>
        </row>
        <row r="15474">
          <cell r="O15474" t="str">
            <v>SC1133UA</v>
          </cell>
          <cell r="P15474" t="str">
            <v>STC1898AJ</v>
          </cell>
          <cell r="Q15474" t="str">
            <v>磁性位置传感器</v>
          </cell>
        </row>
        <row r="15475">
          <cell r="O15475" t="str">
            <v>SYLMV358BPA1R</v>
          </cell>
          <cell r="P15475" t="str">
            <v>STC9G003B</v>
          </cell>
          <cell r="Q15475" t="str">
            <v>其他数模混合</v>
          </cell>
        </row>
        <row r="15476">
          <cell r="O15476" t="str">
            <v>SC2402SO-N-TR</v>
          </cell>
          <cell r="P15476" t="str">
            <v>STC9G002A</v>
          </cell>
          <cell r="Q15476" t="str">
            <v>磁性位置传感器</v>
          </cell>
        </row>
        <row r="15477">
          <cell r="O15477" t="str">
            <v>SC2402SO-N-TR</v>
          </cell>
          <cell r="P15477" t="str">
            <v>STC9G002A</v>
          </cell>
          <cell r="Q15477" t="str">
            <v>磁性位置传感器</v>
          </cell>
        </row>
        <row r="15478">
          <cell r="O15478" t="str">
            <v>SC2462SO</v>
          </cell>
          <cell r="P15478" t="str">
            <v>STC9906J</v>
          </cell>
          <cell r="Q15478" t="str">
            <v>磁性位置传感器</v>
          </cell>
        </row>
        <row r="15479">
          <cell r="O15479" t="str">
            <v>SC2462SO</v>
          </cell>
          <cell r="P15479" t="str">
            <v>STC9906J</v>
          </cell>
          <cell r="Q15479" t="str">
            <v>磁性位置传感器</v>
          </cell>
        </row>
        <row r="15480">
          <cell r="O15480" t="str">
            <v>SC2462SO</v>
          </cell>
          <cell r="P15480" t="str">
            <v>STC9906J</v>
          </cell>
          <cell r="Q15480" t="str">
            <v>磁性位置传感器</v>
          </cell>
        </row>
        <row r="15481">
          <cell r="O15481" t="str">
            <v>SC2462SO</v>
          </cell>
          <cell r="P15481" t="str">
            <v>STC9906J</v>
          </cell>
          <cell r="Q15481" t="str">
            <v>磁性位置传感器</v>
          </cell>
        </row>
        <row r="15482">
          <cell r="O15482" t="str">
            <v>SC2462SO</v>
          </cell>
          <cell r="P15482" t="str">
            <v>STC9906J</v>
          </cell>
          <cell r="Q15482" t="str">
            <v>磁性位置传感器</v>
          </cell>
        </row>
        <row r="15483">
          <cell r="O15483" t="str">
            <v>SC1134UA-BK</v>
          </cell>
          <cell r="P15483" t="str">
            <v>STC1898AI</v>
          </cell>
          <cell r="Q15483" t="str">
            <v>磁性位置传感器</v>
          </cell>
        </row>
        <row r="15484">
          <cell r="O15484" t="str">
            <v>SC1134UA-BK</v>
          </cell>
          <cell r="P15484" t="str">
            <v>STC1898AI</v>
          </cell>
          <cell r="Q15484" t="str">
            <v>磁性位置传感器</v>
          </cell>
        </row>
        <row r="15485">
          <cell r="O15485" t="str">
            <v>SC1134UA-BK</v>
          </cell>
          <cell r="P15485" t="str">
            <v>STC1898AI</v>
          </cell>
          <cell r="Q15485" t="str">
            <v>磁性位置传感器</v>
          </cell>
        </row>
        <row r="15486">
          <cell r="O15486" t="str">
            <v>SC1134UA-BK</v>
          </cell>
          <cell r="P15486" t="str">
            <v>STC1898AI</v>
          </cell>
          <cell r="Q15486" t="str">
            <v>磁性位置传感器</v>
          </cell>
        </row>
        <row r="15487">
          <cell r="O15487" t="str">
            <v>SC1134SO-N-TR-Q</v>
          </cell>
          <cell r="P15487" t="str">
            <v>STC1898AI</v>
          </cell>
          <cell r="Q15487" t="str">
            <v>磁性位置传感器</v>
          </cell>
        </row>
        <row r="15488">
          <cell r="O15488" t="str">
            <v>SC1134SO-N-TR-Q</v>
          </cell>
          <cell r="P15488" t="str">
            <v>STC1898AI</v>
          </cell>
          <cell r="Q15488" t="str">
            <v>磁性位置传感器</v>
          </cell>
        </row>
        <row r="15489">
          <cell r="O15489" t="str">
            <v>SC2242SO-TR-Q</v>
          </cell>
          <cell r="P15489" t="str">
            <v>STC9906H</v>
          </cell>
          <cell r="Q15489" t="str">
            <v>磁性位置传感器</v>
          </cell>
        </row>
        <row r="15490">
          <cell r="O15490" t="str">
            <v>SC2242SO-TR-Q</v>
          </cell>
          <cell r="P15490" t="str">
            <v>STC9906H</v>
          </cell>
          <cell r="Q15490" t="str">
            <v>磁性位置传感器</v>
          </cell>
        </row>
        <row r="15491">
          <cell r="O15491" t="str">
            <v>SC2442SO-N</v>
          </cell>
          <cell r="P15491" t="str">
            <v>STC11102B</v>
          </cell>
          <cell r="Q15491" t="str">
            <v>磁性位置传感器</v>
          </cell>
        </row>
        <row r="15492">
          <cell r="O15492" t="str">
            <v>SC2402UA</v>
          </cell>
          <cell r="P15492" t="str">
            <v>STC9902J</v>
          </cell>
          <cell r="Q15492" t="str">
            <v>磁性位置传感器</v>
          </cell>
        </row>
        <row r="15493">
          <cell r="O15493" t="str">
            <v>SC2443SO-TR-Q</v>
          </cell>
          <cell r="P15493" t="str">
            <v>STC9906T</v>
          </cell>
          <cell r="Q15493" t="str">
            <v>磁性位置传感器</v>
          </cell>
        </row>
        <row r="15494">
          <cell r="O15494" t="str">
            <v>SC2443SO-TR-Q</v>
          </cell>
          <cell r="P15494" t="str">
            <v>STC9906T</v>
          </cell>
          <cell r="Q15494" t="str">
            <v>磁性位置传感器</v>
          </cell>
        </row>
        <row r="15495">
          <cell r="O15495" t="str">
            <v>SC9641TS-P</v>
          </cell>
          <cell r="P15495" t="str">
            <v>STC9A001I</v>
          </cell>
          <cell r="Q15495" t="str">
            <v>速度传感器</v>
          </cell>
        </row>
        <row r="15496">
          <cell r="O15496" t="str">
            <v>SC9641TS-P-TR</v>
          </cell>
          <cell r="P15496" t="str">
            <v>STC9A001I</v>
          </cell>
          <cell r="Q15496" t="str">
            <v>速度传感器</v>
          </cell>
        </row>
        <row r="15497">
          <cell r="O15497" t="str">
            <v>SC9641TS-P-TR</v>
          </cell>
          <cell r="P15497" t="str">
            <v>STC9A001I</v>
          </cell>
          <cell r="Q15497" t="str">
            <v>速度传感器</v>
          </cell>
        </row>
        <row r="15498">
          <cell r="O15498" t="str">
            <v>SC9641TS-P-TR</v>
          </cell>
          <cell r="P15498" t="str">
            <v>STC9A001I</v>
          </cell>
          <cell r="Q15498" t="str">
            <v>速度传感器</v>
          </cell>
        </row>
        <row r="15499">
          <cell r="O15499" t="str">
            <v>SC9641TS-P-TR</v>
          </cell>
          <cell r="P15499" t="str">
            <v>STC9A001I</v>
          </cell>
          <cell r="Q15499" t="str">
            <v>速度传感器</v>
          </cell>
        </row>
        <row r="15500">
          <cell r="O15500" t="str">
            <v>SC9641TS-P-TR</v>
          </cell>
          <cell r="P15500" t="str">
            <v>STC9A001I</v>
          </cell>
          <cell r="Q15500" t="str">
            <v>速度传感器</v>
          </cell>
        </row>
        <row r="15501">
          <cell r="O15501" t="str">
            <v>SC9641TS-P-TR</v>
          </cell>
          <cell r="P15501" t="str">
            <v>STC9A001I</v>
          </cell>
          <cell r="Q15501" t="str">
            <v>速度传感器</v>
          </cell>
        </row>
        <row r="15502">
          <cell r="O15502" t="str">
            <v>SC9641TS-P-TR</v>
          </cell>
          <cell r="P15502" t="str">
            <v>STC9A001I</v>
          </cell>
          <cell r="Q15502" t="str">
            <v>速度传感器</v>
          </cell>
        </row>
        <row r="15503">
          <cell r="O15503" t="str">
            <v>SC2402SO-N-TR</v>
          </cell>
          <cell r="P15503" t="str">
            <v>STC9902J</v>
          </cell>
          <cell r="Q15503" t="str">
            <v>磁性位置传感器</v>
          </cell>
        </row>
        <row r="15504">
          <cell r="O15504" t="str">
            <v>SC2402SO-N-TR</v>
          </cell>
          <cell r="P15504" t="str">
            <v>STC9902J</v>
          </cell>
          <cell r="Q15504" t="str">
            <v>磁性位置传感器</v>
          </cell>
        </row>
        <row r="15505">
          <cell r="O15505" t="str">
            <v>SC2443UA</v>
          </cell>
          <cell r="P15505" t="str">
            <v>STC9906W</v>
          </cell>
          <cell r="Q15505" t="str">
            <v>磁性位置传感器</v>
          </cell>
        </row>
        <row r="15506">
          <cell r="O15506" t="str">
            <v>SC2443UA</v>
          </cell>
          <cell r="P15506" t="str">
            <v>STC9906W</v>
          </cell>
          <cell r="Q15506" t="str">
            <v>磁性位置传感器</v>
          </cell>
        </row>
        <row r="15507">
          <cell r="O15507" t="str">
            <v>SC2443UA</v>
          </cell>
          <cell r="P15507" t="str">
            <v>STC9906W</v>
          </cell>
          <cell r="Q15507" t="str">
            <v>磁性位置传感器</v>
          </cell>
        </row>
        <row r="15508">
          <cell r="O15508" t="str">
            <v>SC2498TSO</v>
          </cell>
          <cell r="P15508" t="str">
            <v>STC11300C</v>
          </cell>
          <cell r="Q15508" t="str">
            <v>磁性位置传感器</v>
          </cell>
        </row>
        <row r="15509">
          <cell r="O15509" t="str">
            <v>SC2498TSO</v>
          </cell>
          <cell r="P15509" t="str">
            <v>STC11300C</v>
          </cell>
          <cell r="Q15509" t="str">
            <v>磁性位置传感器</v>
          </cell>
        </row>
        <row r="15510">
          <cell r="O15510" t="str">
            <v>SC1134SO-N-TR-Q</v>
          </cell>
          <cell r="P15510" t="str">
            <v>STC1898AI</v>
          </cell>
          <cell r="Q15510" t="str">
            <v>磁性位置传感器</v>
          </cell>
        </row>
        <row r="15511">
          <cell r="O15511" t="str">
            <v>SC9641TS-P-BK</v>
          </cell>
          <cell r="P15511" t="str">
            <v>STC9A001I</v>
          </cell>
          <cell r="Q15511" t="str">
            <v>速度传感器</v>
          </cell>
        </row>
        <row r="15512">
          <cell r="O15512" t="str">
            <v>SC9641TS-P-BK</v>
          </cell>
          <cell r="P15512" t="str">
            <v>STC9A001I</v>
          </cell>
          <cell r="Q15512" t="str">
            <v>速度传感器</v>
          </cell>
        </row>
        <row r="15513">
          <cell r="O15513" t="str">
            <v>SC9641TS-TR-Q</v>
          </cell>
          <cell r="P15513" t="str">
            <v>STC9910BN</v>
          </cell>
          <cell r="Q15513" t="str">
            <v>速度传感器</v>
          </cell>
        </row>
        <row r="15514">
          <cell r="O15514" t="str">
            <v>SC9641TS-TR-Q</v>
          </cell>
          <cell r="P15514" t="str">
            <v>STC9910BN</v>
          </cell>
          <cell r="Q15514" t="str">
            <v>速度传感器</v>
          </cell>
        </row>
        <row r="15515">
          <cell r="O15515" t="str">
            <v>SC9641TS-TR-Q</v>
          </cell>
          <cell r="P15515" t="str">
            <v>STC9910BN</v>
          </cell>
          <cell r="Q15515" t="str">
            <v>速度传感器</v>
          </cell>
        </row>
        <row r="15516">
          <cell r="O15516" t="str">
            <v>SC9641TS-TR-Q</v>
          </cell>
          <cell r="P15516" t="str">
            <v>STC9910BN</v>
          </cell>
          <cell r="Q15516" t="str">
            <v>速度传感器</v>
          </cell>
        </row>
        <row r="15517">
          <cell r="O15517" t="str">
            <v>SC9641TS-TR-Q</v>
          </cell>
          <cell r="P15517" t="str">
            <v>STC9910BN</v>
          </cell>
          <cell r="Q15517" t="str">
            <v>速度传感器</v>
          </cell>
        </row>
        <row r="15518">
          <cell r="O15518" t="str">
            <v>SC9641TS-TR-Q</v>
          </cell>
          <cell r="P15518" t="str">
            <v>STC9910BN</v>
          </cell>
          <cell r="Q15518" t="str">
            <v>速度传感器</v>
          </cell>
        </row>
        <row r="15519">
          <cell r="O15519" t="str">
            <v>SC9641TS-TR-Q</v>
          </cell>
          <cell r="P15519" t="str">
            <v>STC9910BN</v>
          </cell>
          <cell r="Q15519" t="str">
            <v>速度传感器</v>
          </cell>
        </row>
        <row r="15520">
          <cell r="O15520" t="str">
            <v>SC60220SS-TB</v>
          </cell>
          <cell r="P15520" t="str">
            <v>STC9D04C</v>
          </cell>
          <cell r="Q15520" t="str">
            <v>电机编码器</v>
          </cell>
        </row>
        <row r="15521">
          <cell r="O15521" t="str">
            <v>SC60220SS-TB</v>
          </cell>
          <cell r="P15521" t="str">
            <v>STC9D04C</v>
          </cell>
          <cell r="Q15521" t="str">
            <v>电机编码器</v>
          </cell>
        </row>
        <row r="15522">
          <cell r="O15522" t="str">
            <v>SC1002S2-BK</v>
          </cell>
          <cell r="P15522" t="str">
            <v>STC1002AG</v>
          </cell>
          <cell r="Q15522" t="str">
            <v>磁性位置传感器</v>
          </cell>
        </row>
        <row r="15523">
          <cell r="O15523" t="str">
            <v>SC1002S2-BK</v>
          </cell>
          <cell r="P15523" t="str">
            <v>STC1002AG</v>
          </cell>
          <cell r="Q15523" t="str">
            <v>磁性位置传感器</v>
          </cell>
        </row>
        <row r="15524">
          <cell r="O15524" t="str">
            <v>SC1002S2-BK</v>
          </cell>
          <cell r="P15524" t="str">
            <v>STC1002AG</v>
          </cell>
          <cell r="Q15524" t="str">
            <v>磁性位置传感器</v>
          </cell>
        </row>
        <row r="15525">
          <cell r="O15525" t="str">
            <v>SC1002S2-BK</v>
          </cell>
          <cell r="P15525" t="str">
            <v>STC1002AG</v>
          </cell>
          <cell r="Q15525" t="str">
            <v>磁性位置传感器</v>
          </cell>
        </row>
        <row r="15526">
          <cell r="O15526" t="str">
            <v>SC1002S2-BK</v>
          </cell>
          <cell r="P15526" t="str">
            <v>STC1002AG</v>
          </cell>
          <cell r="Q15526" t="str">
            <v>磁性位置传感器</v>
          </cell>
        </row>
        <row r="15527">
          <cell r="O15527" t="str">
            <v>SD2276VB-BK</v>
          </cell>
          <cell r="P15527" t="str">
            <v>FD1014A</v>
          </cell>
          <cell r="Q15527" t="str">
            <v>电机驱动</v>
          </cell>
        </row>
        <row r="15528">
          <cell r="O15528" t="str">
            <v>SC2402SO-N-TR</v>
          </cell>
          <cell r="P15528" t="str">
            <v>STC9902J</v>
          </cell>
          <cell r="Q15528" t="str">
            <v>磁性位置传感器</v>
          </cell>
        </row>
        <row r="15529">
          <cell r="O15529" t="str">
            <v>SC2402SO-N-TR</v>
          </cell>
          <cell r="P15529" t="str">
            <v>STC9902J</v>
          </cell>
          <cell r="Q15529" t="str">
            <v>磁性位置传感器</v>
          </cell>
        </row>
        <row r="15530">
          <cell r="O15530" t="str">
            <v>SC2402SO-N-TR</v>
          </cell>
          <cell r="P15530" t="str">
            <v>STC9902J</v>
          </cell>
          <cell r="Q15530" t="str">
            <v>磁性位置传感器</v>
          </cell>
        </row>
        <row r="15531">
          <cell r="O15531" t="str">
            <v>SC2448SO</v>
          </cell>
          <cell r="P15531" t="str">
            <v>STC11102B</v>
          </cell>
          <cell r="Q15531" t="str">
            <v>磁性位置传感器</v>
          </cell>
        </row>
        <row r="15532">
          <cell r="O15532" t="str">
            <v>SC2448SO</v>
          </cell>
          <cell r="P15532" t="str">
            <v>STC11102B</v>
          </cell>
          <cell r="Q15532" t="str">
            <v>磁性位置传感器</v>
          </cell>
        </row>
        <row r="15533">
          <cell r="O15533" t="str">
            <v>SC2448SO</v>
          </cell>
          <cell r="P15533" t="str">
            <v>STC11102B</v>
          </cell>
          <cell r="Q15533" t="str">
            <v>磁性位置传感器</v>
          </cell>
        </row>
        <row r="15534">
          <cell r="O15534" t="str">
            <v>SC2498SO</v>
          </cell>
          <cell r="P15534" t="str">
            <v>SC9915C</v>
          </cell>
          <cell r="Q15534" t="str">
            <v>磁性位置传感器</v>
          </cell>
        </row>
        <row r="15535">
          <cell r="O15535" t="str">
            <v>SC9621VB</v>
          </cell>
          <cell r="P15535" t="str">
            <v>STC9910C</v>
          </cell>
          <cell r="Q15535" t="str">
            <v>速度传感器</v>
          </cell>
        </row>
        <row r="15536">
          <cell r="O15536" t="str">
            <v>SD2276VB-BK</v>
          </cell>
          <cell r="P15536" t="str">
            <v>FD1014A</v>
          </cell>
          <cell r="Q15536" t="str">
            <v>电机驱动</v>
          </cell>
        </row>
        <row r="15537">
          <cell r="O15537" t="str">
            <v>SD2276VB-BK</v>
          </cell>
          <cell r="P15537" t="str">
            <v>FD1014A</v>
          </cell>
          <cell r="Q15537" t="str">
            <v>电机驱动</v>
          </cell>
        </row>
        <row r="15538">
          <cell r="O15538" t="str">
            <v>SD2276VB-BK</v>
          </cell>
          <cell r="P15538" t="str">
            <v>FD1014A</v>
          </cell>
          <cell r="Q15538" t="str">
            <v>电机驱动</v>
          </cell>
        </row>
        <row r="15539">
          <cell r="O15539" t="str">
            <v>SD2276VB-BK</v>
          </cell>
          <cell r="P15539" t="str">
            <v>FD1014A</v>
          </cell>
          <cell r="Q15539" t="str">
            <v>电机驱动</v>
          </cell>
        </row>
        <row r="15540">
          <cell r="O15540" t="str">
            <v>SD2276VB-BK</v>
          </cell>
          <cell r="P15540" t="str">
            <v>FD1014A</v>
          </cell>
          <cell r="Q15540" t="str">
            <v>电机驱动</v>
          </cell>
        </row>
        <row r="15541">
          <cell r="O15541" t="str">
            <v>SD2276VB-BK</v>
          </cell>
          <cell r="P15541" t="str">
            <v>FD1014A</v>
          </cell>
          <cell r="Q15541" t="str">
            <v>电机驱动</v>
          </cell>
        </row>
        <row r="15542">
          <cell r="O15542" t="str">
            <v>SD2276VB-BK</v>
          </cell>
          <cell r="P15542" t="str">
            <v>FD1014A</v>
          </cell>
          <cell r="Q15542" t="str">
            <v>电机驱动</v>
          </cell>
        </row>
        <row r="15543">
          <cell r="O15543" t="str">
            <v>SD211VB-BK</v>
          </cell>
          <cell r="P15543" t="str">
            <v>FD1016A</v>
          </cell>
          <cell r="Q15543" t="str">
            <v>电机驱动</v>
          </cell>
        </row>
        <row r="15544">
          <cell r="O15544" t="str">
            <v>SD211VB-BK</v>
          </cell>
          <cell r="P15544" t="str">
            <v>FD1016A</v>
          </cell>
          <cell r="Q15544" t="str">
            <v>电机驱动</v>
          </cell>
        </row>
        <row r="15545">
          <cell r="O15545" t="str">
            <v>SC2063SO-TR</v>
          </cell>
          <cell r="P15545" t="str">
            <v>STC9G001C</v>
          </cell>
          <cell r="Q15545" t="str">
            <v>磁性位置传感器</v>
          </cell>
        </row>
        <row r="15546">
          <cell r="O15546" t="str">
            <v>SC2063SO-TR</v>
          </cell>
          <cell r="P15546" t="str">
            <v>STC9G001C</v>
          </cell>
          <cell r="Q15546" t="str">
            <v>磁性位置传感器</v>
          </cell>
        </row>
        <row r="15547">
          <cell r="O15547" t="str">
            <v>SC2436SO-TR</v>
          </cell>
          <cell r="P15547" t="str">
            <v>STC9906M</v>
          </cell>
          <cell r="Q15547" t="str">
            <v>磁性位置传感器</v>
          </cell>
        </row>
        <row r="15548">
          <cell r="O15548" t="str">
            <v>SC2436SO-TR</v>
          </cell>
          <cell r="P15548" t="str">
            <v>STC9906M</v>
          </cell>
          <cell r="Q15548" t="str">
            <v>磁性位置传感器</v>
          </cell>
        </row>
        <row r="15549">
          <cell r="O15549" t="str">
            <v>SC2402SO-N-TR</v>
          </cell>
          <cell r="P15549" t="str">
            <v>STC9G002A</v>
          </cell>
          <cell r="Q15549" t="str">
            <v>磁性位置传感器</v>
          </cell>
        </row>
        <row r="15550">
          <cell r="O15550" t="str">
            <v>SC2402SO-N-TR</v>
          </cell>
          <cell r="P15550" t="str">
            <v>STC9G002A</v>
          </cell>
          <cell r="Q15550" t="str">
            <v>磁性位置传感器</v>
          </cell>
        </row>
        <row r="15551">
          <cell r="O15551" t="str">
            <v>SC1134SO-N-TR-Q</v>
          </cell>
          <cell r="P15551" t="str">
            <v>STC1898AI</v>
          </cell>
          <cell r="Q15551" t="str">
            <v>磁性位置传感器</v>
          </cell>
        </row>
        <row r="15552">
          <cell r="O15552" t="str">
            <v>SC2242SO-TR-Q</v>
          </cell>
          <cell r="P15552" t="str">
            <v>STC9906H</v>
          </cell>
          <cell r="Q15552" t="str">
            <v>磁性位置传感器</v>
          </cell>
        </row>
        <row r="15553">
          <cell r="O15553" t="str">
            <v>SC2242SO-TR-Q</v>
          </cell>
          <cell r="P15553" t="str">
            <v>STC9906H</v>
          </cell>
          <cell r="Q15553" t="str">
            <v>磁性位置传感器</v>
          </cell>
        </row>
        <row r="15554">
          <cell r="O15554" t="str">
            <v>SD2276VB-BK</v>
          </cell>
          <cell r="P15554" t="str">
            <v>FD1014A</v>
          </cell>
          <cell r="Q15554" t="str">
            <v>电机驱动</v>
          </cell>
        </row>
        <row r="15555">
          <cell r="O15555" t="str">
            <v>SD2276VB-BK</v>
          </cell>
          <cell r="P15555" t="str">
            <v>FD1014A</v>
          </cell>
          <cell r="Q15555" t="str">
            <v>电机驱动</v>
          </cell>
        </row>
        <row r="15556">
          <cell r="O15556" t="str">
            <v>SD2276VB-BK</v>
          </cell>
          <cell r="P15556" t="str">
            <v>FD1014A</v>
          </cell>
          <cell r="Q15556" t="str">
            <v>电机驱动</v>
          </cell>
        </row>
        <row r="15557">
          <cell r="O15557" t="str">
            <v>SC2442SO-N-TR-Q</v>
          </cell>
          <cell r="P15557" t="str">
            <v>STC11102B</v>
          </cell>
          <cell r="Q15557" t="str">
            <v>磁性位置传感器</v>
          </cell>
        </row>
        <row r="15558">
          <cell r="O15558" t="str">
            <v>SC2546VB</v>
          </cell>
          <cell r="P15558" t="str">
            <v>STC9906H</v>
          </cell>
          <cell r="Q15558" t="str">
            <v>磁性位置传感器</v>
          </cell>
        </row>
        <row r="15559">
          <cell r="O15559" t="str">
            <v>SC2402UA</v>
          </cell>
          <cell r="P15559" t="str">
            <v>STC9902J</v>
          </cell>
          <cell r="Q15559" t="str">
            <v>磁性位置传感器</v>
          </cell>
        </row>
        <row r="15560">
          <cell r="O15560" t="str">
            <v>SC2402UA</v>
          </cell>
          <cell r="P15560" t="str">
            <v>STC9902J</v>
          </cell>
          <cell r="Q15560" t="str">
            <v>磁性位置传感器</v>
          </cell>
        </row>
        <row r="15561">
          <cell r="O15561" t="str">
            <v>SC1245UA</v>
          </cell>
          <cell r="P15561" t="str">
            <v>STC1898AD</v>
          </cell>
          <cell r="Q15561" t="str">
            <v>磁性位置传感器</v>
          </cell>
        </row>
        <row r="15562">
          <cell r="O15562" t="str">
            <v>SC1245UA</v>
          </cell>
          <cell r="P15562" t="str">
            <v>STC1898AD</v>
          </cell>
          <cell r="Q15562" t="str">
            <v>磁性位置传感器</v>
          </cell>
        </row>
        <row r="15563">
          <cell r="O15563" t="str">
            <v>SC2442UA</v>
          </cell>
          <cell r="P15563" t="str">
            <v>STC11102B</v>
          </cell>
          <cell r="Q15563" t="str">
            <v>磁性位置传感器</v>
          </cell>
        </row>
        <row r="15564">
          <cell r="O15564" t="str">
            <v>SC9641TS-PC-TR-Q</v>
          </cell>
          <cell r="P15564" t="str">
            <v>STC9A001I</v>
          </cell>
          <cell r="Q15564" t="str">
            <v>速度传感器</v>
          </cell>
        </row>
        <row r="15565">
          <cell r="O15565" t="str">
            <v>SC9641TS-PC-TR-Q</v>
          </cell>
          <cell r="P15565" t="str">
            <v>STC9A001I</v>
          </cell>
          <cell r="Q15565" t="str">
            <v>速度传感器</v>
          </cell>
        </row>
        <row r="15566">
          <cell r="O15566" t="str">
            <v>SC9641TS-PC-TR-Q</v>
          </cell>
          <cell r="P15566" t="str">
            <v>STC9A001I</v>
          </cell>
          <cell r="Q15566" t="str">
            <v>速度传感器</v>
          </cell>
        </row>
        <row r="15567">
          <cell r="O15567" t="str">
            <v>SC9641TS-PC-TR-Q</v>
          </cell>
          <cell r="P15567" t="str">
            <v>STC9A001I</v>
          </cell>
          <cell r="Q15567" t="str">
            <v>速度传感器</v>
          </cell>
        </row>
        <row r="15568">
          <cell r="O15568" t="str">
            <v>SC4002BU</v>
          </cell>
          <cell r="P15568" t="str">
            <v>STC4000AA</v>
          </cell>
          <cell r="Q15568" t="str">
            <v>磁性位置传感器</v>
          </cell>
        </row>
        <row r="15569">
          <cell r="O15569" t="str">
            <v>SC4002BU</v>
          </cell>
          <cell r="P15569" t="str">
            <v>STC4000AA</v>
          </cell>
          <cell r="Q15569" t="str">
            <v>磁性位置传感器</v>
          </cell>
        </row>
        <row r="15570">
          <cell r="O15570" t="str">
            <v>SC4002BU</v>
          </cell>
          <cell r="P15570" t="str">
            <v>STC4000AA</v>
          </cell>
          <cell r="Q15570" t="str">
            <v>磁性位置传感器</v>
          </cell>
        </row>
        <row r="15571">
          <cell r="O15571" t="str">
            <v>SC2402SO-N-TR</v>
          </cell>
          <cell r="P15571" t="str">
            <v>STC9G002A</v>
          </cell>
          <cell r="Q15571" t="str">
            <v>磁性位置传感器</v>
          </cell>
        </row>
        <row r="15572">
          <cell r="O15572" t="str">
            <v>SC2402SO-N-TR</v>
          </cell>
          <cell r="P15572" t="str">
            <v>STC9G002A</v>
          </cell>
          <cell r="Q15572" t="str">
            <v>磁性位置传感器</v>
          </cell>
        </row>
        <row r="15573">
          <cell r="O15573" t="str">
            <v>SC9641TS-P-TR</v>
          </cell>
          <cell r="P15573" t="str">
            <v>STC9A001I</v>
          </cell>
          <cell r="Q15573" t="str">
            <v>速度传感器</v>
          </cell>
        </row>
        <row r="15574">
          <cell r="O15574" t="str">
            <v>SC9641TS-P-TR</v>
          </cell>
          <cell r="P15574" t="str">
            <v>STC9A001I</v>
          </cell>
          <cell r="Q15574" t="str">
            <v>速度传感器</v>
          </cell>
        </row>
        <row r="15575">
          <cell r="O15575" t="str">
            <v>SC9641TS-P-TR</v>
          </cell>
          <cell r="P15575" t="str">
            <v>STC9A001I</v>
          </cell>
          <cell r="Q15575" t="str">
            <v>速度传感器</v>
          </cell>
        </row>
        <row r="15576">
          <cell r="O15576" t="str">
            <v>SC9641TS-P-TR</v>
          </cell>
          <cell r="P15576" t="str">
            <v>STC9A001I</v>
          </cell>
          <cell r="Q15576" t="str">
            <v>速度传感器</v>
          </cell>
        </row>
        <row r="15577">
          <cell r="O15577" t="str">
            <v>SC9641TS-P-TR</v>
          </cell>
          <cell r="P15577" t="str">
            <v>STC9A001I</v>
          </cell>
          <cell r="Q15577" t="str">
            <v>速度传感器</v>
          </cell>
        </row>
        <row r="15578">
          <cell r="O15578" t="str">
            <v>SC9641TS-P-TR</v>
          </cell>
          <cell r="P15578" t="str">
            <v>STC9A001I</v>
          </cell>
          <cell r="Q15578" t="str">
            <v>速度传感器</v>
          </cell>
        </row>
        <row r="15579">
          <cell r="O15579" t="str">
            <v>SC9641TS-P-TR</v>
          </cell>
          <cell r="P15579" t="str">
            <v>STC9A001I</v>
          </cell>
          <cell r="Q15579" t="str">
            <v>速度传感器</v>
          </cell>
        </row>
        <row r="15580">
          <cell r="O15580" t="str">
            <v>SC9648TS-TR</v>
          </cell>
          <cell r="P15580" t="str">
            <v>STC9A001I</v>
          </cell>
          <cell r="Q15580" t="str">
            <v>速度传感器</v>
          </cell>
        </row>
        <row r="15581">
          <cell r="O15581" t="str">
            <v>SC9648TS-TR</v>
          </cell>
          <cell r="P15581" t="str">
            <v>STC9A001I</v>
          </cell>
          <cell r="Q15581" t="str">
            <v>速度传感器</v>
          </cell>
        </row>
        <row r="15582">
          <cell r="O15582" t="str">
            <v>SC9648TS-TR</v>
          </cell>
          <cell r="P15582" t="str">
            <v>STC9A001I</v>
          </cell>
          <cell r="Q15582" t="str">
            <v>速度传感器</v>
          </cell>
        </row>
        <row r="15583">
          <cell r="O15583" t="str">
            <v>ZH6252C</v>
          </cell>
          <cell r="P15583" t="str">
            <v>ZH6252C</v>
          </cell>
          <cell r="Q15583" t="str">
            <v>电机驱动</v>
          </cell>
        </row>
        <row r="15584">
          <cell r="O15584" t="str">
            <v>ZH6252C</v>
          </cell>
          <cell r="P15584" t="str">
            <v>ZH6252C</v>
          </cell>
          <cell r="Q15584" t="str">
            <v>电机驱动</v>
          </cell>
        </row>
        <row r="15585">
          <cell r="O15585" t="str">
            <v>ZH6252C</v>
          </cell>
          <cell r="P15585" t="str">
            <v>ZH6252C</v>
          </cell>
          <cell r="Q15585" t="str">
            <v>电机驱动</v>
          </cell>
        </row>
        <row r="15586">
          <cell r="O15586" t="str">
            <v>SC2442SO-TR-Q</v>
          </cell>
          <cell r="P15586" t="str">
            <v>STC11102B</v>
          </cell>
          <cell r="Q15586" t="str">
            <v>磁性位置传感器</v>
          </cell>
        </row>
        <row r="15587">
          <cell r="O15587" t="str">
            <v>SC2498TSO</v>
          </cell>
          <cell r="P15587" t="str">
            <v>STC11300C</v>
          </cell>
          <cell r="Q15587" t="str">
            <v>磁性位置传感器</v>
          </cell>
        </row>
        <row r="15588">
          <cell r="O15588" t="str">
            <v>SC2442SO-N</v>
          </cell>
          <cell r="P15588" t="str">
            <v>STC9906P</v>
          </cell>
          <cell r="Q15588" t="str">
            <v>磁性位置传感器</v>
          </cell>
        </row>
        <row r="15589">
          <cell r="O15589" t="str">
            <v>SC2442SO-N</v>
          </cell>
          <cell r="P15589" t="str">
            <v>STC9906P</v>
          </cell>
          <cell r="Q15589" t="str">
            <v>磁性位置传感器</v>
          </cell>
        </row>
        <row r="15590">
          <cell r="O15590" t="str">
            <v>SC9642TS-EC-TR-Q</v>
          </cell>
          <cell r="P15590" t="str">
            <v>STC9A001H</v>
          </cell>
          <cell r="Q15590" t="str">
            <v>速度传感器</v>
          </cell>
        </row>
        <row r="15591">
          <cell r="O15591" t="str">
            <v>SC9642TS-EC-TR-Q</v>
          </cell>
          <cell r="P15591" t="str">
            <v>STC9A001H</v>
          </cell>
          <cell r="Q15591" t="str">
            <v>速度传感器</v>
          </cell>
        </row>
        <row r="15592">
          <cell r="O15592" t="str">
            <v>SC2430UA</v>
          </cell>
          <cell r="P15592" t="str">
            <v>STC9906I</v>
          </cell>
          <cell r="Q15592" t="str">
            <v>磁性位置传感器</v>
          </cell>
        </row>
        <row r="15593">
          <cell r="O15593" t="str">
            <v>SC2430UA</v>
          </cell>
          <cell r="P15593" t="str">
            <v>STC9906I</v>
          </cell>
          <cell r="Q15593" t="str">
            <v>磁性位置传感器</v>
          </cell>
        </row>
        <row r="15594">
          <cell r="O15594" t="str">
            <v>SC4688SA-BK-Q</v>
          </cell>
          <cell r="P15594" t="str">
            <v>STC9D01C</v>
          </cell>
          <cell r="Q15594" t="str">
            <v>角度传感器</v>
          </cell>
        </row>
        <row r="15595">
          <cell r="O15595" t="str">
            <v>SC1134UA</v>
          </cell>
          <cell r="P15595" t="str">
            <v>STC1898AI</v>
          </cell>
          <cell r="Q15595" t="str">
            <v>磁性位置传感器</v>
          </cell>
        </row>
        <row r="15596">
          <cell r="O15596" t="str">
            <v>SC1445A1</v>
          </cell>
          <cell r="P15596" t="str">
            <v>STC2899AB</v>
          </cell>
          <cell r="Q15596" t="str">
            <v>磁性位置传感器</v>
          </cell>
        </row>
        <row r="15597">
          <cell r="O15597" t="str">
            <v>SC2416SE</v>
          </cell>
          <cell r="P15597" t="str">
            <v>STC9902B</v>
          </cell>
          <cell r="Q15597" t="str">
            <v>磁性位置传感器</v>
          </cell>
        </row>
        <row r="15598">
          <cell r="O15598" t="str">
            <v>SC2064SO-TR</v>
          </cell>
          <cell r="P15598" t="str">
            <v>STC9G001C</v>
          </cell>
          <cell r="Q15598" t="str">
            <v>磁性位置传感器</v>
          </cell>
        </row>
        <row r="15599">
          <cell r="O15599" t="str">
            <v>SC2442SO-N</v>
          </cell>
          <cell r="P15599" t="str">
            <v>STC9906P</v>
          </cell>
          <cell r="Q15599" t="str">
            <v>磁性位置传感器</v>
          </cell>
        </row>
        <row r="15600">
          <cell r="O15600" t="str">
            <v>SC4015SO-N-A-TR</v>
          </cell>
          <cell r="P15600" t="str">
            <v>STC4011E</v>
          </cell>
          <cell r="Q15600" t="str">
            <v>磁性位置传感器</v>
          </cell>
        </row>
        <row r="15601">
          <cell r="O15601" t="str">
            <v>SC4015SO-N-A-TR</v>
          </cell>
          <cell r="P15601" t="str">
            <v>STC4011E</v>
          </cell>
          <cell r="Q15601" t="str">
            <v>磁性位置传感器</v>
          </cell>
        </row>
        <row r="15602">
          <cell r="O15602" t="str">
            <v>SC4015SO-N-A-TR</v>
          </cell>
          <cell r="P15602" t="str">
            <v>STC4011E</v>
          </cell>
          <cell r="Q15602" t="str">
            <v>磁性位置传感器</v>
          </cell>
        </row>
        <row r="15603">
          <cell r="O15603" t="str">
            <v>ZH639D0B</v>
          </cell>
          <cell r="P15603" t="str">
            <v>ZH639D0B</v>
          </cell>
          <cell r="Q15603" t="str">
            <v>电机驱动</v>
          </cell>
        </row>
        <row r="15604">
          <cell r="O15604" t="str">
            <v>ZH639G0B-Mask</v>
          </cell>
          <cell r="P15604" t="str">
            <v xml:space="preserve"> </v>
          </cell>
          <cell r="Q15604" t="str">
            <v>电机驱动</v>
          </cell>
        </row>
        <row r="15605">
          <cell r="O15605" t="str">
            <v>ZH639G0B</v>
          </cell>
          <cell r="P15605" t="str">
            <v>ZH639G0B</v>
          </cell>
          <cell r="Q15605" t="str">
            <v>电机驱动</v>
          </cell>
        </row>
        <row r="15606">
          <cell r="O15606" t="str">
            <v>SC2442SO-TR-Q</v>
          </cell>
          <cell r="P15606" t="str">
            <v>STC11102B</v>
          </cell>
          <cell r="Q15606" t="str">
            <v>磁性位置传感器</v>
          </cell>
        </row>
        <row r="15607">
          <cell r="O15607" t="str">
            <v>SC2443UA</v>
          </cell>
          <cell r="P15607" t="str">
            <v>STC9906W</v>
          </cell>
          <cell r="Q15607" t="str">
            <v>磁性位置传感器</v>
          </cell>
        </row>
        <row r="15608">
          <cell r="O15608" t="str">
            <v>SC2443UA</v>
          </cell>
          <cell r="P15608" t="str">
            <v>STC9906W</v>
          </cell>
          <cell r="Q15608" t="str">
            <v>磁性位置传感器</v>
          </cell>
        </row>
        <row r="15609">
          <cell r="O15609" t="str">
            <v>SC2443UA</v>
          </cell>
          <cell r="P15609" t="str">
            <v>STC9906W</v>
          </cell>
          <cell r="Q15609" t="str">
            <v>磁性位置传感器</v>
          </cell>
        </row>
        <row r="15610">
          <cell r="O15610" t="str">
            <v>SC2443UA</v>
          </cell>
          <cell r="P15610" t="str">
            <v>STC9906W</v>
          </cell>
          <cell r="Q15610" t="str">
            <v>磁性位置传感器</v>
          </cell>
        </row>
        <row r="15611">
          <cell r="O15611" t="str">
            <v>SC2443UA</v>
          </cell>
          <cell r="P15611" t="str">
            <v>STC9906W</v>
          </cell>
          <cell r="Q15611" t="str">
            <v>磁性位置传感器</v>
          </cell>
        </row>
        <row r="15612">
          <cell r="O15612" t="str">
            <v>SC2443UA</v>
          </cell>
          <cell r="P15612" t="str">
            <v>STC9906W</v>
          </cell>
          <cell r="Q15612" t="str">
            <v>磁性位置传感器</v>
          </cell>
        </row>
        <row r="15613">
          <cell r="O15613" t="str">
            <v>SC2443UA</v>
          </cell>
          <cell r="P15613" t="str">
            <v>STC9906W</v>
          </cell>
          <cell r="Q15613" t="str">
            <v>磁性位置传感器</v>
          </cell>
        </row>
        <row r="15614">
          <cell r="O15614" t="str">
            <v>SC2443UA</v>
          </cell>
          <cell r="P15614" t="str">
            <v>STC9906W</v>
          </cell>
          <cell r="Q15614" t="str">
            <v>磁性位置传感器</v>
          </cell>
        </row>
        <row r="15615">
          <cell r="O15615" t="str">
            <v>SC2443UA</v>
          </cell>
          <cell r="P15615" t="str">
            <v>STC9906W</v>
          </cell>
          <cell r="Q15615" t="str">
            <v>磁性位置传感器</v>
          </cell>
        </row>
        <row r="15616">
          <cell r="O15616" t="str">
            <v>SC2443UA</v>
          </cell>
          <cell r="P15616" t="str">
            <v>STC9906W</v>
          </cell>
          <cell r="Q15616" t="str">
            <v>磁性位置传感器</v>
          </cell>
        </row>
        <row r="15617">
          <cell r="O15617" t="str">
            <v>SC2443UA</v>
          </cell>
          <cell r="P15617" t="str">
            <v>STC9906W</v>
          </cell>
          <cell r="Q15617" t="str">
            <v>磁性位置传感器</v>
          </cell>
        </row>
        <row r="15618">
          <cell r="O15618" t="str">
            <v>SC2443UA</v>
          </cell>
          <cell r="P15618" t="str">
            <v>STC9906W</v>
          </cell>
          <cell r="Q15618" t="str">
            <v>磁性位置传感器</v>
          </cell>
        </row>
        <row r="15619">
          <cell r="O15619" t="str">
            <v>SC2443UA</v>
          </cell>
          <cell r="P15619" t="str">
            <v>STC9906W</v>
          </cell>
          <cell r="Q15619" t="str">
            <v>磁性位置传感器</v>
          </cell>
        </row>
        <row r="15620">
          <cell r="O15620" t="str">
            <v>SC2443UA</v>
          </cell>
          <cell r="P15620" t="str">
            <v>STC9906W</v>
          </cell>
          <cell r="Q15620" t="str">
            <v>磁性位置传感器</v>
          </cell>
        </row>
        <row r="15621">
          <cell r="O15621" t="str">
            <v>SC2443UA</v>
          </cell>
          <cell r="P15621" t="str">
            <v>STC9906W</v>
          </cell>
          <cell r="Q15621" t="str">
            <v>磁性位置传感器</v>
          </cell>
        </row>
        <row r="15622">
          <cell r="O15622" t="str">
            <v>SC2443UA</v>
          </cell>
          <cell r="P15622" t="str">
            <v>STC9906W</v>
          </cell>
          <cell r="Q15622" t="str">
            <v>磁性位置传感器</v>
          </cell>
        </row>
        <row r="15623">
          <cell r="O15623" t="str">
            <v>SC2443UA</v>
          </cell>
          <cell r="P15623" t="str">
            <v>STC9906W</v>
          </cell>
          <cell r="Q15623" t="str">
            <v>磁性位置传感器</v>
          </cell>
        </row>
        <row r="15624">
          <cell r="O15624" t="str">
            <v>SC2443UA</v>
          </cell>
          <cell r="P15624" t="str">
            <v>STC9906W</v>
          </cell>
          <cell r="Q15624" t="str">
            <v>磁性位置传感器</v>
          </cell>
        </row>
        <row r="15625">
          <cell r="O15625" t="str">
            <v>SC2443UA</v>
          </cell>
          <cell r="P15625" t="str">
            <v>STC9906W</v>
          </cell>
          <cell r="Q15625" t="str">
            <v>磁性位置传感器</v>
          </cell>
        </row>
        <row r="15626">
          <cell r="O15626" t="str">
            <v>SC2443UA</v>
          </cell>
          <cell r="P15626" t="str">
            <v>STC9906W</v>
          </cell>
          <cell r="Q15626" t="str">
            <v>磁性位置传感器</v>
          </cell>
        </row>
        <row r="15627">
          <cell r="O15627" t="str">
            <v>SC2402SO-N</v>
          </cell>
          <cell r="P15627" t="str">
            <v>STC9902J</v>
          </cell>
          <cell r="Q15627" t="str">
            <v>磁性位置传感器</v>
          </cell>
        </row>
        <row r="15628">
          <cell r="O15628" t="str">
            <v>SC2402SO-N</v>
          </cell>
          <cell r="P15628" t="str">
            <v>STC9902J</v>
          </cell>
          <cell r="Q15628" t="str">
            <v>磁性位置传感器</v>
          </cell>
        </row>
        <row r="15629">
          <cell r="O15629" t="str">
            <v>SC2402SO-N</v>
          </cell>
          <cell r="P15629" t="str">
            <v>STC9902J</v>
          </cell>
          <cell r="Q15629" t="str">
            <v>磁性位置传感器</v>
          </cell>
        </row>
        <row r="15630">
          <cell r="O15630" t="str">
            <v>SC2402SO-N</v>
          </cell>
          <cell r="P15630" t="str">
            <v>STC9902J</v>
          </cell>
          <cell r="Q15630" t="str">
            <v>磁性位置传感器</v>
          </cell>
        </row>
        <row r="15631">
          <cell r="O15631" t="str">
            <v>SC2402SO-N</v>
          </cell>
          <cell r="P15631" t="str">
            <v>STC9902J</v>
          </cell>
          <cell r="Q15631" t="str">
            <v>磁性位置传感器</v>
          </cell>
        </row>
        <row r="15632">
          <cell r="O15632" t="str">
            <v>SC2402SO-N</v>
          </cell>
          <cell r="P15632" t="str">
            <v>STC9902J</v>
          </cell>
          <cell r="Q15632" t="str">
            <v>磁性位置传感器</v>
          </cell>
        </row>
        <row r="15633">
          <cell r="O15633" t="str">
            <v>SC1245SO-N</v>
          </cell>
          <cell r="P15633" t="str">
            <v>STC1898AD</v>
          </cell>
          <cell r="Q15633" t="str">
            <v>磁性位置传感器</v>
          </cell>
        </row>
        <row r="15634">
          <cell r="O15634" t="str">
            <v>SC2432SO-TR-Q</v>
          </cell>
          <cell r="P15634" t="str">
            <v>STC9906M</v>
          </cell>
          <cell r="Q15634" t="str">
            <v>磁性位置传感器</v>
          </cell>
        </row>
        <row r="15635">
          <cell r="O15635" t="str">
            <v>SC2432SO-TR-Q</v>
          </cell>
          <cell r="P15635" t="str">
            <v>STC9906M</v>
          </cell>
          <cell r="Q15635" t="str">
            <v>磁性位置传感器</v>
          </cell>
        </row>
        <row r="15636">
          <cell r="O15636" t="str">
            <v>SC9648TS-TR</v>
          </cell>
          <cell r="P15636" t="str">
            <v>STC9A001I</v>
          </cell>
          <cell r="Q15636" t="str">
            <v>速度传感器</v>
          </cell>
        </row>
        <row r="15637">
          <cell r="O15637" t="str">
            <v>SC9648TS-TR</v>
          </cell>
          <cell r="P15637" t="str">
            <v>STC9A001I</v>
          </cell>
          <cell r="Q15637" t="str">
            <v>速度传感器</v>
          </cell>
        </row>
        <row r="15638">
          <cell r="O15638" t="str">
            <v>SC9648TS-TR</v>
          </cell>
          <cell r="P15638" t="str">
            <v>STC9A001I</v>
          </cell>
          <cell r="Q15638" t="str">
            <v>速度传感器</v>
          </cell>
        </row>
        <row r="15639">
          <cell r="O15639" t="str">
            <v>SC4688DC-TR-Q</v>
          </cell>
          <cell r="P15639" t="str">
            <v>STC9D01C</v>
          </cell>
          <cell r="Q15639" t="str">
            <v>角度传感器</v>
          </cell>
        </row>
        <row r="15640">
          <cell r="O15640" t="str">
            <v>SC4688DC-TR-Q</v>
          </cell>
          <cell r="P15640" t="str">
            <v>STC9D01C</v>
          </cell>
          <cell r="Q15640" t="str">
            <v>角度传感器</v>
          </cell>
        </row>
        <row r="15641">
          <cell r="O15641" t="str">
            <v>SC9642TS-E</v>
          </cell>
          <cell r="P15641" t="str">
            <v>STC9A001H</v>
          </cell>
          <cell r="Q15641" t="str">
            <v>速度传感器</v>
          </cell>
        </row>
        <row r="15642">
          <cell r="O15642" t="str">
            <v>SC4643编程器</v>
          </cell>
          <cell r="P15642" t="str">
            <v xml:space="preserve"> </v>
          </cell>
          <cell r="Q15642" t="str">
            <v>电流传感器</v>
          </cell>
        </row>
        <row r="15643">
          <cell r="O15643" t="str">
            <v>SC4643VB-BK-Q</v>
          </cell>
          <cell r="P15643" t="str">
            <v>STC9D03E</v>
          </cell>
          <cell r="Q15643" t="str">
            <v>电流传感器</v>
          </cell>
        </row>
        <row r="15644">
          <cell r="O15644" t="str">
            <v>SC9625VB-BK</v>
          </cell>
          <cell r="P15644" t="str">
            <v>STC9910E</v>
          </cell>
          <cell r="Q15644" t="str">
            <v>速度传感器</v>
          </cell>
        </row>
        <row r="15645">
          <cell r="O15645" t="str">
            <v>SC4643VB-BK-Q</v>
          </cell>
          <cell r="P15645" t="str">
            <v>STC9D03E</v>
          </cell>
          <cell r="Q15645" t="str">
            <v>电流传感器</v>
          </cell>
        </row>
        <row r="15646">
          <cell r="O15646" t="str">
            <v>SC4688编程器</v>
          </cell>
          <cell r="P15646" t="str">
            <v xml:space="preserve"> </v>
          </cell>
          <cell r="Q15646" t="str">
            <v>角度传感器</v>
          </cell>
        </row>
        <row r="15647">
          <cell r="O15647" t="str">
            <v>SC2432SO-TR-Q</v>
          </cell>
          <cell r="P15647" t="str">
            <v>STC9906M</v>
          </cell>
          <cell r="Q15647" t="str">
            <v>磁性位置传感器</v>
          </cell>
        </row>
        <row r="15648">
          <cell r="O15648" t="str">
            <v>SC9625VB-BK</v>
          </cell>
          <cell r="P15648" t="str">
            <v>STC9910E</v>
          </cell>
          <cell r="Q15648" t="str">
            <v>速度传感器</v>
          </cell>
        </row>
        <row r="15649">
          <cell r="O15649" t="str">
            <v>SC9625VB-BK</v>
          </cell>
          <cell r="P15649" t="str">
            <v>STC9910E</v>
          </cell>
          <cell r="Q15649" t="str">
            <v>速度传感器</v>
          </cell>
        </row>
        <row r="15650">
          <cell r="O15650" t="str">
            <v>SC9625VB-BK</v>
          </cell>
          <cell r="P15650" t="str">
            <v>STC9910E</v>
          </cell>
          <cell r="Q15650" t="str">
            <v>速度传感器</v>
          </cell>
        </row>
        <row r="15651">
          <cell r="O15651" t="str">
            <v>SC4688SA</v>
          </cell>
          <cell r="P15651" t="str">
            <v>STC9D01C</v>
          </cell>
          <cell r="Q15651" t="str">
            <v>角度传感器</v>
          </cell>
        </row>
        <row r="15652">
          <cell r="O15652" t="str">
            <v>SC9625VB-BK</v>
          </cell>
          <cell r="P15652" t="str">
            <v>STC9910E</v>
          </cell>
          <cell r="Q15652" t="str">
            <v>速度传感器</v>
          </cell>
        </row>
        <row r="15653">
          <cell r="O15653" t="str">
            <v>SC9625VB-BK</v>
          </cell>
          <cell r="P15653" t="str">
            <v>STC9910E</v>
          </cell>
          <cell r="Q15653" t="str">
            <v>速度传感器</v>
          </cell>
        </row>
        <row r="15654">
          <cell r="O15654" t="str">
            <v>SC69401-A</v>
          </cell>
          <cell r="P15654" t="str">
            <v>STC9H002DQ</v>
          </cell>
          <cell r="Q15654" t="str">
            <v>角度传感器</v>
          </cell>
        </row>
        <row r="15655">
          <cell r="O15655" t="str">
            <v>SI485EDC-TR</v>
          </cell>
          <cell r="P15655" t="str">
            <v>STC42302C</v>
          </cell>
          <cell r="Q15655" t="str">
            <v>其他数模混合</v>
          </cell>
        </row>
        <row r="15656">
          <cell r="O15656" t="str">
            <v>SI485EDC-TR</v>
          </cell>
          <cell r="P15656" t="str">
            <v>STC42302C</v>
          </cell>
          <cell r="Q15656" t="str">
            <v>其他数模混合</v>
          </cell>
        </row>
        <row r="15657">
          <cell r="O15657" t="str">
            <v>SI485EDC-TR</v>
          </cell>
          <cell r="P15657" t="str">
            <v>STC42302C</v>
          </cell>
          <cell r="Q15657" t="str">
            <v>其他数模混合</v>
          </cell>
        </row>
        <row r="15658">
          <cell r="O15658" t="str">
            <v>SI485EDC-TR</v>
          </cell>
          <cell r="P15658" t="str">
            <v>STC42302C</v>
          </cell>
          <cell r="Q15658" t="str">
            <v>其他数模混合</v>
          </cell>
        </row>
        <row r="15659">
          <cell r="O15659" t="str">
            <v>SC4688DC-TR-Q</v>
          </cell>
          <cell r="P15659" t="str">
            <v>STC9D01C</v>
          </cell>
          <cell r="Q15659" t="str">
            <v>角度传感器</v>
          </cell>
        </row>
        <row r="15660">
          <cell r="O15660" t="str">
            <v>SC2442SO-TR-Q</v>
          </cell>
          <cell r="P15660" t="str">
            <v>STC11102B</v>
          </cell>
          <cell r="Q15660" t="str">
            <v>磁性位置传感器</v>
          </cell>
        </row>
        <row r="15661">
          <cell r="O15661" t="str">
            <v>SC2442SO-TR-Q</v>
          </cell>
          <cell r="P15661" t="str">
            <v>STC11102B</v>
          </cell>
          <cell r="Q15661" t="str">
            <v>磁性位置传感器</v>
          </cell>
        </row>
        <row r="15662">
          <cell r="O15662" t="str">
            <v>SC2442SO-TR-Q</v>
          </cell>
          <cell r="P15662" t="str">
            <v>STC11102B</v>
          </cell>
          <cell r="Q15662" t="str">
            <v>磁性位置传感器</v>
          </cell>
        </row>
        <row r="15663">
          <cell r="O15663" t="str">
            <v>SC2442UA-BK-Q</v>
          </cell>
          <cell r="P15663" t="str">
            <v>STC11102B</v>
          </cell>
          <cell r="Q15663" t="str">
            <v>磁性位置传感器</v>
          </cell>
        </row>
        <row r="15664">
          <cell r="O15664" t="str">
            <v>SC4643VB-P-TR-Q</v>
          </cell>
          <cell r="P15664" t="str">
            <v>STC9D03E</v>
          </cell>
          <cell r="Q15664" t="str">
            <v>电流传感器</v>
          </cell>
        </row>
        <row r="15665">
          <cell r="O15665" t="str">
            <v>SC4643VB-P-TR-Q</v>
          </cell>
          <cell r="P15665" t="str">
            <v>STC9D03E</v>
          </cell>
          <cell r="Q15665" t="str">
            <v>电流传感器</v>
          </cell>
        </row>
        <row r="15666">
          <cell r="O15666" t="str">
            <v>SC9641TS-PC-TR-Q</v>
          </cell>
          <cell r="P15666" t="str">
            <v>STC9A001I</v>
          </cell>
          <cell r="Q15666" t="str">
            <v>速度传感器</v>
          </cell>
        </row>
        <row r="15667">
          <cell r="O15667" t="str">
            <v>SC9641TS-PC-TR-Q</v>
          </cell>
          <cell r="P15667" t="str">
            <v>STC9A001I</v>
          </cell>
          <cell r="Q15667" t="str">
            <v>速度传感器</v>
          </cell>
        </row>
        <row r="15668">
          <cell r="O15668" t="str">
            <v>SC9641TS-PC-TR-Q</v>
          </cell>
          <cell r="P15668" t="str">
            <v>STC9A001I</v>
          </cell>
          <cell r="Q15668" t="str">
            <v>速度传感器</v>
          </cell>
        </row>
        <row r="15669">
          <cell r="O15669" t="str">
            <v>SC9641TS-PC-TR-Q</v>
          </cell>
          <cell r="P15669" t="str">
            <v>STC9A001I</v>
          </cell>
          <cell r="Q15669" t="str">
            <v>速度传感器</v>
          </cell>
        </row>
        <row r="15670">
          <cell r="O15670" t="str">
            <v>SC9641TS-PC-TR-Q</v>
          </cell>
          <cell r="P15670" t="str">
            <v>STC9A001I</v>
          </cell>
          <cell r="Q15670" t="str">
            <v>速度传感器</v>
          </cell>
        </row>
        <row r="15671">
          <cell r="O15671" t="str">
            <v>SC9641TS-PC-TR-Q</v>
          </cell>
          <cell r="P15671" t="str">
            <v>STC9A001I</v>
          </cell>
          <cell r="Q15671" t="str">
            <v>速度传感器</v>
          </cell>
        </row>
        <row r="15672">
          <cell r="O15672" t="str">
            <v>SC9641TS-PC-TR-Q</v>
          </cell>
          <cell r="P15672" t="str">
            <v>STC9A001I</v>
          </cell>
          <cell r="Q15672" t="str">
            <v>速度传感器</v>
          </cell>
        </row>
        <row r="15673">
          <cell r="O15673" t="str">
            <v>SC9641TS-PC-TR-Q</v>
          </cell>
          <cell r="P15673" t="str">
            <v>STC9A001I</v>
          </cell>
          <cell r="Q15673" t="str">
            <v>速度传感器</v>
          </cell>
        </row>
        <row r="15674">
          <cell r="O15674" t="str">
            <v>SC9641TS-PC-TR-Q</v>
          </cell>
          <cell r="P15674" t="str">
            <v>STC9A001I</v>
          </cell>
          <cell r="Q15674" t="str">
            <v>速度传感器</v>
          </cell>
        </row>
        <row r="15675">
          <cell r="O15675" t="str">
            <v>SC9641TS-PC-TR-Q</v>
          </cell>
          <cell r="P15675" t="str">
            <v>STC9A001I</v>
          </cell>
          <cell r="Q15675" t="str">
            <v>速度传感器</v>
          </cell>
        </row>
        <row r="15676">
          <cell r="O15676" t="str">
            <v>SC1845F1-BK</v>
          </cell>
          <cell r="P15676" t="str">
            <v>STC2899AI</v>
          </cell>
          <cell r="Q15676" t="str">
            <v>磁性位置传感器</v>
          </cell>
        </row>
        <row r="15677">
          <cell r="O15677" t="str">
            <v>SC1845F1-BK</v>
          </cell>
          <cell r="P15677" t="str">
            <v>STC2899AI</v>
          </cell>
          <cell r="Q15677" t="str">
            <v>磁性位置传感器</v>
          </cell>
        </row>
        <row r="15678">
          <cell r="O15678" t="str">
            <v>SC1845F1-BK</v>
          </cell>
          <cell r="P15678" t="str">
            <v>STC2899AI</v>
          </cell>
          <cell r="Q15678" t="str">
            <v>磁性位置传感器</v>
          </cell>
        </row>
        <row r="15679">
          <cell r="O15679" t="str">
            <v>SC1845F1-BK</v>
          </cell>
          <cell r="P15679" t="str">
            <v>STC2899AI</v>
          </cell>
          <cell r="Q15679" t="str">
            <v>磁性位置传感器</v>
          </cell>
        </row>
        <row r="15680">
          <cell r="O15680" t="str">
            <v>SC1845F1-BK</v>
          </cell>
          <cell r="P15680" t="str">
            <v>STC2899AI</v>
          </cell>
          <cell r="Q15680" t="str">
            <v>磁性位置传感器</v>
          </cell>
        </row>
        <row r="15681">
          <cell r="O15681" t="str">
            <v>SC1845F1-BK</v>
          </cell>
          <cell r="P15681" t="str">
            <v>STC2899AI</v>
          </cell>
          <cell r="Q15681" t="str">
            <v>磁性位置传感器</v>
          </cell>
        </row>
        <row r="15682">
          <cell r="O15682" t="str">
            <v>SC1845F1-BK</v>
          </cell>
          <cell r="P15682" t="str">
            <v>STC2899AI</v>
          </cell>
          <cell r="Q15682" t="str">
            <v>磁性位置传感器</v>
          </cell>
        </row>
        <row r="15683">
          <cell r="O15683" t="str">
            <v>SC1845F1-BK</v>
          </cell>
          <cell r="P15683" t="str">
            <v>STC2899AI</v>
          </cell>
          <cell r="Q15683" t="str">
            <v>磁性位置传感器</v>
          </cell>
        </row>
        <row r="15684">
          <cell r="O15684" t="str">
            <v>SC1845F1-BK</v>
          </cell>
          <cell r="P15684" t="str">
            <v>STC2899AI</v>
          </cell>
          <cell r="Q15684" t="str">
            <v>磁性位置传感器</v>
          </cell>
        </row>
        <row r="15685">
          <cell r="O15685" t="str">
            <v>SC1845F1-BK</v>
          </cell>
          <cell r="P15685" t="str">
            <v>STC2899AI</v>
          </cell>
          <cell r="Q15685" t="str">
            <v>磁性位置传感器</v>
          </cell>
        </row>
        <row r="15686">
          <cell r="O15686" t="str">
            <v>SC1845F1-BK</v>
          </cell>
          <cell r="P15686" t="str">
            <v>STC2899AI</v>
          </cell>
          <cell r="Q15686" t="str">
            <v>磁性位置传感器</v>
          </cell>
        </row>
        <row r="15687">
          <cell r="O15687" t="str">
            <v>SC1845F1-BK</v>
          </cell>
          <cell r="P15687" t="str">
            <v>STC2899AI</v>
          </cell>
          <cell r="Q15687" t="str">
            <v>磁性位置传感器</v>
          </cell>
        </row>
        <row r="15688">
          <cell r="O15688" t="str">
            <v>SC1845F1-BK</v>
          </cell>
          <cell r="P15688" t="str">
            <v>STC2899AI</v>
          </cell>
          <cell r="Q15688" t="str">
            <v>磁性位置传感器</v>
          </cell>
        </row>
        <row r="15689">
          <cell r="O15689" t="str">
            <v>SC1845F1-BK</v>
          </cell>
          <cell r="P15689" t="str">
            <v>STC2899AI</v>
          </cell>
          <cell r="Q15689" t="str">
            <v>磁性位置传感器</v>
          </cell>
        </row>
        <row r="15690">
          <cell r="O15690" t="str">
            <v>SC2462UA-BK</v>
          </cell>
          <cell r="P15690" t="str">
            <v>STC9906J</v>
          </cell>
          <cell r="Q15690" t="str">
            <v>磁性位置传感器</v>
          </cell>
        </row>
        <row r="15691">
          <cell r="O15691" t="str">
            <v>SC2462UA-BK</v>
          </cell>
          <cell r="P15691" t="str">
            <v>STC9906J</v>
          </cell>
          <cell r="Q15691" t="str">
            <v>磁性位置传感器</v>
          </cell>
        </row>
        <row r="15692">
          <cell r="O15692" t="str">
            <v>SC2462UA-BK</v>
          </cell>
          <cell r="P15692" t="str">
            <v>STC9906J</v>
          </cell>
          <cell r="Q15692" t="str">
            <v>磁性位置传感器</v>
          </cell>
        </row>
        <row r="15693">
          <cell r="O15693" t="str">
            <v>SC1002N1-BK</v>
          </cell>
          <cell r="P15693" t="str">
            <v>STC1002AL</v>
          </cell>
          <cell r="Q15693" t="str">
            <v>磁性位置传感器</v>
          </cell>
        </row>
        <row r="15694">
          <cell r="O15694" t="str">
            <v>SC1002N1-BK</v>
          </cell>
          <cell r="P15694" t="str">
            <v>STC1002AL</v>
          </cell>
          <cell r="Q15694" t="str">
            <v>磁性位置传感器</v>
          </cell>
        </row>
        <row r="15695">
          <cell r="O15695" t="str">
            <v>SC1002N1-BK</v>
          </cell>
          <cell r="P15695" t="str">
            <v>STC1002AL</v>
          </cell>
          <cell r="Q15695" t="str">
            <v>磁性位置传感器</v>
          </cell>
        </row>
        <row r="15696">
          <cell r="O15696" t="str">
            <v>SC1134UA-BK</v>
          </cell>
          <cell r="P15696" t="str">
            <v>STC1898AI</v>
          </cell>
          <cell r="Q15696" t="str">
            <v>磁性位置传感器</v>
          </cell>
        </row>
        <row r="15697">
          <cell r="O15697" t="str">
            <v>SC1134UA-BK</v>
          </cell>
          <cell r="P15697" t="str">
            <v>STC1898AI</v>
          </cell>
          <cell r="Q15697" t="str">
            <v>磁性位置传感器</v>
          </cell>
        </row>
        <row r="15698">
          <cell r="O15698" t="str">
            <v>SC1134UA-BK</v>
          </cell>
          <cell r="P15698" t="str">
            <v>STC1898AI</v>
          </cell>
          <cell r="Q15698" t="str">
            <v>磁性位置传感器</v>
          </cell>
        </row>
        <row r="15699">
          <cell r="O15699" t="str">
            <v>SC1134UA-BK</v>
          </cell>
          <cell r="P15699" t="str">
            <v>STC1898AI</v>
          </cell>
          <cell r="Q15699" t="str">
            <v>磁性位置传感器</v>
          </cell>
        </row>
        <row r="15700">
          <cell r="O15700" t="str">
            <v>SC4001SE-TR</v>
          </cell>
          <cell r="P15700" t="str">
            <v>STC4001AB</v>
          </cell>
          <cell r="Q15700" t="str">
            <v>磁性位置传感器</v>
          </cell>
        </row>
        <row r="15701">
          <cell r="O15701" t="str">
            <v>SC2432SO-TR</v>
          </cell>
          <cell r="P15701" t="str">
            <v>STC9906M</v>
          </cell>
          <cell r="Q15701" t="str">
            <v>磁性位置传感器</v>
          </cell>
        </row>
        <row r="15702">
          <cell r="O15702" t="str">
            <v>SC4645VB-BK</v>
          </cell>
          <cell r="P15702" t="str">
            <v>STC9D06F</v>
          </cell>
          <cell r="Q15702" t="str">
            <v>电流传感器</v>
          </cell>
        </row>
        <row r="15703">
          <cell r="O15703" t="str">
            <v>SC1445A1</v>
          </cell>
          <cell r="P15703" t="str">
            <v>STC2899AB</v>
          </cell>
          <cell r="Q15703" t="str">
            <v>磁性位置传感器</v>
          </cell>
        </row>
        <row r="15704">
          <cell r="O15704" t="str">
            <v>SC4002UA-BK</v>
          </cell>
          <cell r="P15704" t="str">
            <v>STC4000AA</v>
          </cell>
          <cell r="Q15704" t="str">
            <v>磁性位置传感器</v>
          </cell>
        </row>
        <row r="15705">
          <cell r="O15705" t="str">
            <v>SC4002UA</v>
          </cell>
          <cell r="P15705" t="str">
            <v>STC4000AA</v>
          </cell>
          <cell r="Q15705" t="str">
            <v>磁性位置传感器</v>
          </cell>
        </row>
        <row r="15706">
          <cell r="O15706" t="str">
            <v>SC2442UA-BK-Q</v>
          </cell>
          <cell r="P15706" t="str">
            <v>STC11102B</v>
          </cell>
          <cell r="Q15706" t="str">
            <v>磁性位置传感器</v>
          </cell>
        </row>
        <row r="15707">
          <cell r="O15707" t="str">
            <v>SC2442UA-BK-Q</v>
          </cell>
          <cell r="P15707" t="str">
            <v>STC11102B</v>
          </cell>
          <cell r="Q15707" t="str">
            <v>磁性位置传感器</v>
          </cell>
        </row>
        <row r="15708">
          <cell r="O15708" t="str">
            <v>SC2442UA-BK-Q</v>
          </cell>
          <cell r="P15708" t="str">
            <v>STC11102B</v>
          </cell>
          <cell r="Q15708" t="str">
            <v>磁性位置传感器</v>
          </cell>
        </row>
        <row r="15709">
          <cell r="O15709" t="str">
            <v>SC2416SE</v>
          </cell>
          <cell r="P15709" t="str">
            <v>STC9902B</v>
          </cell>
          <cell r="Q15709" t="str">
            <v>磁性位置传感器</v>
          </cell>
        </row>
        <row r="15710">
          <cell r="O15710" t="str">
            <v>SC2416SE</v>
          </cell>
          <cell r="P15710" t="str">
            <v>STC9902B</v>
          </cell>
          <cell r="Q15710" t="str">
            <v>磁性位置传感器</v>
          </cell>
        </row>
        <row r="15711">
          <cell r="O15711" t="str">
            <v>SC1445A1</v>
          </cell>
          <cell r="P15711" t="str">
            <v>STC2899AB</v>
          </cell>
          <cell r="Q15711" t="str">
            <v>磁性位置传感器</v>
          </cell>
        </row>
        <row r="15712">
          <cell r="O15712" t="str">
            <v>SC1645A1</v>
          </cell>
          <cell r="P15712" t="str">
            <v>STC2899AE</v>
          </cell>
          <cell r="Q15712" t="str">
            <v>磁性位置传感器</v>
          </cell>
        </row>
        <row r="15713">
          <cell r="O15713" t="str">
            <v>SC1645A1</v>
          </cell>
          <cell r="P15713" t="str">
            <v>STC2899AE</v>
          </cell>
          <cell r="Q15713" t="str">
            <v>磁性位置传感器</v>
          </cell>
        </row>
        <row r="15714">
          <cell r="O15714" t="str">
            <v>SC1645A1-BK</v>
          </cell>
          <cell r="P15714" t="str">
            <v>STC2899AI</v>
          </cell>
          <cell r="Q15714" t="str">
            <v>磁性位置传感器</v>
          </cell>
        </row>
        <row r="15715">
          <cell r="O15715" t="str">
            <v>SC1645A1-BK</v>
          </cell>
          <cell r="P15715" t="str">
            <v>STC2899AI</v>
          </cell>
          <cell r="Q15715" t="str">
            <v>磁性位置传感器</v>
          </cell>
        </row>
        <row r="15716">
          <cell r="O15716" t="str">
            <v>SC1645A1-BK</v>
          </cell>
          <cell r="P15716" t="str">
            <v>STC2899AI</v>
          </cell>
          <cell r="Q15716" t="str">
            <v>磁性位置传感器</v>
          </cell>
        </row>
        <row r="15717">
          <cell r="O15717" t="str">
            <v>SC1645A1-BK</v>
          </cell>
          <cell r="P15717" t="str">
            <v>STC2899AI</v>
          </cell>
          <cell r="Q15717" t="str">
            <v>磁性位置传感器</v>
          </cell>
        </row>
        <row r="15718">
          <cell r="O15718" t="str">
            <v>SC1645A1-BK</v>
          </cell>
          <cell r="P15718" t="str">
            <v>STC2899AI</v>
          </cell>
          <cell r="Q15718" t="str">
            <v>磁性位置传感器</v>
          </cell>
        </row>
        <row r="15719">
          <cell r="O15719" t="str">
            <v>SC1645A1-BK</v>
          </cell>
          <cell r="P15719" t="str">
            <v>STC2899AI</v>
          </cell>
          <cell r="Q15719" t="str">
            <v>磁性位置传感器</v>
          </cell>
        </row>
        <row r="15720">
          <cell r="O15720" t="str">
            <v>SC1645B1-BK</v>
          </cell>
          <cell r="P15720" t="str">
            <v>STC2899AI</v>
          </cell>
          <cell r="Q15720" t="str">
            <v>磁性位置传感器</v>
          </cell>
        </row>
        <row r="15721">
          <cell r="O15721" t="str">
            <v>SC1645B1-BK</v>
          </cell>
          <cell r="P15721" t="str">
            <v>STC2899AI</v>
          </cell>
          <cell r="Q15721" t="str">
            <v>磁性位置传感器</v>
          </cell>
        </row>
        <row r="15722">
          <cell r="O15722" t="str">
            <v>SC1645B1-BK</v>
          </cell>
          <cell r="P15722" t="str">
            <v>STC2899AI</v>
          </cell>
          <cell r="Q15722" t="str">
            <v>磁性位置传感器</v>
          </cell>
        </row>
        <row r="15723">
          <cell r="O15723" t="str">
            <v>SC1645B1-BK</v>
          </cell>
          <cell r="P15723" t="str">
            <v>STC2899AI</v>
          </cell>
          <cell r="Q15723" t="str">
            <v>磁性位置传感器</v>
          </cell>
        </row>
        <row r="15724">
          <cell r="O15724" t="str">
            <v>SC1645B1-BK</v>
          </cell>
          <cell r="P15724" t="str">
            <v>STC2899AI</v>
          </cell>
          <cell r="Q15724" t="str">
            <v>磁性位置传感器</v>
          </cell>
        </row>
        <row r="15725">
          <cell r="O15725" t="str">
            <v>SC1645B1-BK</v>
          </cell>
          <cell r="P15725" t="str">
            <v>STC2899AI</v>
          </cell>
          <cell r="Q15725" t="str">
            <v>磁性位置传感器</v>
          </cell>
        </row>
        <row r="15726">
          <cell r="O15726" t="str">
            <v>SC1645B1-BK</v>
          </cell>
          <cell r="P15726" t="str">
            <v>STC2899AI</v>
          </cell>
          <cell r="Q15726" t="str">
            <v>磁性位置传感器</v>
          </cell>
        </row>
        <row r="15727">
          <cell r="O15727" t="str">
            <v>SC1645B1-BK</v>
          </cell>
          <cell r="P15727" t="str">
            <v>STC2899AI</v>
          </cell>
          <cell r="Q15727" t="str">
            <v>磁性位置传感器</v>
          </cell>
        </row>
        <row r="15728">
          <cell r="O15728" t="str">
            <v>SC1645B1-BK</v>
          </cell>
          <cell r="P15728" t="str">
            <v>STC2899AI</v>
          </cell>
          <cell r="Q15728" t="str">
            <v>磁性位置传感器</v>
          </cell>
        </row>
        <row r="15729">
          <cell r="O15729" t="str">
            <v>SC1645B1-BK</v>
          </cell>
          <cell r="P15729" t="str">
            <v>STC2899AI</v>
          </cell>
          <cell r="Q15729" t="str">
            <v>磁性位置传感器</v>
          </cell>
        </row>
        <row r="15730">
          <cell r="O15730" t="str">
            <v>SC1645A1-BK</v>
          </cell>
          <cell r="P15730" t="str">
            <v>STC2899AI</v>
          </cell>
          <cell r="Q15730" t="str">
            <v>磁性位置传感器</v>
          </cell>
        </row>
        <row r="15731">
          <cell r="O15731" t="str">
            <v>SC1945B1-BK</v>
          </cell>
          <cell r="P15731" t="str">
            <v>STC2899AJ</v>
          </cell>
          <cell r="Q15731" t="str">
            <v>磁性位置传感器</v>
          </cell>
        </row>
        <row r="15732">
          <cell r="O15732" t="str">
            <v>SC1645A1-BK</v>
          </cell>
          <cell r="P15732" t="str">
            <v>STC2899AI</v>
          </cell>
          <cell r="Q15732" t="str">
            <v>磁性位置传感器</v>
          </cell>
        </row>
        <row r="15733">
          <cell r="O15733" t="str">
            <v>SC1645A1-BK</v>
          </cell>
          <cell r="P15733" t="str">
            <v>STC2899AI</v>
          </cell>
          <cell r="Q15733" t="str">
            <v>磁性位置传感器</v>
          </cell>
        </row>
        <row r="15734">
          <cell r="O15734" t="str">
            <v>SC1645A1-BK</v>
          </cell>
          <cell r="P15734" t="str">
            <v>STC2899AI</v>
          </cell>
          <cell r="Q15734" t="str">
            <v>磁性位置传感器</v>
          </cell>
        </row>
        <row r="15735">
          <cell r="O15735" t="str">
            <v>SC1645A1-BK</v>
          </cell>
          <cell r="P15735" t="str">
            <v>STC2899AE</v>
          </cell>
          <cell r="Q15735" t="str">
            <v>磁性位置传感器</v>
          </cell>
        </row>
        <row r="15736">
          <cell r="O15736" t="str">
            <v>SC1645A1-BK</v>
          </cell>
          <cell r="P15736" t="str">
            <v>STC2899AE</v>
          </cell>
          <cell r="Q15736" t="str">
            <v>磁性位置传感器</v>
          </cell>
        </row>
        <row r="15737">
          <cell r="O15737" t="str">
            <v>SC1645A1-BK</v>
          </cell>
          <cell r="P15737" t="str">
            <v>STC2899AE</v>
          </cell>
          <cell r="Q15737" t="str">
            <v>磁性位置传感器</v>
          </cell>
        </row>
        <row r="15738">
          <cell r="O15738" t="str">
            <v>SC1645A1-BK</v>
          </cell>
          <cell r="P15738" t="str">
            <v>STC2899AE</v>
          </cell>
          <cell r="Q15738" t="str">
            <v>磁性位置传感器</v>
          </cell>
        </row>
        <row r="15739">
          <cell r="O15739" t="str">
            <v>SC1945B1-BK</v>
          </cell>
          <cell r="P15739" t="str">
            <v>STC2899AJ</v>
          </cell>
          <cell r="Q15739" t="str">
            <v>磁性位置传感器</v>
          </cell>
        </row>
        <row r="15740">
          <cell r="O15740" t="str">
            <v>SC1645A1-BK</v>
          </cell>
          <cell r="P15740" t="str">
            <v>STC2899AE</v>
          </cell>
          <cell r="Q15740" t="str">
            <v>磁性位置传感器</v>
          </cell>
        </row>
        <row r="15741">
          <cell r="O15741" t="str">
            <v>SC1645A1-BK</v>
          </cell>
          <cell r="P15741" t="str">
            <v>STC2899AE</v>
          </cell>
          <cell r="Q15741" t="str">
            <v>磁性位置传感器</v>
          </cell>
        </row>
        <row r="15742">
          <cell r="O15742" t="str">
            <v>SC1645A1-BK</v>
          </cell>
          <cell r="P15742" t="str">
            <v>STC2899AE</v>
          </cell>
          <cell r="Q15742" t="str">
            <v>磁性位置传感器</v>
          </cell>
        </row>
        <row r="15743">
          <cell r="O15743" t="str">
            <v>SC1645A1-BK</v>
          </cell>
          <cell r="P15743" t="str">
            <v>STC2899AE</v>
          </cell>
          <cell r="Q15743" t="str">
            <v>磁性位置传感器</v>
          </cell>
        </row>
        <row r="15744">
          <cell r="O15744" t="str">
            <v>SC1645A1-BK</v>
          </cell>
          <cell r="P15744" t="str">
            <v>STC2899AE</v>
          </cell>
          <cell r="Q15744" t="str">
            <v>磁性位置传感器</v>
          </cell>
        </row>
        <row r="15745">
          <cell r="O15745" t="str">
            <v>SC1645A1-BK</v>
          </cell>
          <cell r="P15745" t="str">
            <v>STC2899AE</v>
          </cell>
          <cell r="Q15745" t="str">
            <v>磁性位置传感器</v>
          </cell>
        </row>
        <row r="15746">
          <cell r="O15746" t="str">
            <v>SC1645A1-BK</v>
          </cell>
          <cell r="P15746" t="str">
            <v>STC2899AE</v>
          </cell>
          <cell r="Q15746" t="str">
            <v>磁性位置传感器</v>
          </cell>
        </row>
        <row r="15747">
          <cell r="O15747" t="str">
            <v>SC1945B1-BK</v>
          </cell>
          <cell r="P15747" t="str">
            <v>STC2899AJ</v>
          </cell>
          <cell r="Q15747" t="str">
            <v>磁性位置传感器</v>
          </cell>
        </row>
        <row r="15748">
          <cell r="O15748" t="str">
            <v>SC1945B1-BK</v>
          </cell>
          <cell r="P15748" t="str">
            <v>STC2899AJ</v>
          </cell>
          <cell r="Q15748" t="str">
            <v>磁性位置传感器</v>
          </cell>
        </row>
        <row r="15749">
          <cell r="O15749" t="str">
            <v>SC1945B1-BK</v>
          </cell>
          <cell r="P15749" t="str">
            <v>STC2899AJ</v>
          </cell>
          <cell r="Q15749" t="str">
            <v>磁性位置传感器</v>
          </cell>
        </row>
        <row r="15750">
          <cell r="O15750" t="str">
            <v>SC1945B1-BK</v>
          </cell>
          <cell r="P15750" t="str">
            <v>STC2899AJ</v>
          </cell>
          <cell r="Q15750" t="str">
            <v>磁性位置传感器</v>
          </cell>
        </row>
        <row r="15751">
          <cell r="O15751" t="str">
            <v>SC2443SO-TR-Q</v>
          </cell>
          <cell r="P15751" t="str">
            <v>STC9906T</v>
          </cell>
          <cell r="Q15751" t="str">
            <v>磁性位置传感器</v>
          </cell>
        </row>
        <row r="15752">
          <cell r="O15752" t="str">
            <v>SC2443SO-TR-Q</v>
          </cell>
          <cell r="P15752" t="str">
            <v>STC9906T</v>
          </cell>
          <cell r="Q15752" t="str">
            <v>磁性位置传感器</v>
          </cell>
        </row>
        <row r="15753">
          <cell r="O15753" t="str">
            <v>SC2443SO-TR-Q</v>
          </cell>
          <cell r="P15753" t="str">
            <v>STC9906T</v>
          </cell>
          <cell r="Q15753" t="str">
            <v>磁性位置传感器</v>
          </cell>
        </row>
        <row r="15754">
          <cell r="O15754" t="str">
            <v>SC2442UA-BK-Q</v>
          </cell>
          <cell r="P15754" t="str">
            <v>STC11102B</v>
          </cell>
          <cell r="Q15754" t="str">
            <v>磁性位置传感器</v>
          </cell>
        </row>
        <row r="15755">
          <cell r="O15755" t="str">
            <v>SC2443SO-TR-Q</v>
          </cell>
          <cell r="P15755" t="str">
            <v>STC9906T</v>
          </cell>
          <cell r="Q15755" t="str">
            <v>磁性位置传感器</v>
          </cell>
        </row>
        <row r="15756">
          <cell r="O15756" t="str">
            <v>SC4688DC-TR</v>
          </cell>
          <cell r="P15756" t="str">
            <v>STC9D01C</v>
          </cell>
          <cell r="Q15756" t="str">
            <v>角度传感器</v>
          </cell>
        </row>
        <row r="15757">
          <cell r="O15757" t="str">
            <v>SC4688DC-TR-Q</v>
          </cell>
          <cell r="P15757" t="str">
            <v>STC9D01C</v>
          </cell>
          <cell r="Q15757" t="str">
            <v>角度传感器</v>
          </cell>
        </row>
        <row r="15758">
          <cell r="O15758" t="str">
            <v>SC4688DC-TR-Q</v>
          </cell>
          <cell r="P15758" t="str">
            <v>STC9D01C</v>
          </cell>
          <cell r="Q15758" t="str">
            <v>角度传感器</v>
          </cell>
        </row>
        <row r="15759">
          <cell r="O15759" t="str">
            <v>SC4688DC-TR-Q</v>
          </cell>
          <cell r="P15759" t="str">
            <v>STC9D01C</v>
          </cell>
          <cell r="Q15759" t="str">
            <v>角度传感器</v>
          </cell>
        </row>
        <row r="15760">
          <cell r="O15760" t="str">
            <v>SC4688DC-TR-Q</v>
          </cell>
          <cell r="P15760" t="str">
            <v>STC9D01C</v>
          </cell>
          <cell r="Q15760" t="str">
            <v>角度传感器</v>
          </cell>
        </row>
        <row r="15761">
          <cell r="O15761" t="str">
            <v>SC4688DC-TR-Q</v>
          </cell>
          <cell r="P15761" t="str">
            <v>STC9D01C</v>
          </cell>
          <cell r="Q15761" t="str">
            <v>角度传感器</v>
          </cell>
        </row>
        <row r="15762">
          <cell r="O15762" t="str">
            <v>SC4688DC-TR-Q</v>
          </cell>
          <cell r="P15762" t="str">
            <v>STC9D01C</v>
          </cell>
          <cell r="Q15762" t="str">
            <v>角度传感器</v>
          </cell>
        </row>
        <row r="15763">
          <cell r="O15763" t="str">
            <v>SC4688DC-TR-Q</v>
          </cell>
          <cell r="P15763" t="str">
            <v>STC9D01C</v>
          </cell>
          <cell r="Q15763" t="str">
            <v>角度传感器</v>
          </cell>
        </row>
        <row r="15764">
          <cell r="O15764" t="str">
            <v>SC4688DC-TR-Q</v>
          </cell>
          <cell r="P15764" t="str">
            <v>STC9D01C</v>
          </cell>
          <cell r="Q15764" t="str">
            <v>角度传感器</v>
          </cell>
        </row>
        <row r="15765">
          <cell r="O15765" t="str">
            <v>SC1445B2</v>
          </cell>
          <cell r="P15765" t="str">
            <v>STC2899AB</v>
          </cell>
          <cell r="Q15765" t="str">
            <v>磁性位置传感器</v>
          </cell>
        </row>
        <row r="15766">
          <cell r="O15766" t="str">
            <v>SC2498TSO</v>
          </cell>
          <cell r="P15766" t="str">
            <v>STC11300C</v>
          </cell>
          <cell r="Q15766" t="str">
            <v>磁性位置传感器</v>
          </cell>
        </row>
        <row r="15767">
          <cell r="O15767" t="str">
            <v>SC9675IM-P-LRF00</v>
          </cell>
          <cell r="P15767" t="str">
            <v>STC9A002B</v>
          </cell>
          <cell r="Q15767" t="str">
            <v>速度传感器</v>
          </cell>
        </row>
        <row r="15768">
          <cell r="O15768" t="str">
            <v>SC9675IM-P-LRF00</v>
          </cell>
          <cell r="P15768" t="str">
            <v>STC9A002B</v>
          </cell>
          <cell r="Q15768" t="str">
            <v>速度传感器</v>
          </cell>
        </row>
        <row r="15769">
          <cell r="O15769" t="str">
            <v>SC2442UA</v>
          </cell>
          <cell r="P15769" t="str">
            <v>STC11102B</v>
          </cell>
          <cell r="Q15769" t="str">
            <v>磁性位置传感器</v>
          </cell>
        </row>
        <row r="15770">
          <cell r="O15770" t="str">
            <v>SC4015SO-N-A-TR</v>
          </cell>
          <cell r="P15770" t="str">
            <v>STC4011E</v>
          </cell>
          <cell r="Q15770" t="str">
            <v>磁性位置传感器</v>
          </cell>
        </row>
        <row r="15771">
          <cell r="O15771" t="str">
            <v>SC4015SO-N-A-TR</v>
          </cell>
          <cell r="P15771" t="str">
            <v>STC4011E</v>
          </cell>
          <cell r="Q15771" t="str">
            <v>磁性位置传感器</v>
          </cell>
        </row>
        <row r="15772">
          <cell r="O15772" t="str">
            <v>SC4015SO-N-A-TR</v>
          </cell>
          <cell r="P15772" t="str">
            <v>STC4011E</v>
          </cell>
          <cell r="Q15772" t="str">
            <v>磁性位置传感器</v>
          </cell>
        </row>
        <row r="15773">
          <cell r="O15773" t="str">
            <v>SC4015SO-N-A-TR</v>
          </cell>
          <cell r="P15773" t="str">
            <v>STC4011E</v>
          </cell>
          <cell r="Q15773" t="str">
            <v>磁性位置传感器</v>
          </cell>
        </row>
        <row r="15774">
          <cell r="O15774" t="str">
            <v>SC4015SO-N-A-TR</v>
          </cell>
          <cell r="P15774" t="str">
            <v>STC4011E</v>
          </cell>
          <cell r="Q15774" t="str">
            <v>磁性位置传感器</v>
          </cell>
        </row>
        <row r="15775">
          <cell r="O15775" t="str">
            <v>SC4015SO-N-A-TR</v>
          </cell>
          <cell r="P15775" t="str">
            <v>STC4011E</v>
          </cell>
          <cell r="Q15775" t="str">
            <v>磁性位置传感器</v>
          </cell>
        </row>
        <row r="15776">
          <cell r="O15776" t="str">
            <v>SC4015SO-N-A-TR</v>
          </cell>
          <cell r="P15776" t="str">
            <v>STC4011E</v>
          </cell>
          <cell r="Q15776" t="str">
            <v>磁性位置传感器</v>
          </cell>
        </row>
        <row r="15777">
          <cell r="O15777" t="str">
            <v>SC4015SO-N-A-TR</v>
          </cell>
          <cell r="P15777" t="str">
            <v>STC4011E</v>
          </cell>
          <cell r="Q15777" t="str">
            <v>磁性位置传感器</v>
          </cell>
        </row>
        <row r="15778">
          <cell r="O15778" t="str">
            <v>SC4015SO-N-A-TR</v>
          </cell>
          <cell r="P15778" t="str">
            <v>STC4011E</v>
          </cell>
          <cell r="Q15778" t="str">
            <v>磁性位置传感器</v>
          </cell>
        </row>
        <row r="15779">
          <cell r="O15779" t="str">
            <v>SC4015SO-N-A-TR</v>
          </cell>
          <cell r="P15779" t="str">
            <v>STC4011E</v>
          </cell>
          <cell r="Q15779" t="str">
            <v>磁性位置传感器</v>
          </cell>
        </row>
        <row r="15780">
          <cell r="O15780" t="str">
            <v>SC4015SO-N-A-TR</v>
          </cell>
          <cell r="P15780" t="str">
            <v>STC4011E</v>
          </cell>
          <cell r="Q15780" t="str">
            <v>磁性位置传感器</v>
          </cell>
        </row>
        <row r="15781">
          <cell r="O15781" t="str">
            <v>SC4015SO-N-A-TR</v>
          </cell>
          <cell r="P15781" t="str">
            <v>STC4011E</v>
          </cell>
          <cell r="Q15781" t="str">
            <v>磁性位置传感器</v>
          </cell>
        </row>
        <row r="15782">
          <cell r="O15782" t="str">
            <v>SC4015SO-N-A-TR</v>
          </cell>
          <cell r="P15782" t="str">
            <v>STC4011E</v>
          </cell>
          <cell r="Q15782" t="str">
            <v>磁性位置传感器</v>
          </cell>
        </row>
        <row r="15783">
          <cell r="O15783" t="str">
            <v>SC4015SO-N-A-TR</v>
          </cell>
          <cell r="P15783" t="str">
            <v>STC4011E</v>
          </cell>
          <cell r="Q15783" t="str">
            <v>磁性位置传感器</v>
          </cell>
        </row>
        <row r="15784">
          <cell r="O15784" t="str">
            <v>SC4015SO-N-A-TR</v>
          </cell>
          <cell r="P15784" t="str">
            <v>STC4011E</v>
          </cell>
          <cell r="Q15784" t="str">
            <v>磁性位置传感器</v>
          </cell>
        </row>
        <row r="15785">
          <cell r="O15785" t="str">
            <v>SC4015SO-N-A-TR</v>
          </cell>
          <cell r="P15785" t="str">
            <v>STC4011E</v>
          </cell>
          <cell r="Q15785" t="str">
            <v>磁性位置传感器</v>
          </cell>
        </row>
        <row r="15786">
          <cell r="O15786" t="str">
            <v>SC4015SO-N-A-TR</v>
          </cell>
          <cell r="P15786" t="str">
            <v>STC4011E</v>
          </cell>
          <cell r="Q15786" t="str">
            <v>磁性位置传感器</v>
          </cell>
        </row>
        <row r="15787">
          <cell r="O15787" t="str">
            <v>SC4015SO-N-A-TR</v>
          </cell>
          <cell r="P15787" t="str">
            <v>STC4011E</v>
          </cell>
          <cell r="Q15787" t="str">
            <v>磁性位置传感器</v>
          </cell>
        </row>
        <row r="15788">
          <cell r="O15788" t="str">
            <v>SC4015SO-N-A-TR</v>
          </cell>
          <cell r="P15788" t="str">
            <v>STC4011E</v>
          </cell>
          <cell r="Q15788" t="str">
            <v>磁性位置传感器</v>
          </cell>
        </row>
        <row r="15789">
          <cell r="O15789" t="str">
            <v>STC4011B-DS</v>
          </cell>
          <cell r="P15789" t="str">
            <v>STC4011B</v>
          </cell>
          <cell r="Q15789" t="str">
            <v>磁性位置传感器</v>
          </cell>
        </row>
        <row r="15790">
          <cell r="O15790" t="str">
            <v>STC4011B-DS</v>
          </cell>
          <cell r="P15790" t="str">
            <v>STC4011B</v>
          </cell>
          <cell r="Q15790" t="str">
            <v>磁性位置传感器</v>
          </cell>
        </row>
        <row r="15791">
          <cell r="O15791" t="str">
            <v>STC4011B-DS</v>
          </cell>
          <cell r="P15791" t="str">
            <v>STC4011B</v>
          </cell>
          <cell r="Q15791" t="str">
            <v>磁性位置传感器</v>
          </cell>
        </row>
        <row r="15792">
          <cell r="O15792" t="str">
            <v>STC4011B-DS</v>
          </cell>
          <cell r="P15792" t="str">
            <v>STC4011B</v>
          </cell>
          <cell r="Q15792" t="str">
            <v>磁性位置传感器</v>
          </cell>
        </row>
        <row r="15793">
          <cell r="O15793" t="str">
            <v>STC4011B-DS</v>
          </cell>
          <cell r="P15793" t="str">
            <v>STC4011B</v>
          </cell>
          <cell r="Q15793" t="str">
            <v>磁性位置传感器</v>
          </cell>
        </row>
        <row r="15794">
          <cell r="O15794" t="str">
            <v>STC4011B-DS</v>
          </cell>
          <cell r="P15794" t="str">
            <v>STC4011B</v>
          </cell>
          <cell r="Q15794" t="str">
            <v>磁性位置传感器</v>
          </cell>
        </row>
        <row r="15795">
          <cell r="O15795" t="str">
            <v>STC4011B-DS</v>
          </cell>
          <cell r="P15795" t="str">
            <v>STC4011B</v>
          </cell>
          <cell r="Q15795" t="str">
            <v>磁性位置传感器</v>
          </cell>
        </row>
        <row r="15796">
          <cell r="O15796" t="str">
            <v>STC4011B-DS</v>
          </cell>
          <cell r="P15796" t="str">
            <v>STC4011B</v>
          </cell>
          <cell r="Q15796" t="str">
            <v>磁性位置传感器</v>
          </cell>
        </row>
        <row r="15797">
          <cell r="O15797" t="str">
            <v>STC4011B-DS</v>
          </cell>
          <cell r="P15797" t="str">
            <v>STC4011B</v>
          </cell>
          <cell r="Q15797" t="str">
            <v>磁性位置传感器</v>
          </cell>
        </row>
        <row r="15798">
          <cell r="O15798" t="str">
            <v>STC4011B-DS</v>
          </cell>
          <cell r="P15798" t="str">
            <v>STC4011B</v>
          </cell>
          <cell r="Q15798" t="str">
            <v>磁性位置传感器</v>
          </cell>
        </row>
        <row r="15799">
          <cell r="O15799" t="str">
            <v>STC4011B-DS</v>
          </cell>
          <cell r="P15799" t="str">
            <v>STC4011B</v>
          </cell>
          <cell r="Q15799" t="str">
            <v>磁性位置传感器</v>
          </cell>
        </row>
        <row r="15800">
          <cell r="O15800" t="str">
            <v>SC2242UA-BK-Q</v>
          </cell>
          <cell r="P15800" t="str">
            <v>STC9906H</v>
          </cell>
          <cell r="Q15800" t="str">
            <v>磁性位置传感器</v>
          </cell>
        </row>
        <row r="15801">
          <cell r="O15801" t="str">
            <v>STC4011B-DS</v>
          </cell>
          <cell r="P15801" t="str">
            <v>STC4011B</v>
          </cell>
          <cell r="Q15801" t="str">
            <v>磁性位置传感器</v>
          </cell>
        </row>
        <row r="15802">
          <cell r="O15802" t="str">
            <v>SC4104SE</v>
          </cell>
          <cell r="P15802" t="str">
            <v>STC11201B1</v>
          </cell>
          <cell r="Q15802" t="str">
            <v>磁性位置传感器</v>
          </cell>
        </row>
        <row r="15803">
          <cell r="O15803" t="str">
            <v>SC4104SE</v>
          </cell>
          <cell r="P15803" t="str">
            <v>STC11201B1</v>
          </cell>
          <cell r="Q15803" t="str">
            <v>磁性位置传感器</v>
          </cell>
        </row>
        <row r="15804">
          <cell r="O15804" t="str">
            <v>SC2442SO-N-TR-Q</v>
          </cell>
          <cell r="P15804" t="str">
            <v>STC9906P</v>
          </cell>
          <cell r="Q15804" t="str">
            <v>磁性位置传感器</v>
          </cell>
        </row>
        <row r="15805">
          <cell r="O15805" t="str">
            <v>SC2442SO-N-TR-Q</v>
          </cell>
          <cell r="P15805" t="str">
            <v>STC9906P</v>
          </cell>
          <cell r="Q15805" t="str">
            <v>磁性位置传感器</v>
          </cell>
        </row>
        <row r="15806">
          <cell r="O15806" t="str">
            <v>SC2442SO-N-TR-Q</v>
          </cell>
          <cell r="P15806" t="str">
            <v>STC9906P</v>
          </cell>
          <cell r="Q15806" t="str">
            <v>磁性位置传感器</v>
          </cell>
        </row>
        <row r="15807">
          <cell r="O15807" t="str">
            <v>SC2442SO-N-TR-Q</v>
          </cell>
          <cell r="P15807" t="str">
            <v>STC9906P</v>
          </cell>
          <cell r="Q15807" t="str">
            <v>磁性位置传感器</v>
          </cell>
        </row>
        <row r="15808">
          <cell r="O15808" t="str">
            <v>SC2442SO-N-TR-Q</v>
          </cell>
          <cell r="P15808" t="str">
            <v>STC9906P</v>
          </cell>
          <cell r="Q15808" t="str">
            <v>磁性位置传感器</v>
          </cell>
        </row>
        <row r="15809">
          <cell r="O15809" t="str">
            <v>SC2442SO-N-TR-Q</v>
          </cell>
          <cell r="P15809" t="str">
            <v>STC9906P</v>
          </cell>
          <cell r="Q15809" t="str">
            <v>磁性位置传感器</v>
          </cell>
        </row>
        <row r="15810">
          <cell r="O15810" t="str">
            <v>SC2442SO-N-TR-Q</v>
          </cell>
          <cell r="P15810" t="str">
            <v>STC9906P</v>
          </cell>
          <cell r="Q15810" t="str">
            <v>磁性位置传感器</v>
          </cell>
        </row>
        <row r="15811">
          <cell r="O15811" t="str">
            <v>SC2442SO-N-TR-Q</v>
          </cell>
          <cell r="P15811" t="str">
            <v>STC9906P</v>
          </cell>
          <cell r="Q15811" t="str">
            <v>磁性位置传感器</v>
          </cell>
        </row>
        <row r="15812">
          <cell r="O15812" t="str">
            <v>SC2442SO-N-TR-Q</v>
          </cell>
          <cell r="P15812" t="str">
            <v>STC9906P</v>
          </cell>
          <cell r="Q15812" t="str">
            <v>磁性位置传感器</v>
          </cell>
        </row>
        <row r="15813">
          <cell r="O15813" t="str">
            <v>SC2442SO-N-TR-Q</v>
          </cell>
          <cell r="P15813" t="str">
            <v>STC9906P</v>
          </cell>
          <cell r="Q15813" t="str">
            <v>磁性位置传感器</v>
          </cell>
        </row>
        <row r="15814">
          <cell r="O15814" t="str">
            <v>SC2442SO-N-TR-Q</v>
          </cell>
          <cell r="P15814" t="str">
            <v>STC9906P</v>
          </cell>
          <cell r="Q15814" t="str">
            <v>磁性位置传感器</v>
          </cell>
        </row>
        <row r="15815">
          <cell r="O15815" t="str">
            <v>SC2442SO-N-TR-Q</v>
          </cell>
          <cell r="P15815" t="str">
            <v>STC9906P</v>
          </cell>
          <cell r="Q15815" t="str">
            <v>磁性位置传感器</v>
          </cell>
        </row>
        <row r="15816">
          <cell r="O15816" t="str">
            <v>SC2442SO-N-TR-Q</v>
          </cell>
          <cell r="P15816" t="str">
            <v>STC9906P</v>
          </cell>
          <cell r="Q15816" t="str">
            <v>磁性位置传感器</v>
          </cell>
        </row>
        <row r="15817">
          <cell r="O15817" t="str">
            <v>SC2442SO-N-TR-Q</v>
          </cell>
          <cell r="P15817" t="str">
            <v>STC9906P</v>
          </cell>
          <cell r="Q15817" t="str">
            <v>磁性位置传感器</v>
          </cell>
        </row>
        <row r="15818">
          <cell r="O15818" t="str">
            <v>SC2442SO-N-TR-Q</v>
          </cell>
          <cell r="P15818" t="str">
            <v>STC9906P</v>
          </cell>
          <cell r="Q15818" t="str">
            <v>磁性位置传感器</v>
          </cell>
        </row>
        <row r="15819">
          <cell r="O15819" t="str">
            <v>SC2442SO-N-TR-Q</v>
          </cell>
          <cell r="P15819" t="str">
            <v>STC9906P</v>
          </cell>
          <cell r="Q15819" t="str">
            <v>磁性位置传感器</v>
          </cell>
        </row>
        <row r="15820">
          <cell r="O15820" t="str">
            <v>SC2442SO-N-TR-Q</v>
          </cell>
          <cell r="P15820" t="str">
            <v>STC9906P</v>
          </cell>
          <cell r="Q15820" t="str">
            <v>磁性位置传感器</v>
          </cell>
        </row>
        <row r="15821">
          <cell r="O15821" t="str">
            <v>SC2442SO-N-TR-Q</v>
          </cell>
          <cell r="P15821" t="str">
            <v>STC9906P</v>
          </cell>
          <cell r="Q15821" t="str">
            <v>磁性位置传感器</v>
          </cell>
        </row>
        <row r="15822">
          <cell r="O15822" t="str">
            <v>SC2442SO-N-TR-Q</v>
          </cell>
          <cell r="P15822" t="str">
            <v>STC9906P</v>
          </cell>
          <cell r="Q15822" t="str">
            <v>磁性位置传感器</v>
          </cell>
        </row>
        <row r="15823">
          <cell r="O15823" t="str">
            <v>SC2442SO-N-TR-Q</v>
          </cell>
          <cell r="P15823" t="str">
            <v>STC9906P</v>
          </cell>
          <cell r="Q15823" t="str">
            <v>磁性位置传感器</v>
          </cell>
        </row>
        <row r="15824">
          <cell r="O15824" t="str">
            <v>SC2442SO-N-TR-Q</v>
          </cell>
          <cell r="P15824" t="str">
            <v>STC11102B</v>
          </cell>
          <cell r="Q15824" t="str">
            <v>磁性位置传感器</v>
          </cell>
        </row>
        <row r="15825">
          <cell r="O15825" t="str">
            <v>SC2442SO-N-TR-Q</v>
          </cell>
          <cell r="P15825" t="str">
            <v>STC11102B</v>
          </cell>
          <cell r="Q15825" t="str">
            <v>磁性位置传感器</v>
          </cell>
        </row>
        <row r="15826">
          <cell r="O15826" t="str">
            <v>SC2442SO-N-TR-Q</v>
          </cell>
          <cell r="P15826" t="str">
            <v>STC11102B</v>
          </cell>
          <cell r="Q15826" t="str">
            <v>磁性位置传感器</v>
          </cell>
        </row>
        <row r="15827">
          <cell r="O15827" t="str">
            <v>SC2442SO-N-TR-Q</v>
          </cell>
          <cell r="P15827" t="str">
            <v>STC11102B</v>
          </cell>
          <cell r="Q15827" t="str">
            <v>磁性位置传感器</v>
          </cell>
        </row>
        <row r="15828">
          <cell r="O15828" t="str">
            <v>SC2442SO-N-TR-Q</v>
          </cell>
          <cell r="P15828" t="str">
            <v>STC11102B</v>
          </cell>
          <cell r="Q15828" t="str">
            <v>磁性位置传感器</v>
          </cell>
        </row>
        <row r="15829">
          <cell r="O15829" t="str">
            <v>SC2442SO-N-TR-Q</v>
          </cell>
          <cell r="P15829" t="str">
            <v>STC11102B</v>
          </cell>
          <cell r="Q15829" t="str">
            <v>磁性位置传感器</v>
          </cell>
        </row>
        <row r="15830">
          <cell r="O15830" t="str">
            <v>SC2442SO-N-TR-Q</v>
          </cell>
          <cell r="P15830" t="str">
            <v>STC11102B</v>
          </cell>
          <cell r="Q15830" t="str">
            <v>磁性位置传感器</v>
          </cell>
        </row>
        <row r="15831">
          <cell r="O15831" t="str">
            <v>SC2442SO-N-TR-Q</v>
          </cell>
          <cell r="P15831" t="str">
            <v>STC9906P</v>
          </cell>
          <cell r="Q15831" t="str">
            <v>磁性位置传感器</v>
          </cell>
        </row>
        <row r="15832">
          <cell r="O15832" t="str">
            <v>SC2442SO-N-TR-Q</v>
          </cell>
          <cell r="P15832" t="str">
            <v>STC9906P</v>
          </cell>
          <cell r="Q15832" t="str">
            <v>磁性位置传感器</v>
          </cell>
        </row>
        <row r="15833">
          <cell r="O15833" t="str">
            <v>SC2442SO-N-TR-Q</v>
          </cell>
          <cell r="P15833" t="str">
            <v>STC9906P</v>
          </cell>
          <cell r="Q15833" t="str">
            <v>磁性位置传感器</v>
          </cell>
        </row>
        <row r="15834">
          <cell r="O15834" t="str">
            <v>SC2442SO-N-TR-Q</v>
          </cell>
          <cell r="P15834" t="str">
            <v>STC9906P</v>
          </cell>
          <cell r="Q15834" t="str">
            <v>磁性位置传感器</v>
          </cell>
        </row>
        <row r="15835">
          <cell r="O15835" t="str">
            <v>SC2442SO-N-TR-Q</v>
          </cell>
          <cell r="P15835" t="str">
            <v>STC9906P</v>
          </cell>
          <cell r="Q15835" t="str">
            <v>磁性位置传感器</v>
          </cell>
        </row>
        <row r="15836">
          <cell r="O15836" t="str">
            <v>SC2442SO-N-TR-Q</v>
          </cell>
          <cell r="P15836" t="str">
            <v>STC9906P</v>
          </cell>
          <cell r="Q15836" t="str">
            <v>磁性位置传感器</v>
          </cell>
        </row>
        <row r="15837">
          <cell r="O15837" t="str">
            <v>SC2442SO-N-TR</v>
          </cell>
          <cell r="P15837" t="str">
            <v>STC9906P</v>
          </cell>
          <cell r="Q15837" t="str">
            <v>磁性位置传感器</v>
          </cell>
        </row>
        <row r="15838">
          <cell r="O15838" t="str">
            <v>SC2442SO-N-TR</v>
          </cell>
          <cell r="P15838" t="str">
            <v>STC9906P</v>
          </cell>
          <cell r="Q15838" t="str">
            <v>磁性位置传感器</v>
          </cell>
        </row>
        <row r="15839">
          <cell r="O15839" t="str">
            <v>SC2442SO-N-TR-Q</v>
          </cell>
          <cell r="P15839" t="str">
            <v>STC11102B</v>
          </cell>
          <cell r="Q15839" t="str">
            <v>磁性位置传感器</v>
          </cell>
        </row>
        <row r="15840">
          <cell r="O15840" t="str">
            <v>SC4103DN</v>
          </cell>
          <cell r="P15840" t="str">
            <v>STC11201B</v>
          </cell>
          <cell r="Q15840" t="str">
            <v>磁性位置传感器</v>
          </cell>
        </row>
        <row r="15841">
          <cell r="O15841" t="str">
            <v>SC69401</v>
          </cell>
          <cell r="P15841" t="str">
            <v>STC9H002D</v>
          </cell>
          <cell r="Q15841" t="str">
            <v>角度传感器</v>
          </cell>
        </row>
        <row r="15842">
          <cell r="O15842" t="str">
            <v>SC2498SO</v>
          </cell>
          <cell r="P15842" t="str">
            <v>SC9915C</v>
          </cell>
          <cell r="Q15842" t="str">
            <v>磁性位置传感器</v>
          </cell>
        </row>
        <row r="15843">
          <cell r="O15843" t="str">
            <v>SC2466SO</v>
          </cell>
          <cell r="P15843" t="str">
            <v>STC9906O</v>
          </cell>
          <cell r="Q15843" t="str">
            <v>磁性位置传感器</v>
          </cell>
        </row>
        <row r="15844">
          <cell r="O15844" t="str">
            <v>SC1245SO-N</v>
          </cell>
          <cell r="P15844" t="str">
            <v>STC1898AD</v>
          </cell>
          <cell r="Q15844" t="str">
            <v>磁性位置传感器</v>
          </cell>
        </row>
        <row r="15845">
          <cell r="O15845" t="str">
            <v>ZH639D0JT</v>
          </cell>
          <cell r="P15845" t="str">
            <v xml:space="preserve"> </v>
          </cell>
          <cell r="Q15845" t="str">
            <v>电机驱动</v>
          </cell>
        </row>
        <row r="15846">
          <cell r="O15846" t="str">
            <v>SC2434SO-N</v>
          </cell>
          <cell r="P15846" t="str">
            <v>STC9906I</v>
          </cell>
          <cell r="Q15846" t="str">
            <v>磁性位置传感器</v>
          </cell>
        </row>
        <row r="15847">
          <cell r="O15847" t="str">
            <v>SC2442SO-N</v>
          </cell>
          <cell r="P15847" t="str">
            <v>STC11102B</v>
          </cell>
          <cell r="Q15847" t="str">
            <v>磁性位置传感器</v>
          </cell>
        </row>
        <row r="15848">
          <cell r="O15848" t="str">
            <v>SC2063SO</v>
          </cell>
          <cell r="P15848" t="str">
            <v>STC9G001C</v>
          </cell>
          <cell r="Q15848" t="str">
            <v>磁性位置传感器</v>
          </cell>
        </row>
        <row r="15849">
          <cell r="O15849" t="str">
            <v>SC60224-U-P4-1024</v>
          </cell>
          <cell r="P15849" t="str">
            <v>STC9D04C</v>
          </cell>
          <cell r="Q15849" t="str">
            <v>电机编码器</v>
          </cell>
        </row>
        <row r="15850">
          <cell r="O15850" t="str">
            <v>SC4645VB</v>
          </cell>
          <cell r="P15850" t="str">
            <v>STC9D06F</v>
          </cell>
          <cell r="Q15850" t="str">
            <v>电流传感器</v>
          </cell>
        </row>
        <row r="15851">
          <cell r="O15851" t="str">
            <v>SC9625VB-L</v>
          </cell>
          <cell r="P15851" t="str">
            <v>STC9910E</v>
          </cell>
          <cell r="Q15851" t="str">
            <v>速度传感器</v>
          </cell>
        </row>
        <row r="15852">
          <cell r="O15852" t="str">
            <v>SC9314UA</v>
          </cell>
          <cell r="P15852" t="str">
            <v>STC9901AF</v>
          </cell>
          <cell r="Q15852" t="str">
            <v>速度传感器</v>
          </cell>
        </row>
        <row r="15853">
          <cell r="O15853" t="str">
            <v>SC9621VB</v>
          </cell>
          <cell r="P15853" t="str">
            <v>STC9910C</v>
          </cell>
          <cell r="Q15853" t="str">
            <v>速度传感器</v>
          </cell>
        </row>
        <row r="15854">
          <cell r="O15854" t="str">
            <v>SC9632VB</v>
          </cell>
          <cell r="P15854" t="str">
            <v>STC9905E</v>
          </cell>
          <cell r="Q15854" t="str">
            <v>速度传感器</v>
          </cell>
        </row>
        <row r="15855">
          <cell r="O15855" t="str">
            <v>SC4002UA</v>
          </cell>
          <cell r="P15855" t="str">
            <v>STC4000AA</v>
          </cell>
          <cell r="Q15855" t="str">
            <v>磁性位置传感器</v>
          </cell>
        </row>
        <row r="15856">
          <cell r="O15856" t="str">
            <v>SC60228DC</v>
          </cell>
          <cell r="P15856" t="str">
            <v>STC9D04C</v>
          </cell>
          <cell r="Q15856" t="str">
            <v>电机编码器</v>
          </cell>
        </row>
        <row r="15857">
          <cell r="O15857" t="str">
            <v>SC2242SO</v>
          </cell>
          <cell r="P15857" t="str">
            <v>STC9906H</v>
          </cell>
          <cell r="Q15857" t="str">
            <v>磁性位置传感器</v>
          </cell>
        </row>
        <row r="15858">
          <cell r="O15858" t="str">
            <v>SC2202SO-N</v>
          </cell>
          <cell r="P15858" t="str">
            <v>STC9902E</v>
          </cell>
          <cell r="Q15858" t="str">
            <v>磁性位置传感器</v>
          </cell>
        </row>
        <row r="15859">
          <cell r="O15859" t="str">
            <v>SC4001SE</v>
          </cell>
          <cell r="P15859" t="str">
            <v>STC4001AB</v>
          </cell>
          <cell r="Q15859" t="str">
            <v>磁性位置传感器</v>
          </cell>
        </row>
        <row r="15860">
          <cell r="O15860" t="str">
            <v>SC4001UA</v>
          </cell>
          <cell r="P15860" t="str">
            <v>STC4001AB</v>
          </cell>
          <cell r="Q15860" t="str">
            <v>磁性位置传感器</v>
          </cell>
        </row>
        <row r="15861">
          <cell r="O15861" t="str">
            <v>SC2438SO</v>
          </cell>
          <cell r="P15861" t="str">
            <v>STC9906I</v>
          </cell>
          <cell r="Q15861" t="str">
            <v>磁性位置传感器</v>
          </cell>
        </row>
        <row r="15862">
          <cell r="O15862" t="str">
            <v>SC2242UA</v>
          </cell>
          <cell r="P15862" t="str">
            <v>STC9906H</v>
          </cell>
          <cell r="Q15862" t="str">
            <v>磁性位置传感器</v>
          </cell>
        </row>
        <row r="15863">
          <cell r="O15863" t="str">
            <v>SC2462SO</v>
          </cell>
          <cell r="P15863" t="str">
            <v>STC9906J</v>
          </cell>
          <cell r="Q15863" t="str">
            <v>磁性位置传感器</v>
          </cell>
        </row>
        <row r="15864">
          <cell r="O15864" t="str">
            <v>SC2462SO</v>
          </cell>
          <cell r="P15864" t="str">
            <v>STC9906J</v>
          </cell>
          <cell r="Q15864" t="str">
            <v>磁性位置传感器</v>
          </cell>
        </row>
        <row r="15865">
          <cell r="O15865" t="str">
            <v>SC2464SO</v>
          </cell>
          <cell r="P15865" t="str">
            <v>STC9906J</v>
          </cell>
          <cell r="Q15865" t="str">
            <v>磁性位置传感器</v>
          </cell>
        </row>
        <row r="15866">
          <cell r="O15866" t="str">
            <v>SC2462UA</v>
          </cell>
          <cell r="P15866" t="str">
            <v>STC9906J</v>
          </cell>
          <cell r="Q15866" t="str">
            <v>磁性位置传感器</v>
          </cell>
        </row>
        <row r="15867">
          <cell r="O15867" t="str">
            <v>SC2442SO</v>
          </cell>
          <cell r="P15867" t="str">
            <v>STC9906R</v>
          </cell>
          <cell r="Q15867" t="str">
            <v>磁性位置传感器</v>
          </cell>
        </row>
        <row r="15868">
          <cell r="O15868" t="str">
            <v>SC2202UA</v>
          </cell>
          <cell r="P15868" t="str">
            <v>STC9902E</v>
          </cell>
          <cell r="Q15868" t="str">
            <v>磁性位置传感器</v>
          </cell>
        </row>
        <row r="15869">
          <cell r="O15869" t="str">
            <v>SC2402UA</v>
          </cell>
          <cell r="P15869" t="str">
            <v>STC9902J</v>
          </cell>
          <cell r="Q15869" t="str">
            <v>磁性位置传感器</v>
          </cell>
        </row>
        <row r="15870">
          <cell r="O15870" t="str">
            <v>SC2033SO-N</v>
          </cell>
          <cell r="P15870" t="str">
            <v>STC9G001D</v>
          </cell>
          <cell r="Q15870" t="str">
            <v>磁性位置传感器</v>
          </cell>
        </row>
        <row r="15871">
          <cell r="O15871" t="str">
            <v>SC9642TS-E</v>
          </cell>
          <cell r="P15871" t="str">
            <v>STC9A001H</v>
          </cell>
          <cell r="Q15871" t="str">
            <v>速度传感器</v>
          </cell>
        </row>
        <row r="15872">
          <cell r="O15872" t="str">
            <v>SL54123APA1R</v>
          </cell>
          <cell r="P15872" t="str">
            <v>STC16100B</v>
          </cell>
          <cell r="Q15872" t="str">
            <v>电流传感器</v>
          </cell>
        </row>
        <row r="15873">
          <cell r="O15873" t="str">
            <v>SC9641TS-P</v>
          </cell>
          <cell r="P15873" t="str">
            <v>STC9A001I</v>
          </cell>
          <cell r="Q15873" t="str">
            <v>速度传感器</v>
          </cell>
        </row>
        <row r="15874">
          <cell r="O15874" t="str">
            <v>SC2498TSO</v>
          </cell>
          <cell r="P15874" t="str">
            <v>STC11300C</v>
          </cell>
          <cell r="Q15874" t="str">
            <v>磁性位置传感器</v>
          </cell>
        </row>
        <row r="15875">
          <cell r="O15875" t="str">
            <v>SC4011SO-N</v>
          </cell>
          <cell r="P15875" t="str">
            <v>STC4011B</v>
          </cell>
          <cell r="Q15875" t="str">
            <v>磁性位置传感器</v>
          </cell>
        </row>
        <row r="15876">
          <cell r="O15876" t="str">
            <v>SC4688SA-A</v>
          </cell>
          <cell r="P15876" t="str">
            <v>STC9D01C</v>
          </cell>
          <cell r="Q15876" t="str">
            <v>角度传感器</v>
          </cell>
        </row>
        <row r="15877">
          <cell r="O15877" t="str">
            <v>SC2402DN</v>
          </cell>
          <cell r="P15877" t="str">
            <v>STC9G002B</v>
          </cell>
          <cell r="Q15877" t="str">
            <v>磁性位置传感器</v>
          </cell>
        </row>
        <row r="15878">
          <cell r="O15878" t="str">
            <v>SC4011DN</v>
          </cell>
          <cell r="P15878" t="str">
            <v>STC4011B</v>
          </cell>
          <cell r="Q15878" t="str">
            <v>磁性位置传感器</v>
          </cell>
        </row>
        <row r="15879">
          <cell r="O15879" t="str">
            <v>SC2402SO-N</v>
          </cell>
          <cell r="P15879" t="str">
            <v>STC9G002A</v>
          </cell>
          <cell r="Q15879" t="str">
            <v>磁性位置传感器</v>
          </cell>
        </row>
        <row r="15880">
          <cell r="O15880" t="str">
            <v>SC2402SO-N</v>
          </cell>
          <cell r="P15880" t="str">
            <v>STC9G002A</v>
          </cell>
          <cell r="Q15880" t="str">
            <v>磁性位置传感器</v>
          </cell>
        </row>
        <row r="15881">
          <cell r="O15881" t="str">
            <v>SC4101DN</v>
          </cell>
          <cell r="P15881" t="str">
            <v>STC11201B</v>
          </cell>
          <cell r="Q15881" t="str">
            <v>磁性位置传感器</v>
          </cell>
        </row>
        <row r="15882">
          <cell r="O15882" t="str">
            <v>SC1134SO-N</v>
          </cell>
          <cell r="P15882" t="str">
            <v>STC1002AF</v>
          </cell>
          <cell r="Q15882" t="str">
            <v>磁性位置传感器</v>
          </cell>
        </row>
        <row r="15883">
          <cell r="O15883" t="str">
            <v>SC4104DN</v>
          </cell>
          <cell r="P15883" t="str">
            <v>STC11201B</v>
          </cell>
          <cell r="Q15883" t="str">
            <v>磁性位置传感器</v>
          </cell>
        </row>
        <row r="15884">
          <cell r="O15884" t="str">
            <v>G01</v>
          </cell>
          <cell r="P15884" t="str">
            <v>STC4011B</v>
          </cell>
          <cell r="Q15884" t="str">
            <v>磁性位置传感器</v>
          </cell>
        </row>
        <row r="15885">
          <cell r="O15885" t="str">
            <v>G01</v>
          </cell>
          <cell r="P15885" t="str">
            <v>STC4011B</v>
          </cell>
          <cell r="Q15885" t="str">
            <v>磁性位置传感器</v>
          </cell>
        </row>
        <row r="15886">
          <cell r="O15886" t="str">
            <v>SC2064SO-TR</v>
          </cell>
          <cell r="P15886" t="str">
            <v>STC9G001C</v>
          </cell>
          <cell r="Q15886" t="str">
            <v>磁性位置传感器</v>
          </cell>
        </row>
        <row r="15887">
          <cell r="O15887" t="str">
            <v>SC2464SO</v>
          </cell>
          <cell r="P15887" t="str">
            <v>STC9906J</v>
          </cell>
          <cell r="Q15887" t="str">
            <v>磁性位置传感器</v>
          </cell>
        </row>
        <row r="15888">
          <cell r="O15888" t="str">
            <v>SC2464SO</v>
          </cell>
          <cell r="P15888" t="str">
            <v>STC9906J</v>
          </cell>
          <cell r="Q15888" t="str">
            <v>磁性位置传感器</v>
          </cell>
        </row>
        <row r="15889">
          <cell r="O15889" t="str">
            <v>SC2464SO</v>
          </cell>
          <cell r="P15889" t="str">
            <v>STC9906J</v>
          </cell>
          <cell r="Q15889" t="str">
            <v>磁性位置传感器</v>
          </cell>
        </row>
        <row r="15890">
          <cell r="O15890" t="str">
            <v>SC2464SO</v>
          </cell>
          <cell r="P15890" t="str">
            <v>STC9906J</v>
          </cell>
          <cell r="Q15890" t="str">
            <v>磁性位置传感器</v>
          </cell>
        </row>
        <row r="15891">
          <cell r="O15891" t="str">
            <v>SC2402SO-N-TR</v>
          </cell>
          <cell r="P15891" t="str">
            <v>STC9G002A</v>
          </cell>
          <cell r="Q15891" t="str">
            <v>磁性位置传感器</v>
          </cell>
        </row>
        <row r="15892">
          <cell r="O15892" t="str">
            <v>SC2448SO</v>
          </cell>
          <cell r="P15892" t="str">
            <v>STC9906S</v>
          </cell>
          <cell r="Q15892" t="str">
            <v>磁性位置传感器</v>
          </cell>
        </row>
        <row r="15893">
          <cell r="O15893" t="str">
            <v>SC2448SO</v>
          </cell>
          <cell r="P15893" t="str">
            <v>STC9906S</v>
          </cell>
          <cell r="Q15893" t="str">
            <v>磁性位置传感器</v>
          </cell>
        </row>
        <row r="15894">
          <cell r="O15894" t="str">
            <v>SC2448SO-TR-Q</v>
          </cell>
          <cell r="P15894" t="str">
            <v>STC9906S</v>
          </cell>
          <cell r="Q15894" t="str">
            <v>磁性位置传感器</v>
          </cell>
        </row>
        <row r="15895">
          <cell r="O15895" t="str">
            <v>SC1134SO-N-TR-Q</v>
          </cell>
          <cell r="P15895" t="str">
            <v>STC1898AI</v>
          </cell>
          <cell r="Q15895" t="str">
            <v>磁性位置传感器</v>
          </cell>
        </row>
        <row r="15896">
          <cell r="O15896" t="str">
            <v>SC1134SO-N-TR-Q</v>
          </cell>
          <cell r="P15896" t="str">
            <v>STC1898AI</v>
          </cell>
          <cell r="Q15896" t="str">
            <v>磁性位置传感器</v>
          </cell>
        </row>
        <row r="15897">
          <cell r="O15897" t="str">
            <v>SC1134SO-N-TR-Q</v>
          </cell>
          <cell r="P15897" t="str">
            <v>STC1898AI</v>
          </cell>
          <cell r="Q15897" t="str">
            <v>磁性位置传感器</v>
          </cell>
        </row>
        <row r="15898">
          <cell r="O15898" t="str">
            <v>SC1134SO-N-TR-Q</v>
          </cell>
          <cell r="P15898" t="str">
            <v>STC1898AI</v>
          </cell>
          <cell r="Q15898" t="str">
            <v>磁性位置传感器</v>
          </cell>
        </row>
        <row r="15899">
          <cell r="O15899" t="str">
            <v>SC2462SO-TR-Q</v>
          </cell>
          <cell r="P15899" t="str">
            <v>STC9906J</v>
          </cell>
          <cell r="Q15899" t="str">
            <v>磁性位置传感器</v>
          </cell>
        </row>
        <row r="15900">
          <cell r="O15900" t="str">
            <v>SC2462SO-TR-Q</v>
          </cell>
          <cell r="P15900" t="str">
            <v>STC9906J</v>
          </cell>
          <cell r="Q15900" t="str">
            <v>磁性位置传感器</v>
          </cell>
        </row>
        <row r="15901">
          <cell r="O15901" t="str">
            <v>SC2462SO-TR-Q</v>
          </cell>
          <cell r="P15901" t="str">
            <v>STC9906J</v>
          </cell>
          <cell r="Q15901" t="str">
            <v>磁性位置传感器</v>
          </cell>
        </row>
        <row r="15902">
          <cell r="O15902" t="str">
            <v>SC2462SO-TR-Q</v>
          </cell>
          <cell r="P15902" t="str">
            <v>STC9906J</v>
          </cell>
          <cell r="Q15902" t="str">
            <v>磁性位置传感器</v>
          </cell>
        </row>
        <row r="15903">
          <cell r="O15903" t="str">
            <v>SC4645VB-BK</v>
          </cell>
          <cell r="P15903" t="str">
            <v>STC9D06F</v>
          </cell>
          <cell r="Q15903" t="str">
            <v>电流传感器</v>
          </cell>
        </row>
        <row r="15904">
          <cell r="O15904" t="str">
            <v>SC4643VB-BK-Q</v>
          </cell>
          <cell r="P15904" t="str">
            <v>STC9D03E</v>
          </cell>
          <cell r="Q15904" t="str">
            <v>电流传感器</v>
          </cell>
        </row>
        <row r="15905">
          <cell r="O15905" t="str">
            <v>SC4643VB-BK-Q</v>
          </cell>
          <cell r="P15905" t="str">
            <v>STC9D03E</v>
          </cell>
          <cell r="Q15905" t="str">
            <v>电流传感器</v>
          </cell>
        </row>
        <row r="15906">
          <cell r="O15906" t="str">
            <v>SC1134SO-N-TR-Q</v>
          </cell>
          <cell r="P15906" t="str">
            <v>STC1898AI</v>
          </cell>
          <cell r="Q15906" t="str">
            <v>磁性位置传感器</v>
          </cell>
        </row>
        <row r="15907">
          <cell r="O15907" t="str">
            <v>SC2438SO-TR-Q</v>
          </cell>
          <cell r="P15907" t="str">
            <v>STC9906M</v>
          </cell>
          <cell r="Q15907" t="str">
            <v>磁性位置传感器</v>
          </cell>
        </row>
        <row r="15908">
          <cell r="O15908" t="str">
            <v>SC1245SO-N-TR</v>
          </cell>
          <cell r="P15908" t="str">
            <v>STC1898AD</v>
          </cell>
          <cell r="Q15908" t="str">
            <v>磁性位置传感器</v>
          </cell>
        </row>
        <row r="15909">
          <cell r="O15909" t="str">
            <v>FD1014A</v>
          </cell>
          <cell r="P15909" t="str">
            <v>FD1014A</v>
          </cell>
          <cell r="Q15909" t="str">
            <v>电机驱动</v>
          </cell>
        </row>
        <row r="15910">
          <cell r="O15910" t="str">
            <v>FD1014A</v>
          </cell>
          <cell r="P15910" t="str">
            <v>FD1014A</v>
          </cell>
          <cell r="Q15910" t="str">
            <v>电机驱动</v>
          </cell>
        </row>
        <row r="15911">
          <cell r="O15911" t="str">
            <v>SC4688SA-A</v>
          </cell>
          <cell r="P15911" t="str">
            <v>STC9D01C</v>
          </cell>
          <cell r="Q15911" t="str">
            <v>角度传感器</v>
          </cell>
        </row>
        <row r="15912">
          <cell r="O15912" t="str">
            <v>SC4688SA-A</v>
          </cell>
          <cell r="P15912" t="str">
            <v>STC9D01C</v>
          </cell>
          <cell r="Q15912" t="str">
            <v>角度传感器</v>
          </cell>
        </row>
        <row r="15913">
          <cell r="O15913" t="str">
            <v>SC2432UA</v>
          </cell>
          <cell r="P15913" t="str">
            <v>STC9906I</v>
          </cell>
          <cell r="Q15913" t="str">
            <v>磁性位置传感器</v>
          </cell>
        </row>
        <row r="15914">
          <cell r="O15914" t="str">
            <v>SC4688SA</v>
          </cell>
          <cell r="P15914" t="str">
            <v>STC9D01C</v>
          </cell>
          <cell r="Q15914" t="str">
            <v>角度传感器</v>
          </cell>
        </row>
        <row r="15915">
          <cell r="O15915" t="str">
            <v>SC4688SA</v>
          </cell>
          <cell r="P15915" t="str">
            <v>STC9D01C</v>
          </cell>
          <cell r="Q15915" t="str">
            <v>角度传感器</v>
          </cell>
        </row>
        <row r="15916">
          <cell r="O15916" t="str">
            <v>SC4643VB-BK-Q</v>
          </cell>
          <cell r="P15916" t="str">
            <v>STC9D03E</v>
          </cell>
          <cell r="Q15916" t="str">
            <v>电流传感器</v>
          </cell>
        </row>
        <row r="15917">
          <cell r="O15917" t="str">
            <v>SC4643VB-G-BK-Q</v>
          </cell>
          <cell r="P15917" t="str">
            <v>STC9D03E</v>
          </cell>
          <cell r="Q15917" t="str">
            <v>电流传感器</v>
          </cell>
        </row>
        <row r="15918">
          <cell r="O15918" t="str">
            <v>SC4643VB-G-BK-Q</v>
          </cell>
          <cell r="P15918" t="str">
            <v>STC9D03E</v>
          </cell>
          <cell r="Q15918" t="str">
            <v>电流传感器</v>
          </cell>
        </row>
        <row r="15919">
          <cell r="O15919" t="str">
            <v>SC4643VB-G-BK-Q</v>
          </cell>
          <cell r="P15919" t="str">
            <v>STC9D03E</v>
          </cell>
          <cell r="Q15919" t="str">
            <v>电流传感器</v>
          </cell>
        </row>
        <row r="15920">
          <cell r="O15920" t="str">
            <v>SC4643VB-G-BK-Q</v>
          </cell>
          <cell r="P15920" t="str">
            <v>STC9D03E</v>
          </cell>
          <cell r="Q15920" t="str">
            <v>电流传感器</v>
          </cell>
        </row>
        <row r="15921">
          <cell r="O15921" t="str">
            <v>SC4643VB-G-BK-Q</v>
          </cell>
          <cell r="P15921" t="str">
            <v>STC9D03E</v>
          </cell>
          <cell r="Q15921" t="str">
            <v>电流传感器</v>
          </cell>
        </row>
        <row r="15922">
          <cell r="O15922" t="str">
            <v>SC4643VB-G-BK-Q</v>
          </cell>
          <cell r="P15922" t="str">
            <v>STC9D03E</v>
          </cell>
          <cell r="Q15922" t="str">
            <v>电流传感器</v>
          </cell>
        </row>
        <row r="15923">
          <cell r="O15923" t="str">
            <v>SC9675IM-P-LRF01</v>
          </cell>
          <cell r="P15923" t="str">
            <v>STC9A002B</v>
          </cell>
          <cell r="Q15923" t="str">
            <v>速度传感器</v>
          </cell>
        </row>
        <row r="15924">
          <cell r="O15924" t="str">
            <v>SC2064SO-TR</v>
          </cell>
          <cell r="P15924" t="str">
            <v>STC9G001C</v>
          </cell>
          <cell r="Q15924" t="str">
            <v>磁性位置传感器</v>
          </cell>
        </row>
        <row r="15925">
          <cell r="O15925" t="str">
            <v>SC1945A1-BK</v>
          </cell>
          <cell r="P15925" t="str">
            <v>STC2899AJ</v>
          </cell>
          <cell r="Q15925" t="str">
            <v>磁性位置传感器</v>
          </cell>
        </row>
        <row r="15926">
          <cell r="O15926" t="str">
            <v>SD2276VB-BK</v>
          </cell>
          <cell r="P15926" t="str">
            <v>FD1014A</v>
          </cell>
          <cell r="Q15926" t="str">
            <v>电机驱动</v>
          </cell>
        </row>
        <row r="15927">
          <cell r="O15927" t="str">
            <v>SD2276VB-BK</v>
          </cell>
          <cell r="P15927" t="str">
            <v>FD1014A</v>
          </cell>
          <cell r="Q15927" t="str">
            <v>电机驱动</v>
          </cell>
        </row>
        <row r="15928">
          <cell r="O15928" t="str">
            <v>SD2276VB-BK</v>
          </cell>
          <cell r="P15928" t="str">
            <v>FD1014A</v>
          </cell>
          <cell r="Q15928" t="str">
            <v>电机驱动</v>
          </cell>
        </row>
        <row r="15929">
          <cell r="O15929" t="str">
            <v>SD2276VB-BK</v>
          </cell>
          <cell r="P15929" t="str">
            <v>FD1014A</v>
          </cell>
          <cell r="Q15929" t="str">
            <v>电机驱动</v>
          </cell>
        </row>
        <row r="15930">
          <cell r="O15930" t="str">
            <v>SC1945A1-BK</v>
          </cell>
          <cell r="P15930" t="str">
            <v>STC2899AJ</v>
          </cell>
          <cell r="Q15930" t="str">
            <v>磁性位置传感器</v>
          </cell>
        </row>
        <row r="15931">
          <cell r="O15931" t="str">
            <v>SC2402SO-N-TR</v>
          </cell>
          <cell r="P15931" t="str">
            <v>STC9902J</v>
          </cell>
          <cell r="Q15931" t="str">
            <v>磁性位置传感器</v>
          </cell>
        </row>
        <row r="15932">
          <cell r="O15932" t="str">
            <v>SC2402SO-N-TR</v>
          </cell>
          <cell r="P15932" t="str">
            <v>STC9902J</v>
          </cell>
          <cell r="Q15932" t="str">
            <v>磁性位置传感器</v>
          </cell>
        </row>
        <row r="15933">
          <cell r="O15933" t="str">
            <v>SC2402SO-N-TR</v>
          </cell>
          <cell r="P15933" t="str">
            <v>STC9902J</v>
          </cell>
          <cell r="Q15933" t="str">
            <v>磁性位置传感器</v>
          </cell>
        </row>
        <row r="15934">
          <cell r="O15934" t="str">
            <v>SC2402SO-N-TR</v>
          </cell>
          <cell r="P15934" t="str">
            <v>STC9902J</v>
          </cell>
          <cell r="Q15934" t="str">
            <v>磁性位置传感器</v>
          </cell>
        </row>
        <row r="15935">
          <cell r="O15935" t="str">
            <v>SC2402SO-N-TR</v>
          </cell>
          <cell r="P15935" t="str">
            <v>STC9902J</v>
          </cell>
          <cell r="Q15935" t="str">
            <v>磁性位置传感器</v>
          </cell>
        </row>
        <row r="15936">
          <cell r="O15936" t="str">
            <v>SC1945A1-BK</v>
          </cell>
          <cell r="P15936" t="str">
            <v>STC2899AJ</v>
          </cell>
          <cell r="Q15936" t="str">
            <v>磁性位置传感器</v>
          </cell>
        </row>
        <row r="15937">
          <cell r="O15937" t="str">
            <v>SD2276VB-BK</v>
          </cell>
          <cell r="P15937" t="str">
            <v>FD1014A</v>
          </cell>
          <cell r="Q15937" t="str">
            <v>电机驱动</v>
          </cell>
        </row>
        <row r="15938">
          <cell r="O15938" t="str">
            <v>SD2276VB-BK</v>
          </cell>
          <cell r="P15938" t="str">
            <v>FD1014A</v>
          </cell>
          <cell r="Q15938" t="str">
            <v>电机驱动</v>
          </cell>
        </row>
        <row r="15939">
          <cell r="O15939" t="str">
            <v>SD2276VB-BK</v>
          </cell>
          <cell r="P15939" t="str">
            <v>FD1014A</v>
          </cell>
          <cell r="Q15939" t="str">
            <v>电机驱动</v>
          </cell>
        </row>
        <row r="15940">
          <cell r="O15940" t="str">
            <v>SD2276VB-BK</v>
          </cell>
          <cell r="P15940" t="str">
            <v>FD1014A</v>
          </cell>
          <cell r="Q15940" t="str">
            <v>电机驱动</v>
          </cell>
        </row>
        <row r="15941">
          <cell r="O15941" t="str">
            <v>SD2276VB-BK</v>
          </cell>
          <cell r="P15941" t="str">
            <v>FD1014A</v>
          </cell>
          <cell r="Q15941" t="str">
            <v>电机驱动</v>
          </cell>
        </row>
        <row r="15942">
          <cell r="O15942" t="str">
            <v>SD2276VB-BK</v>
          </cell>
          <cell r="P15942" t="str">
            <v>FD1014A</v>
          </cell>
          <cell r="Q15942" t="str">
            <v>电机驱动</v>
          </cell>
        </row>
        <row r="15943">
          <cell r="O15943" t="str">
            <v>SC4015SO-N-A-TR</v>
          </cell>
          <cell r="P15943" t="str">
            <v>STC4011E</v>
          </cell>
          <cell r="Q15943" t="str">
            <v>磁性位置传感器</v>
          </cell>
        </row>
        <row r="15944">
          <cell r="O15944" t="str">
            <v>SC4015SO-N-A-TR</v>
          </cell>
          <cell r="P15944" t="str">
            <v>STC4011E</v>
          </cell>
          <cell r="Q15944" t="str">
            <v>磁性位置传感器</v>
          </cell>
        </row>
        <row r="15945">
          <cell r="O15945" t="str">
            <v>SC4015SO-N-A-TR</v>
          </cell>
          <cell r="P15945" t="str">
            <v>STC4011E</v>
          </cell>
          <cell r="Q15945" t="str">
            <v>磁性位置传感器</v>
          </cell>
        </row>
        <row r="15946">
          <cell r="O15946" t="str">
            <v>SC4015SO-N-A-TR</v>
          </cell>
          <cell r="P15946" t="str">
            <v>STC4011E</v>
          </cell>
          <cell r="Q15946" t="str">
            <v>磁性位置传感器</v>
          </cell>
        </row>
        <row r="15947">
          <cell r="O15947" t="str">
            <v>SC4015SO-N-A-TR</v>
          </cell>
          <cell r="P15947" t="str">
            <v>STC4011E</v>
          </cell>
          <cell r="Q15947" t="str">
            <v>磁性位置传感器</v>
          </cell>
        </row>
        <row r="15948">
          <cell r="O15948" t="str">
            <v>SC4015SO-N-A-TR</v>
          </cell>
          <cell r="P15948" t="str">
            <v>STC4011E</v>
          </cell>
          <cell r="Q15948" t="str">
            <v>磁性位置传感器</v>
          </cell>
        </row>
        <row r="15949">
          <cell r="O15949" t="str">
            <v>SC4015SO-N-A-TR</v>
          </cell>
          <cell r="P15949" t="str">
            <v>STC4011E</v>
          </cell>
          <cell r="Q15949" t="str">
            <v>磁性位置传感器</v>
          </cell>
        </row>
        <row r="15950">
          <cell r="O15950" t="str">
            <v>SC4015SO-N-A-TR</v>
          </cell>
          <cell r="P15950" t="str">
            <v>STC4011E</v>
          </cell>
          <cell r="Q15950" t="str">
            <v>磁性位置传感器</v>
          </cell>
        </row>
        <row r="15951">
          <cell r="O15951" t="str">
            <v>SC4015SO-N-A-TR</v>
          </cell>
          <cell r="P15951" t="str">
            <v>STC4011E</v>
          </cell>
          <cell r="Q15951" t="str">
            <v>磁性位置传感器</v>
          </cell>
        </row>
        <row r="15952">
          <cell r="O15952" t="str">
            <v>SC4015SO-N-A-TR</v>
          </cell>
          <cell r="P15952" t="str">
            <v>STC4011E</v>
          </cell>
          <cell r="Q15952" t="str">
            <v>磁性位置传感器</v>
          </cell>
        </row>
        <row r="15953">
          <cell r="O15953" t="str">
            <v>SC4015SO-N-A-TR</v>
          </cell>
          <cell r="P15953" t="str">
            <v>STC4011E</v>
          </cell>
          <cell r="Q15953" t="str">
            <v>磁性位置传感器</v>
          </cell>
        </row>
        <row r="15954">
          <cell r="O15954" t="str">
            <v>SC4015SO-N-A-TR</v>
          </cell>
          <cell r="P15954" t="str">
            <v>STC4011E</v>
          </cell>
          <cell r="Q15954" t="str">
            <v>磁性位置传感器</v>
          </cell>
        </row>
        <row r="15955">
          <cell r="O15955" t="str">
            <v>SC4015SO-N-A-TR</v>
          </cell>
          <cell r="P15955" t="str">
            <v>STC4011E</v>
          </cell>
          <cell r="Q15955" t="str">
            <v>磁性位置传感器</v>
          </cell>
        </row>
        <row r="15956">
          <cell r="O15956" t="str">
            <v>SC4015SO-N-A-TR</v>
          </cell>
          <cell r="P15956" t="str">
            <v>STC4011E</v>
          </cell>
          <cell r="Q15956" t="str">
            <v>磁性位置传感器</v>
          </cell>
        </row>
        <row r="15957">
          <cell r="O15957" t="str">
            <v>SC4015SO-N-A-TR</v>
          </cell>
          <cell r="P15957" t="str">
            <v>STC4011E</v>
          </cell>
          <cell r="Q15957" t="str">
            <v>磁性位置传感器</v>
          </cell>
        </row>
        <row r="15958">
          <cell r="O15958" t="str">
            <v>SC4015SO-N-A-TR</v>
          </cell>
          <cell r="P15958" t="str">
            <v>STC4011E</v>
          </cell>
          <cell r="Q15958" t="str">
            <v>磁性位置传感器</v>
          </cell>
        </row>
        <row r="15959">
          <cell r="O15959" t="str">
            <v>SC4015SO-N-A-TR</v>
          </cell>
          <cell r="P15959" t="str">
            <v>STC4011E</v>
          </cell>
          <cell r="Q15959" t="str">
            <v>磁性位置传感器</v>
          </cell>
        </row>
        <row r="15960">
          <cell r="O15960" t="str">
            <v>SC4015SO-N-A-TR</v>
          </cell>
          <cell r="P15960" t="str">
            <v>STC4011E</v>
          </cell>
          <cell r="Q15960" t="str">
            <v>磁性位置传感器</v>
          </cell>
        </row>
        <row r="15961">
          <cell r="O15961" t="str">
            <v>SC4015SO-N-A-TR</v>
          </cell>
          <cell r="P15961" t="str">
            <v>STC4011E</v>
          </cell>
          <cell r="Q15961" t="str">
            <v>磁性位置传感器</v>
          </cell>
        </row>
        <row r="15962">
          <cell r="O15962" t="str">
            <v>SC4015SO-N-A-TR</v>
          </cell>
          <cell r="P15962" t="str">
            <v>STC4011E</v>
          </cell>
          <cell r="Q15962" t="str">
            <v>磁性位置传感器</v>
          </cell>
        </row>
        <row r="15963">
          <cell r="O15963" t="str">
            <v>SC4015SO-N-A-TR</v>
          </cell>
          <cell r="P15963" t="str">
            <v>STC4011E</v>
          </cell>
          <cell r="Q15963" t="str">
            <v>磁性位置传感器</v>
          </cell>
        </row>
        <row r="15964">
          <cell r="O15964" t="str">
            <v>SC1645A1-BK</v>
          </cell>
          <cell r="P15964" t="str">
            <v>STC2899AE</v>
          </cell>
          <cell r="Q15964" t="str">
            <v>磁性位置传感器</v>
          </cell>
        </row>
        <row r="15965">
          <cell r="O15965" t="str">
            <v>SC1645A1-BK</v>
          </cell>
          <cell r="P15965" t="str">
            <v>STC2899AE</v>
          </cell>
          <cell r="Q15965" t="str">
            <v>磁性位置传感器</v>
          </cell>
        </row>
        <row r="15966">
          <cell r="O15966" t="str">
            <v>SC2402DN</v>
          </cell>
          <cell r="P15966" t="str">
            <v>STC9G002B</v>
          </cell>
          <cell r="Q15966" t="str">
            <v>磁性位置传感器</v>
          </cell>
        </row>
        <row r="15967">
          <cell r="O15967" t="str">
            <v>SC2402UA-G</v>
          </cell>
          <cell r="P15967" t="str">
            <v>STC9G002B</v>
          </cell>
          <cell r="Q15967" t="str">
            <v>磁性位置传感器</v>
          </cell>
        </row>
        <row r="15968">
          <cell r="O15968" t="str">
            <v>SC2402UA-BK</v>
          </cell>
          <cell r="P15968" t="str">
            <v>STC9G002B</v>
          </cell>
          <cell r="Q15968" t="str">
            <v>磁性位置传感器</v>
          </cell>
        </row>
        <row r="15969">
          <cell r="O15969" t="str">
            <v>SC2402UA-BK</v>
          </cell>
          <cell r="P15969" t="str">
            <v>STC9G002B</v>
          </cell>
          <cell r="Q15969" t="str">
            <v>磁性位置传感器</v>
          </cell>
        </row>
        <row r="15970">
          <cell r="O15970" t="str">
            <v>SC4001SE-TR</v>
          </cell>
          <cell r="P15970" t="str">
            <v>STC4001AB</v>
          </cell>
          <cell r="Q15970" t="str">
            <v>磁性位置传感器</v>
          </cell>
        </row>
        <row r="15971">
          <cell r="O15971" t="str">
            <v>SC4001SE-TR</v>
          </cell>
          <cell r="P15971" t="str">
            <v>STC4001AB</v>
          </cell>
          <cell r="Q15971" t="str">
            <v>磁性位置传感器</v>
          </cell>
        </row>
        <row r="15972">
          <cell r="O15972" t="str">
            <v>SC4001SE-TR</v>
          </cell>
          <cell r="P15972" t="str">
            <v>STC4001AB</v>
          </cell>
          <cell r="Q15972" t="str">
            <v>磁性位置传感器</v>
          </cell>
        </row>
        <row r="15973">
          <cell r="O15973" t="str">
            <v>SC2402SO-N-TR</v>
          </cell>
          <cell r="P15973" t="str">
            <v>STC9902J</v>
          </cell>
          <cell r="Q15973" t="str">
            <v>磁性位置传感器</v>
          </cell>
        </row>
        <row r="15974">
          <cell r="O15974" t="str">
            <v>SD2276VB-BK</v>
          </cell>
          <cell r="P15974" t="str">
            <v>FD1014A</v>
          </cell>
          <cell r="Q15974" t="str">
            <v>电机驱动</v>
          </cell>
        </row>
        <row r="15975">
          <cell r="O15975" t="str">
            <v>SD2276VB-BK</v>
          </cell>
          <cell r="P15975" t="str">
            <v>FD1014A</v>
          </cell>
          <cell r="Q15975" t="str">
            <v>电机驱动</v>
          </cell>
        </row>
        <row r="15976">
          <cell r="O15976" t="str">
            <v>SD2276VB-BK</v>
          </cell>
          <cell r="P15976" t="str">
            <v>FD1014A</v>
          </cell>
          <cell r="Q15976" t="str">
            <v>电机驱动</v>
          </cell>
        </row>
        <row r="15977">
          <cell r="O15977" t="str">
            <v>SD2276VB-BK</v>
          </cell>
          <cell r="P15977" t="str">
            <v>FD1014A</v>
          </cell>
          <cell r="Q15977" t="str">
            <v>电机驱动</v>
          </cell>
        </row>
        <row r="15978">
          <cell r="O15978" t="str">
            <v>SC2064UA</v>
          </cell>
          <cell r="P15978" t="str">
            <v>STC9G001C</v>
          </cell>
          <cell r="Q15978" t="str">
            <v>磁性位置传感器</v>
          </cell>
        </row>
        <row r="15979">
          <cell r="O15979" t="str">
            <v>SC9621VB</v>
          </cell>
          <cell r="P15979" t="str">
            <v>STC9910C</v>
          </cell>
          <cell r="Q15979" t="str">
            <v>速度传感器</v>
          </cell>
        </row>
        <row r="15980">
          <cell r="O15980" t="str">
            <v>SD2276VB-BK</v>
          </cell>
          <cell r="P15980" t="str">
            <v>FD1014A</v>
          </cell>
          <cell r="Q15980" t="str">
            <v>电机驱动</v>
          </cell>
        </row>
        <row r="15981">
          <cell r="O15981" t="str">
            <v>SD2276VB-BK</v>
          </cell>
          <cell r="P15981" t="str">
            <v>FD1014A</v>
          </cell>
          <cell r="Q15981" t="str">
            <v>电机驱动</v>
          </cell>
        </row>
        <row r="15982">
          <cell r="O15982" t="str">
            <v>SD2276VB-BK</v>
          </cell>
          <cell r="P15982" t="str">
            <v>FD1014A</v>
          </cell>
          <cell r="Q15982" t="str">
            <v>电机驱动</v>
          </cell>
        </row>
        <row r="15983">
          <cell r="O15983" t="str">
            <v>SC4001UA-BK</v>
          </cell>
          <cell r="P15983" t="str">
            <v>STC4001AB</v>
          </cell>
          <cell r="Q15983" t="str">
            <v>磁性位置传感器</v>
          </cell>
        </row>
        <row r="15984">
          <cell r="O15984" t="str">
            <v>SC9621VB</v>
          </cell>
          <cell r="P15984" t="str">
            <v>STC9910C</v>
          </cell>
          <cell r="Q15984" t="str">
            <v>速度传感器</v>
          </cell>
        </row>
        <row r="15985">
          <cell r="O15985" t="str">
            <v>SC2402SO-N-TR</v>
          </cell>
          <cell r="P15985" t="str">
            <v>STC9902J</v>
          </cell>
          <cell r="Q15985" t="str">
            <v>磁性位置传感器</v>
          </cell>
        </row>
        <row r="15986">
          <cell r="O15986" t="str">
            <v>SD2276VB-BK</v>
          </cell>
          <cell r="P15986" t="str">
            <v>FD1014A</v>
          </cell>
          <cell r="Q15986" t="str">
            <v>电机驱动</v>
          </cell>
        </row>
        <row r="15987">
          <cell r="O15987" t="str">
            <v>SD211VB-BK</v>
          </cell>
          <cell r="P15987" t="str">
            <v>FD1016A</v>
          </cell>
          <cell r="Q15987" t="str">
            <v>电机驱动</v>
          </cell>
        </row>
        <row r="15988">
          <cell r="O15988" t="str">
            <v>SC1645B1-BK</v>
          </cell>
          <cell r="P15988" t="str">
            <v>STC2899AE</v>
          </cell>
          <cell r="Q15988" t="str">
            <v>磁性位置传感器</v>
          </cell>
        </row>
        <row r="15989">
          <cell r="O15989" t="str">
            <v>SC9632VB-BK</v>
          </cell>
          <cell r="P15989" t="str">
            <v>STC9905E</v>
          </cell>
          <cell r="Q15989" t="str">
            <v>速度传感器</v>
          </cell>
        </row>
        <row r="15990">
          <cell r="O15990" t="str">
            <v>SD211VB-BK</v>
          </cell>
          <cell r="P15990" t="str">
            <v>FD1016A</v>
          </cell>
          <cell r="Q15990" t="str">
            <v>电机驱动</v>
          </cell>
        </row>
        <row r="15991">
          <cell r="O15991" t="str">
            <v>SD211VB-BK</v>
          </cell>
          <cell r="P15991" t="str">
            <v>FD1016A</v>
          </cell>
          <cell r="Q15991" t="str">
            <v>电机驱动</v>
          </cell>
        </row>
        <row r="15992">
          <cell r="O15992" t="str">
            <v>SD211VB-BK</v>
          </cell>
          <cell r="P15992" t="str">
            <v>FD1016A</v>
          </cell>
          <cell r="Q15992" t="str">
            <v>电机驱动</v>
          </cell>
        </row>
        <row r="15993">
          <cell r="O15993" t="str">
            <v>SD2276VB-BK</v>
          </cell>
          <cell r="P15993" t="str">
            <v>FD1014A</v>
          </cell>
          <cell r="Q15993" t="str">
            <v>电机驱动</v>
          </cell>
        </row>
        <row r="15994">
          <cell r="O15994" t="str">
            <v>SD2276VB-BK</v>
          </cell>
          <cell r="P15994" t="str">
            <v>FD1014A</v>
          </cell>
          <cell r="Q15994" t="str">
            <v>电机驱动</v>
          </cell>
        </row>
        <row r="15995">
          <cell r="O15995" t="str">
            <v>SC2064UA</v>
          </cell>
          <cell r="P15995" t="str">
            <v>STC9G001C</v>
          </cell>
          <cell r="Q15995" t="str">
            <v>磁性位置传感器</v>
          </cell>
        </row>
        <row r="15996">
          <cell r="O15996" t="str">
            <v>SC2402SO-N-TR</v>
          </cell>
          <cell r="P15996" t="str">
            <v>STC9902J</v>
          </cell>
          <cell r="Q15996" t="str">
            <v>磁性位置传感器</v>
          </cell>
        </row>
        <row r="15997">
          <cell r="O15997" t="str">
            <v>SC2402SO-N-TR</v>
          </cell>
          <cell r="P15997" t="str">
            <v>STC9902J</v>
          </cell>
          <cell r="Q15997" t="str">
            <v>磁性位置传感器</v>
          </cell>
        </row>
        <row r="15998">
          <cell r="O15998" t="str">
            <v>SC1645B1-BK</v>
          </cell>
          <cell r="P15998" t="str">
            <v>STC2899AE</v>
          </cell>
          <cell r="Q15998" t="str">
            <v>磁性位置传感器</v>
          </cell>
        </row>
        <row r="15999">
          <cell r="O15999" t="str">
            <v>SC9314UA-BK</v>
          </cell>
          <cell r="P15999" t="str">
            <v>STC9901AF</v>
          </cell>
          <cell r="Q15999" t="str">
            <v>速度传感器</v>
          </cell>
        </row>
        <row r="16000">
          <cell r="O16000" t="str">
            <v>SC2402SO-N-TR</v>
          </cell>
          <cell r="P16000" t="str">
            <v>STC9902J</v>
          </cell>
          <cell r="Q16000" t="str">
            <v>磁性位置传感器</v>
          </cell>
        </row>
        <row r="16001">
          <cell r="O16001" t="str">
            <v>SC2402SO-N-TR</v>
          </cell>
          <cell r="P16001" t="str">
            <v>STC9902J</v>
          </cell>
          <cell r="Q16001" t="str">
            <v>磁性位置传感器</v>
          </cell>
        </row>
        <row r="16002">
          <cell r="O16002" t="str">
            <v>SD2276VB-BK</v>
          </cell>
          <cell r="P16002" t="str">
            <v>FD1014A</v>
          </cell>
          <cell r="Q16002" t="str">
            <v>电机驱动</v>
          </cell>
        </row>
        <row r="16003">
          <cell r="O16003" t="str">
            <v>SC9314UA-BK</v>
          </cell>
          <cell r="P16003" t="str">
            <v>STC9901AF</v>
          </cell>
          <cell r="Q16003" t="str">
            <v>速度传感器</v>
          </cell>
        </row>
        <row r="16004">
          <cell r="O16004" t="str">
            <v>SC9314UA-BK</v>
          </cell>
          <cell r="P16004" t="str">
            <v>STC9901AF</v>
          </cell>
          <cell r="Q16004" t="str">
            <v>速度传感器</v>
          </cell>
        </row>
        <row r="16005">
          <cell r="O16005" t="str">
            <v>SC2063SO</v>
          </cell>
          <cell r="P16005" t="str">
            <v>STC9G001C</v>
          </cell>
          <cell r="Q16005" t="str">
            <v>磁性位置传感器</v>
          </cell>
        </row>
        <row r="16006">
          <cell r="O16006" t="str">
            <v>SD2276VB-BK</v>
          </cell>
          <cell r="P16006" t="str">
            <v>FD1014A</v>
          </cell>
          <cell r="Q16006" t="str">
            <v>电机驱动</v>
          </cell>
        </row>
        <row r="16007">
          <cell r="O16007" t="str">
            <v>SD2276VB-BK</v>
          </cell>
          <cell r="P16007" t="str">
            <v>FD1014A</v>
          </cell>
          <cell r="Q16007" t="str">
            <v>电机驱动</v>
          </cell>
        </row>
        <row r="16008">
          <cell r="O16008" t="str">
            <v>SD2276VB-BK</v>
          </cell>
          <cell r="P16008" t="str">
            <v>FD1014A</v>
          </cell>
          <cell r="Q16008" t="str">
            <v>电机驱动</v>
          </cell>
        </row>
        <row r="16009">
          <cell r="O16009" t="str">
            <v>SD2276VB-BK</v>
          </cell>
          <cell r="P16009" t="str">
            <v>FD1014A</v>
          </cell>
          <cell r="Q16009" t="str">
            <v>电机驱动</v>
          </cell>
        </row>
        <row r="16010">
          <cell r="O16010" t="str">
            <v>SD2276VB-BK</v>
          </cell>
          <cell r="P16010" t="str">
            <v>FD1014A</v>
          </cell>
          <cell r="Q16010" t="str">
            <v>电机驱动</v>
          </cell>
        </row>
        <row r="16011">
          <cell r="O16011" t="str">
            <v>SD2276VB-BK</v>
          </cell>
          <cell r="P16011" t="str">
            <v>FD1014A</v>
          </cell>
          <cell r="Q16011" t="str">
            <v>电机驱动</v>
          </cell>
        </row>
        <row r="16012">
          <cell r="O16012" t="str">
            <v>SD477VB-BK</v>
          </cell>
          <cell r="P16012" t="str">
            <v>STC22304C</v>
          </cell>
          <cell r="Q16012" t="str">
            <v>电机驱动</v>
          </cell>
        </row>
        <row r="16013">
          <cell r="O16013" t="str">
            <v>SC2455SO</v>
          </cell>
          <cell r="P16013" t="str">
            <v>STC9906K</v>
          </cell>
          <cell r="Q16013" t="str">
            <v>磁性位置传感器</v>
          </cell>
        </row>
        <row r="16014">
          <cell r="O16014" t="str">
            <v>SC9314UA-BK</v>
          </cell>
          <cell r="P16014" t="str">
            <v>STC9901AF</v>
          </cell>
          <cell r="Q16014" t="str">
            <v>速度传感器</v>
          </cell>
        </row>
        <row r="16015">
          <cell r="O16015" t="str">
            <v>SC9314UA-BK</v>
          </cell>
          <cell r="P16015" t="str">
            <v>STC9901AF</v>
          </cell>
          <cell r="Q16015" t="str">
            <v>速度传感器</v>
          </cell>
        </row>
        <row r="16016">
          <cell r="O16016" t="str">
            <v>SC1445A1</v>
          </cell>
          <cell r="P16016" t="str">
            <v>STC2899AB</v>
          </cell>
          <cell r="Q16016" t="str">
            <v>磁性位置传感器</v>
          </cell>
        </row>
        <row r="16017">
          <cell r="O16017" t="str">
            <v>SC2064SO-TR</v>
          </cell>
          <cell r="P16017" t="str">
            <v>STC9G001C</v>
          </cell>
          <cell r="Q16017" t="str">
            <v>磁性位置传感器</v>
          </cell>
        </row>
        <row r="16018">
          <cell r="O16018" t="str">
            <v>SC2064SO-TR</v>
          </cell>
          <cell r="P16018" t="str">
            <v>STC9G001C</v>
          </cell>
          <cell r="Q16018" t="str">
            <v>磁性位置传感器</v>
          </cell>
        </row>
        <row r="16019">
          <cell r="O16019" t="str">
            <v>SD477VB-BK</v>
          </cell>
          <cell r="P16019" t="str">
            <v>STC22304C</v>
          </cell>
          <cell r="Q16019" t="str">
            <v>电机驱动</v>
          </cell>
        </row>
        <row r="16020">
          <cell r="O16020" t="str">
            <v>SC1645A1-BK</v>
          </cell>
          <cell r="P16020" t="str">
            <v>STC2899AE</v>
          </cell>
          <cell r="Q16020" t="str">
            <v>磁性位置传感器</v>
          </cell>
        </row>
        <row r="16021">
          <cell r="O16021" t="str">
            <v>SC1645A1-BK</v>
          </cell>
          <cell r="P16021" t="str">
            <v>STC2899AE</v>
          </cell>
          <cell r="Q16021" t="str">
            <v>磁性位置传感器</v>
          </cell>
        </row>
        <row r="16022">
          <cell r="O16022" t="str">
            <v>SD2276VB-BK</v>
          </cell>
          <cell r="P16022" t="str">
            <v>FD1014A</v>
          </cell>
          <cell r="Q16022" t="str">
            <v>电机驱动</v>
          </cell>
        </row>
        <row r="16023">
          <cell r="O16023" t="str">
            <v>SD2276VB-BK</v>
          </cell>
          <cell r="P16023" t="str">
            <v>FD1014A</v>
          </cell>
          <cell r="Q16023" t="str">
            <v>电机驱动</v>
          </cell>
        </row>
        <row r="16024">
          <cell r="O16024" t="str">
            <v>SC9633VB</v>
          </cell>
          <cell r="P16024" t="str">
            <v>STC9905F</v>
          </cell>
          <cell r="Q16024" t="str">
            <v>速度传感器</v>
          </cell>
        </row>
        <row r="16025">
          <cell r="O16025" t="str">
            <v>SC9314UA-BK</v>
          </cell>
          <cell r="P16025" t="str">
            <v>STC9901AF</v>
          </cell>
          <cell r="Q16025" t="str">
            <v>速度传感器</v>
          </cell>
        </row>
        <row r="16026">
          <cell r="O16026" t="str">
            <v>SC2064SO-TR</v>
          </cell>
          <cell r="P16026" t="str">
            <v>STC9G001C</v>
          </cell>
          <cell r="Q16026" t="str">
            <v>磁性位置传感器</v>
          </cell>
        </row>
        <row r="16027">
          <cell r="O16027" t="str">
            <v>SC2064SO-TR</v>
          </cell>
          <cell r="P16027" t="str">
            <v>STC9G001C</v>
          </cell>
          <cell r="Q16027" t="str">
            <v>磁性位置传感器</v>
          </cell>
        </row>
        <row r="16028">
          <cell r="O16028" t="str">
            <v>SC2064SO-TR</v>
          </cell>
          <cell r="P16028" t="str">
            <v>STC9G001C</v>
          </cell>
          <cell r="Q16028" t="str">
            <v>磁性位置传感器</v>
          </cell>
        </row>
        <row r="16029">
          <cell r="O16029" t="str">
            <v>SC1134UA-BK</v>
          </cell>
          <cell r="P16029" t="str">
            <v>STC1898AI</v>
          </cell>
          <cell r="Q16029" t="str">
            <v>磁性位置传感器</v>
          </cell>
        </row>
        <row r="16030">
          <cell r="O16030" t="str">
            <v>SD477VB-BK</v>
          </cell>
          <cell r="P16030" t="str">
            <v>STC22304C</v>
          </cell>
          <cell r="Q16030" t="str">
            <v>电机驱动</v>
          </cell>
        </row>
        <row r="16031">
          <cell r="O16031" t="str">
            <v>SD2276VB-BK</v>
          </cell>
          <cell r="P16031" t="str">
            <v>FD1014A</v>
          </cell>
          <cell r="Q16031" t="str">
            <v>电机驱动</v>
          </cell>
        </row>
        <row r="16032">
          <cell r="O16032" t="str">
            <v>SD2276VB-BK</v>
          </cell>
          <cell r="P16032" t="str">
            <v>FD1014A</v>
          </cell>
          <cell r="Q16032" t="str">
            <v>电机驱动</v>
          </cell>
        </row>
        <row r="16033">
          <cell r="O16033" t="str">
            <v>SD2276VB-BK</v>
          </cell>
          <cell r="P16033" t="str">
            <v>FD1014A</v>
          </cell>
          <cell r="Q16033" t="str">
            <v>电机驱动</v>
          </cell>
        </row>
        <row r="16034">
          <cell r="O16034" t="str">
            <v>SD211VB-BK</v>
          </cell>
          <cell r="P16034" t="str">
            <v>FD1016A</v>
          </cell>
          <cell r="Q16034" t="str">
            <v>电机驱动</v>
          </cell>
        </row>
        <row r="16035">
          <cell r="O16035" t="str">
            <v>SC4011SO-N-TR</v>
          </cell>
          <cell r="P16035" t="str">
            <v>STC4011B</v>
          </cell>
          <cell r="Q16035" t="str">
            <v>磁性位置传感器</v>
          </cell>
        </row>
        <row r="16036">
          <cell r="O16036" t="str">
            <v>SC4011SO-N-TR</v>
          </cell>
          <cell r="P16036" t="str">
            <v>STC4011B</v>
          </cell>
          <cell r="Q16036" t="str">
            <v>磁性位置传感器</v>
          </cell>
        </row>
        <row r="16037">
          <cell r="O16037" t="str">
            <v>SC4011SO-N-TR</v>
          </cell>
          <cell r="P16037" t="str">
            <v>STC4011B</v>
          </cell>
          <cell r="Q16037" t="str">
            <v>磁性位置传感器</v>
          </cell>
        </row>
        <row r="16038">
          <cell r="O16038" t="str">
            <v>SC2430UA-BK</v>
          </cell>
          <cell r="P16038" t="str">
            <v>STC9906I</v>
          </cell>
          <cell r="Q16038" t="str">
            <v>磁性位置传感器</v>
          </cell>
        </row>
        <row r="16039">
          <cell r="O16039" t="str">
            <v>SD2276VB-BK</v>
          </cell>
          <cell r="P16039" t="str">
            <v>FD1014A</v>
          </cell>
          <cell r="Q16039" t="str">
            <v>电机驱动</v>
          </cell>
        </row>
        <row r="16040">
          <cell r="O16040" t="str">
            <v>SD2276VB-BK</v>
          </cell>
          <cell r="P16040" t="str">
            <v>FD1014A</v>
          </cell>
          <cell r="Q16040" t="str">
            <v>电机驱动</v>
          </cell>
        </row>
        <row r="16041">
          <cell r="O16041" t="str">
            <v>SD477VB-BK</v>
          </cell>
          <cell r="P16041" t="str">
            <v>STC22304C</v>
          </cell>
          <cell r="Q16041" t="str">
            <v>电机驱动</v>
          </cell>
        </row>
        <row r="16042">
          <cell r="O16042" t="str">
            <v>SD477VB-BK</v>
          </cell>
          <cell r="P16042" t="str">
            <v>STC22304C</v>
          </cell>
          <cell r="Q16042" t="str">
            <v>电机驱动</v>
          </cell>
        </row>
        <row r="16043">
          <cell r="O16043" t="str">
            <v>SD477VB-BK</v>
          </cell>
          <cell r="P16043" t="str">
            <v>STC22304C</v>
          </cell>
          <cell r="Q16043" t="str">
            <v>电机驱动</v>
          </cell>
        </row>
        <row r="16044">
          <cell r="O16044" t="str">
            <v>SC2442SO-N-TR-Q</v>
          </cell>
          <cell r="P16044" t="str">
            <v>STC11102B</v>
          </cell>
          <cell r="Q16044" t="str">
            <v>磁性位置传感器</v>
          </cell>
        </row>
        <row r="16045">
          <cell r="O16045" t="str">
            <v>SC2442SO-N-TR-Q</v>
          </cell>
          <cell r="P16045" t="str">
            <v>STC11102B</v>
          </cell>
          <cell r="Q16045" t="str">
            <v>磁性位置传感器</v>
          </cell>
        </row>
        <row r="16046">
          <cell r="O16046" t="str">
            <v>SD211VB-BK</v>
          </cell>
          <cell r="P16046" t="str">
            <v>FD1016A</v>
          </cell>
          <cell r="Q16046" t="str">
            <v>电机驱动</v>
          </cell>
        </row>
        <row r="16047">
          <cell r="O16047" t="str">
            <v>SD211VB-BK</v>
          </cell>
          <cell r="P16047" t="str">
            <v>FD1016A</v>
          </cell>
          <cell r="Q16047" t="str">
            <v>电机驱动</v>
          </cell>
        </row>
        <row r="16048">
          <cell r="O16048" t="str">
            <v>SD211VB-BK</v>
          </cell>
          <cell r="P16048" t="str">
            <v>FD1016A</v>
          </cell>
          <cell r="Q16048" t="str">
            <v>电机驱动</v>
          </cell>
        </row>
        <row r="16049">
          <cell r="O16049" t="str">
            <v>SD2276VB-BK</v>
          </cell>
          <cell r="P16049" t="str">
            <v>FD1014A</v>
          </cell>
          <cell r="Q16049" t="str">
            <v>电机驱动</v>
          </cell>
        </row>
        <row r="16050">
          <cell r="O16050" t="str">
            <v>SD2276VB-BK</v>
          </cell>
          <cell r="P16050" t="str">
            <v>FD1014A</v>
          </cell>
          <cell r="Q16050" t="str">
            <v>电机驱动</v>
          </cell>
        </row>
        <row r="16051">
          <cell r="O16051" t="str">
            <v>SD2276VB-BK</v>
          </cell>
          <cell r="P16051" t="str">
            <v>FD1014A</v>
          </cell>
          <cell r="Q16051" t="str">
            <v>电机驱动</v>
          </cell>
        </row>
        <row r="16052">
          <cell r="O16052" t="str">
            <v>SC2402SO-N-TR</v>
          </cell>
          <cell r="P16052" t="str">
            <v>STC9902J</v>
          </cell>
          <cell r="Q16052" t="str">
            <v>磁性位置传感器</v>
          </cell>
        </row>
        <row r="16053">
          <cell r="O16053" t="str">
            <v>SC2402SO-N-TR</v>
          </cell>
          <cell r="P16053" t="str">
            <v>STC9902J</v>
          </cell>
          <cell r="Q16053" t="str">
            <v>磁性位置传感器</v>
          </cell>
        </row>
        <row r="16054">
          <cell r="O16054" t="str">
            <v>SC2402SO-N-TR</v>
          </cell>
          <cell r="P16054" t="str">
            <v>STC9902J</v>
          </cell>
          <cell r="Q16054" t="str">
            <v>磁性位置传感器</v>
          </cell>
        </row>
        <row r="16055">
          <cell r="O16055" t="str">
            <v>SC4011SO-N-TR</v>
          </cell>
          <cell r="P16055" t="str">
            <v>STC4011B</v>
          </cell>
          <cell r="Q16055" t="str">
            <v>磁性位置传感器</v>
          </cell>
        </row>
        <row r="16056">
          <cell r="O16056" t="str">
            <v>G01</v>
          </cell>
          <cell r="P16056" t="str">
            <v>STC4011B</v>
          </cell>
          <cell r="Q16056" t="str">
            <v>磁性位置传感器</v>
          </cell>
        </row>
        <row r="16057">
          <cell r="O16057" t="str">
            <v>SC2438UA-BK</v>
          </cell>
          <cell r="P16057" t="str">
            <v>STC9906I</v>
          </cell>
          <cell r="Q16057" t="str">
            <v>磁性位置传感器</v>
          </cell>
        </row>
        <row r="16058">
          <cell r="O16058" t="str">
            <v>SC1945A1-BK</v>
          </cell>
          <cell r="P16058" t="str">
            <v>STC2899AJ</v>
          </cell>
          <cell r="Q16058" t="str">
            <v>磁性位置传感器</v>
          </cell>
        </row>
        <row r="16059">
          <cell r="O16059" t="str">
            <v>SC2402SO-N-TR</v>
          </cell>
          <cell r="P16059" t="str">
            <v>STC9902J</v>
          </cell>
          <cell r="Q16059" t="str">
            <v>磁性位置传感器</v>
          </cell>
        </row>
        <row r="16060">
          <cell r="O16060" t="str">
            <v>SC2402SO-N-TR</v>
          </cell>
          <cell r="P16060" t="str">
            <v>STC9902J</v>
          </cell>
          <cell r="Q16060" t="str">
            <v>磁性位置传感器</v>
          </cell>
        </row>
        <row r="16061">
          <cell r="O16061" t="str">
            <v>SC2402SO-N-TR</v>
          </cell>
          <cell r="P16061" t="str">
            <v>STC9902J</v>
          </cell>
          <cell r="Q16061" t="str">
            <v>磁性位置传感器</v>
          </cell>
        </row>
        <row r="16062">
          <cell r="O16062" t="str">
            <v>SC2402SO-N-TR</v>
          </cell>
          <cell r="P16062" t="str">
            <v>STC9902J</v>
          </cell>
          <cell r="Q16062" t="str">
            <v>磁性位置传感器</v>
          </cell>
        </row>
        <row r="16063">
          <cell r="O16063" t="str">
            <v>SC69401DC-SPI-TR-Q</v>
          </cell>
          <cell r="P16063" t="str">
            <v>STC9H002DQ</v>
          </cell>
          <cell r="Q16063" t="str">
            <v>角度传感器</v>
          </cell>
        </row>
        <row r="16064">
          <cell r="O16064" t="str">
            <v>SC2432SO-TR-Q</v>
          </cell>
          <cell r="P16064" t="str">
            <v>STC9906M</v>
          </cell>
          <cell r="Q16064" t="str">
            <v>磁性位置传感器</v>
          </cell>
        </row>
        <row r="16065">
          <cell r="O16065" t="str">
            <v>SC4624SP20B5</v>
          </cell>
          <cell r="P16065" t="str">
            <v>STC9D06F</v>
          </cell>
          <cell r="Q16065" t="str">
            <v>电流传感器</v>
          </cell>
        </row>
        <row r="16066">
          <cell r="O16066" t="str">
            <v>SC2432SO-N</v>
          </cell>
          <cell r="P16066" t="str">
            <v>STC9906I</v>
          </cell>
          <cell r="Q16066" t="str">
            <v>磁性位置传感器</v>
          </cell>
        </row>
        <row r="16067">
          <cell r="O16067" t="str">
            <v>SC9641TS-P-TR</v>
          </cell>
          <cell r="P16067" t="str">
            <v>STC9A001I</v>
          </cell>
          <cell r="Q16067" t="str">
            <v>速度传感器</v>
          </cell>
        </row>
        <row r="16068">
          <cell r="O16068" t="str">
            <v>SC9641TS-P-TR</v>
          </cell>
          <cell r="P16068" t="str">
            <v>STC9A001I</v>
          </cell>
          <cell r="Q16068" t="str">
            <v>速度传感器</v>
          </cell>
        </row>
        <row r="16069">
          <cell r="O16069" t="str">
            <v>SC9641TS-P-TR</v>
          </cell>
          <cell r="P16069" t="str">
            <v>STC9A001I</v>
          </cell>
          <cell r="Q16069" t="str">
            <v>速度传感器</v>
          </cell>
        </row>
        <row r="16070">
          <cell r="O16070" t="str">
            <v>SC9641TS-P-TR</v>
          </cell>
          <cell r="P16070" t="str">
            <v>STC9A001I</v>
          </cell>
          <cell r="Q16070" t="str">
            <v>速度传感器</v>
          </cell>
        </row>
        <row r="16071">
          <cell r="O16071" t="str">
            <v>SC9641TS-P-TR</v>
          </cell>
          <cell r="P16071" t="str">
            <v>STC9A001I</v>
          </cell>
          <cell r="Q16071" t="str">
            <v>速度传感器</v>
          </cell>
        </row>
        <row r="16072">
          <cell r="O16072" t="str">
            <v>SC9641TS-P-TR</v>
          </cell>
          <cell r="P16072" t="str">
            <v>STC9A001I</v>
          </cell>
          <cell r="Q16072" t="str">
            <v>速度传感器</v>
          </cell>
        </row>
        <row r="16073">
          <cell r="O16073" t="str">
            <v>SC9625VB-BK</v>
          </cell>
          <cell r="P16073" t="str">
            <v>STC9910E</v>
          </cell>
          <cell r="Q16073" t="str">
            <v>速度传感器</v>
          </cell>
        </row>
        <row r="16074">
          <cell r="O16074" t="str">
            <v>SC9642TS-EC-TR-Q</v>
          </cell>
          <cell r="P16074" t="str">
            <v>STC9A001H</v>
          </cell>
          <cell r="Q16074" t="str">
            <v>速度传感器</v>
          </cell>
        </row>
        <row r="16075">
          <cell r="O16075" t="str">
            <v>SC9625VB-BK</v>
          </cell>
          <cell r="P16075" t="str">
            <v>STC9910E</v>
          </cell>
          <cell r="Q16075" t="str">
            <v>速度传感器</v>
          </cell>
        </row>
        <row r="16076">
          <cell r="O16076" t="str">
            <v>SC2442SO-N-TR</v>
          </cell>
          <cell r="P16076" t="str">
            <v>STC9906P</v>
          </cell>
          <cell r="Q16076" t="str">
            <v>磁性位置传感器</v>
          </cell>
        </row>
        <row r="16077">
          <cell r="O16077" t="str">
            <v>SC2442SO-N-TR</v>
          </cell>
          <cell r="P16077" t="str">
            <v>STC9906P</v>
          </cell>
          <cell r="Q16077" t="str">
            <v>磁性位置传感器</v>
          </cell>
        </row>
        <row r="16078">
          <cell r="O16078" t="str">
            <v>SC2442SO-N-TR</v>
          </cell>
          <cell r="P16078" t="str">
            <v>STC9906P</v>
          </cell>
          <cell r="Q16078" t="str">
            <v>磁性位置传感器</v>
          </cell>
        </row>
        <row r="16079">
          <cell r="O16079" t="str">
            <v>SC9625VB-BK</v>
          </cell>
          <cell r="P16079" t="str">
            <v>STC9910E</v>
          </cell>
          <cell r="Q16079" t="str">
            <v>速度传感器</v>
          </cell>
        </row>
        <row r="16080">
          <cell r="O16080" t="str">
            <v>SC2442SO-N-TR</v>
          </cell>
          <cell r="P16080" t="str">
            <v>STC9906P</v>
          </cell>
          <cell r="Q16080" t="str">
            <v>磁性位置传感器</v>
          </cell>
        </row>
        <row r="16081">
          <cell r="O16081" t="str">
            <v>SC9625VB-BK</v>
          </cell>
          <cell r="P16081" t="str">
            <v>STC9910E</v>
          </cell>
          <cell r="Q16081" t="str">
            <v>速度传感器</v>
          </cell>
        </row>
        <row r="16082">
          <cell r="O16082" t="str">
            <v>SC9625VB-BK</v>
          </cell>
          <cell r="P16082" t="str">
            <v>STC9910E</v>
          </cell>
          <cell r="Q16082" t="str">
            <v>速度传感器</v>
          </cell>
        </row>
        <row r="16083">
          <cell r="O16083" t="str">
            <v>SC9625VB-BK</v>
          </cell>
          <cell r="P16083" t="str">
            <v>STC9910E</v>
          </cell>
          <cell r="Q16083" t="str">
            <v>速度传感器</v>
          </cell>
        </row>
        <row r="16084">
          <cell r="O16084" t="str">
            <v>SC9314UA-BK</v>
          </cell>
          <cell r="P16084" t="str">
            <v>STC9901AF</v>
          </cell>
          <cell r="Q16084" t="str">
            <v>速度传感器</v>
          </cell>
        </row>
        <row r="16085">
          <cell r="O16085" t="str">
            <v>SC9625VB-BK</v>
          </cell>
          <cell r="P16085" t="str">
            <v>STC9910E</v>
          </cell>
          <cell r="Q16085" t="str">
            <v>速度传感器</v>
          </cell>
        </row>
        <row r="16086">
          <cell r="O16086" t="str">
            <v>SC2402SO-N-TR</v>
          </cell>
          <cell r="P16086" t="str">
            <v>STC9G002A</v>
          </cell>
          <cell r="Q16086" t="str">
            <v>磁性位置传感器</v>
          </cell>
        </row>
        <row r="16087">
          <cell r="O16087" t="str">
            <v>SC2402SO-N-TR</v>
          </cell>
          <cell r="P16087" t="str">
            <v>STC9G002A</v>
          </cell>
          <cell r="Q16087" t="str">
            <v>磁性位置传感器</v>
          </cell>
        </row>
        <row r="16088">
          <cell r="O16088" t="str">
            <v>SC2402SO-N-TR</v>
          </cell>
          <cell r="P16088" t="str">
            <v>STC9G002A</v>
          </cell>
          <cell r="Q16088" t="str">
            <v>磁性位置传感器</v>
          </cell>
        </row>
        <row r="16089">
          <cell r="O16089" t="str">
            <v>SC9642TS-E</v>
          </cell>
          <cell r="P16089" t="str">
            <v>STC9A001H</v>
          </cell>
          <cell r="Q16089" t="str">
            <v>速度传感器</v>
          </cell>
        </row>
        <row r="16090">
          <cell r="O16090" t="str">
            <v>SC2402SO-N-TR</v>
          </cell>
          <cell r="P16090" t="str">
            <v>STC9G002A</v>
          </cell>
          <cell r="Q16090" t="str">
            <v>磁性位置传感器</v>
          </cell>
        </row>
        <row r="16091">
          <cell r="O16091" t="str">
            <v>SC2402SO-N-TR</v>
          </cell>
          <cell r="P16091" t="str">
            <v>STC9G002A</v>
          </cell>
          <cell r="Q16091" t="str">
            <v>磁性位置传感器</v>
          </cell>
        </row>
        <row r="16092">
          <cell r="O16092" t="str">
            <v>SC9625VB-BK</v>
          </cell>
          <cell r="P16092" t="str">
            <v>STC9910E</v>
          </cell>
          <cell r="Q16092" t="str">
            <v>速度传感器</v>
          </cell>
        </row>
        <row r="16093">
          <cell r="O16093" t="str">
            <v>SC9625VB-BK</v>
          </cell>
          <cell r="P16093" t="str">
            <v>STC9910E</v>
          </cell>
          <cell r="Q16093" t="str">
            <v>速度传感器</v>
          </cell>
        </row>
        <row r="16094">
          <cell r="O16094" t="str">
            <v>SC2442SO-N-TR-Q</v>
          </cell>
          <cell r="P16094" t="str">
            <v>STC9906P</v>
          </cell>
          <cell r="Q16094" t="str">
            <v>磁性位置传感器</v>
          </cell>
        </row>
        <row r="16095">
          <cell r="O16095" t="str">
            <v>SC2442SO-N-TR-Q</v>
          </cell>
          <cell r="P16095" t="str">
            <v>STC9906P</v>
          </cell>
          <cell r="Q16095" t="str">
            <v>磁性位置传感器</v>
          </cell>
        </row>
        <row r="16096">
          <cell r="O16096" t="str">
            <v>SC2442SO-TR-Q</v>
          </cell>
          <cell r="P16096" t="str">
            <v>STC11102B</v>
          </cell>
          <cell r="Q16096" t="str">
            <v>磁性位置传感器</v>
          </cell>
        </row>
        <row r="16097">
          <cell r="O16097" t="str">
            <v>SC2442SO-TR-Q</v>
          </cell>
          <cell r="P16097" t="str">
            <v>STC11102B</v>
          </cell>
          <cell r="Q16097" t="str">
            <v>磁性位置传感器</v>
          </cell>
        </row>
        <row r="16098">
          <cell r="O16098" t="str">
            <v>SC2442SO-TR-Q</v>
          </cell>
          <cell r="P16098" t="str">
            <v>STC11102B</v>
          </cell>
          <cell r="Q16098" t="str">
            <v>磁性位置传感器</v>
          </cell>
        </row>
        <row r="16099">
          <cell r="O16099" t="str">
            <v>SC2442SO-N-TR-Q</v>
          </cell>
          <cell r="P16099" t="str">
            <v>STC11102B</v>
          </cell>
          <cell r="Q16099" t="str">
            <v>磁性位置传感器</v>
          </cell>
        </row>
        <row r="16100">
          <cell r="O16100" t="str">
            <v>SC2442SO-N-TR-Q</v>
          </cell>
          <cell r="P16100" t="str">
            <v>STC11102B</v>
          </cell>
          <cell r="Q16100" t="str">
            <v>磁性位置传感器</v>
          </cell>
        </row>
        <row r="16101">
          <cell r="O16101" t="str">
            <v>SC2442SO-N-TR-Q</v>
          </cell>
          <cell r="P16101" t="str">
            <v>STC11102B</v>
          </cell>
          <cell r="Q16101" t="str">
            <v>磁性位置传感器</v>
          </cell>
        </row>
        <row r="16102">
          <cell r="O16102" t="str">
            <v>SC1445B2</v>
          </cell>
          <cell r="P16102" t="str">
            <v>STC2899AB</v>
          </cell>
          <cell r="Q16102" t="str">
            <v>磁性位置传感器</v>
          </cell>
        </row>
        <row r="16103">
          <cell r="O16103" t="str">
            <v>SC1445B2</v>
          </cell>
          <cell r="P16103" t="str">
            <v>STC2899AB</v>
          </cell>
          <cell r="Q16103" t="str">
            <v>磁性位置传感器</v>
          </cell>
        </row>
        <row r="16104">
          <cell r="O16104" t="str">
            <v>SC2462SO-TR-Q</v>
          </cell>
          <cell r="P16104" t="str">
            <v>STC9906J</v>
          </cell>
          <cell r="Q16104" t="str">
            <v>磁性位置传感器</v>
          </cell>
        </row>
        <row r="16105">
          <cell r="O16105" t="str">
            <v>SC60221-U-256-976</v>
          </cell>
          <cell r="P16105" t="str">
            <v>STC9D04C</v>
          </cell>
          <cell r="Q16105" t="str">
            <v>电机编码器</v>
          </cell>
        </row>
        <row r="16106">
          <cell r="O16106" t="str">
            <v>SC60221-U-P1-256-244-mai</v>
          </cell>
          <cell r="P16106" t="str">
            <v>STC9D04C</v>
          </cell>
          <cell r="Q16106" t="str">
            <v>电机编码器</v>
          </cell>
        </row>
        <row r="16107">
          <cell r="O16107" t="str">
            <v>SC60224-D-1024</v>
          </cell>
          <cell r="P16107" t="str">
            <v>STC9D04C</v>
          </cell>
          <cell r="Q16107" t="str">
            <v>电机编码器</v>
          </cell>
        </row>
        <row r="16108">
          <cell r="O16108" t="str">
            <v>SC9314UA-BK</v>
          </cell>
          <cell r="P16108" t="str">
            <v>STC9901AF</v>
          </cell>
          <cell r="Q16108" t="str">
            <v>速度传感器</v>
          </cell>
        </row>
        <row r="16109">
          <cell r="O16109" t="str">
            <v>SC9314UA-BK</v>
          </cell>
          <cell r="P16109" t="str">
            <v>STC9901AF</v>
          </cell>
          <cell r="Q16109" t="str">
            <v>速度传感器</v>
          </cell>
        </row>
        <row r="16110">
          <cell r="O16110" t="str">
            <v>SC4688DC-TR-Q</v>
          </cell>
          <cell r="P16110" t="str">
            <v>STC9D01C</v>
          </cell>
          <cell r="Q16110" t="str">
            <v>角度传感器</v>
          </cell>
        </row>
        <row r="16111">
          <cell r="O16111" t="str">
            <v>SC60370</v>
          </cell>
          <cell r="P16111" t="str">
            <v>STC9D05C</v>
          </cell>
          <cell r="Q16111" t="str">
            <v>电机编码器</v>
          </cell>
        </row>
        <row r="16112">
          <cell r="O16112" t="str">
            <v>通用编程器2.0</v>
          </cell>
          <cell r="P16112" t="str">
            <v xml:space="preserve"> </v>
          </cell>
          <cell r="Q16112" t="str">
            <v>速度传感器</v>
          </cell>
        </row>
        <row r="16113">
          <cell r="O16113" t="str">
            <v>SC4688SA</v>
          </cell>
          <cell r="P16113" t="str">
            <v>STC9D01C</v>
          </cell>
          <cell r="Q16113" t="str">
            <v>角度传感器</v>
          </cell>
        </row>
        <row r="16114">
          <cell r="O16114" t="str">
            <v>通用编程器2.0</v>
          </cell>
          <cell r="P16114" t="str">
            <v xml:space="preserve"> </v>
          </cell>
          <cell r="Q16114" t="str">
            <v>速度传感器</v>
          </cell>
        </row>
        <row r="16115">
          <cell r="O16115" t="str">
            <v>SC9621VB</v>
          </cell>
          <cell r="P16115" t="str">
            <v>STC9910C</v>
          </cell>
          <cell r="Q16115" t="str">
            <v>速度传感器</v>
          </cell>
        </row>
        <row r="16116">
          <cell r="O16116" t="str">
            <v>SC4624SP50B5</v>
          </cell>
          <cell r="P16116" t="str">
            <v>STC9D06F</v>
          </cell>
          <cell r="Q16116" t="str">
            <v>电流传感器</v>
          </cell>
        </row>
        <row r="16117">
          <cell r="O16117" t="str">
            <v>SC60340</v>
          </cell>
          <cell r="P16117" t="str">
            <v>STC9D05C</v>
          </cell>
          <cell r="Q16117" t="str">
            <v>电机编码器</v>
          </cell>
        </row>
        <row r="16118">
          <cell r="O16118" t="str">
            <v>SC60228DC-TR</v>
          </cell>
          <cell r="P16118" t="str">
            <v>STC9D04C</v>
          </cell>
          <cell r="Q16118" t="str">
            <v>电机编码器</v>
          </cell>
        </row>
        <row r="16119">
          <cell r="O16119" t="str">
            <v>SC60220SS-TB</v>
          </cell>
          <cell r="P16119" t="str">
            <v>STC9D04C</v>
          </cell>
          <cell r="Q16119" t="str">
            <v>电机编码器</v>
          </cell>
        </row>
        <row r="16120">
          <cell r="O16120" t="str">
            <v>SC60220SS-TB</v>
          </cell>
          <cell r="P16120" t="str">
            <v>STC9D04C</v>
          </cell>
          <cell r="Q16120" t="str">
            <v>电机编码器</v>
          </cell>
        </row>
        <row r="16121">
          <cell r="O16121" t="str">
            <v>SC60224-D-1024</v>
          </cell>
          <cell r="P16121" t="str">
            <v>STC9D04C</v>
          </cell>
          <cell r="Q16121" t="str">
            <v>电机编码器</v>
          </cell>
        </row>
        <row r="16122">
          <cell r="O16122" t="str">
            <v>SC60224-D-1024</v>
          </cell>
          <cell r="P16122" t="str">
            <v>STC9D04C</v>
          </cell>
          <cell r="Q16122" t="str">
            <v>电机编码器</v>
          </cell>
        </row>
        <row r="16123">
          <cell r="O16123" t="str">
            <v>SC60224-D-1024</v>
          </cell>
          <cell r="P16123" t="str">
            <v>STC9D04C</v>
          </cell>
          <cell r="Q16123" t="str">
            <v>电机编码器</v>
          </cell>
        </row>
        <row r="16124">
          <cell r="O16124" t="str">
            <v>SC60224-D-1000</v>
          </cell>
          <cell r="P16124" t="str">
            <v>STC9D04C</v>
          </cell>
          <cell r="Q16124" t="str">
            <v>电机编码器</v>
          </cell>
        </row>
        <row r="16125">
          <cell r="O16125" t="str">
            <v>SC69401D</v>
          </cell>
          <cell r="P16125" t="str">
            <v>STC9H002D</v>
          </cell>
          <cell r="Q16125" t="str">
            <v>角度传感器</v>
          </cell>
        </row>
        <row r="16126">
          <cell r="O16126" t="str">
            <v>SC2462SO-TR-Q</v>
          </cell>
          <cell r="P16126" t="str">
            <v>STC9906J</v>
          </cell>
          <cell r="Q16126" t="str">
            <v>磁性位置传感器</v>
          </cell>
        </row>
        <row r="16127">
          <cell r="O16127" t="str">
            <v>SC2443SO-TR-Q</v>
          </cell>
          <cell r="P16127" t="str">
            <v>STC9906T</v>
          </cell>
          <cell r="Q16127" t="str">
            <v>磁性位置传感器</v>
          </cell>
        </row>
        <row r="16128">
          <cell r="O16128" t="str">
            <v>SC2443SO-TR-Q</v>
          </cell>
          <cell r="P16128" t="str">
            <v>STC9906T</v>
          </cell>
          <cell r="Q16128" t="str">
            <v>磁性位置传感器</v>
          </cell>
        </row>
        <row r="16129">
          <cell r="O16129" t="str">
            <v>SC60221-D-400</v>
          </cell>
          <cell r="P16129" t="str">
            <v>STC9D04C</v>
          </cell>
          <cell r="Q16129" t="str">
            <v>电机编码器</v>
          </cell>
        </row>
        <row r="16130">
          <cell r="O16130" t="str">
            <v>SC60221-D-400</v>
          </cell>
          <cell r="P16130" t="str">
            <v>STC9D04C</v>
          </cell>
          <cell r="Q16130" t="str">
            <v>电机编码器</v>
          </cell>
        </row>
        <row r="16131">
          <cell r="O16131" t="str">
            <v>SC60104</v>
          </cell>
          <cell r="P16131" t="str">
            <v>STC9D02C</v>
          </cell>
          <cell r="Q16131" t="str">
            <v>电机编码器</v>
          </cell>
        </row>
        <row r="16132">
          <cell r="O16132" t="str">
            <v>通用编程器2.0</v>
          </cell>
          <cell r="P16132" t="str">
            <v xml:space="preserve"> </v>
          </cell>
          <cell r="Q16132" t="str">
            <v>速度传感器</v>
          </cell>
        </row>
        <row r="16133">
          <cell r="O16133" t="str">
            <v>通用编程器2.0</v>
          </cell>
          <cell r="P16133" t="str">
            <v xml:space="preserve"> </v>
          </cell>
          <cell r="Q16133" t="str">
            <v>速度传感器</v>
          </cell>
        </row>
        <row r="16134">
          <cell r="O16134" t="str">
            <v>SC1245A3-BK</v>
          </cell>
          <cell r="P16134" t="str">
            <v>STC1898AD</v>
          </cell>
          <cell r="Q16134" t="str">
            <v>磁性位置传感器</v>
          </cell>
        </row>
        <row r="16135">
          <cell r="O16135" t="str">
            <v>SC1245A3-BK</v>
          </cell>
          <cell r="P16135" t="str">
            <v>STC1898AD</v>
          </cell>
          <cell r="Q16135" t="str">
            <v>磁性位置传感器</v>
          </cell>
        </row>
        <row r="16136">
          <cell r="O16136" t="str">
            <v>SC1245A3-BK</v>
          </cell>
          <cell r="P16136" t="str">
            <v>STC1898AD</v>
          </cell>
          <cell r="Q16136" t="str">
            <v>磁性位置传感器</v>
          </cell>
        </row>
        <row r="16137">
          <cell r="O16137" t="str">
            <v>SC1245A3-BK</v>
          </cell>
          <cell r="P16137" t="str">
            <v>STC1898AD</v>
          </cell>
          <cell r="Q16137" t="str">
            <v>磁性位置传感器</v>
          </cell>
        </row>
        <row r="16138">
          <cell r="O16138" t="str">
            <v>SC1245UA</v>
          </cell>
          <cell r="P16138" t="str">
            <v>STC1898AD</v>
          </cell>
          <cell r="Q16138" t="str">
            <v>磁性位置传感器</v>
          </cell>
        </row>
        <row r="16139">
          <cell r="O16139" t="str">
            <v>SC1245UA</v>
          </cell>
          <cell r="P16139" t="str">
            <v>STC1898AD</v>
          </cell>
          <cell r="Q16139" t="str">
            <v>磁性位置传感器</v>
          </cell>
        </row>
        <row r="16140">
          <cell r="O16140" t="str">
            <v>SC1245UA</v>
          </cell>
          <cell r="P16140" t="str">
            <v>STC1898AD</v>
          </cell>
          <cell r="Q16140" t="str">
            <v>磁性位置传感器</v>
          </cell>
        </row>
        <row r="16141">
          <cell r="O16141" t="str">
            <v>SC1245UA</v>
          </cell>
          <cell r="P16141" t="str">
            <v>STC1898AD</v>
          </cell>
          <cell r="Q16141" t="str">
            <v>磁性位置传感器</v>
          </cell>
        </row>
        <row r="16142">
          <cell r="O16142" t="str">
            <v>SC1245UA</v>
          </cell>
          <cell r="P16142" t="str">
            <v>STC1898AD</v>
          </cell>
          <cell r="Q16142" t="str">
            <v>磁性位置传感器</v>
          </cell>
        </row>
        <row r="16143">
          <cell r="O16143" t="str">
            <v>SC9641TS-PC-TR-Q</v>
          </cell>
          <cell r="P16143" t="str">
            <v>STC9A001I</v>
          </cell>
          <cell r="Q16143" t="str">
            <v>速度传感器</v>
          </cell>
        </row>
        <row r="16144">
          <cell r="O16144" t="str">
            <v>SC9641TS-PC-TR-Q</v>
          </cell>
          <cell r="P16144" t="str">
            <v>STC9A001I</v>
          </cell>
          <cell r="Q16144" t="str">
            <v>速度传感器</v>
          </cell>
        </row>
        <row r="16145">
          <cell r="O16145" t="str">
            <v>SC9641TS-PC-TR-Q</v>
          </cell>
          <cell r="P16145" t="str">
            <v>STC9A001I</v>
          </cell>
          <cell r="Q16145" t="str">
            <v>速度传感器</v>
          </cell>
        </row>
        <row r="16146">
          <cell r="O16146" t="str">
            <v>SC9641TS-PC-TR-Q</v>
          </cell>
          <cell r="P16146" t="str">
            <v>STC9A001I</v>
          </cell>
          <cell r="Q16146" t="str">
            <v>速度传感器</v>
          </cell>
        </row>
        <row r="16147">
          <cell r="O16147" t="str">
            <v>SC9641TS-PC-TR-Q</v>
          </cell>
          <cell r="P16147" t="str">
            <v>STC9A001I</v>
          </cell>
          <cell r="Q16147" t="str">
            <v>速度传感器</v>
          </cell>
        </row>
        <row r="16148">
          <cell r="O16148" t="str">
            <v>SC9641TS-PC-TR-Q</v>
          </cell>
          <cell r="P16148" t="str">
            <v>STC9A001I</v>
          </cell>
          <cell r="Q16148" t="str">
            <v>速度传感器</v>
          </cell>
        </row>
        <row r="16149">
          <cell r="O16149" t="str">
            <v>SC9641TS-PC-TR-Q</v>
          </cell>
          <cell r="P16149" t="str">
            <v>STC9A001I</v>
          </cell>
          <cell r="Q16149" t="str">
            <v>速度传感器</v>
          </cell>
        </row>
        <row r="16150">
          <cell r="O16150" t="str">
            <v>SC9641TS-PC-TR-Q</v>
          </cell>
          <cell r="P16150" t="str">
            <v>STC9A001I</v>
          </cell>
          <cell r="Q16150" t="str">
            <v>速度传感器</v>
          </cell>
        </row>
        <row r="16151">
          <cell r="O16151" t="str">
            <v>SC9641TS-PC-TR-Q</v>
          </cell>
          <cell r="P16151" t="str">
            <v>STC9A001I</v>
          </cell>
          <cell r="Q16151" t="str">
            <v>速度传感器</v>
          </cell>
        </row>
        <row r="16152">
          <cell r="O16152" t="str">
            <v>SC9641TS-PC-TR-Q</v>
          </cell>
          <cell r="P16152" t="str">
            <v>STC9A001I</v>
          </cell>
          <cell r="Q16152" t="str">
            <v>速度传感器</v>
          </cell>
        </row>
        <row r="16153">
          <cell r="O16153" t="str">
            <v>SC9641TS-PC-TR-Q</v>
          </cell>
          <cell r="P16153" t="str">
            <v>STC9A001I</v>
          </cell>
          <cell r="Q16153" t="str">
            <v>速度传感器</v>
          </cell>
        </row>
        <row r="16154">
          <cell r="O16154" t="str">
            <v>SC9641TS-PC-TR-Q</v>
          </cell>
          <cell r="P16154" t="str">
            <v>STC9A001I</v>
          </cell>
          <cell r="Q16154" t="str">
            <v>速度传感器</v>
          </cell>
        </row>
        <row r="16155">
          <cell r="O16155" t="str">
            <v>SC9641TS-PC-TR-Q</v>
          </cell>
          <cell r="P16155" t="str">
            <v>STC9A001I</v>
          </cell>
          <cell r="Q16155" t="str">
            <v>速度传感器</v>
          </cell>
        </row>
        <row r="16156">
          <cell r="O16156" t="str">
            <v>SC9641TS-PC-TR-Q</v>
          </cell>
          <cell r="P16156" t="str">
            <v>STC9A001I</v>
          </cell>
          <cell r="Q16156" t="str">
            <v>速度传感器</v>
          </cell>
        </row>
        <row r="16157">
          <cell r="O16157" t="str">
            <v>SC9641TS-PC-TR-Q</v>
          </cell>
          <cell r="P16157" t="str">
            <v>STC9A001I</v>
          </cell>
          <cell r="Q16157" t="str">
            <v>速度传感器</v>
          </cell>
        </row>
        <row r="16158">
          <cell r="O16158" t="str">
            <v>SC9641TS-PC-TR-Q</v>
          </cell>
          <cell r="P16158" t="str">
            <v>STC9A001I</v>
          </cell>
          <cell r="Q16158" t="str">
            <v>速度传感器</v>
          </cell>
        </row>
        <row r="16159">
          <cell r="O16159" t="str">
            <v>SC9641TS-PC-TR-Q</v>
          </cell>
          <cell r="P16159" t="str">
            <v>STC9A001I</v>
          </cell>
          <cell r="Q16159" t="str">
            <v>速度传感器</v>
          </cell>
        </row>
        <row r="16160">
          <cell r="O16160" t="str">
            <v>SC9641TS-PC-TR-Q</v>
          </cell>
          <cell r="P16160" t="str">
            <v>STC9A001I</v>
          </cell>
          <cell r="Q16160" t="str">
            <v>速度传感器</v>
          </cell>
        </row>
        <row r="16161">
          <cell r="O16161" t="str">
            <v>SC9641TS-PC-TR-Q</v>
          </cell>
          <cell r="P16161" t="str">
            <v>STC9A001I</v>
          </cell>
          <cell r="Q16161" t="str">
            <v>速度传感器</v>
          </cell>
        </row>
        <row r="16162">
          <cell r="O16162" t="str">
            <v>SC9641TS-PC-TR-Q</v>
          </cell>
          <cell r="P16162" t="str">
            <v>STC9A001I</v>
          </cell>
          <cell r="Q16162" t="str">
            <v>速度传感器</v>
          </cell>
        </row>
        <row r="16163">
          <cell r="O16163" t="str">
            <v>SC9641TS-PC-TR-Q</v>
          </cell>
          <cell r="P16163" t="str">
            <v>STC9A001I</v>
          </cell>
          <cell r="Q16163" t="str">
            <v>速度传感器</v>
          </cell>
        </row>
        <row r="16164">
          <cell r="O16164" t="str">
            <v>SC9641TS-PC-TR-Q</v>
          </cell>
          <cell r="P16164" t="str">
            <v>STC9A001I</v>
          </cell>
          <cell r="Q16164" t="str">
            <v>速度传感器</v>
          </cell>
        </row>
        <row r="16165">
          <cell r="O16165" t="str">
            <v>SC9641TS-PC-TR-Q</v>
          </cell>
          <cell r="P16165" t="str">
            <v>STC9A001I</v>
          </cell>
          <cell r="Q16165" t="str">
            <v>速度传感器</v>
          </cell>
        </row>
        <row r="16166">
          <cell r="O16166" t="str">
            <v>SC9641TS-PC-TR-Q</v>
          </cell>
          <cell r="P16166" t="str">
            <v>STC9A001I</v>
          </cell>
          <cell r="Q16166" t="str">
            <v>速度传感器</v>
          </cell>
        </row>
        <row r="16167">
          <cell r="O16167" t="str">
            <v>SC9641TS-PC-TR-Q</v>
          </cell>
          <cell r="P16167" t="str">
            <v>STC9A001I</v>
          </cell>
          <cell r="Q16167" t="str">
            <v>速度传感器</v>
          </cell>
        </row>
        <row r="16168">
          <cell r="O16168" t="str">
            <v>SC9641TS-PC-TR-Q</v>
          </cell>
          <cell r="P16168" t="str">
            <v>STC9A001I</v>
          </cell>
          <cell r="Q16168" t="str">
            <v>速度传感器</v>
          </cell>
        </row>
        <row r="16169">
          <cell r="O16169" t="str">
            <v>SC9641TS-PC-TR-Q</v>
          </cell>
          <cell r="P16169" t="str">
            <v>STC9A001I</v>
          </cell>
          <cell r="Q16169" t="str">
            <v>速度传感器</v>
          </cell>
        </row>
        <row r="16170">
          <cell r="O16170" t="str">
            <v>SC9641TS-PC-TR-Q</v>
          </cell>
          <cell r="P16170" t="str">
            <v>STC9A001I</v>
          </cell>
          <cell r="Q16170" t="str">
            <v>速度传感器</v>
          </cell>
        </row>
        <row r="16171">
          <cell r="O16171" t="str">
            <v>SC4643VB-BK-Q</v>
          </cell>
          <cell r="P16171" t="str">
            <v>STC9D03E</v>
          </cell>
          <cell r="Q16171" t="str">
            <v>电流传感器</v>
          </cell>
        </row>
        <row r="16172">
          <cell r="O16172" t="str">
            <v>SC2442SO-TR-Q</v>
          </cell>
          <cell r="P16172" t="str">
            <v>STC11102B</v>
          </cell>
          <cell r="Q16172" t="str">
            <v>磁性位置传感器</v>
          </cell>
        </row>
        <row r="16173">
          <cell r="O16173" t="str">
            <v>SC4643VB-BK-Q</v>
          </cell>
          <cell r="P16173" t="str">
            <v>STC9D03E</v>
          </cell>
          <cell r="Q16173" t="str">
            <v>电流传感器</v>
          </cell>
        </row>
        <row r="16174">
          <cell r="O16174" t="str">
            <v>SC4643VB-BK-Q</v>
          </cell>
          <cell r="P16174" t="str">
            <v>STC9D03E</v>
          </cell>
          <cell r="Q16174" t="str">
            <v>电流传感器</v>
          </cell>
        </row>
        <row r="16175">
          <cell r="O16175" t="str">
            <v>SC9641TS-TR-Q</v>
          </cell>
          <cell r="P16175" t="str">
            <v>STC9910BN</v>
          </cell>
          <cell r="Q16175" t="str">
            <v>速度传感器</v>
          </cell>
        </row>
        <row r="16176">
          <cell r="O16176" t="str">
            <v>SC9641TS-TR-Q</v>
          </cell>
          <cell r="P16176" t="str">
            <v>STC9910BN</v>
          </cell>
          <cell r="Q16176" t="str">
            <v>速度传感器</v>
          </cell>
        </row>
        <row r="16177">
          <cell r="O16177" t="str">
            <v>SC9641TS-TR-Q</v>
          </cell>
          <cell r="P16177" t="str">
            <v>STC9910BN</v>
          </cell>
          <cell r="Q16177" t="str">
            <v>速度传感器</v>
          </cell>
        </row>
        <row r="16178">
          <cell r="O16178" t="str">
            <v>SC9641TS</v>
          </cell>
          <cell r="P16178" t="str">
            <v>STC9910BN</v>
          </cell>
          <cell r="Q16178" t="str">
            <v>速度传感器</v>
          </cell>
        </row>
        <row r="16179">
          <cell r="O16179" t="str">
            <v>SC9641TS</v>
          </cell>
          <cell r="P16179" t="str">
            <v>STC9910BN</v>
          </cell>
          <cell r="Q16179" t="str">
            <v>速度传感器</v>
          </cell>
        </row>
        <row r="16180">
          <cell r="O16180" t="str">
            <v>SC9641TS</v>
          </cell>
          <cell r="P16180" t="str">
            <v>STC9910BN</v>
          </cell>
          <cell r="Q16180" t="str">
            <v>速度传感器</v>
          </cell>
        </row>
        <row r="16181">
          <cell r="O16181" t="str">
            <v>SC9641TS</v>
          </cell>
          <cell r="P16181" t="str">
            <v>STC9910BN</v>
          </cell>
          <cell r="Q16181" t="str">
            <v>速度传感器</v>
          </cell>
        </row>
        <row r="16182">
          <cell r="O16182" t="str">
            <v>SC9641TS</v>
          </cell>
          <cell r="P16182" t="str">
            <v>STC9910BN</v>
          </cell>
          <cell r="Q16182" t="str">
            <v>速度传感器</v>
          </cell>
        </row>
        <row r="16183">
          <cell r="O16183" t="str">
            <v>SC9642TS-EC-TR-Q</v>
          </cell>
          <cell r="P16183" t="str">
            <v>STC9A001H</v>
          </cell>
          <cell r="Q16183" t="str">
            <v>速度传感器</v>
          </cell>
        </row>
        <row r="16184">
          <cell r="O16184" t="str">
            <v>SC9642TS-EC-TR-Q</v>
          </cell>
          <cell r="P16184" t="str">
            <v>STC9A001H</v>
          </cell>
          <cell r="Q16184" t="str">
            <v>速度传感器</v>
          </cell>
        </row>
        <row r="16185">
          <cell r="O16185" t="str">
            <v>SC9642TS-E</v>
          </cell>
          <cell r="P16185" t="str">
            <v>STC9A001H</v>
          </cell>
          <cell r="Q16185" t="str">
            <v>速度传感器</v>
          </cell>
        </row>
        <row r="16186">
          <cell r="O16186" t="str">
            <v>SC9642TS-E</v>
          </cell>
          <cell r="P16186" t="str">
            <v>STC9A001H</v>
          </cell>
          <cell r="Q16186" t="str">
            <v>速度传感器</v>
          </cell>
        </row>
        <row r="16187">
          <cell r="O16187" t="str">
            <v>SC9642TS-E</v>
          </cell>
          <cell r="P16187" t="str">
            <v>STC9A001H</v>
          </cell>
          <cell r="Q16187" t="str">
            <v>速度传感器</v>
          </cell>
        </row>
        <row r="16188">
          <cell r="O16188" t="str">
            <v>SC9675IM-P-LRF01</v>
          </cell>
          <cell r="P16188" t="str">
            <v>STC9A002B</v>
          </cell>
          <cell r="Q16188" t="str">
            <v>速度传感器</v>
          </cell>
        </row>
        <row r="16189">
          <cell r="O16189" t="str">
            <v>SC9642TS-E</v>
          </cell>
          <cell r="P16189" t="str">
            <v>STC9A001H</v>
          </cell>
          <cell r="Q16189" t="str">
            <v>速度传感器</v>
          </cell>
        </row>
        <row r="16190">
          <cell r="O16190" t="str">
            <v>SC9641TS-P-TR</v>
          </cell>
          <cell r="P16190" t="str">
            <v>STC9A001I</v>
          </cell>
          <cell r="Q16190" t="str">
            <v>速度传感器</v>
          </cell>
        </row>
        <row r="16191">
          <cell r="O16191" t="str">
            <v>SC9641TS-P-TR</v>
          </cell>
          <cell r="P16191" t="str">
            <v>STC9A001I</v>
          </cell>
          <cell r="Q16191" t="str">
            <v>速度传感器</v>
          </cell>
        </row>
        <row r="16192">
          <cell r="O16192" t="str">
            <v>SC9642TS-EC-TR-Q</v>
          </cell>
          <cell r="P16192" t="str">
            <v>STC9A001H</v>
          </cell>
          <cell r="Q16192" t="str">
            <v>速度传感器</v>
          </cell>
        </row>
        <row r="16193">
          <cell r="O16193" t="str">
            <v>SC243X编程器</v>
          </cell>
          <cell r="P16193" t="str">
            <v xml:space="preserve"> </v>
          </cell>
          <cell r="Q16193" t="str">
            <v>磁性位置传感器</v>
          </cell>
        </row>
        <row r="16194">
          <cell r="O16194" t="str">
            <v>SC9641TS-P-TR</v>
          </cell>
          <cell r="P16194" t="str">
            <v>STC9A001I</v>
          </cell>
          <cell r="Q16194" t="str">
            <v>速度传感器</v>
          </cell>
        </row>
        <row r="16195">
          <cell r="O16195" t="str">
            <v>SC9642TS-E</v>
          </cell>
          <cell r="P16195" t="str">
            <v>STC9A001H</v>
          </cell>
          <cell r="Q16195" t="str">
            <v>速度传感器</v>
          </cell>
        </row>
        <row r="16196">
          <cell r="O16196" t="str">
            <v>SC9675IM-P-HRF00</v>
          </cell>
          <cell r="P16196" t="str">
            <v>STC9A002B</v>
          </cell>
          <cell r="Q16196" t="str">
            <v>速度传感器</v>
          </cell>
        </row>
        <row r="16197">
          <cell r="O16197" t="str">
            <v>SC9641TS-P-TR</v>
          </cell>
          <cell r="P16197" t="str">
            <v>STC9A001I</v>
          </cell>
          <cell r="Q16197" t="str">
            <v>速度传感器</v>
          </cell>
        </row>
        <row r="16198">
          <cell r="O16198" t="str">
            <v>SC9675IM-P-LRF01</v>
          </cell>
          <cell r="P16198" t="str">
            <v>STC9A002B</v>
          </cell>
          <cell r="Q16198" t="str">
            <v>速度传感器</v>
          </cell>
        </row>
        <row r="16199">
          <cell r="O16199" t="str">
            <v>SC9675IM-P-LRF01</v>
          </cell>
          <cell r="P16199" t="str">
            <v>STC9A002B</v>
          </cell>
          <cell r="Q16199" t="str">
            <v>速度传感器</v>
          </cell>
        </row>
        <row r="16200">
          <cell r="O16200" t="str">
            <v>SC1134UA-BK</v>
          </cell>
          <cell r="P16200" t="str">
            <v>STC1898AI</v>
          </cell>
          <cell r="Q16200" t="str">
            <v>磁性位置传感器</v>
          </cell>
        </row>
        <row r="16201">
          <cell r="O16201" t="str">
            <v>SC9314UA</v>
          </cell>
          <cell r="P16201" t="str">
            <v>STC9901AF</v>
          </cell>
          <cell r="Q16201" t="str">
            <v>速度传感器</v>
          </cell>
        </row>
        <row r="16202">
          <cell r="O16202" t="str">
            <v>SC9314UA</v>
          </cell>
          <cell r="P16202" t="str">
            <v>STC9901AF</v>
          </cell>
          <cell r="Q16202" t="str">
            <v>速度传感器</v>
          </cell>
        </row>
        <row r="16203">
          <cell r="O16203" t="str">
            <v>SC9314UA</v>
          </cell>
          <cell r="P16203" t="str">
            <v>STC9901AF</v>
          </cell>
          <cell r="Q16203" t="str">
            <v>速度传感器</v>
          </cell>
        </row>
        <row r="16204">
          <cell r="O16204" t="str">
            <v>SC4019S7-BK</v>
          </cell>
          <cell r="P16204" t="str">
            <v>STC4011C</v>
          </cell>
          <cell r="Q16204" t="str">
            <v>磁性位置传感器</v>
          </cell>
        </row>
        <row r="16205">
          <cell r="O16205" t="str">
            <v>SC4019S7-BK</v>
          </cell>
          <cell r="P16205" t="str">
            <v>STC4011C</v>
          </cell>
          <cell r="Q16205" t="str">
            <v>磁性位置传感器</v>
          </cell>
        </row>
        <row r="16206">
          <cell r="O16206" t="str">
            <v>SC4019S7-BK</v>
          </cell>
          <cell r="P16206" t="str">
            <v>STC4011C</v>
          </cell>
          <cell r="Q16206" t="str">
            <v>磁性位置传感器</v>
          </cell>
        </row>
        <row r="16207">
          <cell r="O16207" t="str">
            <v>SC4019S7-BK</v>
          </cell>
          <cell r="P16207" t="str">
            <v>STC4011C</v>
          </cell>
          <cell r="Q16207" t="str">
            <v>磁性位置传感器</v>
          </cell>
        </row>
        <row r="16208">
          <cell r="O16208" t="str">
            <v>SC4019S7-BK</v>
          </cell>
          <cell r="P16208" t="str">
            <v>STC4011C</v>
          </cell>
          <cell r="Q16208" t="str">
            <v>磁性位置传感器</v>
          </cell>
        </row>
        <row r="16209">
          <cell r="O16209" t="str">
            <v>SC4019S7-BK</v>
          </cell>
          <cell r="P16209" t="str">
            <v>STC4011C</v>
          </cell>
          <cell r="Q16209" t="str">
            <v>磁性位置传感器</v>
          </cell>
        </row>
        <row r="16210">
          <cell r="O16210" t="str">
            <v>SC4019S7-BK</v>
          </cell>
          <cell r="P16210" t="str">
            <v>STC4011C</v>
          </cell>
          <cell r="Q16210" t="str">
            <v>磁性位置传感器</v>
          </cell>
        </row>
        <row r="16211">
          <cell r="O16211" t="str">
            <v>SC2434UA-BK</v>
          </cell>
          <cell r="P16211" t="str">
            <v>STC9906I</v>
          </cell>
          <cell r="Q16211" t="str">
            <v>磁性位置传感器</v>
          </cell>
        </row>
        <row r="16212">
          <cell r="O16212" t="str">
            <v>SC2402SO-N-TR</v>
          </cell>
          <cell r="P16212" t="str">
            <v>STC9G002A</v>
          </cell>
          <cell r="Q16212" t="str">
            <v>磁性位置传感器</v>
          </cell>
        </row>
        <row r="16213">
          <cell r="O16213" t="str">
            <v>SC2442SO-TR-Q</v>
          </cell>
          <cell r="P16213" t="str">
            <v>STC11102B</v>
          </cell>
          <cell r="Q16213" t="str">
            <v>磁性位置传感器</v>
          </cell>
        </row>
        <row r="16214">
          <cell r="O16214" t="str">
            <v>SC2442SO-TR-Q</v>
          </cell>
          <cell r="P16214" t="str">
            <v>STC11102B</v>
          </cell>
          <cell r="Q16214" t="str">
            <v>磁性位置传感器</v>
          </cell>
        </row>
        <row r="16215">
          <cell r="O16215" t="str">
            <v>SC2442SO-TR-Q</v>
          </cell>
          <cell r="P16215" t="str">
            <v>STC11102B</v>
          </cell>
          <cell r="Q16215" t="str">
            <v>磁性位置传感器</v>
          </cell>
        </row>
        <row r="16216">
          <cell r="O16216" t="str">
            <v>SC2442SO-TR-Q</v>
          </cell>
          <cell r="P16216" t="str">
            <v>STC11102B</v>
          </cell>
          <cell r="Q16216" t="str">
            <v>磁性位置传感器</v>
          </cell>
        </row>
        <row r="16217">
          <cell r="O16217" t="str">
            <v>SC2442SO-TR-Q</v>
          </cell>
          <cell r="P16217" t="str">
            <v>STC11102B</v>
          </cell>
          <cell r="Q16217" t="str">
            <v>磁性位置传感器</v>
          </cell>
        </row>
        <row r="16218">
          <cell r="O16218" t="str">
            <v>SC2442SO-TR-Q</v>
          </cell>
          <cell r="P16218" t="str">
            <v>STC11102B</v>
          </cell>
          <cell r="Q16218" t="str">
            <v>磁性位置传感器</v>
          </cell>
        </row>
        <row r="16219">
          <cell r="O16219" t="str">
            <v>SC724SP30B5</v>
          </cell>
          <cell r="P16219" t="str">
            <v>STC9D06F</v>
          </cell>
          <cell r="Q16219" t="str">
            <v>电流传感器</v>
          </cell>
        </row>
        <row r="16220">
          <cell r="O16220" t="str">
            <v>PSTC9D04C</v>
          </cell>
          <cell r="P16220" t="str">
            <v>STC9D04C</v>
          </cell>
          <cell r="Q16220" t="str">
            <v>电机编码器</v>
          </cell>
        </row>
        <row r="16221">
          <cell r="O16221" t="str">
            <v>PSTC1898AK</v>
          </cell>
          <cell r="P16221" t="str">
            <v>STC1898AK</v>
          </cell>
          <cell r="Q16221" t="str">
            <v>磁性位置传感器</v>
          </cell>
        </row>
        <row r="16222">
          <cell r="O16222" t="str">
            <v>CA-IS23030S</v>
          </cell>
          <cell r="P16222" t="str">
            <v>STC9D06F</v>
          </cell>
          <cell r="Q16222" t="str">
            <v>电流传感器</v>
          </cell>
        </row>
        <row r="16223">
          <cell r="O16223" t="str">
            <v>CA-IS23050S</v>
          </cell>
          <cell r="P16223" t="str">
            <v>STC9D06F</v>
          </cell>
          <cell r="Q16223" t="str">
            <v>电流传感器</v>
          </cell>
        </row>
        <row r="16224">
          <cell r="O16224" t="str">
            <v>CA-IS23050S</v>
          </cell>
          <cell r="P16224" t="str">
            <v>STC9D06F</v>
          </cell>
          <cell r="Q16224" t="str">
            <v>电流传感器</v>
          </cell>
        </row>
        <row r="16225">
          <cell r="O16225" t="str">
            <v>CA-IS23050S</v>
          </cell>
          <cell r="P16225" t="str">
            <v>STC9D06F</v>
          </cell>
          <cell r="Q16225" t="str">
            <v>电流传感器</v>
          </cell>
        </row>
        <row r="16226">
          <cell r="O16226" t="str">
            <v>CA-IS23025S</v>
          </cell>
          <cell r="P16226" t="str">
            <v>STC9D06F</v>
          </cell>
          <cell r="Q16226" t="str">
            <v>电流传感器</v>
          </cell>
        </row>
        <row r="16227">
          <cell r="O16227" t="str">
            <v>CA-IS23025S</v>
          </cell>
          <cell r="P16227" t="str">
            <v>STC9D06F</v>
          </cell>
          <cell r="Q16227" t="str">
            <v>电流传感器</v>
          </cell>
        </row>
        <row r="16228">
          <cell r="O16228" t="str">
            <v>SC2498CUA-N-BK-Q</v>
          </cell>
          <cell r="P16228" t="str">
            <v>SC9915C</v>
          </cell>
          <cell r="Q16228" t="str">
            <v>磁性位置传感器</v>
          </cell>
        </row>
        <row r="16229">
          <cell r="O16229" t="str">
            <v>SC2498CUA-N-BK-Q</v>
          </cell>
          <cell r="P16229" t="str">
            <v>SC9915C</v>
          </cell>
          <cell r="Q16229" t="str">
            <v>磁性位置传感器</v>
          </cell>
        </row>
        <row r="16230">
          <cell r="O16230" t="str">
            <v>SC2498CUA-N-BK-Q</v>
          </cell>
          <cell r="P16230" t="str">
            <v>SC9915C</v>
          </cell>
          <cell r="Q16230" t="str">
            <v>磁性位置传感器</v>
          </cell>
        </row>
        <row r="16231">
          <cell r="O16231" t="str">
            <v>SC2498CUA-N-BK-Q</v>
          </cell>
          <cell r="P16231" t="str">
            <v>SC9915C</v>
          </cell>
          <cell r="Q16231" t="str">
            <v>磁性位置传感器</v>
          </cell>
        </row>
        <row r="16232">
          <cell r="O16232" t="str">
            <v>SC2442SO-TR-Q</v>
          </cell>
          <cell r="P16232" t="str">
            <v>STC11102B</v>
          </cell>
          <cell r="Q16232" t="str">
            <v>磁性位置传感器</v>
          </cell>
        </row>
        <row r="16233">
          <cell r="O16233" t="str">
            <v>SC2498CUA-N-BK-Q</v>
          </cell>
          <cell r="P16233" t="str">
            <v>SC9915C</v>
          </cell>
          <cell r="Q16233" t="str">
            <v>磁性位置传感器</v>
          </cell>
        </row>
        <row r="16234">
          <cell r="O16234" t="str">
            <v>SC2498CUA-N-BK-Q</v>
          </cell>
          <cell r="P16234" t="str">
            <v>SC9915C</v>
          </cell>
          <cell r="Q16234" t="str">
            <v>磁性位置传感器</v>
          </cell>
        </row>
        <row r="16235">
          <cell r="O16235" t="str">
            <v>SC9641TS-P-TR</v>
          </cell>
          <cell r="P16235" t="str">
            <v>STC9A001I</v>
          </cell>
          <cell r="Q16235" t="str">
            <v>速度传感器</v>
          </cell>
        </row>
        <row r="16236">
          <cell r="O16236" t="str">
            <v>SC9641TS-P-TR</v>
          </cell>
          <cell r="P16236" t="str">
            <v>STC9A001I</v>
          </cell>
          <cell r="Q16236" t="str">
            <v>速度传感器</v>
          </cell>
        </row>
        <row r="16237">
          <cell r="O16237" t="str">
            <v>SC9641TS-P-TR</v>
          </cell>
          <cell r="P16237" t="str">
            <v>STC9A001I</v>
          </cell>
          <cell r="Q16237" t="str">
            <v>速度传感器</v>
          </cell>
        </row>
        <row r="16238">
          <cell r="O16238" t="str">
            <v>SC9641TS-P-TR</v>
          </cell>
          <cell r="P16238" t="str">
            <v>STC9A001I</v>
          </cell>
          <cell r="Q16238" t="str">
            <v>速度传感器</v>
          </cell>
        </row>
        <row r="16239">
          <cell r="O16239" t="str">
            <v>SC9641TS-P-TR</v>
          </cell>
          <cell r="P16239" t="str">
            <v>STC9A001I</v>
          </cell>
          <cell r="Q16239" t="str">
            <v>速度传感器</v>
          </cell>
        </row>
        <row r="16240">
          <cell r="O16240" t="str">
            <v>SC9641TS-P-TR</v>
          </cell>
          <cell r="P16240" t="str">
            <v>STC9A001I</v>
          </cell>
          <cell r="Q16240" t="str">
            <v>速度传感器</v>
          </cell>
        </row>
        <row r="16241">
          <cell r="O16241" t="str">
            <v>SC9641TS-P-TR</v>
          </cell>
          <cell r="P16241" t="str">
            <v>STC9A001I</v>
          </cell>
          <cell r="Q16241" t="str">
            <v>速度传感器</v>
          </cell>
        </row>
        <row r="16242">
          <cell r="O16242" t="str">
            <v>SC9641TS-P-TR</v>
          </cell>
          <cell r="P16242" t="str">
            <v>STC9A001I</v>
          </cell>
          <cell r="Q16242" t="str">
            <v>速度传感器</v>
          </cell>
        </row>
        <row r="16243">
          <cell r="O16243" t="str">
            <v>SC2498CUA-N-BK-Q</v>
          </cell>
          <cell r="P16243" t="str">
            <v>SC9915C</v>
          </cell>
          <cell r="Q16243" t="str">
            <v>磁性位置传感器</v>
          </cell>
        </row>
        <row r="16244">
          <cell r="O16244" t="str">
            <v>SC2498CUA-N-BK-Q</v>
          </cell>
          <cell r="P16244" t="str">
            <v>SC9915C</v>
          </cell>
          <cell r="Q16244" t="str">
            <v>磁性位置传感器</v>
          </cell>
        </row>
        <row r="16245">
          <cell r="O16245" t="str">
            <v>SC2498CUA-N-BK-Q</v>
          </cell>
          <cell r="P16245" t="str">
            <v>SC9915C</v>
          </cell>
          <cell r="Q16245" t="str">
            <v>磁性位置传感器</v>
          </cell>
        </row>
        <row r="16246">
          <cell r="O16246" t="str">
            <v>SC9641TS-P-TR</v>
          </cell>
          <cell r="P16246" t="str">
            <v>STC9A001I</v>
          </cell>
          <cell r="Q16246" t="str">
            <v>速度传感器</v>
          </cell>
        </row>
        <row r="16247">
          <cell r="O16247" t="str">
            <v>SC2498CUA-N-BK-Q</v>
          </cell>
          <cell r="P16247" t="str">
            <v>SC9915C</v>
          </cell>
          <cell r="Q16247" t="str">
            <v>磁性位置传感器</v>
          </cell>
        </row>
        <row r="16248">
          <cell r="O16248" t="str">
            <v>SC2498CUA-N-BK-Q</v>
          </cell>
          <cell r="P16248" t="str">
            <v>SC9915C</v>
          </cell>
          <cell r="Q16248" t="str">
            <v>磁性位置传感器</v>
          </cell>
        </row>
        <row r="16249">
          <cell r="O16249" t="str">
            <v>SC9641TS-P-TR</v>
          </cell>
          <cell r="P16249" t="str">
            <v>STC9A001I</v>
          </cell>
          <cell r="Q16249" t="str">
            <v>速度传感器</v>
          </cell>
        </row>
        <row r="16250">
          <cell r="O16250" t="str">
            <v>SC9641TS-P-TR</v>
          </cell>
          <cell r="P16250" t="str">
            <v>STC9A001I</v>
          </cell>
          <cell r="Q16250" t="str">
            <v>速度传感器</v>
          </cell>
        </row>
        <row r="16251">
          <cell r="O16251" t="str">
            <v>SC9641TS-P-TR</v>
          </cell>
          <cell r="P16251" t="str">
            <v>STC9A001I</v>
          </cell>
          <cell r="Q16251" t="str">
            <v>速度传感器</v>
          </cell>
        </row>
        <row r="16252">
          <cell r="O16252" t="str">
            <v>SC9641TS-P-TR</v>
          </cell>
          <cell r="P16252" t="str">
            <v>STC9A001I</v>
          </cell>
          <cell r="Q16252" t="str">
            <v>速度传感器</v>
          </cell>
        </row>
        <row r="16253">
          <cell r="O16253" t="str">
            <v>SC2498CUA-N-BK-Q</v>
          </cell>
          <cell r="P16253" t="str">
            <v>SC9915C</v>
          </cell>
          <cell r="Q16253" t="str">
            <v>磁性位置传感器</v>
          </cell>
        </row>
        <row r="16254">
          <cell r="O16254" t="str">
            <v>SC2498TSO</v>
          </cell>
          <cell r="P16254" t="str">
            <v>STC11300C</v>
          </cell>
          <cell r="Q16254" t="str">
            <v>磁性位置传感器</v>
          </cell>
        </row>
        <row r="16255">
          <cell r="O16255" t="str">
            <v>SC2498TSO</v>
          </cell>
          <cell r="P16255" t="str">
            <v>STC11300C</v>
          </cell>
          <cell r="Q16255" t="str">
            <v>磁性位置传感器</v>
          </cell>
        </row>
        <row r="16256">
          <cell r="O16256" t="str">
            <v>SC2442UA-BK-Q</v>
          </cell>
          <cell r="P16256" t="str">
            <v>STC11102B</v>
          </cell>
          <cell r="Q16256" t="str">
            <v>磁性位置传感器</v>
          </cell>
        </row>
        <row r="16257">
          <cell r="O16257" t="str">
            <v>SC9641TS-P-TR</v>
          </cell>
          <cell r="P16257" t="str">
            <v>STC9A001I</v>
          </cell>
          <cell r="Q16257" t="str">
            <v>速度传感器</v>
          </cell>
        </row>
        <row r="16258">
          <cell r="O16258" t="str">
            <v>SC9641TS-P-TR</v>
          </cell>
          <cell r="P16258" t="str">
            <v>STC9A001I</v>
          </cell>
          <cell r="Q16258" t="str">
            <v>速度传感器</v>
          </cell>
        </row>
        <row r="16259">
          <cell r="O16259" t="str">
            <v>SC9641TS-P-TR</v>
          </cell>
          <cell r="P16259" t="str">
            <v>STC9A001I</v>
          </cell>
          <cell r="Q16259" t="str">
            <v>速度传感器</v>
          </cell>
        </row>
        <row r="16260">
          <cell r="O16260" t="str">
            <v>SC9641TS-P-TR</v>
          </cell>
          <cell r="P16260" t="str">
            <v>STC9A001I</v>
          </cell>
          <cell r="Q16260" t="str">
            <v>速度传感器</v>
          </cell>
        </row>
        <row r="16261">
          <cell r="O16261" t="str">
            <v>SC9641TS-P-TR</v>
          </cell>
          <cell r="P16261" t="str">
            <v>STC9A001I</v>
          </cell>
          <cell r="Q16261" t="str">
            <v>速度传感器</v>
          </cell>
        </row>
        <row r="16262">
          <cell r="O16262" t="str">
            <v>SC9641TS-P-TR</v>
          </cell>
          <cell r="P16262" t="str">
            <v>STC9A001I</v>
          </cell>
          <cell r="Q16262" t="str">
            <v>速度传感器</v>
          </cell>
        </row>
        <row r="16263">
          <cell r="O16263" t="str">
            <v>SC9641TS-P-TR</v>
          </cell>
          <cell r="P16263" t="str">
            <v>STC9A001I</v>
          </cell>
          <cell r="Q16263" t="str">
            <v>速度传感器</v>
          </cell>
        </row>
        <row r="16264">
          <cell r="O16264" t="str">
            <v>SC9641TS-P-TR</v>
          </cell>
          <cell r="P16264" t="str">
            <v>STC9A001I</v>
          </cell>
          <cell r="Q16264" t="str">
            <v>速度传感器</v>
          </cell>
        </row>
        <row r="16265">
          <cell r="O16265" t="str">
            <v>SC9641TS-P-TR</v>
          </cell>
          <cell r="P16265" t="str">
            <v>STC9A001I</v>
          </cell>
          <cell r="Q16265" t="str">
            <v>速度传感器</v>
          </cell>
        </row>
        <row r="16266">
          <cell r="O16266" t="str">
            <v>SC2498CUA-N-BK-Q</v>
          </cell>
          <cell r="P16266" t="str">
            <v>SC9915C</v>
          </cell>
          <cell r="Q16266" t="str">
            <v>磁性位置传感器</v>
          </cell>
        </row>
        <row r="16267">
          <cell r="O16267" t="str">
            <v>SC2498CUA-N-BK-Q</v>
          </cell>
          <cell r="P16267" t="str">
            <v>SC9915C</v>
          </cell>
          <cell r="Q16267" t="str">
            <v>磁性位置传感器</v>
          </cell>
        </row>
        <row r="16268">
          <cell r="O16268" t="str">
            <v>SC2498CUA-N-BK-Q</v>
          </cell>
          <cell r="P16268" t="str">
            <v>SC9915C</v>
          </cell>
          <cell r="Q16268" t="str">
            <v>磁性位置传感器</v>
          </cell>
        </row>
        <row r="16269">
          <cell r="O16269" t="str">
            <v>SC2498CUA-N-BK-Q</v>
          </cell>
          <cell r="P16269" t="str">
            <v>SC9915C</v>
          </cell>
          <cell r="Q16269" t="str">
            <v>磁性位置传感器</v>
          </cell>
        </row>
        <row r="16270">
          <cell r="O16270" t="str">
            <v>SC2498CUA-N-BK-Q</v>
          </cell>
          <cell r="P16270" t="str">
            <v>SC9915C</v>
          </cell>
          <cell r="Q16270" t="str">
            <v>磁性位置传感器</v>
          </cell>
        </row>
        <row r="16271">
          <cell r="O16271" t="str">
            <v>SC2498CUA-N-BK-Q</v>
          </cell>
          <cell r="P16271" t="str">
            <v>STC11102B</v>
          </cell>
          <cell r="Q16271" t="str">
            <v>磁性位置传感器</v>
          </cell>
        </row>
        <row r="16272">
          <cell r="O16272" t="str">
            <v>SC2498CUA-N-BK-Q</v>
          </cell>
          <cell r="P16272" t="str">
            <v>STC11102B</v>
          </cell>
          <cell r="Q16272" t="str">
            <v>磁性位置传感器</v>
          </cell>
        </row>
        <row r="16273">
          <cell r="O16273" t="str">
            <v>SC2498CUA-N-BK-Q</v>
          </cell>
          <cell r="P16273" t="str">
            <v>STC11102B</v>
          </cell>
          <cell r="Q16273" t="str">
            <v>磁性位置传感器</v>
          </cell>
        </row>
        <row r="16274">
          <cell r="O16274" t="str">
            <v>SC2498CUA-N-BK-Q</v>
          </cell>
          <cell r="P16274" t="str">
            <v>STC11102B</v>
          </cell>
          <cell r="Q16274" t="str">
            <v>磁性位置传感器</v>
          </cell>
        </row>
        <row r="16275">
          <cell r="O16275" t="str">
            <v>SC9641TS-P-TR</v>
          </cell>
          <cell r="P16275" t="str">
            <v>STC9A001I</v>
          </cell>
          <cell r="Q16275" t="str">
            <v>速度传感器</v>
          </cell>
        </row>
        <row r="16276">
          <cell r="O16276" t="str">
            <v>VE8620P</v>
          </cell>
          <cell r="P16276" t="str">
            <v>HC2305C</v>
          </cell>
          <cell r="Q16276" t="str">
            <v>电源管理</v>
          </cell>
        </row>
        <row r="16277">
          <cell r="O16277" t="str">
            <v>VE2266P</v>
          </cell>
          <cell r="P16277" t="str">
            <v>HC2304C</v>
          </cell>
          <cell r="Q16277" t="str">
            <v>电源管理</v>
          </cell>
        </row>
        <row r="16278">
          <cell r="O16278" t="str">
            <v>VE2266P</v>
          </cell>
          <cell r="P16278" t="str">
            <v>HC2304C</v>
          </cell>
          <cell r="Q16278" t="str">
            <v>电源管理</v>
          </cell>
        </row>
        <row r="16279">
          <cell r="O16279" t="str">
            <v>SC2464SO-TR</v>
          </cell>
          <cell r="P16279" t="str">
            <v>STC9906J</v>
          </cell>
          <cell r="Q16279" t="str">
            <v>磁性位置传感器</v>
          </cell>
        </row>
        <row r="16280">
          <cell r="O16280" t="str">
            <v>SC2464SO-TR</v>
          </cell>
          <cell r="P16280" t="str">
            <v>STC9906J</v>
          </cell>
          <cell r="Q16280" t="str">
            <v>磁性位置传感器</v>
          </cell>
        </row>
        <row r="16281">
          <cell r="O16281" t="str">
            <v>SC2464SO-TR</v>
          </cell>
          <cell r="P16281" t="str">
            <v>STC9906J</v>
          </cell>
          <cell r="Q16281" t="str">
            <v>磁性位置传感器</v>
          </cell>
        </row>
        <row r="16282">
          <cell r="O16282" t="str">
            <v>SC2464SO-TR</v>
          </cell>
          <cell r="P16282" t="str">
            <v>STC9906J</v>
          </cell>
          <cell r="Q16282" t="str">
            <v>磁性位置传感器</v>
          </cell>
        </row>
        <row r="16283">
          <cell r="O16283" t="str">
            <v>SC2464SO-TR</v>
          </cell>
          <cell r="P16283" t="str">
            <v>STC9906J</v>
          </cell>
          <cell r="Q16283" t="str">
            <v>磁性位置传感器</v>
          </cell>
        </row>
        <row r="16284">
          <cell r="O16284" t="str">
            <v>SC2464SO-TR</v>
          </cell>
          <cell r="P16284" t="str">
            <v>STC9906J</v>
          </cell>
          <cell r="Q16284" t="str">
            <v>磁性位置传感器</v>
          </cell>
        </row>
        <row r="16285">
          <cell r="O16285" t="str">
            <v>SC2464SO-TR</v>
          </cell>
          <cell r="P16285" t="str">
            <v>STC9906J</v>
          </cell>
          <cell r="Q16285" t="str">
            <v>磁性位置传感器</v>
          </cell>
        </row>
        <row r="16286">
          <cell r="O16286" t="str">
            <v>SC2464SO-TR</v>
          </cell>
          <cell r="P16286" t="str">
            <v>STC9906J</v>
          </cell>
          <cell r="Q16286" t="str">
            <v>磁性位置传感器</v>
          </cell>
        </row>
        <row r="16287">
          <cell r="O16287" t="str">
            <v>SC2434SO-TR</v>
          </cell>
          <cell r="P16287" t="str">
            <v>STC9906M</v>
          </cell>
          <cell r="Q16287" t="str">
            <v>磁性位置传感器</v>
          </cell>
        </row>
        <row r="16288">
          <cell r="O16288" t="str">
            <v>SC2033SO-N</v>
          </cell>
          <cell r="P16288" t="str">
            <v>STC9G001D</v>
          </cell>
          <cell r="Q16288" t="str">
            <v>磁性位置传感器</v>
          </cell>
        </row>
        <row r="16289">
          <cell r="O16289" t="str">
            <v>SC2033SO-N</v>
          </cell>
          <cell r="P16289" t="str">
            <v>STC9G001D</v>
          </cell>
          <cell r="Q16289" t="str">
            <v>磁性位置传感器</v>
          </cell>
        </row>
        <row r="16290">
          <cell r="O16290" t="str">
            <v>SC4002UA-BK</v>
          </cell>
          <cell r="P16290" t="str">
            <v>STC4000AA</v>
          </cell>
          <cell r="Q16290" t="str">
            <v>磁性位置传感器</v>
          </cell>
        </row>
        <row r="16291">
          <cell r="O16291" t="str">
            <v>SC4002UA</v>
          </cell>
          <cell r="P16291" t="str">
            <v>STC4000AA</v>
          </cell>
          <cell r="Q16291" t="str">
            <v>磁性位置传感器</v>
          </cell>
        </row>
        <row r="16292">
          <cell r="O16292" t="str">
            <v>SC1245SO-N</v>
          </cell>
          <cell r="P16292" t="str">
            <v>STC1898AD</v>
          </cell>
          <cell r="Q16292" t="str">
            <v>磁性位置传感器</v>
          </cell>
        </row>
        <row r="16293">
          <cell r="O16293" t="str">
            <v>SC1245SO-N</v>
          </cell>
          <cell r="P16293" t="str">
            <v>STC1898AD</v>
          </cell>
          <cell r="Q16293" t="str">
            <v>磁性位置传感器</v>
          </cell>
        </row>
        <row r="16294">
          <cell r="O16294" t="str">
            <v>SC1245SO-N</v>
          </cell>
          <cell r="P16294" t="str">
            <v>STC1898AD</v>
          </cell>
          <cell r="Q16294" t="str">
            <v>磁性位置传感器</v>
          </cell>
        </row>
        <row r="16295">
          <cell r="O16295" t="str">
            <v>SC1245SO-N</v>
          </cell>
          <cell r="P16295" t="str">
            <v>STC1898AD</v>
          </cell>
          <cell r="Q16295" t="str">
            <v>磁性位置传感器</v>
          </cell>
        </row>
        <row r="16296">
          <cell r="O16296" t="str">
            <v>SC1245SO-N-TR</v>
          </cell>
          <cell r="P16296" t="str">
            <v>STC1898AD</v>
          </cell>
          <cell r="Q16296" t="str">
            <v>磁性位置传感器</v>
          </cell>
        </row>
        <row r="16297">
          <cell r="O16297" t="str">
            <v>SC1245SO-N-TR</v>
          </cell>
          <cell r="P16297" t="str">
            <v>STC1898AD</v>
          </cell>
          <cell r="Q16297" t="str">
            <v>磁性位置传感器</v>
          </cell>
        </row>
        <row r="16298">
          <cell r="O16298" t="str">
            <v>SC2442UA-BK-Q</v>
          </cell>
          <cell r="P16298" t="str">
            <v>STC11102B</v>
          </cell>
          <cell r="Q16298" t="str">
            <v>磁性位置传感器</v>
          </cell>
        </row>
        <row r="16299">
          <cell r="O16299" t="str">
            <v>SC4101DN</v>
          </cell>
          <cell r="P16299" t="str">
            <v>STC11201B1</v>
          </cell>
          <cell r="Q16299" t="str">
            <v>磁性位置传感器</v>
          </cell>
        </row>
        <row r="16300">
          <cell r="O16300" t="str">
            <v>SC4015SO-N-TR</v>
          </cell>
          <cell r="P16300" t="str">
            <v>STC4011E</v>
          </cell>
          <cell r="Q16300" t="str">
            <v>磁性位置传感器</v>
          </cell>
        </row>
        <row r="16301">
          <cell r="O16301" t="str">
            <v>SC2434SO-TR</v>
          </cell>
          <cell r="P16301" t="str">
            <v>STC9906M</v>
          </cell>
          <cell r="Q16301" t="str">
            <v>磁性位置传感器</v>
          </cell>
        </row>
        <row r="16302">
          <cell r="O16302" t="str">
            <v>SC2434SO-TR</v>
          </cell>
          <cell r="P16302" t="str">
            <v>STC9906M</v>
          </cell>
          <cell r="Q16302" t="str">
            <v>磁性位置传感器</v>
          </cell>
        </row>
        <row r="16303">
          <cell r="O16303" t="str">
            <v>SC2434SO-TR</v>
          </cell>
          <cell r="P16303" t="str">
            <v>STC9906M</v>
          </cell>
          <cell r="Q16303" t="str">
            <v>磁性位置传感器</v>
          </cell>
        </row>
        <row r="16304">
          <cell r="O16304" t="str">
            <v>SYLMV324BPD2R</v>
          </cell>
          <cell r="P16304" t="str">
            <v>STC9G003B</v>
          </cell>
          <cell r="Q16304" t="str">
            <v>其他数模混合</v>
          </cell>
        </row>
        <row r="16305">
          <cell r="O16305" t="str">
            <v>SC1138SO-N</v>
          </cell>
          <cell r="P16305" t="str">
            <v>STC1898AC</v>
          </cell>
          <cell r="Q16305" t="str">
            <v>磁性位置传感器</v>
          </cell>
        </row>
        <row r="16306">
          <cell r="O16306" t="str">
            <v>SC2434SO-TR</v>
          </cell>
          <cell r="P16306" t="str">
            <v>STC9906M</v>
          </cell>
          <cell r="Q16306" t="str">
            <v>磁性位置传感器</v>
          </cell>
        </row>
        <row r="16307">
          <cell r="O16307" t="str">
            <v>SC2434SO-TR</v>
          </cell>
          <cell r="P16307" t="str">
            <v>STC9906M</v>
          </cell>
          <cell r="Q16307" t="str">
            <v>磁性位置传感器</v>
          </cell>
        </row>
        <row r="16308">
          <cell r="O16308" t="str">
            <v>SC2402UA-BK</v>
          </cell>
          <cell r="P16308" t="str">
            <v>STC9G002B</v>
          </cell>
          <cell r="Q16308" t="str">
            <v>磁性位置传感器</v>
          </cell>
        </row>
        <row r="16309">
          <cell r="O16309" t="str">
            <v>SC60228DC</v>
          </cell>
          <cell r="P16309" t="str">
            <v>STC9D04C</v>
          </cell>
          <cell r="Q16309" t="str">
            <v>电机编码器</v>
          </cell>
        </row>
        <row r="16310">
          <cell r="O16310" t="str">
            <v>SC60228DC</v>
          </cell>
          <cell r="P16310" t="str">
            <v>STC9D04C</v>
          </cell>
          <cell r="Q16310" t="str">
            <v>电机编码器</v>
          </cell>
        </row>
        <row r="16311">
          <cell r="O16311" t="str">
            <v>SC2432SO-TR-Q</v>
          </cell>
          <cell r="P16311" t="str">
            <v>STC9906M</v>
          </cell>
          <cell r="Q16311" t="str">
            <v>磁性位置传感器</v>
          </cell>
        </row>
        <row r="16312">
          <cell r="O16312" t="str">
            <v>SC1134SO-N-TR-Q</v>
          </cell>
          <cell r="P16312" t="str">
            <v>STC1898AI</v>
          </cell>
          <cell r="Q16312" t="str">
            <v>磁性位置传感器</v>
          </cell>
        </row>
        <row r="16313">
          <cell r="O16313" t="str">
            <v>SC2464UA</v>
          </cell>
          <cell r="P16313" t="str">
            <v>STC9906J</v>
          </cell>
          <cell r="Q16313" t="str">
            <v>磁性位置传感器</v>
          </cell>
        </row>
        <row r="16314">
          <cell r="O16314" t="str">
            <v>SC2033SO-N</v>
          </cell>
          <cell r="P16314" t="str">
            <v>STC9G001D</v>
          </cell>
          <cell r="Q16314" t="str">
            <v>磁性位置传感器</v>
          </cell>
        </row>
        <row r="16315">
          <cell r="O16315" t="str">
            <v>SYLMV324BPD2R</v>
          </cell>
          <cell r="P16315" t="str">
            <v>STC9G003B</v>
          </cell>
          <cell r="Q16315" t="str">
            <v>其他数模混合</v>
          </cell>
        </row>
        <row r="16316">
          <cell r="O16316" t="str">
            <v>SC4645VB-BK</v>
          </cell>
          <cell r="P16316" t="str">
            <v>STC9D06F</v>
          </cell>
          <cell r="Q16316" t="str">
            <v>电流传感器</v>
          </cell>
        </row>
        <row r="16317">
          <cell r="O16317" t="str">
            <v>SC1134SO-N-TR</v>
          </cell>
          <cell r="P16317" t="str">
            <v>STC1002AF</v>
          </cell>
          <cell r="Q16317" t="str">
            <v>磁性位置传感器</v>
          </cell>
        </row>
        <row r="16318">
          <cell r="O16318" t="str">
            <v>SC1134SO-N-TR</v>
          </cell>
          <cell r="P16318" t="str">
            <v>STC1002AF</v>
          </cell>
          <cell r="Q16318" t="str">
            <v>磁性位置传感器</v>
          </cell>
        </row>
        <row r="16319">
          <cell r="O16319" t="str">
            <v>SC1134UA-BK</v>
          </cell>
          <cell r="P16319" t="str">
            <v>STC1898AI</v>
          </cell>
          <cell r="Q16319" t="str">
            <v>磁性位置传感器</v>
          </cell>
        </row>
        <row r="16320">
          <cell r="O16320" t="str">
            <v>SC1134UA-BK</v>
          </cell>
          <cell r="P16320" t="str">
            <v>STC1898AI</v>
          </cell>
          <cell r="Q16320" t="str">
            <v>磁性位置传感器</v>
          </cell>
        </row>
        <row r="16321">
          <cell r="O16321" t="str">
            <v>SC1134SO-N</v>
          </cell>
          <cell r="P16321" t="str">
            <v>STC1002AF</v>
          </cell>
          <cell r="Q16321" t="str">
            <v>磁性位置传感器</v>
          </cell>
        </row>
        <row r="16322">
          <cell r="O16322" t="str">
            <v>SC1134SO-N</v>
          </cell>
          <cell r="P16322" t="str">
            <v>STC1002AF</v>
          </cell>
          <cell r="Q16322" t="str">
            <v>磁性位置传感器</v>
          </cell>
        </row>
        <row r="16323">
          <cell r="O16323" t="str">
            <v>SC2402UA-BK</v>
          </cell>
          <cell r="P16323" t="str">
            <v>STC9G002B</v>
          </cell>
          <cell r="Q16323" t="str">
            <v>磁性位置传感器</v>
          </cell>
        </row>
        <row r="16324">
          <cell r="O16324" t="str">
            <v>SC2402UA-BK</v>
          </cell>
          <cell r="P16324" t="str">
            <v>STC9G002B</v>
          </cell>
          <cell r="Q16324" t="str">
            <v>磁性位置传感器</v>
          </cell>
        </row>
        <row r="16325">
          <cell r="O16325" t="str">
            <v>SC2438SO</v>
          </cell>
          <cell r="P16325" t="str">
            <v>STC9906I</v>
          </cell>
          <cell r="Q16325" t="str">
            <v>磁性位置传感器</v>
          </cell>
        </row>
        <row r="16326">
          <cell r="O16326" t="str">
            <v>SC2438SO</v>
          </cell>
          <cell r="P16326" t="str">
            <v>STC9906I</v>
          </cell>
          <cell r="Q16326" t="str">
            <v>磁性位置传感器</v>
          </cell>
        </row>
        <row r="16327">
          <cell r="O16327" t="str">
            <v>SC2438SO</v>
          </cell>
          <cell r="P16327" t="str">
            <v>STC9906I</v>
          </cell>
          <cell r="Q16327" t="str">
            <v>磁性位置传感器</v>
          </cell>
        </row>
        <row r="16328">
          <cell r="O16328" t="str">
            <v>SC2438SO</v>
          </cell>
          <cell r="P16328" t="str">
            <v>STC9906I</v>
          </cell>
          <cell r="Q16328" t="str">
            <v>磁性位置传感器</v>
          </cell>
        </row>
        <row r="16329">
          <cell r="O16329" t="str">
            <v>SC2438SO</v>
          </cell>
          <cell r="P16329" t="str">
            <v>STC9906I</v>
          </cell>
          <cell r="Q16329" t="str">
            <v>磁性位置传感器</v>
          </cell>
        </row>
        <row r="16330">
          <cell r="O16330" t="str">
            <v>SC2438SO</v>
          </cell>
          <cell r="P16330" t="str">
            <v>STC9906I</v>
          </cell>
          <cell r="Q16330" t="str">
            <v>磁性位置传感器</v>
          </cell>
        </row>
        <row r="16331">
          <cell r="O16331" t="str">
            <v>SC2438SO</v>
          </cell>
          <cell r="P16331" t="str">
            <v>STC9906I</v>
          </cell>
          <cell r="Q16331" t="str">
            <v>磁性位置传感器</v>
          </cell>
        </row>
        <row r="16332">
          <cell r="O16332" t="str">
            <v>SC2434SO-N-TR</v>
          </cell>
          <cell r="P16332" t="str">
            <v>STC9906I</v>
          </cell>
          <cell r="Q16332" t="str">
            <v>磁性位置传感器</v>
          </cell>
        </row>
        <row r="16333">
          <cell r="O16333" t="str">
            <v>SC2434SO-N-TR</v>
          </cell>
          <cell r="P16333" t="str">
            <v>STC9906I</v>
          </cell>
          <cell r="Q16333" t="str">
            <v>磁性位置传感器</v>
          </cell>
        </row>
        <row r="16334">
          <cell r="O16334" t="str">
            <v>SC2434SO-N-TR</v>
          </cell>
          <cell r="P16334" t="str">
            <v>STC9906I</v>
          </cell>
          <cell r="Q16334" t="str">
            <v>磁性位置传感器</v>
          </cell>
        </row>
        <row r="16335">
          <cell r="O16335" t="str">
            <v>SC2434SO-N-TR</v>
          </cell>
          <cell r="P16335" t="str">
            <v>STC9906I</v>
          </cell>
          <cell r="Q16335" t="str">
            <v>磁性位置传感器</v>
          </cell>
        </row>
        <row r="16336">
          <cell r="O16336" t="str">
            <v>SC2242SO-TR-Q</v>
          </cell>
          <cell r="P16336" t="str">
            <v>STC9906H</v>
          </cell>
          <cell r="Q16336" t="str">
            <v>磁性位置传感器</v>
          </cell>
        </row>
        <row r="16337">
          <cell r="O16337" t="str">
            <v>SC2064SO-TR</v>
          </cell>
          <cell r="P16337" t="str">
            <v>STC9G001C</v>
          </cell>
          <cell r="Q16337" t="str">
            <v>磁性位置传感器</v>
          </cell>
        </row>
        <row r="16338">
          <cell r="O16338" t="str">
            <v>SC2402SO-N-TR</v>
          </cell>
          <cell r="P16338" t="str">
            <v>STC9G002A</v>
          </cell>
          <cell r="Q16338" t="str">
            <v>磁性位置传感器</v>
          </cell>
        </row>
        <row r="16339">
          <cell r="O16339" t="str">
            <v>SC60221-D-256</v>
          </cell>
          <cell r="P16339" t="str">
            <v>STC9D04C</v>
          </cell>
          <cell r="Q16339" t="str">
            <v>电机编码器</v>
          </cell>
        </row>
        <row r="16340">
          <cell r="O16340" t="str">
            <v>SC60221-D-256</v>
          </cell>
          <cell r="P16340" t="str">
            <v>STC9D04C</v>
          </cell>
          <cell r="Q16340" t="str">
            <v>电机编码器</v>
          </cell>
        </row>
        <row r="16341">
          <cell r="O16341" t="str">
            <v>SC2242SO-TR-Q</v>
          </cell>
          <cell r="P16341" t="str">
            <v>STC9906H</v>
          </cell>
          <cell r="Q16341" t="str">
            <v>磁性位置传感器</v>
          </cell>
        </row>
        <row r="16342">
          <cell r="O16342" t="str">
            <v>SC2242SO-TR-Q</v>
          </cell>
          <cell r="P16342" t="str">
            <v>STC9906H</v>
          </cell>
          <cell r="Q16342" t="str">
            <v>磁性位置传感器</v>
          </cell>
        </row>
        <row r="16343">
          <cell r="O16343" t="str">
            <v>SC4643编程器</v>
          </cell>
          <cell r="P16343" t="str">
            <v xml:space="preserve"> </v>
          </cell>
          <cell r="Q16343" t="str">
            <v>电流传感器</v>
          </cell>
        </row>
        <row r="16344">
          <cell r="O16344" t="str">
            <v>SC2462SO</v>
          </cell>
          <cell r="P16344" t="str">
            <v>STC9906J</v>
          </cell>
          <cell r="Q16344" t="str">
            <v>磁性位置传感器</v>
          </cell>
        </row>
        <row r="16345">
          <cell r="O16345" t="str">
            <v>SC60221-D-256</v>
          </cell>
          <cell r="P16345" t="str">
            <v>STC9D04C</v>
          </cell>
          <cell r="Q16345" t="str">
            <v>电机编码器</v>
          </cell>
        </row>
        <row r="16346">
          <cell r="O16346" t="str">
            <v>SC60221-D-256</v>
          </cell>
          <cell r="P16346" t="str">
            <v>STC9D04C</v>
          </cell>
          <cell r="Q16346" t="str">
            <v>电机编码器</v>
          </cell>
        </row>
        <row r="16347">
          <cell r="O16347" t="str">
            <v>SC2442UA-BK-Q</v>
          </cell>
          <cell r="P16347" t="str">
            <v>STC11102B</v>
          </cell>
          <cell r="Q16347" t="str">
            <v>磁性位置传感器</v>
          </cell>
        </row>
        <row r="16348">
          <cell r="O16348" t="str">
            <v>SC2442UA-BK-Q</v>
          </cell>
          <cell r="P16348" t="str">
            <v>STC11102B</v>
          </cell>
          <cell r="Q16348" t="str">
            <v>磁性位置传感器</v>
          </cell>
        </row>
        <row r="16349">
          <cell r="O16349" t="str">
            <v>SC2442UA-BK-Q</v>
          </cell>
          <cell r="P16349" t="str">
            <v>STC11102B</v>
          </cell>
          <cell r="Q16349" t="str">
            <v>磁性位置传感器</v>
          </cell>
        </row>
        <row r="16350">
          <cell r="O16350" t="str">
            <v>SC2442UA-BK-Q</v>
          </cell>
          <cell r="P16350" t="str">
            <v>STC11102B</v>
          </cell>
          <cell r="Q16350" t="str">
            <v>磁性位置传感器</v>
          </cell>
        </row>
        <row r="16351">
          <cell r="O16351" t="str">
            <v>SC2462SO-TR-Q</v>
          </cell>
          <cell r="P16351" t="str">
            <v>STC9906J</v>
          </cell>
          <cell r="Q16351" t="str">
            <v>磁性位置传感器</v>
          </cell>
        </row>
        <row r="16352">
          <cell r="O16352" t="str">
            <v>SC2434UA-BK</v>
          </cell>
          <cell r="P16352" t="str">
            <v>STC9906I</v>
          </cell>
          <cell r="Q16352" t="str">
            <v>磁性位置传感器</v>
          </cell>
        </row>
        <row r="16353">
          <cell r="O16353" t="str">
            <v>SC1134SO-N-TR-Q</v>
          </cell>
          <cell r="P16353" t="str">
            <v>STC1898AI</v>
          </cell>
          <cell r="Q16353" t="str">
            <v>磁性位置传感器</v>
          </cell>
        </row>
        <row r="16354">
          <cell r="O16354" t="str">
            <v>SC1134SO-N-TR-Q</v>
          </cell>
          <cell r="P16354" t="str">
            <v>STC1898AI</v>
          </cell>
          <cell r="Q16354" t="str">
            <v>磁性位置传感器</v>
          </cell>
        </row>
        <row r="16355">
          <cell r="O16355" t="str">
            <v>SC1134SO-N-TR-Q</v>
          </cell>
          <cell r="P16355" t="str">
            <v>STC1898AI</v>
          </cell>
          <cell r="Q16355" t="str">
            <v>磁性位置传感器</v>
          </cell>
        </row>
        <row r="16356">
          <cell r="O16356" t="str">
            <v>SC2402SO-N-TR</v>
          </cell>
          <cell r="P16356" t="str">
            <v>STC9G002A</v>
          </cell>
          <cell r="Q16356" t="str">
            <v>磁性位置传感器</v>
          </cell>
        </row>
        <row r="16357">
          <cell r="O16357" t="str">
            <v>SC2402SO-N-TR</v>
          </cell>
          <cell r="P16357" t="str">
            <v>STC9G002A</v>
          </cell>
          <cell r="Q16357" t="str">
            <v>磁性位置传感器</v>
          </cell>
        </row>
        <row r="16358">
          <cell r="O16358" t="str">
            <v>SC2442UA</v>
          </cell>
          <cell r="P16358" t="str">
            <v>STC11102B</v>
          </cell>
          <cell r="Q16358" t="str">
            <v>磁性位置传感器</v>
          </cell>
        </row>
        <row r="16359">
          <cell r="O16359" t="str">
            <v>SC2063UA</v>
          </cell>
          <cell r="P16359" t="str">
            <v>STC9G001C</v>
          </cell>
          <cell r="Q16359" t="str">
            <v>磁性位置传感器</v>
          </cell>
        </row>
        <row r="16360">
          <cell r="O16360" t="str">
            <v>SC1134SO-N</v>
          </cell>
          <cell r="P16360" t="str">
            <v>STC1002AF</v>
          </cell>
          <cell r="Q16360" t="str">
            <v>磁性位置传感器</v>
          </cell>
        </row>
        <row r="16361">
          <cell r="O16361" t="str">
            <v>SYLMV324BPD2R</v>
          </cell>
          <cell r="P16361" t="str">
            <v>STC9G003B</v>
          </cell>
          <cell r="Q16361" t="str">
            <v>其他数模混合</v>
          </cell>
        </row>
        <row r="16362">
          <cell r="O16362" t="str">
            <v>SC1134UA-BK</v>
          </cell>
          <cell r="P16362" t="str">
            <v>STC1898AI</v>
          </cell>
          <cell r="Q16362" t="str">
            <v>磁性位置传感器</v>
          </cell>
        </row>
        <row r="16363">
          <cell r="O16363" t="str">
            <v>SC1134UA-BK</v>
          </cell>
          <cell r="P16363" t="str">
            <v>STC1898AI</v>
          </cell>
          <cell r="Q16363" t="str">
            <v>磁性位置传感器</v>
          </cell>
        </row>
        <row r="16364">
          <cell r="O16364" t="str">
            <v>SC1134UA-BK</v>
          </cell>
          <cell r="P16364" t="str">
            <v>STC1898AI</v>
          </cell>
          <cell r="Q16364" t="str">
            <v>磁性位置传感器</v>
          </cell>
        </row>
        <row r="16365">
          <cell r="O16365" t="str">
            <v>SC1134UA-BK</v>
          </cell>
          <cell r="P16365" t="str">
            <v>STC1898AI</v>
          </cell>
          <cell r="Q16365" t="str">
            <v>磁性位置传感器</v>
          </cell>
        </row>
        <row r="16366">
          <cell r="O16366" t="str">
            <v>SC1134UA-BK</v>
          </cell>
          <cell r="P16366" t="str">
            <v>STC1898AI</v>
          </cell>
          <cell r="Q16366" t="str">
            <v>磁性位置传感器</v>
          </cell>
        </row>
        <row r="16367">
          <cell r="O16367" t="str">
            <v>SC1134UA-BK</v>
          </cell>
          <cell r="P16367" t="str">
            <v>STC1898AI</v>
          </cell>
          <cell r="Q16367" t="str">
            <v>磁性位置传感器</v>
          </cell>
        </row>
        <row r="16368">
          <cell r="O16368" t="str">
            <v>SC1134UA-BK</v>
          </cell>
          <cell r="P16368" t="str">
            <v>STC1898AI</v>
          </cell>
          <cell r="Q16368" t="str">
            <v>磁性位置传感器</v>
          </cell>
        </row>
        <row r="16369">
          <cell r="O16369" t="str">
            <v>SC1134UA-BK</v>
          </cell>
          <cell r="P16369" t="str">
            <v>STC1898AI</v>
          </cell>
          <cell r="Q16369" t="str">
            <v>磁性位置传感器</v>
          </cell>
        </row>
        <row r="16370">
          <cell r="O16370" t="str">
            <v>SC1134UA-BK</v>
          </cell>
          <cell r="P16370" t="str">
            <v>STC1898AI</v>
          </cell>
          <cell r="Q16370" t="str">
            <v>磁性位置传感器</v>
          </cell>
        </row>
        <row r="16371">
          <cell r="O16371" t="str">
            <v>SC1134UA-BK</v>
          </cell>
          <cell r="P16371" t="str">
            <v>STC1898AI</v>
          </cell>
          <cell r="Q16371" t="str">
            <v>磁性位置传感器</v>
          </cell>
        </row>
        <row r="16372">
          <cell r="O16372" t="str">
            <v>SC1134UA-BK</v>
          </cell>
          <cell r="P16372" t="str">
            <v>STC1898AI</v>
          </cell>
          <cell r="Q16372" t="str">
            <v>磁性位置传感器</v>
          </cell>
        </row>
        <row r="16373">
          <cell r="O16373" t="str">
            <v>SC60228DC-TR</v>
          </cell>
          <cell r="P16373" t="str">
            <v>STC9D04C</v>
          </cell>
          <cell r="Q16373" t="str">
            <v>电机编码器</v>
          </cell>
        </row>
        <row r="16374">
          <cell r="O16374" t="str">
            <v>SC2242SO-TR-Q</v>
          </cell>
          <cell r="P16374" t="str">
            <v>STC9906H</v>
          </cell>
          <cell r="Q16374" t="str">
            <v>磁性位置传感器</v>
          </cell>
        </row>
        <row r="16375">
          <cell r="O16375" t="str">
            <v>SC2242SO-TR-Q</v>
          </cell>
          <cell r="P16375" t="str">
            <v>STC9906H</v>
          </cell>
          <cell r="Q16375" t="str">
            <v>磁性位置传感器</v>
          </cell>
        </row>
        <row r="16376">
          <cell r="O16376" t="str">
            <v>SC2242SO-TR-Q</v>
          </cell>
          <cell r="P16376" t="str">
            <v>STC9906H</v>
          </cell>
          <cell r="Q16376" t="str">
            <v>磁性位置传感器</v>
          </cell>
        </row>
        <row r="16377">
          <cell r="O16377" t="str">
            <v>SC2242SO-TR-Q</v>
          </cell>
          <cell r="P16377" t="str">
            <v>STC9906H</v>
          </cell>
          <cell r="Q16377" t="str">
            <v>磁性位置传感器</v>
          </cell>
        </row>
        <row r="16378">
          <cell r="O16378" t="str">
            <v>SC2242SO-TR-Q</v>
          </cell>
          <cell r="P16378" t="str">
            <v>STC9906H</v>
          </cell>
          <cell r="Q16378" t="str">
            <v>磁性位置传感器</v>
          </cell>
        </row>
        <row r="16379">
          <cell r="O16379" t="str">
            <v>SC2242SO-TR-Q</v>
          </cell>
          <cell r="P16379" t="str">
            <v>STC9906H</v>
          </cell>
          <cell r="Q16379" t="str">
            <v>磁性位置传感器</v>
          </cell>
        </row>
        <row r="16380">
          <cell r="O16380" t="str">
            <v>SC2242SO-TR-Q</v>
          </cell>
          <cell r="P16380" t="str">
            <v>STC9906H</v>
          </cell>
          <cell r="Q16380" t="str">
            <v>磁性位置传感器</v>
          </cell>
        </row>
        <row r="16381">
          <cell r="O16381" t="str">
            <v>SC2442SO-TR-Q</v>
          </cell>
          <cell r="P16381" t="str">
            <v>STC9906R</v>
          </cell>
          <cell r="Q16381" t="str">
            <v>磁性位置传感器</v>
          </cell>
        </row>
        <row r="16382">
          <cell r="O16382" t="str">
            <v>SC2442SO-TR-Q</v>
          </cell>
          <cell r="P16382" t="str">
            <v>STC9906R</v>
          </cell>
          <cell r="Q16382" t="str">
            <v>磁性位置传感器</v>
          </cell>
        </row>
        <row r="16383">
          <cell r="O16383" t="str">
            <v>SC2442SO-TR-Q</v>
          </cell>
          <cell r="P16383" t="str">
            <v>STC9906R</v>
          </cell>
          <cell r="Q16383" t="str">
            <v>磁性位置传感器</v>
          </cell>
        </row>
        <row r="16384">
          <cell r="O16384" t="str">
            <v>SC2442SO-N-TR-Q</v>
          </cell>
          <cell r="P16384" t="str">
            <v>STC9906P</v>
          </cell>
          <cell r="Q16384" t="str">
            <v>磁性位置传感器</v>
          </cell>
        </row>
        <row r="16385">
          <cell r="O16385" t="str">
            <v>SC2442SO-N-TR-Q</v>
          </cell>
          <cell r="P16385" t="str">
            <v>STC9906P</v>
          </cell>
          <cell r="Q16385" t="str">
            <v>磁性位置传感器</v>
          </cell>
        </row>
        <row r="16386">
          <cell r="O16386" t="str">
            <v>SC2402SO-N-TR</v>
          </cell>
          <cell r="P16386" t="str">
            <v>STC9902J</v>
          </cell>
          <cell r="Q16386" t="str">
            <v>磁性位置传感器</v>
          </cell>
        </row>
        <row r="16387">
          <cell r="O16387" t="str">
            <v>SC2442SO-TR-Q</v>
          </cell>
          <cell r="P16387" t="str">
            <v>STC9906R</v>
          </cell>
          <cell r="Q16387" t="str">
            <v>磁性位置传感器</v>
          </cell>
        </row>
        <row r="16388">
          <cell r="O16388" t="str">
            <v>SC2442SO-TR-Q</v>
          </cell>
          <cell r="P16388" t="str">
            <v>STC9906R</v>
          </cell>
          <cell r="Q16388" t="str">
            <v>磁性位置传感器</v>
          </cell>
        </row>
        <row r="16389">
          <cell r="O16389" t="str">
            <v>SC2442SO-TR-Q</v>
          </cell>
          <cell r="P16389" t="str">
            <v>STC9906R</v>
          </cell>
          <cell r="Q16389" t="str">
            <v>磁性位置传感器</v>
          </cell>
        </row>
        <row r="16390">
          <cell r="O16390" t="str">
            <v>SC2442SO-TR-Q</v>
          </cell>
          <cell r="P16390" t="str">
            <v>STC9906R</v>
          </cell>
          <cell r="Q16390" t="str">
            <v>磁性位置传感器</v>
          </cell>
        </row>
        <row r="16391">
          <cell r="O16391" t="str">
            <v>SC2442SO-TR-Q</v>
          </cell>
          <cell r="P16391" t="str">
            <v>STC9906R</v>
          </cell>
          <cell r="Q16391" t="str">
            <v>磁性位置传感器</v>
          </cell>
        </row>
        <row r="16392">
          <cell r="O16392" t="str">
            <v>SC2442SO-TR-Q</v>
          </cell>
          <cell r="P16392" t="str">
            <v>STC9906R</v>
          </cell>
          <cell r="Q16392" t="str">
            <v>磁性位置传感器</v>
          </cell>
        </row>
        <row r="16393">
          <cell r="O16393" t="str">
            <v>SC2402SO-N-TR</v>
          </cell>
          <cell r="P16393" t="str">
            <v>STC9902J</v>
          </cell>
          <cell r="Q16393" t="str">
            <v>磁性位置传感器</v>
          </cell>
        </row>
        <row r="16394">
          <cell r="O16394" t="str">
            <v>SC4688SA-BK-Q</v>
          </cell>
          <cell r="P16394" t="str">
            <v>STC9D01C</v>
          </cell>
          <cell r="Q16394" t="str">
            <v>角度传感器</v>
          </cell>
        </row>
        <row r="16395">
          <cell r="O16395" t="str">
            <v>SC4688SA-BK-Q</v>
          </cell>
          <cell r="P16395" t="str">
            <v>STC9D01C</v>
          </cell>
          <cell r="Q16395" t="str">
            <v>角度传感器</v>
          </cell>
        </row>
        <row r="16396">
          <cell r="O16396" t="str">
            <v>SC4688SA-BK-Q</v>
          </cell>
          <cell r="P16396" t="str">
            <v>STC9D01C</v>
          </cell>
          <cell r="Q16396" t="str">
            <v>角度传感器</v>
          </cell>
        </row>
        <row r="16397">
          <cell r="O16397" t="str">
            <v>SC4688SA</v>
          </cell>
          <cell r="P16397" t="str">
            <v>STC9D01C</v>
          </cell>
          <cell r="Q16397" t="str">
            <v>角度传感器</v>
          </cell>
        </row>
        <row r="16398">
          <cell r="O16398" t="str">
            <v>SC4688SA</v>
          </cell>
          <cell r="P16398" t="str">
            <v>STC9D01C</v>
          </cell>
          <cell r="Q16398" t="str">
            <v>角度传感器</v>
          </cell>
        </row>
        <row r="16399">
          <cell r="O16399" t="str">
            <v>SC4688SA</v>
          </cell>
          <cell r="P16399" t="str">
            <v>STC9D01C</v>
          </cell>
          <cell r="Q16399" t="str">
            <v>角度传感器</v>
          </cell>
        </row>
        <row r="16400">
          <cell r="O16400" t="str">
            <v>SC4688SA</v>
          </cell>
          <cell r="P16400" t="str">
            <v>STC9D01C</v>
          </cell>
          <cell r="Q16400" t="str">
            <v>角度传感器</v>
          </cell>
        </row>
        <row r="16401">
          <cell r="O16401" t="str">
            <v>SC1138SO-N-TR-Q</v>
          </cell>
          <cell r="P16401" t="str">
            <v>STC1898AC</v>
          </cell>
          <cell r="Q16401" t="str">
            <v>磁性位置传感器</v>
          </cell>
        </row>
        <row r="16402">
          <cell r="O16402" t="str">
            <v>SC4688SA</v>
          </cell>
          <cell r="P16402" t="str">
            <v>STC9D01C</v>
          </cell>
          <cell r="Q16402" t="str">
            <v>角度传感器</v>
          </cell>
        </row>
        <row r="16403">
          <cell r="O16403" t="str">
            <v>SC1138SO-N-TR-Q</v>
          </cell>
          <cell r="P16403" t="str">
            <v>STC1898AC</v>
          </cell>
          <cell r="Q16403" t="str">
            <v>磁性位置传感器</v>
          </cell>
        </row>
        <row r="16404">
          <cell r="O16404" t="str">
            <v>SC1138SO-N-TR-Q</v>
          </cell>
          <cell r="P16404" t="str">
            <v>STC1898AC</v>
          </cell>
          <cell r="Q16404" t="str">
            <v>磁性位置传感器</v>
          </cell>
        </row>
        <row r="16405">
          <cell r="O16405" t="str">
            <v>SC1138SO-N-TR-Q</v>
          </cell>
          <cell r="P16405" t="str">
            <v>STC1898AC</v>
          </cell>
          <cell r="Q16405" t="str">
            <v>磁性位置传感器</v>
          </cell>
        </row>
        <row r="16406">
          <cell r="O16406" t="str">
            <v>SC1138SO-N-TR-Q</v>
          </cell>
          <cell r="P16406" t="str">
            <v>STC1898AC</v>
          </cell>
          <cell r="Q16406" t="str">
            <v>磁性位置传感器</v>
          </cell>
        </row>
        <row r="16407">
          <cell r="O16407" t="str">
            <v>SC2436SO-TR</v>
          </cell>
          <cell r="P16407" t="str">
            <v>STC9906M</v>
          </cell>
          <cell r="Q16407" t="str">
            <v>磁性位置传感器</v>
          </cell>
        </row>
        <row r="16408">
          <cell r="O16408" t="str">
            <v>SC4688SA</v>
          </cell>
          <cell r="P16408" t="str">
            <v>STC9D01C</v>
          </cell>
          <cell r="Q16408" t="str">
            <v>角度传感器</v>
          </cell>
        </row>
        <row r="16409">
          <cell r="O16409" t="str">
            <v>SC4688SA</v>
          </cell>
          <cell r="P16409" t="str">
            <v>STC9D01C</v>
          </cell>
          <cell r="Q16409" t="str">
            <v>角度传感器</v>
          </cell>
        </row>
        <row r="16410">
          <cell r="O16410" t="str">
            <v>SC4688SA</v>
          </cell>
          <cell r="P16410" t="str">
            <v>STC9D01C</v>
          </cell>
          <cell r="Q16410" t="str">
            <v>角度传感器</v>
          </cell>
        </row>
        <row r="16411">
          <cell r="O16411" t="str">
            <v>SC4689SA-BK-Q</v>
          </cell>
          <cell r="P16411" t="str">
            <v>STC9D01F</v>
          </cell>
          <cell r="Q16411" t="str">
            <v>角度传感器</v>
          </cell>
        </row>
        <row r="16412">
          <cell r="O16412" t="str">
            <v>SC4689SA-BK-Q</v>
          </cell>
          <cell r="P16412" t="str">
            <v>STC9D01F</v>
          </cell>
          <cell r="Q16412" t="str">
            <v>角度传感器</v>
          </cell>
        </row>
        <row r="16413">
          <cell r="O16413" t="str">
            <v>SC2436SO-TR</v>
          </cell>
          <cell r="P16413" t="str">
            <v>STC9906M</v>
          </cell>
          <cell r="Q16413" t="str">
            <v>磁性位置传感器</v>
          </cell>
        </row>
        <row r="16414">
          <cell r="O16414" t="str">
            <v>SC4643编程器</v>
          </cell>
          <cell r="P16414" t="str">
            <v xml:space="preserve"> </v>
          </cell>
          <cell r="Q16414" t="str">
            <v>电流传感器</v>
          </cell>
        </row>
        <row r="16415">
          <cell r="O16415" t="str">
            <v>SC4643VB-BK-Q</v>
          </cell>
          <cell r="P16415" t="str">
            <v>STC9D03E</v>
          </cell>
          <cell r="Q16415" t="str">
            <v>电流传感器</v>
          </cell>
        </row>
        <row r="16416">
          <cell r="O16416" t="str">
            <v>SC9314UA-BK</v>
          </cell>
          <cell r="P16416" t="str">
            <v>STC9901AF</v>
          </cell>
          <cell r="Q16416" t="str">
            <v>速度传感器</v>
          </cell>
        </row>
        <row r="16417">
          <cell r="O16417" t="str">
            <v>SC9314UA-BK</v>
          </cell>
          <cell r="P16417" t="str">
            <v>STC9901AF</v>
          </cell>
          <cell r="Q16417" t="str">
            <v>速度传感器</v>
          </cell>
        </row>
        <row r="16418">
          <cell r="O16418" t="str">
            <v>SC2442SO-TR-Q</v>
          </cell>
          <cell r="P16418" t="str">
            <v>STC11102B</v>
          </cell>
          <cell r="Q16418" t="str">
            <v>磁性位置传感器</v>
          </cell>
        </row>
        <row r="16419">
          <cell r="O16419" t="str">
            <v>SC2442SO-TR-Q</v>
          </cell>
          <cell r="P16419" t="str">
            <v>STC11102B</v>
          </cell>
          <cell r="Q16419" t="str">
            <v>磁性位置传感器</v>
          </cell>
        </row>
        <row r="16420">
          <cell r="O16420" t="str">
            <v>SC2442SO-TR-Q</v>
          </cell>
          <cell r="P16420" t="str">
            <v>STC11102B</v>
          </cell>
          <cell r="Q16420" t="str">
            <v>磁性位置传感器</v>
          </cell>
        </row>
        <row r="16421">
          <cell r="O16421" t="str">
            <v>SC2432SO-N-TR</v>
          </cell>
          <cell r="P16421" t="str">
            <v>STC9906I</v>
          </cell>
          <cell r="Q16421" t="str">
            <v>磁性位置传感器</v>
          </cell>
        </row>
        <row r="16422">
          <cell r="O16422" t="str">
            <v>SC2442SO-TR-Q</v>
          </cell>
          <cell r="P16422" t="str">
            <v>STC11102B</v>
          </cell>
          <cell r="Q16422" t="str">
            <v>磁性位置传感器</v>
          </cell>
        </row>
        <row r="16423">
          <cell r="O16423" t="str">
            <v>SC2402SO-N-TR</v>
          </cell>
          <cell r="P16423" t="str">
            <v>STC9G002A</v>
          </cell>
          <cell r="Q16423" t="str">
            <v>磁性位置传感器</v>
          </cell>
        </row>
        <row r="16424">
          <cell r="O16424" t="str">
            <v>SC2466SO-TR</v>
          </cell>
          <cell r="P16424" t="str">
            <v>STC9906O</v>
          </cell>
          <cell r="Q16424" t="str">
            <v>磁性位置传感器</v>
          </cell>
        </row>
        <row r="16425">
          <cell r="O16425" t="str">
            <v>SC9632VB-BK</v>
          </cell>
          <cell r="P16425" t="str">
            <v>STC9905E</v>
          </cell>
          <cell r="Q16425" t="str">
            <v>速度传感器</v>
          </cell>
        </row>
        <row r="16426">
          <cell r="O16426" t="str">
            <v>SC9633VB</v>
          </cell>
          <cell r="P16426" t="str">
            <v>STC9905F</v>
          </cell>
          <cell r="Q16426" t="str">
            <v>速度传感器</v>
          </cell>
        </row>
        <row r="16427">
          <cell r="O16427" t="str">
            <v>SC9684TS-TR-Q</v>
          </cell>
          <cell r="P16427" t="str">
            <v>STC12100B</v>
          </cell>
          <cell r="Q16427" t="str">
            <v>速度传感器</v>
          </cell>
        </row>
        <row r="16428">
          <cell r="O16428" t="str">
            <v>SC9684TS-TR-Q</v>
          </cell>
          <cell r="P16428" t="str">
            <v>STC12100B</v>
          </cell>
          <cell r="Q16428" t="str">
            <v>速度传感器</v>
          </cell>
        </row>
        <row r="16429">
          <cell r="O16429" t="str">
            <v>SC9648TS-TR</v>
          </cell>
          <cell r="P16429" t="str">
            <v>STC9A001I</v>
          </cell>
          <cell r="Q16429" t="str">
            <v>速度传感器</v>
          </cell>
        </row>
        <row r="16430">
          <cell r="O16430" t="str">
            <v>SC9648TS-TR</v>
          </cell>
          <cell r="P16430" t="str">
            <v>STC9A001I</v>
          </cell>
          <cell r="Q16430" t="str">
            <v>速度传感器</v>
          </cell>
        </row>
        <row r="16431">
          <cell r="O16431" t="str">
            <v>SC9648TS-TR</v>
          </cell>
          <cell r="P16431" t="str">
            <v>STC9A001I</v>
          </cell>
          <cell r="Q16431" t="str">
            <v>速度传感器</v>
          </cell>
        </row>
        <row r="16432">
          <cell r="O16432" t="str">
            <v>SC9648TS-TR</v>
          </cell>
          <cell r="P16432" t="str">
            <v>STC9A001I</v>
          </cell>
          <cell r="Q16432" t="str">
            <v>速度传感器</v>
          </cell>
        </row>
        <row r="16433">
          <cell r="O16433" t="str">
            <v>SC9648TS-TR</v>
          </cell>
          <cell r="P16433" t="str">
            <v>STC9A001I</v>
          </cell>
          <cell r="Q16433" t="str">
            <v>速度传感器</v>
          </cell>
        </row>
        <row r="16434">
          <cell r="O16434" t="str">
            <v>SC9648TS-TR</v>
          </cell>
          <cell r="P16434" t="str">
            <v>STC9A001I</v>
          </cell>
          <cell r="Q16434" t="str">
            <v>速度传感器</v>
          </cell>
        </row>
        <row r="16435">
          <cell r="O16435" t="str">
            <v>SC9648TS-TR</v>
          </cell>
          <cell r="P16435" t="str">
            <v>STC9A001I</v>
          </cell>
          <cell r="Q16435" t="str">
            <v>速度传感器</v>
          </cell>
        </row>
        <row r="16436">
          <cell r="O16436" t="str">
            <v>SC9648TS-TR</v>
          </cell>
          <cell r="P16436" t="str">
            <v>STC9A001I</v>
          </cell>
          <cell r="Q16436" t="str">
            <v>速度传感器</v>
          </cell>
        </row>
        <row r="16437">
          <cell r="O16437" t="str">
            <v>SC9648TS-TR</v>
          </cell>
          <cell r="P16437" t="str">
            <v>STC9A001I</v>
          </cell>
          <cell r="Q16437" t="str">
            <v>速度传感器</v>
          </cell>
        </row>
        <row r="16438">
          <cell r="O16438" t="str">
            <v>SC9648TS-TR</v>
          </cell>
          <cell r="P16438" t="str">
            <v>STC9A001I</v>
          </cell>
          <cell r="Q16438" t="str">
            <v>速度传感器</v>
          </cell>
        </row>
        <row r="16439">
          <cell r="O16439" t="str">
            <v>SC9648TS-TR</v>
          </cell>
          <cell r="P16439" t="str">
            <v>STC9A001I</v>
          </cell>
          <cell r="Q16439" t="str">
            <v>速度传感器</v>
          </cell>
        </row>
        <row r="16440">
          <cell r="O16440" t="str">
            <v>SC9648TS-TR</v>
          </cell>
          <cell r="P16440" t="str">
            <v>STC9A001I</v>
          </cell>
          <cell r="Q16440" t="str">
            <v>速度传感器</v>
          </cell>
        </row>
        <row r="16441">
          <cell r="O16441" t="str">
            <v>SC9648TS-TR</v>
          </cell>
          <cell r="P16441" t="str">
            <v>STC9A001I</v>
          </cell>
          <cell r="Q16441" t="str">
            <v>速度传感器</v>
          </cell>
        </row>
        <row r="16442">
          <cell r="O16442" t="str">
            <v>SC9648TS-TR</v>
          </cell>
          <cell r="P16442" t="str">
            <v>STC9A001I</v>
          </cell>
          <cell r="Q16442" t="str">
            <v>速度传感器</v>
          </cell>
        </row>
        <row r="16443">
          <cell r="O16443" t="str">
            <v>SC9648TS-TR</v>
          </cell>
          <cell r="P16443" t="str">
            <v>STC9A001I</v>
          </cell>
          <cell r="Q16443" t="str">
            <v>速度传感器</v>
          </cell>
        </row>
        <row r="16444">
          <cell r="O16444" t="str">
            <v>SC9648TS-TR</v>
          </cell>
          <cell r="P16444" t="str">
            <v>STC9A001I</v>
          </cell>
          <cell r="Q16444" t="str">
            <v>速度传感器</v>
          </cell>
        </row>
        <row r="16445">
          <cell r="O16445" t="str">
            <v>SC9648TS-TR</v>
          </cell>
          <cell r="P16445" t="str">
            <v>STC9A001I</v>
          </cell>
          <cell r="Q16445" t="str">
            <v>速度传感器</v>
          </cell>
        </row>
        <row r="16446">
          <cell r="O16446" t="str">
            <v>SC9648TS-TR</v>
          </cell>
          <cell r="P16446" t="str">
            <v>STC9A001I</v>
          </cell>
          <cell r="Q16446" t="str">
            <v>速度传感器</v>
          </cell>
        </row>
        <row r="16447">
          <cell r="O16447" t="str">
            <v>SC9648TS-TR</v>
          </cell>
          <cell r="P16447" t="str">
            <v>STC9A001I</v>
          </cell>
          <cell r="Q16447" t="str">
            <v>速度传感器</v>
          </cell>
        </row>
        <row r="16448">
          <cell r="O16448" t="str">
            <v>SC9648TS-TR</v>
          </cell>
          <cell r="P16448" t="str">
            <v>STC9A001I</v>
          </cell>
          <cell r="Q16448" t="str">
            <v>速度传感器</v>
          </cell>
        </row>
        <row r="16449">
          <cell r="O16449" t="str">
            <v>SC9648TS-TR</v>
          </cell>
          <cell r="P16449" t="str">
            <v>STC9A001I</v>
          </cell>
          <cell r="Q16449" t="str">
            <v>速度传感器</v>
          </cell>
        </row>
        <row r="16450">
          <cell r="O16450" t="str">
            <v>SC9648TS-TR</v>
          </cell>
          <cell r="P16450" t="str">
            <v>STC9A001I</v>
          </cell>
          <cell r="Q16450" t="str">
            <v>速度传感器</v>
          </cell>
        </row>
        <row r="16451">
          <cell r="O16451" t="str">
            <v>SC9648TS-TR</v>
          </cell>
          <cell r="P16451" t="str">
            <v>STC9A001I</v>
          </cell>
          <cell r="Q16451" t="str">
            <v>速度传感器</v>
          </cell>
        </row>
        <row r="16452">
          <cell r="O16452" t="str">
            <v>SC9648TS-TR</v>
          </cell>
          <cell r="P16452" t="str">
            <v>STC9A001I</v>
          </cell>
          <cell r="Q16452" t="str">
            <v>速度传感器</v>
          </cell>
        </row>
        <row r="16453">
          <cell r="O16453" t="str">
            <v>SC9648TS-TR</v>
          </cell>
          <cell r="P16453" t="str">
            <v>STC9A001I</v>
          </cell>
          <cell r="Q16453" t="str">
            <v>速度传感器</v>
          </cell>
        </row>
        <row r="16454">
          <cell r="O16454" t="str">
            <v>SC9648TS-TR</v>
          </cell>
          <cell r="P16454" t="str">
            <v>STC9A001I</v>
          </cell>
          <cell r="Q16454" t="str">
            <v>速度传感器</v>
          </cell>
        </row>
        <row r="16455">
          <cell r="O16455" t="str">
            <v>SC9648TS-TR</v>
          </cell>
          <cell r="P16455" t="str">
            <v>STC9A001I</v>
          </cell>
          <cell r="Q16455" t="str">
            <v>速度传感器</v>
          </cell>
        </row>
        <row r="16456">
          <cell r="O16456" t="str">
            <v>SC9648TS-TR</v>
          </cell>
          <cell r="P16456" t="str">
            <v>STC9A001I</v>
          </cell>
          <cell r="Q16456" t="str">
            <v>速度传感器</v>
          </cell>
        </row>
        <row r="16457">
          <cell r="O16457" t="str">
            <v>SC9648TS-TR</v>
          </cell>
          <cell r="P16457" t="str">
            <v>STC9A001I</v>
          </cell>
          <cell r="Q16457" t="str">
            <v>速度传感器</v>
          </cell>
        </row>
        <row r="16458">
          <cell r="O16458" t="str">
            <v>SC9648TS-TR</v>
          </cell>
          <cell r="P16458" t="str">
            <v>STC9A001I</v>
          </cell>
          <cell r="Q16458" t="str">
            <v>速度传感器</v>
          </cell>
        </row>
        <row r="16459">
          <cell r="O16459" t="str">
            <v>SC9648TS-TR</v>
          </cell>
          <cell r="P16459" t="str">
            <v>STC9A001I</v>
          </cell>
          <cell r="Q16459" t="str">
            <v>速度传感器</v>
          </cell>
        </row>
        <row r="16460">
          <cell r="O16460" t="str">
            <v>SC9648TS-TR</v>
          </cell>
          <cell r="P16460" t="str">
            <v>STC9A001I</v>
          </cell>
          <cell r="Q16460" t="str">
            <v>速度传感器</v>
          </cell>
        </row>
        <row r="16461">
          <cell r="O16461" t="str">
            <v>SC9648TS-TR</v>
          </cell>
          <cell r="P16461" t="str">
            <v>STC9A001I</v>
          </cell>
          <cell r="Q16461" t="str">
            <v>速度传感器</v>
          </cell>
        </row>
        <row r="16462">
          <cell r="O16462" t="str">
            <v>SC4643VB-S-BK-Q</v>
          </cell>
          <cell r="P16462" t="str">
            <v>STC9D03E</v>
          </cell>
          <cell r="Q16462" t="str">
            <v>电流传感器</v>
          </cell>
        </row>
        <row r="16463">
          <cell r="O16463" t="str">
            <v>SC9684TS-TR-Q</v>
          </cell>
          <cell r="P16463" t="str">
            <v>STC12100B</v>
          </cell>
          <cell r="Q16463" t="str">
            <v>速度传感器</v>
          </cell>
        </row>
        <row r="16464">
          <cell r="O16464" t="str">
            <v>SC4643VB-P-BK-Q</v>
          </cell>
          <cell r="P16464" t="str">
            <v>STC9D03E</v>
          </cell>
          <cell r="Q16464" t="str">
            <v>电流传感器</v>
          </cell>
        </row>
        <row r="16465">
          <cell r="O16465" t="str">
            <v>SC9314UA-BK</v>
          </cell>
          <cell r="P16465" t="str">
            <v>STC9901AF</v>
          </cell>
          <cell r="Q16465" t="str">
            <v>速度传感器</v>
          </cell>
        </row>
        <row r="16466">
          <cell r="O16466" t="str">
            <v>SC4643VB-P-BK-Q</v>
          </cell>
          <cell r="P16466" t="str">
            <v>STC9D03E</v>
          </cell>
          <cell r="Q16466" t="str">
            <v>电流传感器</v>
          </cell>
        </row>
        <row r="16467">
          <cell r="O16467" t="str">
            <v>SC4643VB-P</v>
          </cell>
          <cell r="P16467" t="str">
            <v>STC9D03E</v>
          </cell>
          <cell r="Q16467" t="str">
            <v>电流传感器</v>
          </cell>
        </row>
        <row r="16468">
          <cell r="O16468" t="str">
            <v>SC4643VB-P</v>
          </cell>
          <cell r="P16468" t="str">
            <v>STC9D03E</v>
          </cell>
          <cell r="Q16468" t="str">
            <v>电流传感器</v>
          </cell>
        </row>
        <row r="16469">
          <cell r="O16469" t="str">
            <v>SC9314UA-BK</v>
          </cell>
          <cell r="P16469" t="str">
            <v>STC9901AF</v>
          </cell>
          <cell r="Q16469" t="str">
            <v>速度传感器</v>
          </cell>
        </row>
        <row r="16470">
          <cell r="O16470" t="str">
            <v>SC9314UA-BK</v>
          </cell>
          <cell r="P16470" t="str">
            <v>STC9901AF</v>
          </cell>
          <cell r="Q16470" t="str">
            <v>速度传感器</v>
          </cell>
        </row>
        <row r="16471">
          <cell r="O16471" t="str">
            <v>SC9314UA-BK</v>
          </cell>
          <cell r="P16471" t="str">
            <v>STC9901AF</v>
          </cell>
          <cell r="Q16471" t="str">
            <v>速度传感器</v>
          </cell>
        </row>
        <row r="16472">
          <cell r="O16472" t="str">
            <v>SC9314UA-BK</v>
          </cell>
          <cell r="P16472" t="str">
            <v>STC9901AF</v>
          </cell>
          <cell r="Q16472" t="str">
            <v>速度传感器</v>
          </cell>
        </row>
        <row r="16473">
          <cell r="O16473" t="str">
            <v>SC9641TS-P-TR</v>
          </cell>
          <cell r="P16473" t="str">
            <v>STC9A001I</v>
          </cell>
          <cell r="Q16473" t="str">
            <v>速度传感器</v>
          </cell>
        </row>
        <row r="16474">
          <cell r="O16474" t="str">
            <v>SC9641TS-P-TR</v>
          </cell>
          <cell r="P16474" t="str">
            <v>STC9A001I</v>
          </cell>
          <cell r="Q16474" t="str">
            <v>速度传感器</v>
          </cell>
        </row>
        <row r="16475">
          <cell r="O16475" t="str">
            <v>SC9641TS-P-TR</v>
          </cell>
          <cell r="P16475" t="str">
            <v>STC9A001I</v>
          </cell>
          <cell r="Q16475" t="str">
            <v>速度传感器</v>
          </cell>
        </row>
        <row r="16476">
          <cell r="O16476" t="str">
            <v>SC9642TS-E</v>
          </cell>
          <cell r="P16476" t="str">
            <v>STC9A001H</v>
          </cell>
          <cell r="Q16476" t="str">
            <v>速度传感器</v>
          </cell>
        </row>
        <row r="16477">
          <cell r="O16477" t="str">
            <v>SC9642TS-E</v>
          </cell>
          <cell r="P16477" t="str">
            <v>STC9A001H</v>
          </cell>
          <cell r="Q16477" t="str">
            <v>速度传感器</v>
          </cell>
        </row>
        <row r="16478">
          <cell r="O16478" t="str">
            <v>SC69401-A</v>
          </cell>
          <cell r="P16478" t="str">
            <v>STC9H002DQ</v>
          </cell>
          <cell r="Q16478" t="str">
            <v>角度传感器</v>
          </cell>
        </row>
        <row r="16479">
          <cell r="O16479" t="str">
            <v>SC69401-A</v>
          </cell>
          <cell r="P16479" t="str">
            <v>STC9H002DQ</v>
          </cell>
          <cell r="Q16479" t="str">
            <v>角度传感器</v>
          </cell>
        </row>
        <row r="16480">
          <cell r="O16480" t="str">
            <v>SC9648TS-TR</v>
          </cell>
          <cell r="P16480" t="str">
            <v>STC9A001I</v>
          </cell>
          <cell r="Q16480" t="str">
            <v>速度传感器</v>
          </cell>
        </row>
        <row r="16481">
          <cell r="O16481" t="str">
            <v>SC9648TS-TR</v>
          </cell>
          <cell r="P16481" t="str">
            <v>STC9A001I</v>
          </cell>
          <cell r="Q16481" t="str">
            <v>速度传感器</v>
          </cell>
        </row>
        <row r="16482">
          <cell r="O16482" t="str">
            <v>SC9648TS-TR</v>
          </cell>
          <cell r="P16482" t="str">
            <v>STC9A001I</v>
          </cell>
          <cell r="Q16482" t="str">
            <v>速度传感器</v>
          </cell>
        </row>
        <row r="16483">
          <cell r="O16483" t="str">
            <v>SC2442SO-TR-Q</v>
          </cell>
          <cell r="P16483" t="str">
            <v>STC11102B</v>
          </cell>
          <cell r="Q16483" t="str">
            <v>磁性位置传感器</v>
          </cell>
        </row>
        <row r="16484">
          <cell r="O16484" t="str">
            <v>SC2442SO-TR-Q</v>
          </cell>
          <cell r="P16484" t="str">
            <v>STC11102B</v>
          </cell>
          <cell r="Q16484" t="str">
            <v>磁性位置传感器</v>
          </cell>
        </row>
        <row r="16485">
          <cell r="O16485" t="str">
            <v>SC25270SO6</v>
          </cell>
          <cell r="P16485" t="str">
            <v>STC11131A</v>
          </cell>
          <cell r="Q16485" t="str">
            <v>磁性位置传感器</v>
          </cell>
        </row>
        <row r="16486">
          <cell r="O16486" t="str">
            <v>SC724SP30B5</v>
          </cell>
          <cell r="P16486" t="str">
            <v>STC9D06F</v>
          </cell>
          <cell r="Q16486" t="str">
            <v>电流传感器</v>
          </cell>
        </row>
        <row r="16487">
          <cell r="O16487" t="str">
            <v>SC724SP30B5</v>
          </cell>
          <cell r="P16487" t="str">
            <v>STC9D06F</v>
          </cell>
          <cell r="Q16487" t="str">
            <v>电流传感器</v>
          </cell>
        </row>
        <row r="16488">
          <cell r="O16488" t="str">
            <v>SC2438UA</v>
          </cell>
          <cell r="P16488" t="str">
            <v>STC9906I</v>
          </cell>
          <cell r="Q16488" t="str">
            <v>磁性位置传感器</v>
          </cell>
        </row>
        <row r="16489">
          <cell r="O16489" t="str">
            <v>SC2438UA</v>
          </cell>
          <cell r="P16489" t="str">
            <v>STC9906I</v>
          </cell>
          <cell r="Q16489" t="str">
            <v>磁性位置传感器</v>
          </cell>
        </row>
        <row r="16490">
          <cell r="O16490" t="str">
            <v>SC2402SO-N-TR</v>
          </cell>
          <cell r="P16490" t="str">
            <v>STC9G002A</v>
          </cell>
          <cell r="Q16490" t="str">
            <v>磁性位置传感器</v>
          </cell>
        </row>
        <row r="16491">
          <cell r="O16491" t="str">
            <v>SC2402SO-N-TR</v>
          </cell>
          <cell r="P16491" t="str">
            <v>STC9G002A</v>
          </cell>
          <cell r="Q16491" t="str">
            <v>磁性位置传感器</v>
          </cell>
        </row>
        <row r="16492">
          <cell r="O16492" t="str">
            <v>SC2402SO-N-TR</v>
          </cell>
          <cell r="P16492" t="str">
            <v>STC9G002A</v>
          </cell>
          <cell r="Q16492" t="str">
            <v>磁性位置传感器</v>
          </cell>
        </row>
        <row r="16493">
          <cell r="O16493" t="str">
            <v>SC2402SO-N-TR</v>
          </cell>
          <cell r="P16493" t="str">
            <v>STC9G002A</v>
          </cell>
          <cell r="Q16493" t="str">
            <v>磁性位置传感器</v>
          </cell>
        </row>
        <row r="16494">
          <cell r="O16494" t="str">
            <v>SC2402SO-N-TR</v>
          </cell>
          <cell r="P16494" t="str">
            <v>STC9G002A</v>
          </cell>
          <cell r="Q16494" t="str">
            <v>磁性位置传感器</v>
          </cell>
        </row>
        <row r="16495">
          <cell r="O16495" t="str">
            <v>SC2402SO-N-TR</v>
          </cell>
          <cell r="P16495" t="str">
            <v>STC9G002A</v>
          </cell>
          <cell r="Q16495" t="str">
            <v>磁性位置传感器</v>
          </cell>
        </row>
        <row r="16496">
          <cell r="O16496" t="str">
            <v>SC2402SO-N-TR</v>
          </cell>
          <cell r="P16496" t="str">
            <v>STC9G002A</v>
          </cell>
          <cell r="Q16496" t="str">
            <v>磁性位置传感器</v>
          </cell>
        </row>
        <row r="16497">
          <cell r="O16497" t="str">
            <v>SC2402SO-N-TR</v>
          </cell>
          <cell r="P16497" t="str">
            <v>STC9G002A</v>
          </cell>
          <cell r="Q16497" t="str">
            <v>磁性位置传感器</v>
          </cell>
        </row>
        <row r="16498">
          <cell r="O16498" t="str">
            <v>SC2402SO-N-TR</v>
          </cell>
          <cell r="P16498" t="str">
            <v>STC9G002A</v>
          </cell>
          <cell r="Q16498" t="str">
            <v>磁性位置传感器</v>
          </cell>
        </row>
        <row r="16499">
          <cell r="O16499" t="str">
            <v>SC2402SO-N-TR</v>
          </cell>
          <cell r="P16499" t="str">
            <v>STC9G002A</v>
          </cell>
          <cell r="Q16499" t="str">
            <v>磁性位置传感器</v>
          </cell>
        </row>
        <row r="16500">
          <cell r="O16500" t="str">
            <v>SC2402SO-N-TR</v>
          </cell>
          <cell r="P16500" t="str">
            <v>STC9G002A</v>
          </cell>
          <cell r="Q16500" t="str">
            <v>磁性位置传感器</v>
          </cell>
        </row>
        <row r="16501">
          <cell r="O16501" t="str">
            <v>SC2442SO-TR-Q</v>
          </cell>
          <cell r="P16501" t="str">
            <v>STC11102B</v>
          </cell>
          <cell r="Q16501" t="str">
            <v>磁性位置传感器</v>
          </cell>
        </row>
        <row r="16502">
          <cell r="O16502" t="str">
            <v>SC2442SO-TR-Q</v>
          </cell>
          <cell r="P16502" t="str">
            <v>STC11102B</v>
          </cell>
          <cell r="Q16502" t="str">
            <v>磁性位置传感器</v>
          </cell>
        </row>
        <row r="16503">
          <cell r="O16503" t="str">
            <v>SC2443SO-TR-Q</v>
          </cell>
          <cell r="P16503" t="str">
            <v>STC9906T</v>
          </cell>
          <cell r="Q16503" t="str">
            <v>磁性位置传感器</v>
          </cell>
        </row>
        <row r="16504">
          <cell r="O16504" t="str">
            <v>SC2443SO-TR-Q</v>
          </cell>
          <cell r="P16504" t="str">
            <v>STC9906T</v>
          </cell>
          <cell r="Q16504" t="str">
            <v>磁性位置传感器</v>
          </cell>
        </row>
        <row r="16505">
          <cell r="O16505" t="str">
            <v>SC1445A1</v>
          </cell>
          <cell r="P16505" t="str">
            <v>STC2899AB</v>
          </cell>
          <cell r="Q16505" t="str">
            <v>磁性位置传感器</v>
          </cell>
        </row>
        <row r="16506">
          <cell r="O16506" t="str">
            <v>SC1445A1</v>
          </cell>
          <cell r="P16506" t="str">
            <v>STC2899AB</v>
          </cell>
          <cell r="Q16506" t="str">
            <v>磁性位置传感器</v>
          </cell>
        </row>
        <row r="16507">
          <cell r="O16507" t="str">
            <v>SC4645VB-BK</v>
          </cell>
          <cell r="P16507" t="str">
            <v>STC9D06F</v>
          </cell>
          <cell r="Q16507" t="str">
            <v>电流传感器</v>
          </cell>
        </row>
        <row r="16508">
          <cell r="O16508" t="str">
            <v>SC4923SO-N-TR</v>
          </cell>
          <cell r="P16508" t="str">
            <v>SC4009D</v>
          </cell>
          <cell r="Q16508" t="str">
            <v>磁性位置传感器</v>
          </cell>
        </row>
        <row r="16509">
          <cell r="O16509" t="str">
            <v>SC4923SO-N-TR</v>
          </cell>
          <cell r="P16509" t="str">
            <v>SC4009D</v>
          </cell>
          <cell r="Q16509" t="str">
            <v>磁性位置传感器</v>
          </cell>
        </row>
        <row r="16510">
          <cell r="O16510" t="str">
            <v>SC4923SO-N-TR</v>
          </cell>
          <cell r="P16510" t="str">
            <v>SC4009D</v>
          </cell>
          <cell r="Q16510" t="str">
            <v>磁性位置传感器</v>
          </cell>
        </row>
        <row r="16511">
          <cell r="O16511" t="str">
            <v>SC4923SO-N-TR</v>
          </cell>
          <cell r="P16511" t="str">
            <v>SC4009D</v>
          </cell>
          <cell r="Q16511" t="str">
            <v>磁性位置传感器</v>
          </cell>
        </row>
        <row r="16512">
          <cell r="O16512" t="str">
            <v>SC4923SO-N-TR</v>
          </cell>
          <cell r="P16512" t="str">
            <v>SC4009D</v>
          </cell>
          <cell r="Q16512" t="str">
            <v>磁性位置传感器</v>
          </cell>
        </row>
        <row r="16513">
          <cell r="O16513" t="str">
            <v>SC4923SO-N-TR</v>
          </cell>
          <cell r="P16513" t="str">
            <v>SC4009D</v>
          </cell>
          <cell r="Q16513" t="str">
            <v>磁性位置传感器</v>
          </cell>
        </row>
        <row r="16514">
          <cell r="O16514" t="str">
            <v>SC4923SO-N-TR</v>
          </cell>
          <cell r="P16514" t="str">
            <v>SC4009D</v>
          </cell>
          <cell r="Q16514" t="str">
            <v>磁性位置传感器</v>
          </cell>
        </row>
        <row r="16515">
          <cell r="O16515" t="str">
            <v>SC4923SO-N-TR</v>
          </cell>
          <cell r="P16515" t="str">
            <v>SC4009D</v>
          </cell>
          <cell r="Q16515" t="str">
            <v>磁性位置传感器</v>
          </cell>
        </row>
        <row r="16516">
          <cell r="O16516" t="str">
            <v>SC4923SO-N-TR</v>
          </cell>
          <cell r="P16516" t="str">
            <v>SC4009D</v>
          </cell>
          <cell r="Q16516" t="str">
            <v>磁性位置传感器</v>
          </cell>
        </row>
        <row r="16517">
          <cell r="O16517" t="str">
            <v>SC4923SO-N-TR</v>
          </cell>
          <cell r="P16517" t="str">
            <v>SC4009D</v>
          </cell>
          <cell r="Q16517" t="str">
            <v>磁性位置传感器</v>
          </cell>
        </row>
        <row r="16518">
          <cell r="O16518" t="str">
            <v>SC4923SO-N-TR</v>
          </cell>
          <cell r="P16518" t="str">
            <v>SC4009D</v>
          </cell>
          <cell r="Q16518" t="str">
            <v>磁性位置传感器</v>
          </cell>
        </row>
        <row r="16519">
          <cell r="O16519" t="str">
            <v>SC4923SO-N-TR</v>
          </cell>
          <cell r="P16519" t="str">
            <v>SC4009D</v>
          </cell>
          <cell r="Q16519" t="str">
            <v>磁性位置传感器</v>
          </cell>
        </row>
        <row r="16520">
          <cell r="O16520" t="str">
            <v>SC4923SO-N-TR</v>
          </cell>
          <cell r="P16520" t="str">
            <v>SC4009D</v>
          </cell>
          <cell r="Q16520" t="str">
            <v>磁性位置传感器</v>
          </cell>
        </row>
        <row r="16521">
          <cell r="O16521" t="str">
            <v>SC4923SO-N-TR</v>
          </cell>
          <cell r="P16521" t="str">
            <v>SC4009D</v>
          </cell>
          <cell r="Q16521" t="str">
            <v>磁性位置传感器</v>
          </cell>
        </row>
        <row r="16522">
          <cell r="O16522" t="str">
            <v>SC4923SO-N-TR</v>
          </cell>
          <cell r="P16522" t="str">
            <v>SC4009D</v>
          </cell>
          <cell r="Q16522" t="str">
            <v>磁性位置传感器</v>
          </cell>
        </row>
        <row r="16523">
          <cell r="O16523" t="str">
            <v>SC4923SO-N-TR</v>
          </cell>
          <cell r="P16523" t="str">
            <v>SC4009D</v>
          </cell>
          <cell r="Q16523" t="str">
            <v>磁性位置传感器</v>
          </cell>
        </row>
        <row r="16524">
          <cell r="O16524" t="str">
            <v>SC4923SO-N-TR</v>
          </cell>
          <cell r="P16524" t="str">
            <v>SC4009D</v>
          </cell>
          <cell r="Q16524" t="str">
            <v>磁性位置传感器</v>
          </cell>
        </row>
        <row r="16525">
          <cell r="O16525" t="str">
            <v>SC4923SO-N-TR</v>
          </cell>
          <cell r="P16525" t="str">
            <v>SC4009D</v>
          </cell>
          <cell r="Q16525" t="str">
            <v>磁性位置传感器</v>
          </cell>
        </row>
        <row r="16526">
          <cell r="O16526" t="str">
            <v>SC4923SO-N-TR</v>
          </cell>
          <cell r="P16526" t="str">
            <v>SC4009D</v>
          </cell>
          <cell r="Q16526" t="str">
            <v>磁性位置传感器</v>
          </cell>
        </row>
        <row r="16527">
          <cell r="O16527" t="str">
            <v>SC4923SO-N-TR</v>
          </cell>
          <cell r="P16527" t="str">
            <v>SC4009D</v>
          </cell>
          <cell r="Q16527" t="str">
            <v>磁性位置传感器</v>
          </cell>
        </row>
        <row r="16528">
          <cell r="O16528" t="str">
            <v>SC4923SO-N-TR</v>
          </cell>
          <cell r="P16528" t="str">
            <v>SC4009D</v>
          </cell>
          <cell r="Q16528" t="str">
            <v>磁性位置传感器</v>
          </cell>
        </row>
        <row r="16529">
          <cell r="O16529" t="str">
            <v>SC4923SO-N-TR</v>
          </cell>
          <cell r="P16529" t="str">
            <v>SC4009D</v>
          </cell>
          <cell r="Q16529" t="str">
            <v>磁性位置传感器</v>
          </cell>
        </row>
        <row r="16530">
          <cell r="O16530" t="str">
            <v>SC4391S6-TR</v>
          </cell>
          <cell r="P16530" t="str">
            <v>STC11202B-T</v>
          </cell>
          <cell r="Q16530" t="str">
            <v>磁性位置传感器</v>
          </cell>
        </row>
        <row r="16531">
          <cell r="O16531" t="str">
            <v>SC9641TS-PC-TR-Q</v>
          </cell>
          <cell r="P16531" t="str">
            <v>STC9A001I</v>
          </cell>
          <cell r="Q16531" t="str">
            <v>速度传感器</v>
          </cell>
        </row>
        <row r="16532">
          <cell r="O16532" t="str">
            <v>SC9641TS-PC-TR-Q</v>
          </cell>
          <cell r="P16532" t="str">
            <v>STC9A001I</v>
          </cell>
          <cell r="Q16532" t="str">
            <v>速度传感器</v>
          </cell>
        </row>
        <row r="16533">
          <cell r="O16533" t="str">
            <v>SC9641TS-PC-TR-Q</v>
          </cell>
          <cell r="P16533" t="str">
            <v>STC9A001I</v>
          </cell>
          <cell r="Q16533" t="str">
            <v>速度传感器</v>
          </cell>
        </row>
        <row r="16534">
          <cell r="O16534" t="str">
            <v>SC9641TS-PC-TR-Q</v>
          </cell>
          <cell r="P16534" t="str">
            <v>STC9A001I</v>
          </cell>
          <cell r="Q16534" t="str">
            <v>速度传感器</v>
          </cell>
        </row>
        <row r="16535">
          <cell r="O16535" t="str">
            <v>SC9641TS-PC-TR-Q</v>
          </cell>
          <cell r="P16535" t="str">
            <v>STC9A001I</v>
          </cell>
          <cell r="Q16535" t="str">
            <v>速度传感器</v>
          </cell>
        </row>
        <row r="16536">
          <cell r="O16536" t="str">
            <v>SC9641TS-PC-TR-Q</v>
          </cell>
          <cell r="P16536" t="str">
            <v>STC9A001I</v>
          </cell>
          <cell r="Q16536" t="str">
            <v>速度传感器</v>
          </cell>
        </row>
        <row r="16537">
          <cell r="O16537" t="str">
            <v>SC9641TS-PC-TR-Q</v>
          </cell>
          <cell r="P16537" t="str">
            <v>STC9A001I</v>
          </cell>
          <cell r="Q16537" t="str">
            <v>速度传感器</v>
          </cell>
        </row>
        <row r="16538">
          <cell r="O16538" t="str">
            <v>SC9641TS-PC-TR-Q</v>
          </cell>
          <cell r="P16538" t="str">
            <v>STC9A001I</v>
          </cell>
          <cell r="Q16538" t="str">
            <v>速度传感器</v>
          </cell>
        </row>
        <row r="16539">
          <cell r="O16539" t="str">
            <v>SC9641TS-PC-TR-Q</v>
          </cell>
          <cell r="P16539" t="str">
            <v>STC9A001I</v>
          </cell>
          <cell r="Q16539" t="str">
            <v>速度传感器</v>
          </cell>
        </row>
        <row r="16540">
          <cell r="O16540" t="str">
            <v>SC9641TS-PC-TR-Q</v>
          </cell>
          <cell r="P16540" t="str">
            <v>STC9A001I</v>
          </cell>
          <cell r="Q16540" t="str">
            <v>速度传感器</v>
          </cell>
        </row>
        <row r="16541">
          <cell r="O16541" t="str">
            <v>SC9641TS-PC-TR-Q</v>
          </cell>
          <cell r="P16541" t="str">
            <v>STC9A001I</v>
          </cell>
          <cell r="Q16541" t="str">
            <v>速度传感器</v>
          </cell>
        </row>
        <row r="16542">
          <cell r="O16542" t="str">
            <v>SC9641TS-PC-TR-Q</v>
          </cell>
          <cell r="P16542" t="str">
            <v>STC9A001I</v>
          </cell>
          <cell r="Q16542" t="str">
            <v>速度传感器</v>
          </cell>
        </row>
        <row r="16543">
          <cell r="O16543" t="str">
            <v>SC9641TS-PC-TR-Q</v>
          </cell>
          <cell r="P16543" t="str">
            <v>STC9A001I</v>
          </cell>
          <cell r="Q16543" t="str">
            <v>速度传感器</v>
          </cell>
        </row>
        <row r="16544">
          <cell r="O16544" t="str">
            <v>SC9641TS-PC-TR-Q</v>
          </cell>
          <cell r="P16544" t="str">
            <v>STC9A001I</v>
          </cell>
          <cell r="Q16544" t="str">
            <v>速度传感器</v>
          </cell>
        </row>
        <row r="16545">
          <cell r="O16545" t="str">
            <v>SC9641TS-PC-TR-Q</v>
          </cell>
          <cell r="P16545" t="str">
            <v>STC9A001I</v>
          </cell>
          <cell r="Q16545" t="str">
            <v>速度传感器</v>
          </cell>
        </row>
        <row r="16546">
          <cell r="O16546" t="str">
            <v>SC9641TS-PC-TR-Q</v>
          </cell>
          <cell r="P16546" t="str">
            <v>STC9A001I</v>
          </cell>
          <cell r="Q16546" t="str">
            <v>速度传感器</v>
          </cell>
        </row>
        <row r="16547">
          <cell r="O16547" t="str">
            <v>SC4688DC-TR-Q</v>
          </cell>
          <cell r="P16547" t="str">
            <v>STC9D01C</v>
          </cell>
          <cell r="Q16547" t="str">
            <v>角度传感器</v>
          </cell>
        </row>
        <row r="16548">
          <cell r="O16548" t="str">
            <v>SC4688SA</v>
          </cell>
          <cell r="P16548" t="str">
            <v>STC9D01C</v>
          </cell>
          <cell r="Q16548" t="str">
            <v>角度传感器</v>
          </cell>
        </row>
        <row r="16549">
          <cell r="O16549" t="str">
            <v>SC4688SA</v>
          </cell>
          <cell r="P16549" t="str">
            <v>STC9D01C</v>
          </cell>
          <cell r="Q16549" t="str">
            <v>角度传感器</v>
          </cell>
        </row>
        <row r="16550">
          <cell r="O16550" t="str">
            <v>SC4643VB-TR-Q</v>
          </cell>
          <cell r="P16550" t="str">
            <v>STC9D03E</v>
          </cell>
          <cell r="Q16550" t="str">
            <v>电流传感器</v>
          </cell>
        </row>
        <row r="16551">
          <cell r="O16551" t="str">
            <v>SC9641TS-TR-Q</v>
          </cell>
          <cell r="P16551" t="str">
            <v>STC9910BN</v>
          </cell>
          <cell r="Q16551" t="str">
            <v>速度传感器</v>
          </cell>
        </row>
        <row r="16552">
          <cell r="O16552" t="str">
            <v>SC4688编程器</v>
          </cell>
          <cell r="P16552" t="str">
            <v xml:space="preserve"> </v>
          </cell>
          <cell r="Q16552" t="str">
            <v>角度传感器</v>
          </cell>
        </row>
        <row r="16553">
          <cell r="O16553" t="str">
            <v>SC60340</v>
          </cell>
          <cell r="P16553" t="str">
            <v>STC9D05C</v>
          </cell>
          <cell r="Q16553" t="str">
            <v>电机编码器</v>
          </cell>
        </row>
        <row r="16554">
          <cell r="O16554" t="str">
            <v>SC4643VB-BK-Q</v>
          </cell>
          <cell r="P16554" t="str">
            <v>STC9D03E</v>
          </cell>
          <cell r="Q16554" t="str">
            <v>电流传感器</v>
          </cell>
        </row>
        <row r="16555">
          <cell r="O16555" t="str">
            <v>SC9641TS-TR-Q</v>
          </cell>
          <cell r="P16555" t="str">
            <v>STC9910BN</v>
          </cell>
          <cell r="Q16555" t="str">
            <v>速度传感器</v>
          </cell>
        </row>
        <row r="16556">
          <cell r="O16556" t="str">
            <v>SC4643SA-A</v>
          </cell>
          <cell r="P16556" t="str">
            <v>STC9D03E</v>
          </cell>
          <cell r="Q16556" t="str">
            <v>电流传感器</v>
          </cell>
        </row>
        <row r="16557">
          <cell r="O16557" t="str">
            <v>SC4645VB-BK</v>
          </cell>
          <cell r="P16557" t="str">
            <v>STC9D06F</v>
          </cell>
          <cell r="Q16557" t="str">
            <v>电流传感器</v>
          </cell>
        </row>
        <row r="16558">
          <cell r="O16558" t="str">
            <v>SC4688SA</v>
          </cell>
          <cell r="P16558" t="str">
            <v>STC9D01C</v>
          </cell>
          <cell r="Q16558" t="str">
            <v>角度传感器</v>
          </cell>
        </row>
        <row r="16559">
          <cell r="O16559" t="str">
            <v>通用编程器2.0</v>
          </cell>
          <cell r="P16559" t="str">
            <v xml:space="preserve"> </v>
          </cell>
          <cell r="Q16559" t="str">
            <v>速度传感器</v>
          </cell>
        </row>
        <row r="16560">
          <cell r="O16560" t="str">
            <v>SC1245S2-BK</v>
          </cell>
          <cell r="P16560" t="str">
            <v>STC1898AD</v>
          </cell>
          <cell r="Q16560" t="str">
            <v>磁性位置传感器</v>
          </cell>
        </row>
        <row r="16561">
          <cell r="O16561" t="str">
            <v>SC1245S2-BK</v>
          </cell>
          <cell r="P16561" t="str">
            <v>STC1898AD</v>
          </cell>
          <cell r="Q16561" t="str">
            <v>磁性位置传感器</v>
          </cell>
        </row>
        <row r="16562">
          <cell r="O16562" t="str">
            <v>SC1245S2-BK</v>
          </cell>
          <cell r="P16562" t="str">
            <v>STC1898AD</v>
          </cell>
          <cell r="Q16562" t="str">
            <v>磁性位置传感器</v>
          </cell>
        </row>
        <row r="16563">
          <cell r="O16563" t="str">
            <v>SC1245S2-BK</v>
          </cell>
          <cell r="P16563" t="str">
            <v>STC1898AD</v>
          </cell>
          <cell r="Q16563" t="str">
            <v>磁性位置传感器</v>
          </cell>
        </row>
        <row r="16564">
          <cell r="O16564" t="str">
            <v>SC1245S2-BK</v>
          </cell>
          <cell r="P16564" t="str">
            <v>STC1898AD</v>
          </cell>
          <cell r="Q16564" t="str">
            <v>磁性位置传感器</v>
          </cell>
        </row>
        <row r="16565">
          <cell r="O16565" t="str">
            <v>SC1245S2-BK</v>
          </cell>
          <cell r="P16565" t="str">
            <v>STC1898AD</v>
          </cell>
          <cell r="Q16565" t="str">
            <v>磁性位置传感器</v>
          </cell>
        </row>
        <row r="16566">
          <cell r="O16566" t="str">
            <v>SC1245S2-BK</v>
          </cell>
          <cell r="P16566" t="str">
            <v>STC1898AD</v>
          </cell>
          <cell r="Q16566" t="str">
            <v>磁性位置传感器</v>
          </cell>
        </row>
        <row r="16567">
          <cell r="O16567" t="str">
            <v>SC1245S2-BK</v>
          </cell>
          <cell r="P16567" t="str">
            <v>STC1898AD</v>
          </cell>
          <cell r="Q16567" t="str">
            <v>磁性位置传感器</v>
          </cell>
        </row>
        <row r="16568">
          <cell r="O16568" t="str">
            <v>SC1245S2-BK</v>
          </cell>
          <cell r="P16568" t="str">
            <v>STC1898AD</v>
          </cell>
          <cell r="Q16568" t="str">
            <v>磁性位置传感器</v>
          </cell>
        </row>
        <row r="16569">
          <cell r="O16569" t="str">
            <v>2100HBL</v>
          </cell>
          <cell r="P16569" t="str">
            <v>STC9D03E</v>
          </cell>
          <cell r="Q16569" t="str">
            <v>电流传感器</v>
          </cell>
        </row>
        <row r="16570">
          <cell r="O16570" t="str">
            <v>SC4643SA-HBL-BK-Q</v>
          </cell>
          <cell r="P16570" t="str">
            <v>STC9D03E</v>
          </cell>
          <cell r="Q16570" t="str">
            <v>电流传感器</v>
          </cell>
        </row>
        <row r="16571">
          <cell r="O16571" t="str">
            <v>SC4643SA-BK-Q</v>
          </cell>
          <cell r="P16571" t="str">
            <v>STC9D03E</v>
          </cell>
          <cell r="Q16571" t="str">
            <v>电流传感器</v>
          </cell>
        </row>
        <row r="16572">
          <cell r="O16572" t="str">
            <v>SC4643SA-BK-Q</v>
          </cell>
          <cell r="P16572" t="str">
            <v>STC9D03E</v>
          </cell>
          <cell r="Q16572" t="str">
            <v>电流传感器</v>
          </cell>
        </row>
        <row r="16573">
          <cell r="O16573" t="str">
            <v>SC4643SA-BK-Q</v>
          </cell>
          <cell r="P16573" t="str">
            <v>STC9D03E</v>
          </cell>
          <cell r="Q16573" t="str">
            <v>电流传感器</v>
          </cell>
        </row>
        <row r="16574">
          <cell r="O16574" t="str">
            <v>SC2202UA</v>
          </cell>
          <cell r="P16574" t="str">
            <v>STC9902E</v>
          </cell>
          <cell r="Q16574" t="str">
            <v>磁性位置传感器</v>
          </cell>
        </row>
        <row r="16575">
          <cell r="O16575" t="str">
            <v>SC4643VB-TR-Q</v>
          </cell>
          <cell r="P16575" t="str">
            <v>STC9D03E</v>
          </cell>
          <cell r="Q16575" t="str">
            <v>电流传感器</v>
          </cell>
        </row>
        <row r="16576">
          <cell r="O16576" t="str">
            <v>SC4643VB-TR-Q</v>
          </cell>
          <cell r="P16576" t="str">
            <v>STC9D03E</v>
          </cell>
          <cell r="Q16576" t="str">
            <v>电流传感器</v>
          </cell>
        </row>
        <row r="16577">
          <cell r="O16577" t="str">
            <v>SC4643VB-TR-Q</v>
          </cell>
          <cell r="P16577" t="str">
            <v>STC9D03E</v>
          </cell>
          <cell r="Q16577" t="str">
            <v>电流传感器</v>
          </cell>
        </row>
        <row r="16578">
          <cell r="O16578" t="str">
            <v>SC4643VB-TR-Q</v>
          </cell>
          <cell r="P16578" t="str">
            <v>STC9D03E</v>
          </cell>
          <cell r="Q16578" t="str">
            <v>电流传感器</v>
          </cell>
        </row>
        <row r="16579">
          <cell r="O16579" t="str">
            <v>SC4643VB-TR-Q</v>
          </cell>
          <cell r="P16579" t="str">
            <v>STC9D03E</v>
          </cell>
          <cell r="Q16579" t="str">
            <v>电流传感器</v>
          </cell>
        </row>
        <row r="16580">
          <cell r="O16580" t="str">
            <v>SC4643VB-TR-Q</v>
          </cell>
          <cell r="P16580" t="str">
            <v>STC9D03E</v>
          </cell>
          <cell r="Q16580" t="str">
            <v>电流传感器</v>
          </cell>
        </row>
        <row r="16581">
          <cell r="O16581" t="str">
            <v>SC4643VB-TR-Q</v>
          </cell>
          <cell r="P16581" t="str">
            <v>STC9D03E</v>
          </cell>
          <cell r="Q16581" t="str">
            <v>电流传感器</v>
          </cell>
        </row>
        <row r="16582">
          <cell r="O16582" t="str">
            <v>SC4643VB-TR-Q</v>
          </cell>
          <cell r="P16582" t="str">
            <v>STC9D03E</v>
          </cell>
          <cell r="Q16582" t="str">
            <v>电流传感器</v>
          </cell>
        </row>
        <row r="16583">
          <cell r="O16583" t="str">
            <v>SC4643VB-TR-Q</v>
          </cell>
          <cell r="P16583" t="str">
            <v>STC9D03E</v>
          </cell>
          <cell r="Q16583" t="str">
            <v>电流传感器</v>
          </cell>
        </row>
        <row r="16584">
          <cell r="O16584" t="str">
            <v>SC4643VB-TR-Q</v>
          </cell>
          <cell r="P16584" t="str">
            <v>STC9D03E</v>
          </cell>
          <cell r="Q16584" t="str">
            <v>电流传感器</v>
          </cell>
        </row>
        <row r="16585">
          <cell r="O16585" t="str">
            <v>SC4015SO-N-A-TR</v>
          </cell>
          <cell r="P16585" t="str">
            <v>STC4011E</v>
          </cell>
          <cell r="Q16585" t="str">
            <v>磁性位置传感器</v>
          </cell>
        </row>
        <row r="16586">
          <cell r="O16586" t="str">
            <v>SC4015SO-N-A-TR</v>
          </cell>
          <cell r="P16586" t="str">
            <v>STC4011E</v>
          </cell>
          <cell r="Q16586" t="str">
            <v>磁性位置传感器</v>
          </cell>
        </row>
        <row r="16587">
          <cell r="O16587" t="str">
            <v>SC4015SO-N-A-TR</v>
          </cell>
          <cell r="P16587" t="str">
            <v>STC4011E</v>
          </cell>
          <cell r="Q16587" t="str">
            <v>磁性位置传感器</v>
          </cell>
        </row>
        <row r="16588">
          <cell r="O16588" t="str">
            <v>SC4015SO-N-A-TR</v>
          </cell>
          <cell r="P16588" t="str">
            <v>STC4011E</v>
          </cell>
          <cell r="Q16588" t="str">
            <v>磁性位置传感器</v>
          </cell>
        </row>
        <row r="16589">
          <cell r="O16589" t="str">
            <v>SC4015SO-N-A-TR</v>
          </cell>
          <cell r="P16589" t="str">
            <v>STC4011E</v>
          </cell>
          <cell r="Q16589" t="str">
            <v>磁性位置传感器</v>
          </cell>
        </row>
        <row r="16590">
          <cell r="O16590" t="str">
            <v>SC4015SO-N-A-TR</v>
          </cell>
          <cell r="P16590" t="str">
            <v>STC4011E</v>
          </cell>
          <cell r="Q16590" t="str">
            <v>磁性位置传感器</v>
          </cell>
        </row>
        <row r="16591">
          <cell r="O16591" t="str">
            <v>SC4015SO-N-A-TR</v>
          </cell>
          <cell r="P16591" t="str">
            <v>STC4011E</v>
          </cell>
          <cell r="Q16591" t="str">
            <v>磁性位置传感器</v>
          </cell>
        </row>
        <row r="16592">
          <cell r="O16592" t="str">
            <v>SC2064SO-TR</v>
          </cell>
          <cell r="P16592" t="str">
            <v>STC9G001C</v>
          </cell>
          <cell r="Q16592" t="str">
            <v>磁性位置传感器</v>
          </cell>
        </row>
        <row r="16593">
          <cell r="O16593" t="str">
            <v>SC69401DC-SPI-TR-Q</v>
          </cell>
          <cell r="P16593" t="str">
            <v>STC9H002DQ</v>
          </cell>
          <cell r="Q16593" t="str">
            <v>角度传感器</v>
          </cell>
        </row>
        <row r="16594">
          <cell r="O16594" t="str">
            <v>SC2033SO-N-TR</v>
          </cell>
          <cell r="P16594" t="str">
            <v>STC9G001D</v>
          </cell>
          <cell r="Q16594" t="str">
            <v>磁性位置传感器</v>
          </cell>
        </row>
        <row r="16595">
          <cell r="O16595" t="str">
            <v>SC1134SO-N-TR-Q</v>
          </cell>
          <cell r="P16595" t="str">
            <v>STC1898AI</v>
          </cell>
          <cell r="Q16595" t="str">
            <v>磁性位置传感器</v>
          </cell>
        </row>
        <row r="16596">
          <cell r="O16596" t="str">
            <v>SC1134BU-TR</v>
          </cell>
          <cell r="P16596" t="str">
            <v>STC1898AI</v>
          </cell>
          <cell r="Q16596" t="str">
            <v>磁性位置传感器</v>
          </cell>
        </row>
        <row r="16597">
          <cell r="O16597" t="str">
            <v>SC1134BU-TR</v>
          </cell>
          <cell r="P16597" t="str">
            <v>STC1898AI</v>
          </cell>
          <cell r="Q16597" t="str">
            <v>磁性位置传感器</v>
          </cell>
        </row>
        <row r="16598">
          <cell r="O16598" t="str">
            <v>SC1134BU-TR</v>
          </cell>
          <cell r="P16598" t="str">
            <v>STC1898AI</v>
          </cell>
          <cell r="Q16598" t="str">
            <v>磁性位置传感器</v>
          </cell>
        </row>
        <row r="16599">
          <cell r="O16599" t="str">
            <v>SC2063UA-BK</v>
          </cell>
          <cell r="P16599" t="str">
            <v>STC9G001C</v>
          </cell>
          <cell r="Q16599" t="str">
            <v>磁性位置传感器</v>
          </cell>
        </row>
        <row r="16600">
          <cell r="O16600" t="str">
            <v>SC2434UA-BK</v>
          </cell>
          <cell r="P16600" t="str">
            <v>STC9906I</v>
          </cell>
          <cell r="Q16600" t="str">
            <v>磁性位置传感器</v>
          </cell>
        </row>
        <row r="16601">
          <cell r="O16601" t="str">
            <v>SC2063SO-TR</v>
          </cell>
          <cell r="P16601" t="str">
            <v>STC9G001C</v>
          </cell>
          <cell r="Q16601" t="str">
            <v>磁性位置传感器</v>
          </cell>
        </row>
        <row r="16602">
          <cell r="O16602" t="str">
            <v>SC2063SO-TR</v>
          </cell>
          <cell r="P16602" t="str">
            <v>STC9G001C</v>
          </cell>
          <cell r="Q16602" t="str">
            <v>磁性位置传感器</v>
          </cell>
        </row>
        <row r="16603">
          <cell r="O16603" t="str">
            <v>SC1134SO-N-TR-Q</v>
          </cell>
          <cell r="P16603" t="str">
            <v>STC1898AI</v>
          </cell>
          <cell r="Q16603" t="str">
            <v>磁性位置传感器</v>
          </cell>
        </row>
        <row r="16604">
          <cell r="O16604" t="str">
            <v>SC2438SO-TR-Q</v>
          </cell>
          <cell r="P16604" t="str">
            <v>STC9906M</v>
          </cell>
          <cell r="Q16604" t="str">
            <v>磁性位置传感器</v>
          </cell>
        </row>
        <row r="16605">
          <cell r="O16605" t="str">
            <v>SC2402UA</v>
          </cell>
          <cell r="P16605" t="str">
            <v>STC9902J</v>
          </cell>
          <cell r="Q16605" t="str">
            <v>磁性位置传感器</v>
          </cell>
        </row>
        <row r="16606">
          <cell r="O16606" t="str">
            <v>SC2402UA</v>
          </cell>
          <cell r="P16606" t="str">
            <v>STC9902J</v>
          </cell>
          <cell r="Q16606" t="str">
            <v>磁性位置传感器</v>
          </cell>
        </row>
        <row r="16607">
          <cell r="O16607" t="str">
            <v>SC2402UA</v>
          </cell>
          <cell r="P16607" t="str">
            <v>STC9902J</v>
          </cell>
          <cell r="Q16607" t="str">
            <v>磁性位置传感器</v>
          </cell>
        </row>
        <row r="16608">
          <cell r="O16608" t="str">
            <v>SC60340</v>
          </cell>
          <cell r="P16608" t="str">
            <v>STC9D05C</v>
          </cell>
          <cell r="Q16608" t="str">
            <v>电机编码器</v>
          </cell>
        </row>
        <row r="16609">
          <cell r="O16609" t="str">
            <v>SC2498SO-TR-Q</v>
          </cell>
          <cell r="P16609" t="str">
            <v>STC11102B</v>
          </cell>
          <cell r="Q16609" t="str">
            <v>磁性位置传感器</v>
          </cell>
        </row>
        <row r="16610">
          <cell r="O16610" t="str">
            <v>SC9625VB-BK</v>
          </cell>
          <cell r="P16610" t="str">
            <v>STC9910E</v>
          </cell>
          <cell r="Q16610" t="str">
            <v>速度传感器</v>
          </cell>
        </row>
        <row r="16611">
          <cell r="O16611" t="str">
            <v>SC2498CUA-N-BK-Q</v>
          </cell>
          <cell r="P16611" t="str">
            <v>STC11102B</v>
          </cell>
          <cell r="Q16611" t="str">
            <v>磁性位置传感器</v>
          </cell>
        </row>
        <row r="16612">
          <cell r="O16612" t="str">
            <v>SC2443UA</v>
          </cell>
          <cell r="P16612" t="str">
            <v>STC9906G</v>
          </cell>
          <cell r="Q16612" t="str">
            <v>磁性位置传感器</v>
          </cell>
        </row>
        <row r="16613">
          <cell r="O16613" t="str">
            <v>SC9642TS-E-TR-Q</v>
          </cell>
          <cell r="P16613" t="str">
            <v>STC9A001H</v>
          </cell>
          <cell r="Q16613" t="str">
            <v>磁性位置传感器</v>
          </cell>
        </row>
        <row r="16614">
          <cell r="O16614" t="str">
            <v>SC9642TS-E-TR-Q</v>
          </cell>
          <cell r="P16614" t="str">
            <v>STC9A001H</v>
          </cell>
          <cell r="Q16614" t="str">
            <v>磁性位置传感器</v>
          </cell>
        </row>
        <row r="16615">
          <cell r="O16615" t="str">
            <v>SC9642TS-E-TR-Q</v>
          </cell>
          <cell r="P16615" t="str">
            <v>STC9A001H</v>
          </cell>
          <cell r="Q16615" t="str">
            <v>磁性位置传感器</v>
          </cell>
        </row>
        <row r="16616">
          <cell r="O16616" t="str">
            <v>SC4688SA-BK-Q</v>
          </cell>
          <cell r="P16616" t="str">
            <v>STC9D01C</v>
          </cell>
          <cell r="Q16616" t="str">
            <v>角度传感器</v>
          </cell>
        </row>
        <row r="16617">
          <cell r="O16617" t="str">
            <v>SC4688DC-TR-Q</v>
          </cell>
          <cell r="P16617" t="str">
            <v>STC9D01C</v>
          </cell>
          <cell r="Q16617" t="str">
            <v>角度传感器</v>
          </cell>
        </row>
        <row r="16618">
          <cell r="O16618" t="str">
            <v>SC1945B1-BK</v>
          </cell>
          <cell r="P16618" t="str">
            <v>STC2899AJ</v>
          </cell>
          <cell r="Q16618" t="str">
            <v>磁性位置传感器</v>
          </cell>
        </row>
        <row r="16619">
          <cell r="O16619" t="str">
            <v>SC1945B1-BK</v>
          </cell>
          <cell r="P16619" t="str">
            <v>STC2899AJ</v>
          </cell>
          <cell r="Q16619" t="str">
            <v>磁性位置传感器</v>
          </cell>
        </row>
        <row r="16620">
          <cell r="O16620" t="str">
            <v>SC1945B1-BK</v>
          </cell>
          <cell r="P16620" t="str">
            <v>STC2899AJ</v>
          </cell>
          <cell r="Q16620" t="str">
            <v>磁性位置传感器</v>
          </cell>
        </row>
        <row r="16621">
          <cell r="O16621" t="str">
            <v>SC1945B1-BK</v>
          </cell>
          <cell r="P16621" t="str">
            <v>STC2899AJ</v>
          </cell>
          <cell r="Q16621" t="str">
            <v>磁性位置传感器</v>
          </cell>
        </row>
        <row r="16622">
          <cell r="O16622" t="str">
            <v>SC1945B1-BK</v>
          </cell>
          <cell r="P16622" t="str">
            <v>STC2899AJ</v>
          </cell>
          <cell r="Q16622" t="str">
            <v>磁性位置传感器</v>
          </cell>
        </row>
        <row r="16623">
          <cell r="O16623" t="str">
            <v>SC1945B1-BK</v>
          </cell>
          <cell r="P16623" t="str">
            <v>STC2899AJ</v>
          </cell>
          <cell r="Q16623" t="str">
            <v>磁性位置传感器</v>
          </cell>
        </row>
        <row r="16624">
          <cell r="O16624" t="str">
            <v>SC1645A1-BK</v>
          </cell>
          <cell r="P16624" t="str">
            <v>STC2899AI</v>
          </cell>
          <cell r="Q16624" t="str">
            <v>磁性位置传感器</v>
          </cell>
        </row>
        <row r="16625">
          <cell r="O16625" t="str">
            <v>SC1645A1-BK</v>
          </cell>
          <cell r="P16625" t="str">
            <v>STC2899AI</v>
          </cell>
          <cell r="Q16625" t="str">
            <v>磁性位置传感器</v>
          </cell>
        </row>
        <row r="16626">
          <cell r="O16626" t="str">
            <v>SC1134SO-N-TR-Q</v>
          </cell>
          <cell r="P16626" t="str">
            <v>STC1898AI</v>
          </cell>
          <cell r="Q16626" t="str">
            <v>磁性位置传感器</v>
          </cell>
        </row>
        <row r="16627">
          <cell r="O16627" t="str">
            <v>SC2402UA-BK</v>
          </cell>
          <cell r="P16627" t="str">
            <v>STC9902J</v>
          </cell>
          <cell r="Q16627" t="str">
            <v>磁性位置传感器</v>
          </cell>
        </row>
        <row r="16628">
          <cell r="O16628" t="str">
            <v>SC2402UA-BK</v>
          </cell>
          <cell r="P16628" t="str">
            <v>STC9902J</v>
          </cell>
          <cell r="Q16628" t="str">
            <v>磁性位置传感器</v>
          </cell>
        </row>
        <row r="16629">
          <cell r="O16629" t="str">
            <v>SC2498SO-TR-Q</v>
          </cell>
          <cell r="P16629" t="str">
            <v>STC11102B</v>
          </cell>
          <cell r="Q16629" t="str">
            <v>磁性位置传感器</v>
          </cell>
        </row>
        <row r="16630">
          <cell r="O16630" t="str">
            <v>SC2033SO-N</v>
          </cell>
          <cell r="P16630" t="str">
            <v>STC9G001D</v>
          </cell>
          <cell r="Q16630" t="str">
            <v>磁性位置传感器</v>
          </cell>
        </row>
        <row r="16631">
          <cell r="O16631" t="str">
            <v>SC2402SO-N</v>
          </cell>
          <cell r="P16631" t="str">
            <v>STC9G002B</v>
          </cell>
          <cell r="Q16631" t="str">
            <v>磁性位置传感器</v>
          </cell>
        </row>
        <row r="16632">
          <cell r="O16632" t="str">
            <v>SC2402SO-N</v>
          </cell>
          <cell r="P16632" t="str">
            <v>STC9G002A</v>
          </cell>
          <cell r="Q16632" t="str">
            <v>磁性位置传感器</v>
          </cell>
        </row>
        <row r="16633">
          <cell r="O16633" t="str">
            <v>SC9648TS-TR</v>
          </cell>
          <cell r="P16633" t="str">
            <v>STC9A001I</v>
          </cell>
          <cell r="Q16633" t="str">
            <v>速度传感器</v>
          </cell>
        </row>
        <row r="16634">
          <cell r="O16634" t="str">
            <v>SC9648TS-TR</v>
          </cell>
          <cell r="P16634" t="str">
            <v>STC9A001I</v>
          </cell>
          <cell r="Q16634" t="str">
            <v>速度传感器</v>
          </cell>
        </row>
        <row r="16635">
          <cell r="O16635" t="str">
            <v>SC9648TS-TR</v>
          </cell>
          <cell r="P16635" t="str">
            <v>STC9A001I</v>
          </cell>
          <cell r="Q16635" t="str">
            <v>速度传感器</v>
          </cell>
        </row>
        <row r="16636">
          <cell r="O16636" t="str">
            <v>SC1138SO-N</v>
          </cell>
          <cell r="P16636" t="str">
            <v>STC1898AC</v>
          </cell>
          <cell r="Q16636" t="str">
            <v>磁性位置传感器</v>
          </cell>
        </row>
        <row r="16637">
          <cell r="O16637" t="str">
            <v>SC1138SO-N</v>
          </cell>
          <cell r="P16637" t="str">
            <v>STC1898AC</v>
          </cell>
          <cell r="Q16637" t="str">
            <v>磁性位置传感器</v>
          </cell>
        </row>
        <row r="16638">
          <cell r="O16638" t="str">
            <v>SC4688SA-BK-Q</v>
          </cell>
          <cell r="P16638" t="str">
            <v>STC9D01C</v>
          </cell>
          <cell r="Q16638" t="str">
            <v>角度传感器</v>
          </cell>
        </row>
        <row r="16639">
          <cell r="O16639" t="str">
            <v>SC4688SA-BK-Q</v>
          </cell>
          <cell r="P16639" t="str">
            <v>STC9D01C</v>
          </cell>
          <cell r="Q16639" t="str">
            <v>角度传感器</v>
          </cell>
        </row>
        <row r="16640">
          <cell r="O16640" t="str">
            <v>SC4688SA-BK-Q</v>
          </cell>
          <cell r="P16640" t="str">
            <v>STC9D01C</v>
          </cell>
          <cell r="Q16640" t="str">
            <v>角度传感器</v>
          </cell>
        </row>
        <row r="16641">
          <cell r="O16641" t="str">
            <v>SC4688SA-BK-Q</v>
          </cell>
          <cell r="P16641" t="str">
            <v>STC9D01C</v>
          </cell>
          <cell r="Q16641" t="str">
            <v>角度传感器</v>
          </cell>
        </row>
        <row r="16642">
          <cell r="O16642" t="str">
            <v>SC4688SA-BK-Q</v>
          </cell>
          <cell r="P16642" t="str">
            <v>STC9D01C</v>
          </cell>
          <cell r="Q16642" t="str">
            <v>角度传感器</v>
          </cell>
        </row>
        <row r="16643">
          <cell r="O16643" t="str">
            <v>SC4688SA-BK-Q</v>
          </cell>
          <cell r="P16643" t="str">
            <v>STC9D01C</v>
          </cell>
          <cell r="Q16643" t="str">
            <v>角度传感器</v>
          </cell>
        </row>
        <row r="16644">
          <cell r="O16644" t="str">
            <v>SC4688SA-BK-Q</v>
          </cell>
          <cell r="P16644" t="str">
            <v>STC9D01C</v>
          </cell>
          <cell r="Q16644" t="str">
            <v>角度传感器</v>
          </cell>
        </row>
        <row r="16645">
          <cell r="O16645" t="str">
            <v>SC1138SO-N-TR-Q</v>
          </cell>
          <cell r="P16645" t="str">
            <v>STC1898AC</v>
          </cell>
          <cell r="Q16645" t="str">
            <v>磁性位置传感器</v>
          </cell>
        </row>
        <row r="16646">
          <cell r="O16646" t="str">
            <v>SC1138SO-N-TR-Q</v>
          </cell>
          <cell r="P16646" t="str">
            <v>STC1898AC</v>
          </cell>
          <cell r="Q16646" t="str">
            <v>磁性位置传感器</v>
          </cell>
        </row>
        <row r="16647">
          <cell r="O16647" t="str">
            <v>SC1138SO-N-TR-Q</v>
          </cell>
          <cell r="P16647" t="str">
            <v>STC1898AC</v>
          </cell>
          <cell r="Q16647" t="str">
            <v>磁性位置传感器</v>
          </cell>
        </row>
        <row r="16648">
          <cell r="O16648" t="str">
            <v>SC1134SO-N-TR-Q</v>
          </cell>
          <cell r="P16648" t="str">
            <v>STC1898AI</v>
          </cell>
          <cell r="Q16648" t="str">
            <v>磁性位置传感器</v>
          </cell>
        </row>
        <row r="16649">
          <cell r="O16649" t="str">
            <v>SC2498CUA-N-BK-Q</v>
          </cell>
          <cell r="P16649" t="str">
            <v>STC11102B</v>
          </cell>
          <cell r="Q16649" t="str">
            <v>磁性位置传感器</v>
          </cell>
        </row>
        <row r="16650">
          <cell r="O16650" t="str">
            <v>SC2442SO-N-TR-Q</v>
          </cell>
          <cell r="P16650" t="str">
            <v>STC9906P</v>
          </cell>
          <cell r="Q16650" t="str">
            <v>磁性位置传感器</v>
          </cell>
        </row>
        <row r="16651">
          <cell r="O16651" t="str">
            <v>SC2442SO-N-TR-Q</v>
          </cell>
          <cell r="P16651" t="str">
            <v>STC9906P</v>
          </cell>
          <cell r="Q16651" t="str">
            <v>磁性位置传感器</v>
          </cell>
        </row>
        <row r="16652">
          <cell r="O16652" t="str">
            <v>SC2442SO-TR-Q</v>
          </cell>
          <cell r="P16652" t="str">
            <v>STC11102B</v>
          </cell>
          <cell r="Q16652" t="str">
            <v>磁性位置传感器</v>
          </cell>
        </row>
        <row r="16653">
          <cell r="O16653" t="str">
            <v>SC2442SO-TR-Q</v>
          </cell>
          <cell r="P16653" t="str">
            <v>STC11102B</v>
          </cell>
          <cell r="Q16653" t="str">
            <v>磁性位置传感器</v>
          </cell>
        </row>
        <row r="16654">
          <cell r="O16654" t="str">
            <v>SC2455SO</v>
          </cell>
          <cell r="P16654" t="str">
            <v>STC9906K</v>
          </cell>
          <cell r="Q16654" t="str">
            <v>磁性位置传感器</v>
          </cell>
        </row>
        <row r="16655">
          <cell r="O16655" t="str">
            <v>SC2402SO-N-TR</v>
          </cell>
          <cell r="P16655" t="str">
            <v>STC9902J</v>
          </cell>
          <cell r="Q16655" t="str">
            <v>磁性位置传感器</v>
          </cell>
        </row>
        <row r="16656">
          <cell r="O16656" t="str">
            <v>SC2063UA-BK</v>
          </cell>
          <cell r="P16656" t="str">
            <v>STC9G001C</v>
          </cell>
          <cell r="Q16656" t="str">
            <v>磁性位置传感器</v>
          </cell>
        </row>
        <row r="16657">
          <cell r="O16657" t="str">
            <v>SC2402UA-BK</v>
          </cell>
          <cell r="P16657" t="str">
            <v>STC9G002B</v>
          </cell>
          <cell r="Q16657" t="str">
            <v>磁性位置传感器</v>
          </cell>
        </row>
        <row r="16658">
          <cell r="O16658" t="str">
            <v>SC2063SO-TR</v>
          </cell>
          <cell r="P16658" t="str">
            <v>STC9G001C</v>
          </cell>
          <cell r="Q16658" t="str">
            <v>磁性位置传感器</v>
          </cell>
        </row>
        <row r="16659">
          <cell r="O16659" t="str">
            <v>SC2442SO-N-TR-Q</v>
          </cell>
          <cell r="P16659" t="str">
            <v>STC11102B</v>
          </cell>
          <cell r="Q16659" t="str">
            <v>磁性位置传感器</v>
          </cell>
        </row>
        <row r="16660">
          <cell r="O16660" t="str">
            <v>SC4102DN</v>
          </cell>
          <cell r="P16660" t="str">
            <v>STC11201B</v>
          </cell>
          <cell r="Q16660" t="str">
            <v>磁性位置传感器</v>
          </cell>
        </row>
        <row r="16661">
          <cell r="O16661" t="str">
            <v>SC4101DN</v>
          </cell>
          <cell r="P16661" t="str">
            <v>STC11201B</v>
          </cell>
          <cell r="Q16661" t="str">
            <v>磁性位置传感器</v>
          </cell>
        </row>
        <row r="16662">
          <cell r="O16662" t="str">
            <v>SC1134SO-N</v>
          </cell>
          <cell r="P16662" t="str">
            <v>STC1002AF</v>
          </cell>
          <cell r="Q16662" t="str">
            <v>磁性位置传感器</v>
          </cell>
        </row>
        <row r="16663">
          <cell r="O16663" t="str">
            <v>SC4011SO-N</v>
          </cell>
          <cell r="P16663" t="str">
            <v>STC4011B</v>
          </cell>
          <cell r="Q16663" t="str">
            <v>磁性位置传感器</v>
          </cell>
        </row>
        <row r="16664">
          <cell r="O16664" t="str">
            <v>SC69401</v>
          </cell>
          <cell r="P16664" t="str">
            <v>STC9H002D</v>
          </cell>
          <cell r="Q16664" t="str">
            <v>角度传感器</v>
          </cell>
        </row>
        <row r="16665">
          <cell r="O16665" t="str">
            <v>SYLM2904APA1R</v>
          </cell>
          <cell r="P16665" t="str">
            <v>STC9G005C</v>
          </cell>
          <cell r="Q16665" t="str">
            <v>其他数模混合</v>
          </cell>
        </row>
        <row r="16666">
          <cell r="O16666" t="str">
            <v>SC2402DN</v>
          </cell>
          <cell r="P16666" t="str">
            <v>STC9G002B</v>
          </cell>
          <cell r="Q16666" t="str">
            <v>磁性位置传感器</v>
          </cell>
        </row>
        <row r="16667">
          <cell r="O16667" t="str">
            <v>SC25891SE-A</v>
          </cell>
          <cell r="P16667" t="str">
            <v>STC11210G-Q</v>
          </cell>
          <cell r="Q16667" t="str">
            <v>磁性位置传感器</v>
          </cell>
        </row>
        <row r="16668">
          <cell r="O16668" t="str">
            <v>SC4688SA-A</v>
          </cell>
          <cell r="P16668" t="str">
            <v>STC9D01C</v>
          </cell>
          <cell r="Q16668" t="str">
            <v>角度传感器</v>
          </cell>
        </row>
        <row r="16669">
          <cell r="O16669" t="str">
            <v>SC2064SO</v>
          </cell>
          <cell r="P16669" t="str">
            <v>STC9G001C</v>
          </cell>
          <cell r="Q16669" t="str">
            <v>磁性位置传感器</v>
          </cell>
        </row>
        <row r="16670">
          <cell r="O16670" t="str">
            <v>SC2498UA-N</v>
          </cell>
          <cell r="P16670" t="str">
            <v>SC9915C</v>
          </cell>
          <cell r="Q16670" t="str">
            <v>磁性位置传感器</v>
          </cell>
        </row>
        <row r="16671">
          <cell r="O16671" t="str">
            <v>SC2498SO</v>
          </cell>
          <cell r="P16671" t="str">
            <v>SC9915C</v>
          </cell>
          <cell r="Q16671" t="str">
            <v>磁性位置传感器</v>
          </cell>
        </row>
        <row r="16672">
          <cell r="O16672" t="str">
            <v>SC2063SO</v>
          </cell>
          <cell r="P16672" t="str">
            <v>STC9G001C</v>
          </cell>
          <cell r="Q16672" t="str">
            <v>磁性位置传感器</v>
          </cell>
        </row>
        <row r="16673">
          <cell r="O16673" t="str">
            <v>SL54123APA1R</v>
          </cell>
          <cell r="P16673" t="str">
            <v>STC16100B</v>
          </cell>
          <cell r="Q16673" t="str">
            <v>电流传感器</v>
          </cell>
        </row>
        <row r="16674">
          <cell r="O16674" t="str">
            <v>SC2033SO-N</v>
          </cell>
          <cell r="P16674" t="str">
            <v>STC9G001D</v>
          </cell>
          <cell r="Q16674" t="str">
            <v>磁性位置传感器</v>
          </cell>
        </row>
        <row r="16675">
          <cell r="O16675" t="str">
            <v>SC9314UA</v>
          </cell>
          <cell r="P16675" t="str">
            <v>STC9901AF</v>
          </cell>
          <cell r="Q16675" t="str">
            <v>速度传感器</v>
          </cell>
        </row>
        <row r="16676">
          <cell r="O16676" t="str">
            <v>SC1138SO-N</v>
          </cell>
          <cell r="P16676" t="str">
            <v>STC1898AC</v>
          </cell>
          <cell r="Q16676" t="str">
            <v>磁性位置传感器</v>
          </cell>
        </row>
        <row r="16677">
          <cell r="O16677" t="str">
            <v>SC9625VB-L</v>
          </cell>
          <cell r="P16677" t="str">
            <v>STC9910E</v>
          </cell>
          <cell r="Q16677" t="str">
            <v>速度传感器</v>
          </cell>
        </row>
        <row r="16678">
          <cell r="O16678" t="str">
            <v>SC60224-D-1024</v>
          </cell>
          <cell r="P16678" t="str">
            <v>STC9D04C</v>
          </cell>
          <cell r="Q16678" t="str">
            <v>电机编码器</v>
          </cell>
        </row>
        <row r="16679">
          <cell r="O16679" t="str">
            <v>SC60224-U-P4-1024</v>
          </cell>
          <cell r="P16679" t="str">
            <v>STC9D04C</v>
          </cell>
          <cell r="Q16679" t="str">
            <v>电机编码器</v>
          </cell>
        </row>
        <row r="16680">
          <cell r="O16680" t="str">
            <v>SC4645VB</v>
          </cell>
          <cell r="P16680" t="str">
            <v>STC9D06F</v>
          </cell>
          <cell r="Q16680" t="str">
            <v>电流传感器</v>
          </cell>
        </row>
        <row r="16681">
          <cell r="O16681" t="str">
            <v>SC9632VB</v>
          </cell>
          <cell r="P16681" t="str">
            <v>STC9905E</v>
          </cell>
          <cell r="Q16681" t="str">
            <v>速度传感器</v>
          </cell>
        </row>
        <row r="16682">
          <cell r="O16682" t="str">
            <v>SC4002UA</v>
          </cell>
          <cell r="P16682" t="str">
            <v>STC4000AA</v>
          </cell>
          <cell r="Q16682" t="str">
            <v>磁性位置传感器</v>
          </cell>
        </row>
        <row r="16683">
          <cell r="O16683" t="str">
            <v>SC2242SO</v>
          </cell>
          <cell r="P16683" t="str">
            <v>STC9906H</v>
          </cell>
          <cell r="Q16683" t="str">
            <v>磁性位置传感器</v>
          </cell>
        </row>
        <row r="16684">
          <cell r="O16684" t="str">
            <v>SC1245SO-N</v>
          </cell>
          <cell r="P16684" t="str">
            <v>STC1898AD</v>
          </cell>
          <cell r="Q16684" t="str">
            <v>磁性位置传感器</v>
          </cell>
        </row>
        <row r="16685">
          <cell r="O16685" t="str">
            <v>SC2202SO-N</v>
          </cell>
          <cell r="P16685" t="str">
            <v>STC9902E</v>
          </cell>
          <cell r="Q16685" t="str">
            <v>磁性位置传感器</v>
          </cell>
        </row>
        <row r="16686">
          <cell r="O16686" t="str">
            <v>SC2202SO-N</v>
          </cell>
          <cell r="P16686" t="str">
            <v>STC9902E</v>
          </cell>
          <cell r="Q16686" t="str">
            <v>磁性位置传感器</v>
          </cell>
        </row>
        <row r="16687">
          <cell r="O16687" t="str">
            <v>SC2434SO-N</v>
          </cell>
          <cell r="P16687" t="str">
            <v>STC9906I</v>
          </cell>
          <cell r="Q16687" t="str">
            <v>磁性位置传感器</v>
          </cell>
        </row>
        <row r="16688">
          <cell r="O16688" t="str">
            <v>SC2438SO</v>
          </cell>
          <cell r="P16688" t="str">
            <v>STC9906I</v>
          </cell>
          <cell r="Q16688" t="str">
            <v>磁性位置传感器</v>
          </cell>
        </row>
        <row r="16689">
          <cell r="O16689" t="str">
            <v>SC2242UA</v>
          </cell>
          <cell r="P16689" t="str">
            <v>STC9906H</v>
          </cell>
          <cell r="Q16689" t="str">
            <v>磁性位置传感器</v>
          </cell>
        </row>
        <row r="16690">
          <cell r="O16690" t="str">
            <v>SC2462SO</v>
          </cell>
          <cell r="P16690" t="str">
            <v>STC9906J</v>
          </cell>
          <cell r="Q16690" t="str">
            <v>磁性位置传感器</v>
          </cell>
        </row>
        <row r="16691">
          <cell r="O16691" t="str">
            <v>SC2464SO</v>
          </cell>
          <cell r="P16691" t="str">
            <v>STC9906J</v>
          </cell>
          <cell r="Q16691" t="str">
            <v>磁性位置传感器</v>
          </cell>
        </row>
        <row r="16692">
          <cell r="O16692" t="str">
            <v>SC4001UA</v>
          </cell>
          <cell r="P16692" t="str">
            <v>STC4001AB</v>
          </cell>
          <cell r="Q16692" t="str">
            <v>磁性位置传感器</v>
          </cell>
        </row>
        <row r="16693">
          <cell r="O16693" t="str">
            <v>SC2462UA</v>
          </cell>
          <cell r="P16693" t="str">
            <v>STC9906J</v>
          </cell>
          <cell r="Q16693" t="str">
            <v>磁性位置传感器</v>
          </cell>
        </row>
        <row r="16694">
          <cell r="O16694" t="str">
            <v>SC2466SO</v>
          </cell>
          <cell r="P16694" t="str">
            <v>STC9906O</v>
          </cell>
          <cell r="Q16694" t="str">
            <v>磁性位置传感器</v>
          </cell>
        </row>
        <row r="16695">
          <cell r="O16695" t="str">
            <v>SC2442SO</v>
          </cell>
          <cell r="P16695" t="str">
            <v>STC11102B</v>
          </cell>
          <cell r="Q16695" t="str">
            <v>磁性位置传感器</v>
          </cell>
        </row>
        <row r="16696">
          <cell r="O16696" t="str">
            <v>SC2442SO</v>
          </cell>
          <cell r="P16696" t="str">
            <v>STC9906R</v>
          </cell>
          <cell r="Q16696" t="str">
            <v>磁性位置传感器</v>
          </cell>
        </row>
        <row r="16697">
          <cell r="O16697" t="str">
            <v>SC2442UA</v>
          </cell>
          <cell r="P16697" t="str">
            <v>STC9906P</v>
          </cell>
          <cell r="Q16697" t="str">
            <v>磁性位置传感器</v>
          </cell>
        </row>
        <row r="16698">
          <cell r="O16698" t="str">
            <v>SC2448SO</v>
          </cell>
          <cell r="P16698" t="str">
            <v>STC9906S</v>
          </cell>
          <cell r="Q16698" t="str">
            <v>磁性位置传感器</v>
          </cell>
        </row>
        <row r="16699">
          <cell r="O16699" t="str">
            <v>SC1245A1</v>
          </cell>
          <cell r="P16699" t="str">
            <v>STC1898AD</v>
          </cell>
          <cell r="Q16699" t="str">
            <v>磁性位置传感器</v>
          </cell>
        </row>
        <row r="16700">
          <cell r="O16700" t="str">
            <v>SC2443SO-TR-Q</v>
          </cell>
          <cell r="P16700" t="str">
            <v>STC9906T</v>
          </cell>
          <cell r="Q16700" t="str">
            <v>磁性位置传感器</v>
          </cell>
        </row>
        <row r="16701">
          <cell r="O16701" t="str">
            <v>SC4689SA</v>
          </cell>
          <cell r="P16701" t="str">
            <v>STC9D01F</v>
          </cell>
          <cell r="Q16701" t="str">
            <v>角度传感器</v>
          </cell>
        </row>
        <row r="16702">
          <cell r="O16702" t="str">
            <v>SC4689SA</v>
          </cell>
          <cell r="P16702" t="str">
            <v>STC9D01F</v>
          </cell>
          <cell r="Q16702" t="str">
            <v>角度传感器</v>
          </cell>
        </row>
        <row r="16703">
          <cell r="O16703" t="str">
            <v>SC69401-A</v>
          </cell>
          <cell r="P16703" t="str">
            <v>STC9H002DQ</v>
          </cell>
          <cell r="Q16703" t="str">
            <v>角度传感器</v>
          </cell>
        </row>
        <row r="16704">
          <cell r="O16704" t="str">
            <v>SC2443UA</v>
          </cell>
          <cell r="P16704" t="str">
            <v>STC9906W</v>
          </cell>
          <cell r="Q16704" t="str">
            <v>磁性位置传感器</v>
          </cell>
        </row>
        <row r="16705">
          <cell r="O16705" t="str">
            <v>SC4643VB-BK-Q</v>
          </cell>
          <cell r="P16705" t="str">
            <v>STC9D03E</v>
          </cell>
          <cell r="Q16705" t="str">
            <v>电流传感器</v>
          </cell>
        </row>
        <row r="16706">
          <cell r="O16706" t="str">
            <v>SC9642TS-E-TR-Q</v>
          </cell>
          <cell r="P16706" t="str">
            <v>STC9A001H</v>
          </cell>
          <cell r="Q16706" t="str">
            <v>磁性位置传感器</v>
          </cell>
        </row>
        <row r="16707">
          <cell r="O16707" t="str">
            <v>SC69401D</v>
          </cell>
          <cell r="P16707" t="str">
            <v>STC9H002DQ</v>
          </cell>
          <cell r="Q16707" t="str">
            <v>角度传感器</v>
          </cell>
        </row>
        <row r="16708">
          <cell r="O16708" t="str">
            <v>SC1945A1-BK</v>
          </cell>
          <cell r="P16708" t="str">
            <v>STC2899AJ</v>
          </cell>
          <cell r="Q16708" t="str">
            <v>磁性位置传感器</v>
          </cell>
        </row>
        <row r="16709">
          <cell r="O16709" t="str">
            <v>SC1945A1-BK</v>
          </cell>
          <cell r="P16709" t="str">
            <v>STC2899AJ</v>
          </cell>
          <cell r="Q16709" t="str">
            <v>磁性位置传感器</v>
          </cell>
        </row>
        <row r="16710">
          <cell r="O16710" t="str">
            <v>SC2242SO-TR-Q</v>
          </cell>
          <cell r="P16710" t="str">
            <v>STC9906H</v>
          </cell>
          <cell r="Q16710" t="str">
            <v>磁性位置传感器</v>
          </cell>
        </row>
        <row r="16711">
          <cell r="O16711" t="str">
            <v>SC4015SO-N-TR</v>
          </cell>
          <cell r="P16711" t="str">
            <v>STC4011E</v>
          </cell>
          <cell r="Q16711" t="str">
            <v>磁性位置传感器</v>
          </cell>
        </row>
        <row r="16712">
          <cell r="O16712" t="str">
            <v>SC2464SO</v>
          </cell>
          <cell r="P16712" t="str">
            <v>STC9906J</v>
          </cell>
          <cell r="Q16712" t="str">
            <v>磁性位置传感器</v>
          </cell>
        </row>
        <row r="16713">
          <cell r="O16713" t="str">
            <v>SC2063UA-BK</v>
          </cell>
          <cell r="P16713" t="str">
            <v>STC9G001C</v>
          </cell>
          <cell r="Q16713" t="str">
            <v>磁性位置传感器</v>
          </cell>
        </row>
        <row r="16714">
          <cell r="O16714" t="str">
            <v>SC2063UA-BK</v>
          </cell>
          <cell r="P16714" t="str">
            <v>STC9G001C</v>
          </cell>
          <cell r="Q16714" t="str">
            <v>磁性位置传感器</v>
          </cell>
        </row>
        <row r="16715">
          <cell r="O16715" t="str">
            <v>SC1445A1</v>
          </cell>
          <cell r="P16715" t="str">
            <v>STC2899AB</v>
          </cell>
          <cell r="Q16715" t="str">
            <v>磁性位置传感器</v>
          </cell>
        </row>
        <row r="16716">
          <cell r="O16716" t="str">
            <v>SC1445A1</v>
          </cell>
          <cell r="P16716" t="str">
            <v>STC2899AB</v>
          </cell>
          <cell r="Q16716" t="str">
            <v>磁性位置传感器</v>
          </cell>
        </row>
        <row r="16717">
          <cell r="O16717" t="str">
            <v>SC9648TS-TR</v>
          </cell>
          <cell r="P16717" t="str">
            <v>STC9A001I</v>
          </cell>
          <cell r="Q16717" t="str">
            <v>速度传感器</v>
          </cell>
        </row>
        <row r="16718">
          <cell r="O16718" t="str">
            <v>SC9648TS-TR</v>
          </cell>
          <cell r="P16718" t="str">
            <v>STC9A001I</v>
          </cell>
          <cell r="Q16718" t="str">
            <v>速度传感器</v>
          </cell>
        </row>
        <row r="16719">
          <cell r="O16719" t="str">
            <v>SC9648TS-TR</v>
          </cell>
          <cell r="P16719" t="str">
            <v>STC9A001I</v>
          </cell>
          <cell r="Q16719" t="str">
            <v>速度传感器</v>
          </cell>
        </row>
        <row r="16720">
          <cell r="O16720" t="str">
            <v>SC9625VB-BK</v>
          </cell>
          <cell r="P16720" t="str">
            <v>STC9910E</v>
          </cell>
          <cell r="Q16720" t="str">
            <v>速度传感器</v>
          </cell>
        </row>
        <row r="16721">
          <cell r="O16721" t="str">
            <v>SC9625VB-BK</v>
          </cell>
          <cell r="P16721" t="str">
            <v>STC9910E</v>
          </cell>
          <cell r="Q16721" t="str">
            <v>速度传感器</v>
          </cell>
        </row>
        <row r="16722">
          <cell r="O16722" t="str">
            <v>SC25891CUA-A</v>
          </cell>
          <cell r="P16722" t="str">
            <v>STC11210G-Q</v>
          </cell>
          <cell r="Q16722" t="str">
            <v>磁性位置传感器</v>
          </cell>
        </row>
        <row r="16723">
          <cell r="O16723" t="str">
            <v>SC9641TS-P-TR</v>
          </cell>
          <cell r="P16723" t="str">
            <v>STC9A001I</v>
          </cell>
          <cell r="Q16723" t="str">
            <v>速度传感器</v>
          </cell>
        </row>
        <row r="16724">
          <cell r="O16724" t="str">
            <v>SC9641TS-P-TR</v>
          </cell>
          <cell r="P16724" t="str">
            <v>STC9A001I</v>
          </cell>
          <cell r="Q16724" t="str">
            <v>速度传感器</v>
          </cell>
        </row>
        <row r="16725">
          <cell r="O16725" t="str">
            <v>SC9641TS-P-TR</v>
          </cell>
          <cell r="P16725" t="str">
            <v>STC9A001I</v>
          </cell>
          <cell r="Q16725" t="str">
            <v>速度传感器</v>
          </cell>
        </row>
        <row r="16726">
          <cell r="O16726" t="str">
            <v>SC9641TS-P-TR</v>
          </cell>
          <cell r="P16726" t="str">
            <v>STC9A001I</v>
          </cell>
          <cell r="Q16726" t="str">
            <v>速度传感器</v>
          </cell>
        </row>
        <row r="16727">
          <cell r="O16727" t="str">
            <v>SC9641TS-P-TR</v>
          </cell>
          <cell r="P16727" t="str">
            <v>STC9A001I</v>
          </cell>
          <cell r="Q16727" t="str">
            <v>速度传感器</v>
          </cell>
        </row>
        <row r="16728">
          <cell r="O16728" t="str">
            <v>SC9641TS-P-TR</v>
          </cell>
          <cell r="P16728" t="str">
            <v>STC9A001I</v>
          </cell>
          <cell r="Q16728" t="str">
            <v>速度传感器</v>
          </cell>
        </row>
        <row r="16729">
          <cell r="O16729" t="str">
            <v>SC9641TS-P-TR</v>
          </cell>
          <cell r="P16729" t="str">
            <v>STC9A001I</v>
          </cell>
          <cell r="Q16729" t="str">
            <v>速度传感器</v>
          </cell>
        </row>
        <row r="16730">
          <cell r="O16730" t="str">
            <v>SC9641TS-P-TR</v>
          </cell>
          <cell r="P16730" t="str">
            <v>STC9A001I</v>
          </cell>
          <cell r="Q16730" t="str">
            <v>速度传感器</v>
          </cell>
        </row>
        <row r="16731">
          <cell r="O16731" t="str">
            <v>SC9641TS-P-TR</v>
          </cell>
          <cell r="P16731" t="str">
            <v>STC9A001I</v>
          </cell>
          <cell r="Q16731" t="str">
            <v>速度传感器</v>
          </cell>
        </row>
        <row r="16732">
          <cell r="O16732" t="str">
            <v>SC9641TS-P-TR</v>
          </cell>
          <cell r="P16732" t="str">
            <v>STC9A001I</v>
          </cell>
          <cell r="Q16732" t="str">
            <v>速度传感器</v>
          </cell>
        </row>
        <row r="16733">
          <cell r="O16733" t="str">
            <v>SC9641TS-P-TR</v>
          </cell>
          <cell r="P16733" t="str">
            <v>STC9A001I</v>
          </cell>
          <cell r="Q16733" t="str">
            <v>速度传感器</v>
          </cell>
        </row>
        <row r="16734">
          <cell r="O16734" t="str">
            <v>SC9641TS-P-TR</v>
          </cell>
          <cell r="P16734" t="str">
            <v>STC9A001I</v>
          </cell>
          <cell r="Q16734" t="str">
            <v>速度传感器</v>
          </cell>
        </row>
        <row r="16735">
          <cell r="O16735" t="str">
            <v>SC9641TS-P-TR</v>
          </cell>
          <cell r="P16735" t="str">
            <v>STC9A001I</v>
          </cell>
          <cell r="Q16735" t="str">
            <v>速度传感器</v>
          </cell>
        </row>
        <row r="16736">
          <cell r="O16736" t="str">
            <v>SC9314UA-BK</v>
          </cell>
          <cell r="P16736" t="str">
            <v>STC9901AF</v>
          </cell>
          <cell r="Q16736" t="str">
            <v>速度传感器</v>
          </cell>
        </row>
        <row r="16737">
          <cell r="O16737" t="str">
            <v>SC9314UA-BK</v>
          </cell>
          <cell r="P16737" t="str">
            <v>STC9901AF</v>
          </cell>
          <cell r="Q16737" t="str">
            <v>速度传感器</v>
          </cell>
        </row>
        <row r="16738">
          <cell r="O16738" t="str">
            <v>SC9625VB-BK</v>
          </cell>
          <cell r="P16738" t="str">
            <v>STC9910E</v>
          </cell>
          <cell r="Q16738" t="str">
            <v>速度传感器</v>
          </cell>
        </row>
        <row r="16739">
          <cell r="O16739" t="str">
            <v>SC1445B2</v>
          </cell>
          <cell r="P16739" t="str">
            <v>STC2899AB</v>
          </cell>
          <cell r="Q16739" t="str">
            <v>磁性位置传感器</v>
          </cell>
        </row>
        <row r="16740">
          <cell r="O16740" t="str">
            <v>SC2443UA</v>
          </cell>
          <cell r="P16740" t="str">
            <v>STC9906G</v>
          </cell>
          <cell r="Q16740" t="str">
            <v>磁性位置传感器</v>
          </cell>
        </row>
        <row r="16741">
          <cell r="O16741" t="str">
            <v>SC9642TS-E-TR-Q</v>
          </cell>
          <cell r="P16741" t="str">
            <v>STC9A001H</v>
          </cell>
          <cell r="Q16741" t="str">
            <v>磁性位置传感器</v>
          </cell>
        </row>
        <row r="16742">
          <cell r="O16742" t="str">
            <v>SC4689SA</v>
          </cell>
          <cell r="P16742" t="str">
            <v>STC9D01F</v>
          </cell>
          <cell r="Q16742" t="str">
            <v>角度传感器</v>
          </cell>
        </row>
        <row r="16743">
          <cell r="O16743" t="str">
            <v>SC4688DC-TR-Q</v>
          </cell>
          <cell r="P16743" t="str">
            <v>STC9D01C</v>
          </cell>
          <cell r="Q16743" t="str">
            <v>角度传感器</v>
          </cell>
        </row>
        <row r="16744">
          <cell r="O16744" t="str">
            <v>SC4688DC-TR-Q</v>
          </cell>
          <cell r="P16744" t="str">
            <v>STC9D01C</v>
          </cell>
          <cell r="Q16744" t="str">
            <v>角度传感器</v>
          </cell>
        </row>
        <row r="16745">
          <cell r="O16745" t="str">
            <v>SC4688DC-TR-Q</v>
          </cell>
          <cell r="P16745" t="str">
            <v>STC9D01C</v>
          </cell>
          <cell r="Q16745" t="str">
            <v>角度传感器</v>
          </cell>
        </row>
        <row r="16746">
          <cell r="O16746" t="str">
            <v>SC2943SO</v>
          </cell>
          <cell r="P16746" t="str">
            <v>STC11102B</v>
          </cell>
          <cell r="Q16746" t="str">
            <v>磁性位置传感器</v>
          </cell>
        </row>
        <row r="16747">
          <cell r="O16747" t="str">
            <v>SC2943UA</v>
          </cell>
          <cell r="P16747" t="str">
            <v>STC11102A</v>
          </cell>
          <cell r="Q16747" t="str">
            <v>磁性位置传感器</v>
          </cell>
        </row>
        <row r="16748">
          <cell r="O16748" t="str">
            <v>SC2402SO-N-TR</v>
          </cell>
          <cell r="P16748" t="str">
            <v>STC9902J</v>
          </cell>
          <cell r="Q16748" t="str">
            <v>磁性位置传感器</v>
          </cell>
        </row>
        <row r="16749">
          <cell r="O16749" t="str">
            <v>SC4391S6-TR</v>
          </cell>
          <cell r="P16749" t="str">
            <v>STC11202B</v>
          </cell>
          <cell r="Q16749" t="str">
            <v>磁性位置传感器</v>
          </cell>
        </row>
        <row r="16750">
          <cell r="O16750" t="str">
            <v>SC4643SA-HBL-BK-Q</v>
          </cell>
          <cell r="P16750" t="str">
            <v>STC9D03E</v>
          </cell>
          <cell r="Q16750" t="str">
            <v>电流传感器</v>
          </cell>
        </row>
        <row r="16751">
          <cell r="O16751" t="str">
            <v>SC2063UA-BK</v>
          </cell>
          <cell r="P16751" t="str">
            <v>STC9G001C</v>
          </cell>
          <cell r="Q16751" t="str">
            <v>磁性位置传感器</v>
          </cell>
        </row>
        <row r="16752">
          <cell r="O16752" t="str">
            <v>SC2242SO-TR-Q</v>
          </cell>
          <cell r="P16752" t="str">
            <v>STC9906H</v>
          </cell>
          <cell r="Q16752" t="str">
            <v>磁性位置传感器</v>
          </cell>
        </row>
        <row r="16753">
          <cell r="O16753" t="str">
            <v>SC2242SO-TR-Q</v>
          </cell>
          <cell r="P16753" t="str">
            <v>STC9906H</v>
          </cell>
          <cell r="Q16753" t="str">
            <v>磁性位置传感器</v>
          </cell>
        </row>
        <row r="16754">
          <cell r="O16754" t="str">
            <v>SC2242SO-TR-Q</v>
          </cell>
          <cell r="P16754" t="str">
            <v>STC9906H</v>
          </cell>
          <cell r="Q16754" t="str">
            <v>磁性位置传感器</v>
          </cell>
        </row>
        <row r="16755">
          <cell r="O16755" t="str">
            <v>SC2402SO-N-TR</v>
          </cell>
          <cell r="P16755" t="str">
            <v>STC9G002A</v>
          </cell>
          <cell r="Q16755" t="str">
            <v>磁性位置传感器</v>
          </cell>
        </row>
        <row r="16756">
          <cell r="O16756" t="str">
            <v>SC2402SO-N-TR</v>
          </cell>
          <cell r="P16756" t="str">
            <v>STC9G002A</v>
          </cell>
          <cell r="Q16756" t="str">
            <v>磁性位置传感器</v>
          </cell>
        </row>
        <row r="16757">
          <cell r="O16757" t="str">
            <v>SC2402SO-N-TR</v>
          </cell>
          <cell r="P16757" t="str">
            <v>STC9G002A</v>
          </cell>
          <cell r="Q16757" t="str">
            <v>磁性位置传感器</v>
          </cell>
        </row>
        <row r="16758">
          <cell r="O16758" t="str">
            <v>STC4011B-DS</v>
          </cell>
          <cell r="P16758" t="str">
            <v>STC4011B</v>
          </cell>
          <cell r="Q16758" t="str">
            <v>磁性位置传感器</v>
          </cell>
        </row>
        <row r="16759">
          <cell r="O16759" t="str">
            <v>STC4011B-DS</v>
          </cell>
          <cell r="P16759" t="str">
            <v>STC4011B</v>
          </cell>
          <cell r="Q16759" t="str">
            <v>磁性位置传感器</v>
          </cell>
        </row>
        <row r="16760">
          <cell r="O16760" t="str">
            <v>STC4011B-DS</v>
          </cell>
          <cell r="P16760" t="str">
            <v>STC4011B</v>
          </cell>
          <cell r="Q16760" t="str">
            <v>磁性位置传感器</v>
          </cell>
        </row>
        <row r="16761">
          <cell r="O16761" t="str">
            <v>STC4011B-DS</v>
          </cell>
          <cell r="P16761" t="str">
            <v>STC4011B</v>
          </cell>
          <cell r="Q16761" t="str">
            <v>磁性位置传感器</v>
          </cell>
        </row>
        <row r="16762">
          <cell r="O16762" t="str">
            <v>STC4011B-DS</v>
          </cell>
          <cell r="P16762" t="str">
            <v>STC4011B</v>
          </cell>
          <cell r="Q16762" t="str">
            <v>磁性位置传感器</v>
          </cell>
        </row>
        <row r="16763">
          <cell r="O16763" t="str">
            <v>STC4011B-DS</v>
          </cell>
          <cell r="P16763" t="str">
            <v>STC4011B</v>
          </cell>
          <cell r="Q16763" t="str">
            <v>磁性位置传感器</v>
          </cell>
        </row>
        <row r="16764">
          <cell r="O16764" t="str">
            <v>STC4011B-DS</v>
          </cell>
          <cell r="P16764" t="str">
            <v>STC4011B</v>
          </cell>
          <cell r="Q16764" t="str">
            <v>磁性位置传感器</v>
          </cell>
        </row>
        <row r="16765">
          <cell r="O16765" t="str">
            <v>STC4011B-DS</v>
          </cell>
          <cell r="P16765" t="str">
            <v>STC4011B</v>
          </cell>
          <cell r="Q16765" t="str">
            <v>磁性位置传感器</v>
          </cell>
        </row>
        <row r="16766">
          <cell r="O16766" t="str">
            <v>SC1134BU-TR</v>
          </cell>
          <cell r="P16766" t="str">
            <v>STC1898AI</v>
          </cell>
          <cell r="Q16766" t="str">
            <v>磁性位置传感器</v>
          </cell>
        </row>
        <row r="16767">
          <cell r="O16767" t="str">
            <v>SC9625VB-BK</v>
          </cell>
          <cell r="P16767" t="str">
            <v>STC9910E</v>
          </cell>
          <cell r="Q16767" t="str">
            <v>速度传感器</v>
          </cell>
        </row>
        <row r="16768">
          <cell r="O16768" t="str">
            <v>SC9625VB-BK</v>
          </cell>
          <cell r="P16768" t="str">
            <v>STC9910E</v>
          </cell>
          <cell r="Q16768" t="str">
            <v>速度传感器</v>
          </cell>
        </row>
        <row r="16769">
          <cell r="O16769" t="str">
            <v>SC2498CUA-N-BK-Q</v>
          </cell>
          <cell r="P16769" t="str">
            <v>STC11102B</v>
          </cell>
          <cell r="Q16769" t="str">
            <v>磁性位置传感器</v>
          </cell>
        </row>
        <row r="16770">
          <cell r="O16770" t="str">
            <v>SC2498CUA-N-BK-Q</v>
          </cell>
          <cell r="P16770" t="str">
            <v>STC11102B</v>
          </cell>
          <cell r="Q16770" t="str">
            <v>磁性位置传感器</v>
          </cell>
        </row>
        <row r="16771">
          <cell r="O16771" t="str">
            <v>SC60340</v>
          </cell>
          <cell r="P16771" t="str">
            <v>STC9D05C</v>
          </cell>
          <cell r="Q16771" t="str">
            <v>电机编码器</v>
          </cell>
        </row>
        <row r="16772">
          <cell r="O16772" t="str">
            <v>SC4643编程器</v>
          </cell>
          <cell r="P16772" t="str">
            <v xml:space="preserve"> </v>
          </cell>
          <cell r="Q16772" t="str">
            <v>电流传感器</v>
          </cell>
        </row>
        <row r="16773">
          <cell r="O16773" t="str">
            <v>SC2242SO-TR-Q</v>
          </cell>
          <cell r="P16773" t="str">
            <v>STC9906H</v>
          </cell>
          <cell r="Q16773" t="str">
            <v>磁性位置传感器</v>
          </cell>
        </row>
        <row r="16774">
          <cell r="O16774" t="str">
            <v>SC9632VB-BK</v>
          </cell>
          <cell r="P16774" t="str">
            <v>STC9905E</v>
          </cell>
          <cell r="Q16774" t="str">
            <v>速度传感器</v>
          </cell>
        </row>
        <row r="16775">
          <cell r="O16775" t="str">
            <v>SC2402SO-N-TR</v>
          </cell>
          <cell r="P16775" t="str">
            <v>STC9902J</v>
          </cell>
          <cell r="Q16775" t="str">
            <v>磁性位置传感器</v>
          </cell>
        </row>
        <row r="16776">
          <cell r="O16776" t="str">
            <v>SC2402SO-N-TR</v>
          </cell>
          <cell r="P16776" t="str">
            <v>STC9902J</v>
          </cell>
          <cell r="Q16776" t="str">
            <v>磁性位置传感器</v>
          </cell>
        </row>
        <row r="16777">
          <cell r="O16777" t="str">
            <v>SC2402SO-N-TR</v>
          </cell>
          <cell r="P16777" t="str">
            <v>STC9902J</v>
          </cell>
          <cell r="Q16777" t="str">
            <v>磁性位置传感器</v>
          </cell>
        </row>
        <row r="16778">
          <cell r="O16778" t="str">
            <v>SC2402SO-N-TR</v>
          </cell>
          <cell r="P16778" t="str">
            <v>STC9902J</v>
          </cell>
          <cell r="Q16778" t="str">
            <v>磁性位置传感器</v>
          </cell>
        </row>
        <row r="16779">
          <cell r="O16779" t="str">
            <v>SD211VB-BK</v>
          </cell>
          <cell r="P16779" t="str">
            <v>FD1016A</v>
          </cell>
          <cell r="Q16779" t="str">
            <v>电机驱动</v>
          </cell>
        </row>
        <row r="16780">
          <cell r="O16780" t="str">
            <v>SD211VB-BK</v>
          </cell>
          <cell r="P16780" t="str">
            <v>FD1016A</v>
          </cell>
          <cell r="Q16780" t="str">
            <v>电机驱动</v>
          </cell>
        </row>
        <row r="16781">
          <cell r="O16781" t="str">
            <v>SD2276VB-BK</v>
          </cell>
          <cell r="P16781" t="str">
            <v>FD1014A</v>
          </cell>
          <cell r="Q16781" t="str">
            <v>电机驱动</v>
          </cell>
        </row>
        <row r="16782">
          <cell r="O16782" t="str">
            <v>SC2242SO-TR-Q</v>
          </cell>
          <cell r="P16782" t="str">
            <v>STC9906H</v>
          </cell>
          <cell r="Q16782" t="str">
            <v>磁性位置传感器</v>
          </cell>
        </row>
        <row r="16783">
          <cell r="O16783" t="str">
            <v>SC2242SO-TR-Q</v>
          </cell>
          <cell r="P16783" t="str">
            <v>STC9906H</v>
          </cell>
          <cell r="Q16783" t="str">
            <v>磁性位置传感器</v>
          </cell>
        </row>
        <row r="16784">
          <cell r="O16784" t="str">
            <v>STC4011B-DS</v>
          </cell>
          <cell r="P16784" t="str">
            <v>STC4011B</v>
          </cell>
          <cell r="Q16784" t="str">
            <v>磁性位置传感器</v>
          </cell>
        </row>
        <row r="16785">
          <cell r="O16785" t="str">
            <v>STC4011B-DS</v>
          </cell>
          <cell r="P16785" t="str">
            <v>STC4011B</v>
          </cell>
          <cell r="Q16785" t="str">
            <v>磁性位置传感器</v>
          </cell>
        </row>
        <row r="16786">
          <cell r="O16786" t="str">
            <v>SC2442SO-TR-Q</v>
          </cell>
          <cell r="P16786" t="str">
            <v>STC11102B</v>
          </cell>
          <cell r="Q16786" t="str">
            <v>磁性位置传感器</v>
          </cell>
        </row>
        <row r="16787">
          <cell r="O16787" t="str">
            <v>SC9648TS-TR</v>
          </cell>
          <cell r="P16787" t="str">
            <v>STC9A001I</v>
          </cell>
          <cell r="Q16787" t="str">
            <v>速度传感器</v>
          </cell>
        </row>
        <row r="16788">
          <cell r="O16788" t="str">
            <v>SC9648TS-TR</v>
          </cell>
          <cell r="P16788" t="str">
            <v>STC9A001I</v>
          </cell>
          <cell r="Q16788" t="str">
            <v>速度传感器</v>
          </cell>
        </row>
        <row r="16789">
          <cell r="O16789" t="str">
            <v>SC9684TS-TR-Q</v>
          </cell>
          <cell r="P16789" t="str">
            <v>STC12100B</v>
          </cell>
          <cell r="Q16789" t="str">
            <v>速度传感器</v>
          </cell>
        </row>
        <row r="16790">
          <cell r="O16790" t="str">
            <v>SC2443UA</v>
          </cell>
          <cell r="P16790" t="str">
            <v>STC9906W</v>
          </cell>
          <cell r="Q16790" t="str">
            <v>磁性位置传感器</v>
          </cell>
        </row>
        <row r="16791">
          <cell r="O16791" t="str">
            <v>SC2443UA</v>
          </cell>
          <cell r="P16791" t="str">
            <v>STC9906W</v>
          </cell>
          <cell r="Q16791" t="str">
            <v>磁性位置传感器</v>
          </cell>
        </row>
        <row r="16792">
          <cell r="O16792" t="str">
            <v>SC2498CUA-N-BK-Q</v>
          </cell>
          <cell r="P16792" t="str">
            <v>STC11102B</v>
          </cell>
          <cell r="Q16792" t="str">
            <v>磁性位置传感器</v>
          </cell>
        </row>
        <row r="16793">
          <cell r="O16793" t="str">
            <v>SC9632VB-BK</v>
          </cell>
          <cell r="P16793" t="str">
            <v>STC9905E</v>
          </cell>
          <cell r="Q16793" t="str">
            <v>速度传感器</v>
          </cell>
        </row>
        <row r="16794">
          <cell r="O16794" t="str">
            <v>SC4688SA-A</v>
          </cell>
          <cell r="P16794" t="str">
            <v>STC9D01C</v>
          </cell>
          <cell r="Q16794" t="str">
            <v>角度传感器</v>
          </cell>
        </row>
        <row r="16795">
          <cell r="O16795" t="str">
            <v>SC1645A1-BK</v>
          </cell>
          <cell r="P16795" t="str">
            <v>STC2899AE</v>
          </cell>
          <cell r="Q16795" t="str">
            <v>磁性位置传感器</v>
          </cell>
        </row>
        <row r="16796">
          <cell r="O16796" t="str">
            <v>SC1945A1-BK</v>
          </cell>
          <cell r="P16796" t="str">
            <v>STC2899AJ</v>
          </cell>
          <cell r="Q16796" t="str">
            <v>磁性位置传感器</v>
          </cell>
        </row>
        <row r="16797">
          <cell r="O16797" t="str">
            <v>SC2402SO-N-TR</v>
          </cell>
          <cell r="P16797" t="str">
            <v>STC9902J</v>
          </cell>
          <cell r="Q16797" t="str">
            <v>磁性位置传感器</v>
          </cell>
        </row>
        <row r="16798">
          <cell r="O16798" t="str">
            <v>SC2402SO-N-TR</v>
          </cell>
          <cell r="P16798" t="str">
            <v>STC9902J</v>
          </cell>
          <cell r="Q16798" t="str">
            <v>磁性位置传感器</v>
          </cell>
        </row>
        <row r="16799">
          <cell r="O16799" t="str">
            <v>SC4001SE-TR</v>
          </cell>
          <cell r="P16799" t="str">
            <v>STC4001AB</v>
          </cell>
          <cell r="Q16799" t="str">
            <v>磁性位置传感器</v>
          </cell>
        </row>
        <row r="16800">
          <cell r="O16800" t="str">
            <v>SC2402SO-N-TR</v>
          </cell>
          <cell r="P16800" t="str">
            <v>STC9902J</v>
          </cell>
          <cell r="Q16800" t="str">
            <v>磁性位置传感器</v>
          </cell>
        </row>
        <row r="16801">
          <cell r="O16801" t="str">
            <v>SC2402SO-N-TR</v>
          </cell>
          <cell r="P16801" t="str">
            <v>STC9902J</v>
          </cell>
          <cell r="Q16801" t="str">
            <v>磁性位置传感器</v>
          </cell>
        </row>
        <row r="16802">
          <cell r="O16802" t="str">
            <v>SC2442UA-BK-Q</v>
          </cell>
          <cell r="P16802" t="str">
            <v>STC11102B</v>
          </cell>
          <cell r="Q16802" t="str">
            <v>磁性位置传感器</v>
          </cell>
        </row>
        <row r="16803">
          <cell r="O16803" t="str">
            <v>FD1014A</v>
          </cell>
          <cell r="P16803" t="str">
            <v>FD1014A</v>
          </cell>
          <cell r="Q16803" t="str">
            <v>电机驱动</v>
          </cell>
        </row>
        <row r="16804">
          <cell r="O16804" t="str">
            <v>FD1014A</v>
          </cell>
          <cell r="P16804" t="str">
            <v>FD1014A</v>
          </cell>
          <cell r="Q16804" t="str">
            <v>电机驱动</v>
          </cell>
        </row>
        <row r="16805">
          <cell r="O16805" t="str">
            <v>FD1014A</v>
          </cell>
          <cell r="P16805" t="str">
            <v>FD1014A</v>
          </cell>
          <cell r="Q16805" t="str">
            <v>电机驱动</v>
          </cell>
        </row>
        <row r="16806">
          <cell r="O16806" t="str">
            <v>STC4011B-DS</v>
          </cell>
          <cell r="P16806" t="str">
            <v>STC4011B</v>
          </cell>
          <cell r="Q16806" t="str">
            <v>磁性位置传感器</v>
          </cell>
        </row>
        <row r="16807">
          <cell r="O16807" t="str">
            <v>SC9648TS-P</v>
          </cell>
          <cell r="P16807" t="str">
            <v>STC9A001I</v>
          </cell>
          <cell r="Q16807" t="str">
            <v>速度传感器</v>
          </cell>
        </row>
        <row r="16808">
          <cell r="O16808" t="str">
            <v>SC9648TS-P</v>
          </cell>
          <cell r="P16808" t="str">
            <v>STC9A001I</v>
          </cell>
          <cell r="Q16808" t="str">
            <v>速度传感器</v>
          </cell>
        </row>
        <row r="16809">
          <cell r="O16809" t="str">
            <v>SC9648TS-P</v>
          </cell>
          <cell r="P16809" t="str">
            <v>STC9A001I</v>
          </cell>
          <cell r="Q16809" t="str">
            <v>速度传感器</v>
          </cell>
        </row>
        <row r="16810">
          <cell r="O16810" t="str">
            <v>SC9648TS-P</v>
          </cell>
          <cell r="P16810" t="str">
            <v>STC9A001I</v>
          </cell>
          <cell r="Q16810" t="str">
            <v>速度传感器</v>
          </cell>
        </row>
        <row r="16811">
          <cell r="O16811" t="str">
            <v>SC9648TS-P</v>
          </cell>
          <cell r="P16811" t="str">
            <v>STC9A001I</v>
          </cell>
          <cell r="Q16811" t="str">
            <v>速度传感器</v>
          </cell>
        </row>
        <row r="16812">
          <cell r="O16812" t="str">
            <v>SC9648TS-P</v>
          </cell>
          <cell r="P16812" t="str">
            <v>STC9A001I</v>
          </cell>
          <cell r="Q16812" t="str">
            <v>速度传感器</v>
          </cell>
        </row>
        <row r="16813">
          <cell r="O16813" t="str">
            <v>SC9648TS-P</v>
          </cell>
          <cell r="P16813" t="str">
            <v>STC9A001I</v>
          </cell>
          <cell r="Q16813" t="str">
            <v>速度传感器</v>
          </cell>
        </row>
        <row r="16814">
          <cell r="O16814" t="str">
            <v>SC9648TS-P</v>
          </cell>
          <cell r="P16814" t="str">
            <v>STC9A001I</v>
          </cell>
          <cell r="Q16814" t="str">
            <v>速度传感器</v>
          </cell>
        </row>
        <row r="16815">
          <cell r="O16815" t="str">
            <v>SC9648TS-P</v>
          </cell>
          <cell r="P16815" t="str">
            <v>STC9A001I</v>
          </cell>
          <cell r="Q16815" t="str">
            <v>速度传感器</v>
          </cell>
        </row>
        <row r="16816">
          <cell r="O16816" t="str">
            <v>SC9648TS-P</v>
          </cell>
          <cell r="P16816" t="str">
            <v>STC9A001I</v>
          </cell>
          <cell r="Q16816" t="str">
            <v>速度传感器</v>
          </cell>
        </row>
        <row r="16817">
          <cell r="O16817" t="str">
            <v>SC9648TS-P</v>
          </cell>
          <cell r="P16817" t="str">
            <v>STC9A001I</v>
          </cell>
          <cell r="Q16817" t="str">
            <v>速度传感器</v>
          </cell>
        </row>
        <row r="16818">
          <cell r="O16818" t="str">
            <v>SC9648TS-P</v>
          </cell>
          <cell r="P16818" t="str">
            <v>STC9A001I</v>
          </cell>
          <cell r="Q16818" t="str">
            <v>速度传感器</v>
          </cell>
        </row>
        <row r="16819">
          <cell r="O16819" t="str">
            <v>SC9648TS-TR</v>
          </cell>
          <cell r="P16819" t="str">
            <v>STC9A001I</v>
          </cell>
          <cell r="Q16819" t="str">
            <v>速度传感器</v>
          </cell>
        </row>
        <row r="16820">
          <cell r="O16820" t="str">
            <v>SC9648TS-TR</v>
          </cell>
          <cell r="P16820" t="str">
            <v>STC9A001I</v>
          </cell>
          <cell r="Q16820" t="str">
            <v>速度传感器</v>
          </cell>
        </row>
        <row r="16821">
          <cell r="O16821" t="str">
            <v>SC9648TS-TR</v>
          </cell>
          <cell r="P16821" t="str">
            <v>STC9A001I</v>
          </cell>
          <cell r="Q16821" t="str">
            <v>速度传感器</v>
          </cell>
        </row>
        <row r="16822">
          <cell r="O16822" t="str">
            <v>SC9648TS-TR</v>
          </cell>
          <cell r="P16822" t="str">
            <v>STC9A001I</v>
          </cell>
          <cell r="Q16822" t="str">
            <v>速度传感器</v>
          </cell>
        </row>
        <row r="16823">
          <cell r="O16823" t="str">
            <v>SC9642TS-E</v>
          </cell>
          <cell r="P16823" t="str">
            <v>STC9A001H</v>
          </cell>
          <cell r="Q16823" t="str">
            <v>速度传感器</v>
          </cell>
        </row>
        <row r="16824">
          <cell r="O16824" t="str">
            <v>SC9642TS-E</v>
          </cell>
          <cell r="P16824" t="str">
            <v>STC9A001H</v>
          </cell>
          <cell r="Q16824" t="str">
            <v>速度传感器</v>
          </cell>
        </row>
        <row r="16825">
          <cell r="O16825" t="str">
            <v>SC9642TS-E</v>
          </cell>
          <cell r="P16825" t="str">
            <v>STC9A001H</v>
          </cell>
          <cell r="Q16825" t="str">
            <v>速度传感器</v>
          </cell>
        </row>
        <row r="16826">
          <cell r="O16826" t="str">
            <v>SC9642TS-E</v>
          </cell>
          <cell r="P16826" t="str">
            <v>STC9A001H</v>
          </cell>
          <cell r="Q16826" t="str">
            <v>速度传感器</v>
          </cell>
        </row>
        <row r="16827">
          <cell r="O16827" t="str">
            <v>SC9642TS-E</v>
          </cell>
          <cell r="P16827" t="str">
            <v>STC9A001H</v>
          </cell>
          <cell r="Q16827" t="str">
            <v>速度传感器</v>
          </cell>
        </row>
        <row r="16828">
          <cell r="O16828" t="str">
            <v>SC69401-A</v>
          </cell>
          <cell r="P16828" t="str">
            <v>STC9H002DQ</v>
          </cell>
          <cell r="Q16828" t="str">
            <v>角度传感器</v>
          </cell>
        </row>
        <row r="16829">
          <cell r="O16829" t="str">
            <v>SC69401-A</v>
          </cell>
          <cell r="P16829" t="str">
            <v>STC9H002DQ</v>
          </cell>
          <cell r="Q16829" t="str">
            <v>角度传感器</v>
          </cell>
        </row>
        <row r="16830">
          <cell r="O16830" t="str">
            <v>SC69401D</v>
          </cell>
          <cell r="P16830" t="str">
            <v>STC9H002DQ</v>
          </cell>
          <cell r="Q16830" t="str">
            <v>角度传感器</v>
          </cell>
        </row>
        <row r="16831">
          <cell r="O16831" t="str">
            <v>SC69401D</v>
          </cell>
          <cell r="P16831" t="str">
            <v>STC9H002DQ</v>
          </cell>
          <cell r="Q16831" t="str">
            <v>角度传感器</v>
          </cell>
        </row>
        <row r="16832">
          <cell r="O16832" t="str">
            <v>SC69401D</v>
          </cell>
          <cell r="P16832" t="str">
            <v>STC9H002DQ</v>
          </cell>
          <cell r="Q16832" t="str">
            <v>角度传感器</v>
          </cell>
        </row>
        <row r="16833">
          <cell r="O16833" t="str">
            <v>SC69401D</v>
          </cell>
          <cell r="P16833" t="str">
            <v>STC9H002DQ</v>
          </cell>
          <cell r="Q16833" t="str">
            <v>角度传感器</v>
          </cell>
        </row>
        <row r="16834">
          <cell r="O16834" t="str">
            <v>SC4643VB-P-BK-Q</v>
          </cell>
          <cell r="P16834" t="str">
            <v>STC9D03E</v>
          </cell>
          <cell r="Q16834" t="str">
            <v>电流传感器</v>
          </cell>
        </row>
        <row r="16835">
          <cell r="O16835" t="str">
            <v>SC4643VB-P-BK-Q</v>
          </cell>
          <cell r="P16835" t="str">
            <v>STC9D03E</v>
          </cell>
          <cell r="Q16835" t="str">
            <v>电流传感器</v>
          </cell>
        </row>
        <row r="16836">
          <cell r="O16836" t="str">
            <v>SC4643VB-P-BK-Q</v>
          </cell>
          <cell r="P16836" t="str">
            <v>STC9D03E</v>
          </cell>
          <cell r="Q16836" t="str">
            <v>电流传感器</v>
          </cell>
        </row>
        <row r="16837">
          <cell r="O16837" t="str">
            <v>SC4643VB-BK-Q</v>
          </cell>
          <cell r="P16837" t="str">
            <v>STC9D03E</v>
          </cell>
          <cell r="Q16837" t="str">
            <v>电流传感器</v>
          </cell>
        </row>
        <row r="16838">
          <cell r="O16838" t="str">
            <v>SC4643VB-BK-Q</v>
          </cell>
          <cell r="P16838" t="str">
            <v>STC9D03E</v>
          </cell>
          <cell r="Q16838" t="str">
            <v>电流传感器</v>
          </cell>
        </row>
        <row r="16839">
          <cell r="O16839" t="str">
            <v>SC9641TS-PC-TR-Q</v>
          </cell>
          <cell r="P16839" t="str">
            <v>STC9A001I</v>
          </cell>
          <cell r="Q16839" t="str">
            <v>速度传感器</v>
          </cell>
        </row>
        <row r="16840">
          <cell r="O16840" t="str">
            <v>SC9641TS-PC-TR-Q</v>
          </cell>
          <cell r="P16840" t="str">
            <v>STC9A001I</v>
          </cell>
          <cell r="Q16840" t="str">
            <v>速度传感器</v>
          </cell>
        </row>
        <row r="16841">
          <cell r="O16841" t="str">
            <v>SC2402SO-N</v>
          </cell>
          <cell r="P16841" t="str">
            <v>STC9902J</v>
          </cell>
          <cell r="Q16841" t="str">
            <v>磁性位置传感器</v>
          </cell>
        </row>
        <row r="16842">
          <cell r="O16842" t="str">
            <v>SC9634VB</v>
          </cell>
          <cell r="P16842" t="str">
            <v>STC9905G</v>
          </cell>
          <cell r="Q16842" t="str">
            <v>速度传感器</v>
          </cell>
        </row>
        <row r="16843">
          <cell r="O16843" t="str">
            <v>SC69401-A</v>
          </cell>
          <cell r="P16843" t="str">
            <v>STC9H002DQ</v>
          </cell>
          <cell r="Q16843" t="str">
            <v>角度传感器</v>
          </cell>
        </row>
        <row r="16844">
          <cell r="O16844" t="str">
            <v>SC2943UA</v>
          </cell>
          <cell r="P16844" t="str">
            <v>STC11102A</v>
          </cell>
          <cell r="Q16844" t="str">
            <v>磁性位置传感器</v>
          </cell>
        </row>
        <row r="16845">
          <cell r="O16845" t="str">
            <v>SD2276VB-BK</v>
          </cell>
          <cell r="P16845" t="str">
            <v>FD1014A</v>
          </cell>
          <cell r="Q16845" t="str">
            <v>电机驱动</v>
          </cell>
        </row>
        <row r="16846">
          <cell r="O16846" t="str">
            <v>SD2276VB-BK</v>
          </cell>
          <cell r="P16846" t="str">
            <v>FD1014A</v>
          </cell>
          <cell r="Q16846" t="str">
            <v>电机驱动</v>
          </cell>
        </row>
        <row r="16847">
          <cell r="O16847" t="str">
            <v>SC1134BU-TR</v>
          </cell>
          <cell r="P16847" t="str">
            <v>STC1898AI</v>
          </cell>
          <cell r="Q16847" t="str">
            <v>磁性位置传感器</v>
          </cell>
        </row>
        <row r="16848">
          <cell r="O16848" t="str">
            <v>SC9633VB</v>
          </cell>
          <cell r="P16848" t="str">
            <v>STC9905F</v>
          </cell>
          <cell r="Q16848" t="str">
            <v>速度传感器</v>
          </cell>
        </row>
        <row r="16849">
          <cell r="O16849" t="str">
            <v>SC9633VB</v>
          </cell>
          <cell r="P16849" t="str">
            <v>STC9905F</v>
          </cell>
          <cell r="Q16849" t="str">
            <v>速度传感器</v>
          </cell>
        </row>
        <row r="16850">
          <cell r="O16850" t="str">
            <v>SC1138SO-N</v>
          </cell>
          <cell r="P16850" t="str">
            <v>STC1898AC</v>
          </cell>
          <cell r="Q16850" t="str">
            <v>磁性位置传感器</v>
          </cell>
        </row>
        <row r="16851">
          <cell r="O16851" t="str">
            <v>SC1445A1</v>
          </cell>
          <cell r="P16851" t="str">
            <v>STC2899AB</v>
          </cell>
          <cell r="Q16851" t="str">
            <v>磁性位置传感器</v>
          </cell>
        </row>
        <row r="16852">
          <cell r="O16852" t="str">
            <v>SC243XUA</v>
          </cell>
          <cell r="P16852" t="str">
            <v>STC9906I</v>
          </cell>
          <cell r="Q16852" t="str">
            <v>磁性位置传感器</v>
          </cell>
        </row>
        <row r="16853">
          <cell r="O16853" t="str">
            <v>SC2402SO-N-TR</v>
          </cell>
          <cell r="P16853" t="str">
            <v>STC9902J</v>
          </cell>
          <cell r="Q16853" t="str">
            <v>磁性位置传感器</v>
          </cell>
        </row>
        <row r="16854">
          <cell r="O16854" t="str">
            <v>SC2402SO-N-TR</v>
          </cell>
          <cell r="P16854" t="str">
            <v>STC9902J</v>
          </cell>
          <cell r="Q16854" t="str">
            <v>磁性位置传感器</v>
          </cell>
        </row>
        <row r="16855">
          <cell r="O16855" t="str">
            <v>SC2402SO-N-TR</v>
          </cell>
          <cell r="P16855" t="str">
            <v>STC9902J</v>
          </cell>
          <cell r="Q16855" t="str">
            <v>磁性位置传感器</v>
          </cell>
        </row>
        <row r="16856">
          <cell r="O16856" t="str">
            <v>SC4643VB-P-TR-Q</v>
          </cell>
          <cell r="P16856" t="str">
            <v>STC9D03E</v>
          </cell>
          <cell r="Q16856" t="str">
            <v>电流传感器</v>
          </cell>
        </row>
        <row r="16857">
          <cell r="O16857" t="str">
            <v>SC4643VB-P-TR-Q</v>
          </cell>
          <cell r="P16857" t="str">
            <v>STC9D03E</v>
          </cell>
          <cell r="Q16857" t="str">
            <v>电流传感器</v>
          </cell>
        </row>
        <row r="16858">
          <cell r="O16858" t="str">
            <v>SC4643VB-P-TR-Q</v>
          </cell>
          <cell r="P16858" t="str">
            <v>STC9D03E</v>
          </cell>
          <cell r="Q16858" t="str">
            <v>电流传感器</v>
          </cell>
        </row>
        <row r="16859">
          <cell r="O16859" t="str">
            <v>SC4643VB-P-TR-Q</v>
          </cell>
          <cell r="P16859" t="str">
            <v>STC9D03E</v>
          </cell>
          <cell r="Q16859" t="str">
            <v>电流传感器</v>
          </cell>
        </row>
        <row r="16860">
          <cell r="O16860" t="str">
            <v>SC4015SO-N-A-TR</v>
          </cell>
          <cell r="P16860" t="str">
            <v>STC4011E</v>
          </cell>
          <cell r="Q16860" t="str">
            <v>磁性位置传感器</v>
          </cell>
        </row>
        <row r="16861">
          <cell r="O16861" t="str">
            <v>SC4015SO-N-A-TR</v>
          </cell>
          <cell r="P16861" t="str">
            <v>STC4011E</v>
          </cell>
          <cell r="Q16861" t="str">
            <v>磁性位置传感器</v>
          </cell>
        </row>
        <row r="16862">
          <cell r="O16862" t="str">
            <v>SC4015SO-N-A-TR</v>
          </cell>
          <cell r="P16862" t="str">
            <v>STC4011E</v>
          </cell>
          <cell r="Q16862" t="str">
            <v>磁性位置传感器</v>
          </cell>
        </row>
        <row r="16863">
          <cell r="O16863" t="str">
            <v>SC4015SO-N-A-TR</v>
          </cell>
          <cell r="P16863" t="str">
            <v>STC4011E</v>
          </cell>
          <cell r="Q16863" t="str">
            <v>磁性位置传感器</v>
          </cell>
        </row>
        <row r="16864">
          <cell r="O16864" t="str">
            <v>SC4015SO-N-A-TR</v>
          </cell>
          <cell r="P16864" t="str">
            <v>STC4011E</v>
          </cell>
          <cell r="Q16864" t="str">
            <v>磁性位置传感器</v>
          </cell>
        </row>
        <row r="16865">
          <cell r="O16865" t="str">
            <v>SC2434SO-N-TR</v>
          </cell>
          <cell r="P16865" t="str">
            <v>STC9906I</v>
          </cell>
          <cell r="Q16865" t="str">
            <v>磁性位置传感器</v>
          </cell>
        </row>
        <row r="16866">
          <cell r="O16866" t="str">
            <v>SC2434SO-N-TR</v>
          </cell>
          <cell r="P16866" t="str">
            <v>STC9906I</v>
          </cell>
          <cell r="Q16866" t="str">
            <v>磁性位置传感器</v>
          </cell>
        </row>
        <row r="16867">
          <cell r="O16867" t="str">
            <v>SC1134BU-TR</v>
          </cell>
          <cell r="P16867" t="str">
            <v>STC1898AI</v>
          </cell>
          <cell r="Q16867" t="str">
            <v>磁性位置传感器</v>
          </cell>
        </row>
        <row r="16868">
          <cell r="O16868" t="str">
            <v>SC1134BU-TR</v>
          </cell>
          <cell r="P16868" t="str">
            <v>STC1898AI</v>
          </cell>
          <cell r="Q16868" t="str">
            <v>磁性位置传感器</v>
          </cell>
        </row>
        <row r="16869">
          <cell r="O16869" t="str">
            <v>SC2063SO-TR</v>
          </cell>
          <cell r="P16869" t="str">
            <v>STC9G001C</v>
          </cell>
          <cell r="Q16869" t="str">
            <v>磁性位置传感器</v>
          </cell>
        </row>
        <row r="16870">
          <cell r="O16870" t="str">
            <v>SC2442UA-BK-Q</v>
          </cell>
          <cell r="P16870" t="str">
            <v>STC11102B</v>
          </cell>
          <cell r="Q16870" t="str">
            <v>磁性位置传感器</v>
          </cell>
        </row>
        <row r="16871">
          <cell r="O16871" t="str">
            <v>SC2442SO-N-TR-Q</v>
          </cell>
          <cell r="P16871" t="str">
            <v>STC11102B</v>
          </cell>
          <cell r="Q16871" t="str">
            <v>磁性位置传感器</v>
          </cell>
        </row>
        <row r="16872">
          <cell r="O16872" t="str">
            <v>SC2442SO-N-TR-Q</v>
          </cell>
          <cell r="P16872" t="str">
            <v>STC11102B</v>
          </cell>
          <cell r="Q16872" t="str">
            <v>磁性位置传感器</v>
          </cell>
        </row>
        <row r="16873">
          <cell r="O16873" t="str">
            <v>SC2442SO-N-TR-Q</v>
          </cell>
          <cell r="P16873" t="str">
            <v>STC11102B</v>
          </cell>
          <cell r="Q16873" t="str">
            <v>磁性位置传感器</v>
          </cell>
        </row>
        <row r="16874">
          <cell r="O16874" t="str">
            <v>SC2442SO-N-TR-Q</v>
          </cell>
          <cell r="P16874" t="str">
            <v>STC11102B</v>
          </cell>
          <cell r="Q16874" t="str">
            <v>磁性位置传感器</v>
          </cell>
        </row>
        <row r="16875">
          <cell r="O16875" t="str">
            <v>SC2442SO-N-TR-Q</v>
          </cell>
          <cell r="P16875" t="str">
            <v>STC11102B</v>
          </cell>
          <cell r="Q16875" t="str">
            <v>磁性位置传感器</v>
          </cell>
        </row>
        <row r="16876">
          <cell r="O16876" t="str">
            <v>SC2442SO-N-TR-Q</v>
          </cell>
          <cell r="P16876" t="str">
            <v>STC11102B</v>
          </cell>
          <cell r="Q16876" t="str">
            <v>磁性位置传感器</v>
          </cell>
        </row>
        <row r="16877">
          <cell r="O16877" t="str">
            <v>SC2442SO-N-TR-Q</v>
          </cell>
          <cell r="P16877" t="str">
            <v>STC11102B</v>
          </cell>
          <cell r="Q16877" t="str">
            <v>磁性位置传感器</v>
          </cell>
        </row>
        <row r="16878">
          <cell r="O16878" t="str">
            <v>SC2442SO-N-TR-Q</v>
          </cell>
          <cell r="P16878" t="str">
            <v>STC11102B</v>
          </cell>
          <cell r="Q16878" t="str">
            <v>磁性位置传感器</v>
          </cell>
        </row>
        <row r="16879">
          <cell r="O16879" t="str">
            <v>SC2442UA-BK-Q</v>
          </cell>
          <cell r="P16879" t="str">
            <v>STC11102B</v>
          </cell>
          <cell r="Q16879" t="str">
            <v>磁性位置传感器</v>
          </cell>
        </row>
        <row r="16880">
          <cell r="O16880" t="str">
            <v>SC2442UA-BK-Q</v>
          </cell>
          <cell r="P16880" t="str">
            <v>STC11102B</v>
          </cell>
          <cell r="Q16880" t="str">
            <v>磁性位置传感器</v>
          </cell>
        </row>
        <row r="16881">
          <cell r="O16881" t="str">
            <v>SC2498TSO</v>
          </cell>
          <cell r="P16881" t="str">
            <v>STC11300C</v>
          </cell>
          <cell r="Q16881" t="str">
            <v>磁性位置传感器</v>
          </cell>
        </row>
        <row r="16882">
          <cell r="O16882" t="str">
            <v>SC2498TSO</v>
          </cell>
          <cell r="P16882" t="str">
            <v>STC11300C</v>
          </cell>
          <cell r="Q16882" t="str">
            <v>磁性位置传感器</v>
          </cell>
        </row>
        <row r="16883">
          <cell r="O16883" t="str">
            <v>SC2498TSO</v>
          </cell>
          <cell r="P16883" t="str">
            <v>STC11300C</v>
          </cell>
          <cell r="Q16883" t="str">
            <v>磁性位置传感器</v>
          </cell>
        </row>
        <row r="16884">
          <cell r="O16884" t="str">
            <v>SC2498TSO</v>
          </cell>
          <cell r="P16884" t="str">
            <v>STC11300C</v>
          </cell>
          <cell r="Q16884" t="str">
            <v>磁性位置传感器</v>
          </cell>
        </row>
        <row r="16885">
          <cell r="O16885" t="str">
            <v>SC2498TSO</v>
          </cell>
          <cell r="P16885" t="str">
            <v>STC11300C</v>
          </cell>
          <cell r="Q16885" t="str">
            <v>磁性位置传感器</v>
          </cell>
        </row>
        <row r="16886">
          <cell r="O16886" t="str">
            <v>SC1134BU-TR</v>
          </cell>
          <cell r="P16886" t="str">
            <v>STC1898AI</v>
          </cell>
          <cell r="Q16886" t="str">
            <v>磁性位置传感器</v>
          </cell>
        </row>
        <row r="16887">
          <cell r="O16887" t="str">
            <v>SC9641TS-P-TR</v>
          </cell>
          <cell r="P16887" t="str">
            <v>STC9A001I</v>
          </cell>
          <cell r="Q16887" t="str">
            <v>速度传感器</v>
          </cell>
        </row>
        <row r="16888">
          <cell r="O16888" t="str">
            <v>SC9641TS-P-TR</v>
          </cell>
          <cell r="P16888" t="str">
            <v>STC9A001I</v>
          </cell>
          <cell r="Q16888" t="str">
            <v>速度传感器</v>
          </cell>
        </row>
        <row r="16889">
          <cell r="O16889" t="str">
            <v>SC4688SA</v>
          </cell>
          <cell r="P16889" t="str">
            <v>STC9D01C</v>
          </cell>
          <cell r="Q16889" t="str">
            <v>角度传感器</v>
          </cell>
        </row>
        <row r="16890">
          <cell r="O16890" t="str">
            <v>SC9642TS-E</v>
          </cell>
          <cell r="P16890" t="str">
            <v>STC9A001H</v>
          </cell>
          <cell r="Q16890" t="str">
            <v>速度传感器</v>
          </cell>
        </row>
        <row r="16891">
          <cell r="O16891" t="str">
            <v>SC2462SO-TR-Q</v>
          </cell>
          <cell r="P16891" t="str">
            <v>STC9906J</v>
          </cell>
          <cell r="Q16891" t="str">
            <v>磁性位置传感器</v>
          </cell>
        </row>
        <row r="16892">
          <cell r="O16892" t="str">
            <v>SC2462SO-TR-Q</v>
          </cell>
          <cell r="P16892" t="str">
            <v>STC9906J</v>
          </cell>
          <cell r="Q16892" t="str">
            <v>磁性位置传感器</v>
          </cell>
        </row>
        <row r="16893">
          <cell r="O16893" t="str">
            <v>SC2432SO-N-TR</v>
          </cell>
          <cell r="P16893" t="str">
            <v>STC9906I</v>
          </cell>
          <cell r="Q16893" t="str">
            <v>磁性位置传感器</v>
          </cell>
        </row>
        <row r="16894">
          <cell r="O16894" t="str">
            <v>SC9648TS-TR</v>
          </cell>
          <cell r="P16894" t="str">
            <v>STC9A001I</v>
          </cell>
          <cell r="Q16894" t="str">
            <v>速度传感器</v>
          </cell>
        </row>
        <row r="16895">
          <cell r="O16895" t="str">
            <v>SC9648TS-TR</v>
          </cell>
          <cell r="P16895" t="str">
            <v>STC9A001I</v>
          </cell>
          <cell r="Q16895" t="str">
            <v>速度传感器</v>
          </cell>
        </row>
        <row r="16896">
          <cell r="O16896" t="str">
            <v>SC2402SO-N-TR</v>
          </cell>
          <cell r="P16896" t="str">
            <v>STC9902J</v>
          </cell>
          <cell r="Q16896" t="str">
            <v>磁性位置传感器</v>
          </cell>
        </row>
        <row r="16897">
          <cell r="O16897" t="str">
            <v>SC2442SO-TR-Q</v>
          </cell>
          <cell r="P16897" t="str">
            <v>STC9906R</v>
          </cell>
          <cell r="Q16897" t="str">
            <v>磁性位置传感器</v>
          </cell>
        </row>
        <row r="16898">
          <cell r="O16898" t="str">
            <v>SC60370</v>
          </cell>
          <cell r="P16898" t="str">
            <v>STC9D05C</v>
          </cell>
          <cell r="Q16898" t="str">
            <v>电机编码器</v>
          </cell>
        </row>
        <row r="16899">
          <cell r="O16899" t="str">
            <v>PSTC9906J-1</v>
          </cell>
          <cell r="P16899" t="str">
            <v>STC9906J</v>
          </cell>
          <cell r="Q16899" t="str">
            <v>磁性位置传感器</v>
          </cell>
        </row>
        <row r="16900">
          <cell r="O16900" t="str">
            <v>PSTC9906J-1</v>
          </cell>
          <cell r="P16900" t="str">
            <v>STC9906J</v>
          </cell>
          <cell r="Q16900" t="str">
            <v>磁性位置传感器</v>
          </cell>
        </row>
        <row r="16901">
          <cell r="O16901" t="str">
            <v>SC2442SO-TR-Q</v>
          </cell>
          <cell r="P16901" t="str">
            <v>STC11102B</v>
          </cell>
          <cell r="Q16901" t="str">
            <v>磁性位置传感器</v>
          </cell>
        </row>
        <row r="16902">
          <cell r="O16902" t="str">
            <v>SC1134UA-BK</v>
          </cell>
          <cell r="P16902" t="str">
            <v>STC1898AI</v>
          </cell>
          <cell r="Q16902" t="str">
            <v>磁性位置传感器</v>
          </cell>
        </row>
        <row r="16903">
          <cell r="O16903" t="str">
            <v>SC2432SO-TR-Q</v>
          </cell>
          <cell r="P16903" t="str">
            <v>STC9906M</v>
          </cell>
          <cell r="Q16903" t="str">
            <v>磁性位置传感器</v>
          </cell>
        </row>
        <row r="16904">
          <cell r="O16904" t="str">
            <v>SC2432SO-TR-Q</v>
          </cell>
          <cell r="P16904" t="str">
            <v>STC9906M</v>
          </cell>
          <cell r="Q16904" t="str">
            <v>磁性位置传感器</v>
          </cell>
        </row>
        <row r="16905">
          <cell r="O16905" t="str">
            <v>SC2242UA-BK-Q</v>
          </cell>
          <cell r="P16905" t="str">
            <v>STC9906H</v>
          </cell>
          <cell r="Q16905" t="str">
            <v>磁性位置传感器</v>
          </cell>
        </row>
        <row r="16906">
          <cell r="O16906" t="str">
            <v>SC2242UA-BK-Q</v>
          </cell>
          <cell r="P16906" t="str">
            <v>STC9906H</v>
          </cell>
          <cell r="Q16906" t="str">
            <v>磁性位置传感器</v>
          </cell>
        </row>
        <row r="16907">
          <cell r="O16907" t="str">
            <v>SC9642TS-EC-TR-Q</v>
          </cell>
          <cell r="P16907" t="str">
            <v>STC9A001H</v>
          </cell>
          <cell r="Q16907" t="str">
            <v>速度传感器</v>
          </cell>
        </row>
        <row r="16908">
          <cell r="O16908" t="str">
            <v>SC9642TS-EC-TR-Q</v>
          </cell>
          <cell r="P16908" t="str">
            <v>STC9A001H</v>
          </cell>
          <cell r="Q16908" t="str">
            <v>速度传感器</v>
          </cell>
        </row>
        <row r="16909">
          <cell r="O16909" t="str">
            <v>SC9314UA</v>
          </cell>
          <cell r="P16909" t="str">
            <v>STC9901AF</v>
          </cell>
          <cell r="Q16909" t="str">
            <v>速度传感器</v>
          </cell>
        </row>
        <row r="16910">
          <cell r="O16910" t="str">
            <v>SC9314UA</v>
          </cell>
          <cell r="P16910" t="str">
            <v>STC9901AF</v>
          </cell>
          <cell r="Q16910" t="str">
            <v>速度传感器</v>
          </cell>
        </row>
        <row r="16911">
          <cell r="O16911" t="str">
            <v>SC9642TS-E-TR-Q</v>
          </cell>
          <cell r="P16911" t="str">
            <v>STC9A001H</v>
          </cell>
          <cell r="Q16911" t="str">
            <v>磁性位置传感器</v>
          </cell>
        </row>
        <row r="16912">
          <cell r="O16912" t="str">
            <v>SC9642TS</v>
          </cell>
          <cell r="P16912" t="str">
            <v>STC9A001G</v>
          </cell>
          <cell r="Q16912" t="str">
            <v>速度传感器</v>
          </cell>
        </row>
        <row r="16913">
          <cell r="O16913" t="str">
            <v>SC9642TS</v>
          </cell>
          <cell r="P16913" t="str">
            <v>STC9A001G</v>
          </cell>
          <cell r="Q16913" t="str">
            <v>速度传感器</v>
          </cell>
        </row>
        <row r="16914">
          <cell r="O16914" t="str">
            <v>SC9642TS</v>
          </cell>
          <cell r="P16914" t="str">
            <v>STC9A001G</v>
          </cell>
          <cell r="Q16914" t="str">
            <v>速度传感器</v>
          </cell>
        </row>
        <row r="16915">
          <cell r="O16915" t="str">
            <v>SC9642TS</v>
          </cell>
          <cell r="P16915" t="str">
            <v>STC9A001G</v>
          </cell>
          <cell r="Q16915" t="str">
            <v>速度传感器</v>
          </cell>
        </row>
        <row r="16916">
          <cell r="O16916" t="str">
            <v>SC4688SA</v>
          </cell>
          <cell r="P16916" t="str">
            <v>STC9D01C</v>
          </cell>
          <cell r="Q16916" t="str">
            <v>角度传感器</v>
          </cell>
        </row>
        <row r="16917">
          <cell r="O16917" t="str">
            <v>SC9641TS-TR-Q</v>
          </cell>
          <cell r="P16917" t="str">
            <v>STC9910BN</v>
          </cell>
          <cell r="Q16917" t="str">
            <v>速度传感器</v>
          </cell>
        </row>
        <row r="16918">
          <cell r="O16918" t="str">
            <v>SC9641TS-TR-Q</v>
          </cell>
          <cell r="P16918" t="str">
            <v>STC9910BN</v>
          </cell>
          <cell r="Q16918" t="str">
            <v>速度传感器</v>
          </cell>
        </row>
        <row r="16919">
          <cell r="O16919" t="str">
            <v>SC9641TS-TR-Q</v>
          </cell>
          <cell r="P16919" t="str">
            <v>STC9910BN</v>
          </cell>
          <cell r="Q16919" t="str">
            <v>速度传感器</v>
          </cell>
        </row>
        <row r="16920">
          <cell r="O16920" t="str">
            <v>SC9641TS-TR-Q</v>
          </cell>
          <cell r="P16920" t="str">
            <v>STC9910BN</v>
          </cell>
          <cell r="Q16920" t="str">
            <v>速度传感器</v>
          </cell>
        </row>
        <row r="16921">
          <cell r="O16921" t="str">
            <v>SC9641TS-TR-Q</v>
          </cell>
          <cell r="P16921" t="str">
            <v>STC9910BN</v>
          </cell>
          <cell r="Q16921" t="str">
            <v>速度传感器</v>
          </cell>
        </row>
        <row r="16922">
          <cell r="O16922" t="str">
            <v>SC9641TS-TR-Q</v>
          </cell>
          <cell r="P16922" t="str">
            <v>STC9910BN</v>
          </cell>
          <cell r="Q16922" t="str">
            <v>速度传感器</v>
          </cell>
        </row>
        <row r="16923">
          <cell r="O16923" t="str">
            <v>SC9641TS-TR-Q</v>
          </cell>
          <cell r="P16923" t="str">
            <v>STC9910BN</v>
          </cell>
          <cell r="Q16923" t="str">
            <v>速度传感器</v>
          </cell>
        </row>
        <row r="16924">
          <cell r="O16924" t="str">
            <v>SC9641TS-TR-Q</v>
          </cell>
          <cell r="P16924" t="str">
            <v>STC9910BN</v>
          </cell>
          <cell r="Q16924" t="str">
            <v>速度传感器</v>
          </cell>
        </row>
        <row r="16925">
          <cell r="O16925" t="str">
            <v>SC9641TS-TR-Q</v>
          </cell>
          <cell r="P16925" t="str">
            <v>STC9910BN</v>
          </cell>
          <cell r="Q16925" t="str">
            <v>速度传感器</v>
          </cell>
        </row>
        <row r="16926">
          <cell r="O16926" t="str">
            <v>SC9642TS-TR-Q</v>
          </cell>
          <cell r="P16926" t="str">
            <v>STC9A001G</v>
          </cell>
          <cell r="Q16926" t="str">
            <v>速度传感器</v>
          </cell>
        </row>
        <row r="16927">
          <cell r="O16927" t="str">
            <v>SC9642TS-TR-Q</v>
          </cell>
          <cell r="P16927" t="str">
            <v>STC9A001G</v>
          </cell>
          <cell r="Q16927" t="str">
            <v>速度传感器</v>
          </cell>
        </row>
        <row r="16928">
          <cell r="O16928" t="str">
            <v>SC9642TS-TR-Q</v>
          </cell>
          <cell r="P16928" t="str">
            <v>STC9A001G</v>
          </cell>
          <cell r="Q16928" t="str">
            <v>速度传感器</v>
          </cell>
        </row>
        <row r="16929">
          <cell r="O16929" t="str">
            <v>SC9642TS-TR-Q</v>
          </cell>
          <cell r="P16929" t="str">
            <v>STC9A001G</v>
          </cell>
          <cell r="Q16929" t="str">
            <v>速度传感器</v>
          </cell>
        </row>
        <row r="16930">
          <cell r="O16930" t="str">
            <v>SC9642TS-TR-Q</v>
          </cell>
          <cell r="P16930" t="str">
            <v>STC9A001G</v>
          </cell>
          <cell r="Q16930" t="str">
            <v>速度传感器</v>
          </cell>
        </row>
        <row r="16931">
          <cell r="O16931" t="str">
            <v>SC1445A1</v>
          </cell>
          <cell r="P16931" t="str">
            <v>STC2899AB</v>
          </cell>
          <cell r="Q16931" t="str">
            <v>磁性位置传感器</v>
          </cell>
        </row>
        <row r="16932">
          <cell r="O16932" t="str">
            <v>SC9632VB-BK</v>
          </cell>
          <cell r="P16932" t="str">
            <v>STC9905E</v>
          </cell>
          <cell r="Q16932" t="str">
            <v>速度传感器</v>
          </cell>
        </row>
        <row r="16933">
          <cell r="O16933" t="str">
            <v>SC9632VB-BK</v>
          </cell>
          <cell r="P16933" t="str">
            <v>STC9905E</v>
          </cell>
          <cell r="Q16933" t="str">
            <v>速度传感器</v>
          </cell>
        </row>
        <row r="16934">
          <cell r="O16934" t="str">
            <v>STC4011B-DS</v>
          </cell>
          <cell r="P16934" t="str">
            <v>STC4011B</v>
          </cell>
          <cell r="Q16934" t="str">
            <v>磁性位置传感器</v>
          </cell>
        </row>
        <row r="16935">
          <cell r="O16935" t="str">
            <v>STC4011B-DS</v>
          </cell>
          <cell r="P16935" t="str">
            <v>STC4011B</v>
          </cell>
          <cell r="Q16935" t="str">
            <v>磁性位置传感器</v>
          </cell>
        </row>
        <row r="16936">
          <cell r="O16936" t="str">
            <v>SC2498CUA-N-BK-Q</v>
          </cell>
          <cell r="P16936" t="str">
            <v>SC9915C</v>
          </cell>
          <cell r="Q16936" t="str">
            <v>磁性位置传感器</v>
          </cell>
        </row>
        <row r="16937">
          <cell r="O16937" t="str">
            <v>SC2498CUA-N-BK-Q</v>
          </cell>
          <cell r="P16937" t="str">
            <v>SC9915C</v>
          </cell>
          <cell r="Q16937" t="str">
            <v>磁性位置传感器</v>
          </cell>
        </row>
        <row r="16938">
          <cell r="O16938" t="str">
            <v>SC4688SA-A</v>
          </cell>
          <cell r="P16938" t="str">
            <v>STC9D01C</v>
          </cell>
          <cell r="Q16938" t="str">
            <v>角度传感器</v>
          </cell>
        </row>
        <row r="16939">
          <cell r="O16939" t="str">
            <v>SC4688SA-BK-Q</v>
          </cell>
          <cell r="P16939" t="str">
            <v>STC9D01C</v>
          </cell>
          <cell r="Q16939" t="str">
            <v>角度传感器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enrong Zhang(张珍荣_MM)" refreshedDate="45851.655352430556" createdVersion="8" refreshedVersion="8" minRefreshableVersion="3" recordCount="626" xr:uid="{AF0545B2-D2F7-4234-84FD-8219CB476895}">
  <cacheSource type="worksheet">
    <worksheetSource ref="A1:BT627" sheet="预测"/>
  </cacheSource>
  <cacheFields count="72">
    <cacheField name="序号" numFmtId="0">
      <sharedItems containsSemiMixedTypes="0" containsString="0" containsNumber="1" containsInteger="1" minValue="1" maxValue="626"/>
    </cacheField>
    <cacheField name="客户" numFmtId="0">
      <sharedItems containsBlank="1"/>
    </cacheField>
    <cacheField name="等级" numFmtId="0">
      <sharedItems/>
    </cacheField>
    <cacheField name="代理商" numFmtId="0">
      <sharedItems containsBlank="1"/>
    </cacheField>
    <cacheField name="TMS销售" numFmtId="0">
      <sharedItems/>
    </cacheField>
    <cacheField name="代理销售" numFmtId="0">
      <sharedItems containsBlank="1"/>
    </cacheField>
    <cacheField name="产品型号" numFmtId="0">
      <sharedItems containsBlank="1" count="186">
        <s v="SC4643VB-BK-Q"/>
        <s v="SC4643VB-G-BK-Q"/>
        <s v="SC4616UA-10.2NF-BK"/>
        <s v="SPD3242"/>
        <s v="SC69401DC-TR-Q"/>
        <s v="SC2498TSO-TR-Q"/>
        <s v="SC2498SO-TR-Q"/>
        <s v="SC2442SO-TR-Q"/>
        <s v="ZH6338"/>
        <s v="SC2438SO-TR"/>
        <s v="SC2434SO-N-TR"/>
        <s v="SC2402SO-N-TR"/>
        <s v="SC2064SO-TR"/>
        <s v="SC2402UA-BK"/>
        <s v="SC4643VB-TR-Q"/>
        <s v="SC2498CUA-N-BK-Q"/>
        <s v="SC2448SO-TR-Q"/>
        <s v="SC2063SO-TR"/>
        <s v="SC2462SO-TR"/>
        <s v="SC2498UA-N-BK-Q"/>
        <s v="SC2448UA-N-BK-Q"/>
        <s v="ZH6531"/>
        <s v="SC2466SO-TR"/>
        <s v="SC2432SO-N-TR"/>
        <s v="SC1134SO-N-TR"/>
        <s v="SC1138SO-N-TR-Q"/>
        <s v="SC1134UA-BK"/>
        <s v="SC2442UA-BK"/>
        <s v="SC2443SO-TR-Q"/>
        <s v="SC1245SO-N-TR"/>
        <s v="SC4001SE-TR"/>
        <s v="SC2442SO-N-TR"/>
        <s v="SC4688DC-TR-Q"/>
        <s v="SC4645VB-BK"/>
        <s v="SC9621VB-BK"/>
        <s v="SC9675IM-TR-Q"/>
        <s v="SC9314UA-BK"/>
        <s v="SC9625VB-BK"/>
        <s v="SC9675IM-HRF001-TR-Q"/>
        <s v="SC9675IM-HRF00-TR-Q"/>
        <s v="SC9675IM-LRF01-TR-Q"/>
        <s v="SC2462SO-TR-Q"/>
        <s v="SC2432SO-TR-Q"/>
        <s v="SC1134SO-N-TR-Q"/>
        <s v="SC2436SO-TR-Q"/>
        <s v="SC69401DC-SPI-TR-Q"/>
        <s v="SC2438SO-TR-Q"/>
        <s v="SC4019S7-BK"/>
        <s v="SC4643VB-S-BK-Q"/>
        <s v="SC4643VB-P-BK-Q"/>
        <s v="SC4688SA-BK-Q"/>
        <s v="SC9314UA-BK-Q"/>
        <s v="SC9625VB-TR"/>
        <s v="SC9675T3-TR-Q"/>
        <s v="SC9642TS-EC-TR-Q"/>
        <s v="SC69401HS-SPI-TR-Q"/>
        <s v="SC4643VB-P-TR-Q"/>
        <s v="SC9641TS-P-TR"/>
        <s v="SC9642TS-E-TR-Q"/>
        <s v="SC9685TS-RP120-TR-Q"/>
        <s v="SC9641TS-P-TR-Q"/>
        <s v="VE2430QI-33-TR-Q"/>
        <s v="SC2442SO-N-TR-Q"/>
        <s v="SC4643SA-BK-Q"/>
        <s v="SC4643SA-HBL-BK-Q"/>
        <s v="SC4643SA-S-TR-Q"/>
        <s v="SC9641TS-PC-TR-Q"/>
        <s v="SC9642TS-TR-Q"/>
        <s v="SC9641TS-TR-Q"/>
        <s v="SC2443UA-BK-Q"/>
        <s v="SC2242SO-TR-Q"/>
        <s v="SC243XUA-BK"/>
        <s v="SC9683TS-TR-Q"/>
        <s v="SC4689SA-BK-Q"/>
        <s v="SC9648TS-TR"/>
        <s v="SC69401HS-TR-Q"/>
        <s v="SC69401DC-TR"/>
        <s v="SC9684TS-TR-Q"/>
        <s v="SC2442SO-TR"/>
        <s v="SC9675IM-HRF11-TR-Q"/>
        <s v="SC69401HS-TR"/>
        <m/>
        <s v="VE8602AKR"/>
        <s v="VE8602A5R"/>
        <s v="SC4703SO-TR"/>
        <s v="SC4011DN"/>
        <s v="SC60226SS-TB"/>
        <s v="SC2462UA-BK"/>
        <s v="SC4251D3-TR"/>
        <s v="SC60221-D-256"/>
        <s v="SC2442UA-BK-Q"/>
        <s v="SC60221-D-50"/>
        <s v="SC4103DN"/>
        <s v="SC1134BU-TR"/>
        <s v="SC1133UA-BK"/>
        <s v="SC2202SO-N-TR"/>
        <s v="SC4002SO"/>
        <s v="SC4011SO"/>
        <s v="SC1445A1"/>
        <s v="SC2438UA-BK"/>
        <s v="SC2464SO-TR"/>
        <s v="SC4101DN"/>
        <s v="SC4002SO-N-TR"/>
        <s v="SC4011SO-N-TR"/>
        <s v="SC4123SO-N-TR"/>
        <s v="ZH619DC-TR"/>
        <s v="SC4019SO-N-TR"/>
        <s v="SC4923SO-N-TR"/>
        <s v="SC4391S6-TR"/>
        <s v="SC4823S6-TR"/>
        <s v="SC4015SO-N-A-TR"/>
        <s v="SC4015SO-N-TR"/>
        <s v="STC4011B-DS"/>
        <s v="SC2242UA-BK"/>
        <s v="SC1245A3-BK"/>
        <s v="SC2546VB-AB-BK"/>
        <s v="SC60228DC-TR"/>
        <s v="SC1645A1-BK"/>
        <s v="SC1645B1-BK"/>
        <s v="SC1945B1-BK"/>
        <s v="SC1845S1-BK"/>
        <s v="SC1845F1-BK"/>
        <s v="SC1845A1-BK"/>
        <s v="SC1845A2-BK"/>
        <s v="SC1002S1-BK"/>
        <s v="SC1002N1-BK"/>
        <s v="SC2436UA-BK"/>
        <s v="SC2948S2-BK"/>
        <s v="SC2968S1-N-BK"/>
        <s v="SC2432UA-BK"/>
        <s v="SC4616BU"/>
        <s v="VE1430Q1CA3R5"/>
        <s v="SC2455SO-TR-Q"/>
        <s v="SC2436SO-TR"/>
        <s v="SC60370"/>
        <s v="SC4688DC-TR"/>
        <s v="SC4002UA-BK"/>
        <s v="SC60224-D-16"/>
        <s v="SL54123ADC-TR"/>
        <s v="SD477VB-BK"/>
        <s v="SD2276VB-BK"/>
        <s v="SD211VB-BK"/>
        <s v="SC2063UA-BK"/>
        <s v="SC1134B1-BK"/>
        <s v="SL002147DC-TR"/>
        <s v="FD1014A"/>
        <s v="PSTC9G001C"/>
        <s v="SC9632VB-BK"/>
        <s v="SC2942SO-TR-Q"/>
        <s v="SC2413SO-N-TR"/>
        <s v="ZH6200"/>
        <s v="SC2527S6-SD-TR-Q"/>
        <s v="SC25271S06"/>
        <s v="SC243XSO-TR-Q"/>
        <s v="SC4624SP20B5"/>
        <s v="SC9675IM-LRF00-TR-Q"/>
        <s v="SC2527S6-AB-TR-Q"/>
        <s v="VE1430Q1VA3RADJ"/>
        <s v="VE8600EC-TR"/>
        <s v="SC2432UA-BK-Q"/>
        <s v="SC4002BU-TR"/>
        <s v="SC919SO-N-TR-Q"/>
        <s v="SC1945B1"/>
        <s v="SC1945A1-BK"/>
        <s v="SC2943SO-TR-Q"/>
        <s v="SC25891CUA-A-Q"/>
        <s v="SC25891SE-TR-Q"/>
        <s v="SC2432SO-N-TR-Q"/>
        <s v="新料（低功耗）"/>
        <s v="VE1430Q1CA3R33"/>
        <s v="SC4624DC-20A-TR"/>
        <s v="SC2434SO-TR"/>
        <s v="VE1430Q1BA3R5"/>
        <s v="SC3100VB-BK-Q"/>
        <s v="SC4665VB-BK"/>
        <s v="SC25791SE-TR-Q"/>
        <s v="SC25791CUA-A-Q"/>
        <s v="SC2473S5-TR"/>
        <s v="SC2452SO-TR-Q"/>
        <s v="SC2432SO-TR"/>
        <s v="SC2033SO-N-TR"/>
        <s v="SC2948SO-TR-Q"/>
        <s v="SC2569X"/>
        <s v="SC9633VB-BK"/>
        <s v="SC60104"/>
        <s v="SC2242UA-BK-Q"/>
      </sharedItems>
    </cacheField>
    <cacheField name="生产料号" numFmtId="0">
      <sharedItems containsBlank="1" count="200">
        <s v="SC4643VB-Q-DE-40CK-4643"/>
        <s v="SC4643VB-G-Q-DE-40CK-4643"/>
        <s v="SC4616UA-10.2NF-CD-90AK-4616"/>
        <s v="SPD3242(STC35301)"/>
        <s v="SC69401DC-Q-HD-4XCR-69401"/>
        <s v="SC2498TSO-Q-CC-10CR-2498T"/>
        <s v="SC2498SO-Q-DB-60CR-2498"/>
        <s v="SC2442SO-Q-DB-60CR-2442"/>
        <s v="ZH6338"/>
        <s v="SC2438SO-CM-10CR-2438"/>
        <s v="SC2434SO-N-CI-10CR-2434"/>
        <s v="SC2402SO-N-CJ-90NR-2402"/>
        <s v="SC2064SO-GC-00NR-2064"/>
        <s v="SC2402UA-CJ-90AK-2402"/>
        <s v="SC4643VB-Q-DE-40CK-FFH-L43"/>
        <s v="SC4643VB-Q-DE-40CR-FFH-L43"/>
        <s v="SC2498CUA-N-Q-DB-60AK-2498C"/>
        <s v="SC2448SO-Q-DB-60CR-2448"/>
        <s v="SC2063SO-GC-00NR-2063"/>
        <s v="SC2462SO-CJ-10CR-2462"/>
        <s v="SC2498UA-N-Q-DB-60AK-2498"/>
        <s v="SC2448UA-N-Q-DB-60AK-2448"/>
        <s v="ZH6531"/>
        <s v="SC2466SO-CO-10CR-2466"/>
        <s v="SC2432SO-N-CI-10CR-2432"/>
        <s v="SC1134SO-N-CF-00LR-1134"/>
        <s v="SC1138SO-N-Q-CC-00LR-1138"/>
        <s v="SC1134UA-CI-00AK-1134"/>
        <s v="SC2442UA-CP-10AK-U18"/>
        <s v="SC2443SO-Q-DB-60CR-2443"/>
        <s v="SC1245SO-N-CD-00NR-1245"/>
        <m/>
        <s v="SC4001SE-CB-90CR-4001"/>
        <s v="SC2442SO-N-CP-10CR-2442"/>
        <s v="SC4688DC-Q-DC-40CR-4688"/>
        <s v="SC4645VB-DF-00CK-4645"/>
        <s v="SC9621VB-CF-00CK-9621"/>
        <s v="SC9675IM-Q-AB-4XAR-9675"/>
        <s v="SC9314UA-CF-0XAK-9209"/>
        <s v="SC9314UA-CF-0XAK-9201L"/>
        <s v="SC9625VB-CE-00CK-9625L"/>
        <s v="SC9675IM-HRF00-Q-AB-4XAR-9675"/>
        <s v="SC9675IM-LRF01-Q-AB-4XAR-9675"/>
        <s v="SC2462SO-Q-CJ-10CR-2462"/>
        <s v="SC2432SO-Q-CM-10CR-2432"/>
        <s v="SC1134SO-N-Q-CI-00LR-1134"/>
        <s v="SC2436SO-CM-10CR-2436"/>
        <s v="SC69401DC-SPI-Q-HD-4XCR-69401"/>
        <s v="SC2438SO-Q-CM-10CR-2438"/>
        <s v="SC4019S7-CC-90AK-49E"/>
        <s v="SC4643VB-S-Q-DE-40CK-4643"/>
        <s v="SC4643VB-P-Q-DE-40CK-4643"/>
        <s v="SC4688SA-Q-DC-40CK-4688"/>
        <s v="SC9314UA-Q-CF-0XAK-94M"/>
        <s v="SC9625VB-CE-00CR-9625L"/>
        <s v="SC9675T3-Q-AB-4XAR-9675"/>
        <s v="SC9642TS-EC-Q-AH-4XLR-9642"/>
        <s v="SC69401HS-SPI-Q-HD-4XTR-69401"/>
        <s v="SC4643VB-P-Q-DE-40CR-4643"/>
        <s v="SC9641TS-P-AI-10AR-41CPA"/>
        <s v="SC9642TS-E-Q-AH-4XLR-9642"/>
        <s v="SC9314UA-CF-0XAK-94M"/>
        <s v="SC9685TS-RP120-Q-DB-46AR-96852"/>
        <s v="SC9642TS-E362-Q-AH-4XLR-9642"/>
        <s v="SC9641TS-P-Q-AI-10LR-9641P"/>
        <s v="SC2442SO-N-Q-DB-60CR-2442"/>
        <s v="SC4643SA-Q-DE-40HK-2100"/>
        <s v="SC4643SA-HBL-Q-DE-40HK-2100"/>
        <s v="SC4643SA-S-Q-DE-40HR-2100"/>
        <s v="SC9641TS-PC-Q-AI-10LR-9641PC"/>
        <s v="SC9642TS-Q-AG-4XHK-9642"/>
        <s v="SC9641TS-Q-CB-10LR-9641"/>
        <s v="SC2442SO-N-Q-CP-10CR-2442"/>
        <s v="SC2443UA-Q-DB-60AK-2443"/>
        <s v="SC2242SO-Q-CH-10CR-2642"/>
        <s v="SC9683TS-Q-DB-4XAR-9683"/>
        <s v="SC4689SA-Q-DF-40CK-4689"/>
        <s v="SC9648TS-AI-10AR-9648"/>
        <s v="SC9641TS-362-Q-CB-10LR-9641"/>
        <s v="SC69401HS-Q-HD-4XTR-69401"/>
        <s v="SC69401DC-HD-4XCR-69401"/>
        <s v="SC2442UA-CP-10AK-2442"/>
        <s v="SC9684TS-Q-DB-4XAR-9684"/>
        <s v="SC2442SO-CR-10CR-2442"/>
        <s v="SC2402SO-N-GA-00NR-2402"/>
        <s v="SC9675IM-HRF11-Q-AB-4XAR-9675"/>
        <s v="SC69401HS-HD-4XTR-69401"/>
        <s v="VE8602AKR-8602"/>
        <s v="TRVE8602A5R-8602"/>
        <s v="SC4703SO-GB-00NR-4703"/>
        <s v="SC2402UA-GB-0XAK-2402"/>
        <s v="SC4011DN-4011"/>
        <s v="SC2242SO-Q-CH-10CR-2242"/>
        <s v="NA.SC60226SS-DC"/>
        <s v="SC1134UA-CI-00AK-44L"/>
        <s v="SC1134UA-CI-00AK-44E"/>
        <s v="SC2462UA-CJ-10AK-2462"/>
        <s v="SC4251D3-GA-00FR-4251"/>
        <s v="SC60221-D-256"/>
        <s v="SC2442UA-Q-DB-60AK-2442"/>
        <s v="SC60221-D-50"/>
        <s v="SC4103DN(STC11201B1)-4103"/>
        <s v="SC1134BU-CI-00CR-1134"/>
        <s v="SC1133UA-CJ-00AK-1133"/>
        <s v="SC2202SO-N-CE-00NR-2202"/>
        <s v="SC4002SO(STC4000AA)-4002"/>
        <s v="NM.SC1134UA-CI-00AK"/>
        <s v="SC1445A1-41F"/>
        <s v="SC2438UA-CI-10AK-2438"/>
        <s v="SC2464SO-CJ-10CR-2464"/>
        <s v="SC4101DN(STC11201B1)-4101"/>
        <s v="SC4002SO-N-CA-00NR-4002"/>
        <s v="SC4011SO-N-CB-90NR-49E"/>
        <s v="SC4923SO-N-CD-00NR-4923"/>
        <s v="SC4391S6-GB-00NR-4391"/>
        <s v="SC4823S6-GA-00NR-4823"/>
        <s v="SC4015SO-N-A-CE-90NR-4015"/>
        <s v="SC4015SO-N-CE-90NR-CY19"/>
        <s v="STC4011B-DS"/>
        <s v="SC2242UA-CE-00AK-2242"/>
        <s v="SC1245A3-CD-00CK-41F"/>
        <s v="SC2546VB-AB-DA-00AK-2546"/>
        <s v="SC4015SO-N-CE-90NR-G01M"/>
        <s v="SC60228DC-DC-00AR-60228"/>
        <s v="SC1645A1-AI-00HK-4601H"/>
        <s v="SC1645B1-AI-00HK-4601"/>
        <s v="SC1945B1-AJ-00HK-N603"/>
        <s v="SC1845S1-AI-00AK-41F"/>
        <s v="SC1845S1-AI-00AK-S41H"/>
        <s v="SC1845F1-AI-00HK-41F"/>
        <s v="SC1845F1-AI-00HK-S41H"/>
        <s v="SC1002S1-CG-00AK-41F"/>
        <s v="SC1002N1-CL-00HK-42N"/>
        <s v="SC1134UA-CI-00AK-43F"/>
        <s v="SC2402UA-GB-0XAK-U18"/>
        <s v="SC2402SO-N-CJ-90NR-6571"/>
        <s v="SC2402UA-GB-00AK-6501"/>
        <s v="SC2436UA-CI-10AK-6210"/>
        <s v="SC2948S2-DB-60AK-61H"/>
        <s v="SC2968S1-N-DC-4XAK-S21C"/>
        <s v="SC2432UA-CI-10AK-6232"/>
        <s v="SC2462UA-CJ-10AK-6472"/>
        <s v="SC4616BU-4616"/>
        <s v="TRVE1430Q1CA3R5-1430Q"/>
        <s v="SC2455SO-Q-CK-10CR-2455"/>
        <s v="SC4688SA-Q-DC-40CK-888K"/>
        <s v="SC60370(STC9D05C)-60370"/>
        <s v="SC2442SO-N-Q-CP-10CR-2662"/>
        <s v="SC4688DC-DC-40AR-2425"/>
        <s v="SC4002UA-CA-00AK-95A"/>
        <s v="SC60224-D-16"/>
        <s v="SL54123ADC-GB-00AR-54123A"/>
        <s v="SD477VB-GC-90AK-477S"/>
        <s v="SD2276VB-CA-90AK-276"/>
        <s v="SD211VB-CA-90AK-211"/>
        <s v="SC4002UA-CA-00AK-4002"/>
        <s v="SC2063UA-GC-00AK-2063"/>
        <s v="SC1134B1-CI-00HK-43F"/>
        <s v="SD477VB-GC-90AK-KH477"/>
        <s v="SD2276VB-CA-90AK-KH276"/>
        <s v="SD211VB-CA-90AK-KH211"/>
        <s v="SL002147DC-GB-00AR-2147"/>
        <s v="SC2402UA-GB-00AK-177"/>
        <s v="SC9314UA-CF-0XAK-17CA"/>
        <s v="FD1014A"/>
        <s v="PSTC9G001C"/>
        <s v="SC9632VB-CE-00CK-9632"/>
        <s v="SC2413SO-N-CD-00LR-44E"/>
        <s v="SC2527S6-SD-Q-DA-40CR-2527"/>
        <s v="SC243XSO-Q-CM-10CR-243X"/>
        <s v="SC9675IM-LRF00-Q-AB-4XAR-9675"/>
        <s v="SC2527S6-AB-Q-DA-40CR-2527"/>
        <s v="TRVE1430Q1VA3RADJ(VA2201E)-1430Q"/>
        <s v="SC4002BU-CA-00CR-4002"/>
        <s v="SC919SO-N-Q-CD-90CR-919H"/>
        <s v="SC1645A1-AI-00HK-1466"/>
        <s v="SC1645A1-AI-00HK-65HA"/>
        <s v="SC1645B1-AI-00HK-615HA"/>
        <s v="SC1945B1(STC2899AJ)-N13"/>
        <s v="SC1945A1-AJ-00HK-N13"/>
        <s v="SC2943SO-Q-DB-60CR-2943"/>
        <s v="SC25891CUA-A-Q(STC11210G-Q)-25891C"/>
        <s v="SC25891SE-Q-CG-40CR-5891"/>
        <s v="SC2432SO-N-Q-CI-10CR-2432"/>
        <s v="TRVE1430Q1CA3R33(VA2201D)-1430Q"/>
        <s v="SC2434SO-CM-10CR-2434"/>
        <s v="TRVE1430Q1BA3R5(VA2201D)-1430Q"/>
        <s v="SC3100VB-DG-00CK-3100"/>
        <s v="SC4643SA-Q-DE-40CK-4643"/>
        <s v="SC4665VB-HB-33CK-4665"/>
        <s v="SC25791SE-Q-CG-40CR-5791"/>
        <s v="SC25791CUA-A(STC11210G-Q)-25791C"/>
        <s v="SC2452SO-Q-DD-60AR-2452"/>
        <s v="SC2432SO-CM-10CR-2432"/>
        <s v="SC2033SO-N-GD-00NR-2033"/>
        <s v="SC9633VB-CF-00CK-9633"/>
        <s v="NM.SC60104"/>
        <s v="SC60228DC-DC-00AR-NM"/>
        <s v="SC2242UA-Q-CH-10AK-2242"/>
        <s v="SC9641TS-P-AI-10AR-G1630"/>
      </sharedItems>
    </cacheField>
    <cacheField name="丝印" numFmtId="0">
      <sharedItems containsBlank="1" containsMixedTypes="1" containsNumber="1" containsInteger="1" minValue="177" maxValue="69401"/>
    </cacheField>
    <cacheField name="档位" numFmtId="0">
      <sharedItems containsBlank="1" count="9">
        <m/>
        <s v="A"/>
        <s v="无"/>
        <s v="H/L"/>
        <s v="GTA-A"/>
        <s v="上华"/>
        <s v="B"/>
        <s v="GTA"/>
        <s v="CSMC"/>
      </sharedItems>
    </cacheField>
    <cacheField name="应用简介" numFmtId="0">
      <sharedItems containsBlank="1"/>
    </cacheField>
    <cacheField name="年TAM" numFmtId="0">
      <sharedItems containsBlank="1" containsMixedTypes="1" containsNumber="1" containsInteger="1" minValue="0" maxValue="100000000"/>
    </cacheField>
    <cacheField name="阶段" numFmtId="0">
      <sharedItems containsBlank="1" containsMixedTypes="1" containsNumber="1" containsInteger="1" minValue="100000" maxValue="20000000"/>
    </cacheField>
    <cacheField name="Action" numFmtId="0">
      <sharedItems containsBlank="1" longText="1"/>
    </cacheField>
    <cacheField name="竞品型号" numFmtId="0">
      <sharedItems containsBlank="1" containsMixedTypes="1" containsNumber="1" containsInteger="1" minValue="0" maxValue="0"/>
    </cacheField>
    <cacheField name="竞品价格" numFmtId="0">
      <sharedItems containsBlank="1" containsMixedTypes="1" containsNumber="1" minValue="0.3" maxValue="90371"/>
    </cacheField>
    <cacheField name="单价" numFmtId="0">
      <sharedItems containsBlank="1" containsMixedTypes="1" containsNumber="1" minValue="0" maxValue="4500"/>
    </cacheField>
    <cacheField name="年预测销售额" numFmtId="176">
      <sharedItems containsSemiMixedTypes="0" containsString="0" containsNumber="1" minValue="0" maxValue="15000000"/>
    </cacheField>
    <cacheField name="目前销售额" numFmtId="0">
      <sharedItems containsString="0" containsBlank="1" containsNumber="1" minValue="0" maxValue="30000000"/>
    </cacheField>
    <cacheField name="年度预测" numFmtId="176">
      <sharedItems containsSemiMixedTypes="0" containsString="0" containsNumber="1" containsInteger="1" minValue="0" maxValue="30000000"/>
    </cacheField>
    <cacheField name="1月预测" numFmtId="0">
      <sharedItems containsString="0" containsBlank="1" containsNumber="1" containsInteger="1" minValue="0" maxValue="2000000"/>
    </cacheField>
    <cacheField name="2月预测" numFmtId="0">
      <sharedItems containsString="0" containsBlank="1" containsNumber="1" containsInteger="1" minValue="0" maxValue="1000000"/>
    </cacheField>
    <cacheField name="3月预测" numFmtId="0">
      <sharedItems containsString="0" containsBlank="1" containsNumber="1" containsInteger="1" minValue="0" maxValue="1200000"/>
    </cacheField>
    <cacheField name="4月预测" numFmtId="0">
      <sharedItems containsString="0" containsBlank="1" containsNumber="1" containsInteger="1" minValue="0" maxValue="1000000"/>
    </cacheField>
    <cacheField name="5月预测" numFmtId="0">
      <sharedItems containsString="0" containsBlank="1" containsNumber="1" containsInteger="1" minValue="0" maxValue="5000000"/>
    </cacheField>
    <cacheField name="6月预测" numFmtId="0">
      <sharedItems containsString="0" containsBlank="1" containsNumber="1" containsInteger="1" minValue="0" maxValue="4000000"/>
    </cacheField>
    <cacheField name="7月预测" numFmtId="0">
      <sharedItems containsString="0" containsBlank="1" containsNumber="1" containsInteger="1" minValue="0" maxValue="4000000"/>
    </cacheField>
    <cacheField name="8月预测" numFmtId="0">
      <sharedItems containsString="0" containsBlank="1" containsNumber="1" containsInteger="1" minValue="0" maxValue="4000000"/>
    </cacheField>
    <cacheField name="9月预测" numFmtId="0">
      <sharedItems containsString="0" containsBlank="1" containsNumber="1" containsInteger="1" minValue="0" maxValue="4000000"/>
    </cacheField>
    <cacheField name="10月预测" numFmtId="0">
      <sharedItems containsString="0" containsBlank="1" containsNumber="1" containsInteger="1" minValue="0" maxValue="10000000"/>
    </cacheField>
    <cacheField name="11月预测" numFmtId="0">
      <sharedItems containsString="0" containsBlank="1" containsNumber="1" containsInteger="1" minValue="0" maxValue="10000000"/>
    </cacheField>
    <cacheField name="12月预测" numFmtId="0">
      <sharedItems containsString="0" containsBlank="1" containsNumber="1" containsInteger="1" minValue="0" maxValue="10000000"/>
    </cacheField>
    <cacheField name="1月预测2" numFmtId="0">
      <sharedItems containsSemiMixedTypes="0" containsString="0" containsNumber="1" containsInteger="1" minValue="0" maxValue="10000000"/>
    </cacheField>
    <cacheField name="1月实际" numFmtId="0">
      <sharedItems containsString="0" containsBlank="1" containsNumber="1" containsInteger="1" minValue="0" maxValue="60000"/>
    </cacheField>
    <cacheField name="2月实际" numFmtId="0">
      <sharedItems containsString="0" containsBlank="1" containsNumber="1" containsInteger="1" minValue="0" maxValue="135000"/>
    </cacheField>
    <cacheField name="3月实际" numFmtId="0">
      <sharedItems containsString="0" containsBlank="1" containsNumber="1" containsInteger="1" minValue="0" maxValue="93498"/>
    </cacheField>
    <cacheField name="4月实际" numFmtId="0">
      <sharedItems containsString="0" containsBlank="1" containsNumber="1" containsInteger="1" minValue="0" maxValue="147000"/>
    </cacheField>
    <cacheField name="5月实际" numFmtId="0">
      <sharedItems containsString="0" containsBlank="1" containsNumber="1" containsInteger="1" minValue="0" maxValue="204000"/>
    </cacheField>
    <cacheField name="6月实际" numFmtId="0">
      <sharedItems containsString="0" containsBlank="1" containsNumber="1" containsInteger="1" minValue="0" maxValue="121478"/>
    </cacheField>
    <cacheField name="7月实际" numFmtId="0">
      <sharedItems containsString="0" containsBlank="1" containsNumber="1" containsInteger="1" minValue="0" maxValue="11000"/>
    </cacheField>
    <cacheField name="8月实际" numFmtId="0">
      <sharedItems containsString="0" containsBlank="1" containsNumber="1" containsInteger="1" minValue="0" maxValue="0"/>
    </cacheField>
    <cacheField name="9月实际" numFmtId="0">
      <sharedItems containsString="0" containsBlank="1" containsNumber="1" containsInteger="1" minValue="0" maxValue="0"/>
    </cacheField>
    <cacheField name="10月实际" numFmtId="0">
      <sharedItems containsString="0" containsBlank="1" containsNumber="1" containsInteger="1" minValue="0" maxValue="1"/>
    </cacheField>
    <cacheField name="11月实际" numFmtId="0">
      <sharedItems containsString="0" containsBlank="1" containsNumber="1" containsInteger="1" minValue="0" maxValue="0"/>
    </cacheField>
    <cacheField name="12月实际" numFmtId="0">
      <sharedItems containsString="0" containsBlank="1" containsNumber="1" containsInteger="1" minValue="0" maxValue="0"/>
    </cacheField>
    <cacheField name="PMM" numFmtId="0">
      <sharedItems containsBlank="1"/>
    </cacheField>
    <cacheField name="销售部" numFmtId="0">
      <sharedItems/>
    </cacheField>
    <cacheField name="产品线" numFmtId="0">
      <sharedItems containsBlank="1"/>
    </cacheField>
    <cacheField name="应用一级" numFmtId="0">
      <sharedItems containsBlank="1"/>
    </cacheField>
    <cacheField name="应用二级" numFmtId="0">
      <sharedItems containsBlank="1"/>
    </cacheField>
    <cacheField name="应用三级" numFmtId="0">
      <sharedItems containsBlank="1"/>
    </cacheField>
    <cacheField name="应用四级" numFmtId="0">
      <sharedItems containsBlank="1"/>
    </cacheField>
    <cacheField name="主机厂" numFmtId="0">
      <sharedItems containsBlank="1"/>
    </cacheField>
    <cacheField name="平台" numFmtId="0">
      <sharedItems containsBlank="1"/>
    </cacheField>
    <cacheField name="车型" numFmtId="0">
      <sharedItems containsBlank="1"/>
    </cacheField>
    <cacheField name="单机用量" numFmtId="0">
      <sharedItems containsString="0" containsBlank="1" containsNumber="1" containsInteger="1" minValue="0" maxValue="192"/>
    </cacheField>
    <cacheField name="车型SOP" numFmtId="0">
      <sharedItems containsDate="1" containsString="0" containsBlank="1" containsMixedTypes="1" minDate="2022-03-01T00:00:00" maxDate="1900-01-05T21:51:04"/>
    </cacheField>
    <cacheField name="评估" numFmtId="0">
      <sharedItems containsNonDate="0" containsDate="1" containsString="0" containsBlank="1" minDate="2020-03-01T00:00:00" maxDate="2025-09-21T00:00:00"/>
    </cacheField>
    <cacheField name="送样" numFmtId="0">
      <sharedItems containsNonDate="0" containsDate="1" containsString="0" containsBlank="1" minDate="2020-04-01T00:00:00" maxDate="2025-09-21T00:00:00"/>
    </cacheField>
    <cacheField name="样品测试" numFmtId="0">
      <sharedItems containsNonDate="0" containsDate="1" containsString="0" containsBlank="1" minDate="2020-10-01T00:00:00" maxDate="2025-12-16T00:00:00"/>
    </cacheField>
    <cacheField name="DV" numFmtId="0">
      <sharedItems containsNonDate="0" containsDate="1" containsString="0" containsBlank="1" minDate="2021-06-01T00:00:00" maxDate="2025-12-21T00:00:00"/>
    </cacheField>
    <cacheField name="PV" numFmtId="0">
      <sharedItems containsNonDate="0" containsDate="1" containsString="0" containsBlank="1" minDate="2022-02-01T00:00:00" maxDate="2026-02-21T00:00:00"/>
    </cacheField>
    <cacheField name="客户份额" numFmtId="0">
      <sharedItems containsBlank="1" containsMixedTypes="1" containsNumber="1" minValue="0.2" maxValue="1"/>
    </cacheField>
    <cacheField name="生命周期" numFmtId="0">
      <sharedItems containsBlank="1" containsMixedTypes="1" containsNumber="1" containsInteger="1" minValue="3" maxValue="5"/>
    </cacheField>
    <cacheField name="5月" numFmtId="0">
      <sharedItems containsString="0" containsBlank="1" containsNumber="1" minValue="0" maxValue="1807999.9999999998"/>
    </cacheField>
    <cacheField name="6月" numFmtId="0">
      <sharedItems containsString="0" containsBlank="1" containsNumber="1" minValue="0" maxValue="1600000"/>
    </cacheField>
    <cacheField name="7月" numFmtId="0">
      <sharedItems containsString="0" containsBlank="1" containsNumber="1" minValue="0" maxValue="1600000"/>
    </cacheField>
    <cacheField name="8月" numFmtId="0">
      <sharedItems containsSemiMixedTypes="0" containsString="0" containsNumber="1" minValue="0" maxValue="1600000"/>
    </cacheField>
    <cacheField name="9月" numFmtId="0">
      <sharedItems containsSemiMixedTypes="0" containsString="0" containsNumber="1" minValue="0" maxValue="1600000"/>
    </cacheField>
    <cacheField name="10月" numFmtId="0">
      <sharedItems containsSemiMixedTypes="0" containsString="0" containsNumber="1" minValue="0" maxValue="5000000"/>
    </cacheField>
    <cacheField name="11月" numFmtId="0">
      <sharedItems containsSemiMixedTypes="0" containsString="0" containsNumber="1" minValue="0" maxValue="5000000"/>
    </cacheField>
    <cacheField name="12月" numFmtId="0">
      <sharedItems containsSemiMixedTypes="0" containsString="0" containsNumber="1" minValue="0" maxValue="5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6">
  <r>
    <n v="1"/>
    <s v="宁波高石电子科技有限公司"/>
    <s v="一般客户"/>
    <s v="上海优昕电子信息技术有限公司"/>
    <s v="Freya"/>
    <s v="贾超"/>
    <x v="0"/>
    <x v="0"/>
    <m/>
    <x v="0"/>
    <m/>
    <m/>
    <s v="量产"/>
    <m/>
    <m/>
    <m/>
    <n v="2.1"/>
    <n v="52500"/>
    <n v="84000"/>
    <n v="25000"/>
    <n v="25000"/>
    <m/>
    <n v="5000"/>
    <n v="5000"/>
    <n v="5000"/>
    <n v="5000"/>
    <n v="5000"/>
    <n v="5000"/>
    <n v="5000"/>
    <n v="5000"/>
    <n v="5000"/>
    <n v="5000"/>
    <n v="5000"/>
    <n v="0"/>
    <n v="0"/>
    <n v="0"/>
    <n v="0"/>
    <n v="0"/>
    <n v="0"/>
    <n v="0"/>
    <m/>
    <m/>
    <m/>
    <m/>
    <m/>
    <m/>
    <s v="2部"/>
    <s v="电流传感器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  <n v="10500"/>
    <n v="10500"/>
  </r>
  <r>
    <n v="2"/>
    <s v="宁波高石电子科技有限公司"/>
    <s v="一般客户"/>
    <s v="上海优昕电子信息技术有限公司"/>
    <s v="Freya"/>
    <s v="贾超"/>
    <x v="1"/>
    <x v="1"/>
    <m/>
    <x v="0"/>
    <s v="电流传感器模组"/>
    <n v="500000"/>
    <s v="送样"/>
    <m/>
    <m/>
    <m/>
    <n v="2.1"/>
    <n v="619500"/>
    <n v="0"/>
    <n v="295000"/>
    <m/>
    <m/>
    <m/>
    <n v="10000"/>
    <n v="25000"/>
    <n v="75000"/>
    <n v="75000"/>
    <n v="75000"/>
    <n v="30000"/>
    <n v="80000"/>
    <n v="30000"/>
    <n v="80000"/>
    <n v="80000"/>
    <m/>
    <m/>
    <m/>
    <m/>
    <m/>
    <m/>
    <m/>
    <m/>
    <m/>
    <m/>
    <m/>
    <m/>
    <m/>
    <s v="2部"/>
    <s v="电流传感器"/>
    <s v="汽车电子"/>
    <s v="三电系统"/>
    <s v="三电电驱控制"/>
    <s v="电控电流传感器"/>
    <m/>
    <m/>
    <m/>
    <m/>
    <m/>
    <m/>
    <m/>
    <m/>
    <m/>
    <m/>
    <m/>
    <m/>
    <n v="52500"/>
    <n v="157500"/>
    <n v="157500"/>
    <n v="157500"/>
    <n v="63000"/>
    <n v="168000"/>
    <n v="63000"/>
    <n v="168000"/>
  </r>
  <r>
    <n v="3"/>
    <s v="西安华旭电气自动化技术有限公司"/>
    <s v="一般客户"/>
    <s v="盐城展拓电子有限公司"/>
    <s v="Yinan"/>
    <s v="王强"/>
    <x v="2"/>
    <x v="2"/>
    <m/>
    <x v="0"/>
    <m/>
    <m/>
    <s v="量产"/>
    <m/>
    <m/>
    <m/>
    <n v="1"/>
    <n v="100000"/>
    <n v="160000"/>
    <n v="100000"/>
    <n v="10000"/>
    <m/>
    <n v="20000"/>
    <n v="20000"/>
    <n v="20000"/>
    <n v="20000"/>
    <n v="20000"/>
    <n v="20000"/>
    <n v="20000"/>
    <n v="20000"/>
    <n v="20000"/>
    <n v="20000"/>
    <n v="20000"/>
    <n v="0"/>
    <n v="0"/>
    <n v="93498"/>
    <n v="147000"/>
    <n v="46999"/>
    <n v="121478"/>
    <n v="11000"/>
    <m/>
    <m/>
    <m/>
    <m/>
    <m/>
    <m/>
    <s v="2部"/>
    <s v="电流传感器"/>
    <s v="汽车电子"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"/>
    <s v="天津易鼎丰动力科技有限公司"/>
    <s v="一般客户"/>
    <s v="深圳诺信微科技有限公司"/>
    <s v="Yinan"/>
    <m/>
    <x v="3"/>
    <x v="3"/>
    <m/>
    <x v="0"/>
    <m/>
    <m/>
    <s v="量产"/>
    <m/>
    <m/>
    <m/>
    <n v="4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m/>
    <s v="2部"/>
    <m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"/>
    <s v="湖南天雁机械股份有限公司"/>
    <s v="一般客户"/>
    <m/>
    <s v="Yinan"/>
    <m/>
    <x v="4"/>
    <x v="4"/>
    <m/>
    <x v="0"/>
    <s v="汽车增压器"/>
    <m/>
    <s v="送样"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s v="汽车电子"/>
    <s v="动力总成"/>
    <s v="发动机"/>
    <s v="节气门"/>
    <m/>
    <m/>
    <m/>
    <m/>
    <m/>
    <m/>
    <m/>
    <m/>
    <m/>
    <m/>
    <m/>
    <m/>
    <n v="0"/>
    <n v="0"/>
    <n v="0"/>
    <n v="0"/>
    <n v="0"/>
    <n v="0"/>
    <n v="0"/>
    <n v="0"/>
  </r>
  <r>
    <n v="6"/>
    <s v="博世汽车部件（长沙）有限公司"/>
    <s v="一般客户"/>
    <m/>
    <s v="Yinan"/>
    <m/>
    <x v="5"/>
    <x v="5"/>
    <m/>
    <x v="0"/>
    <s v="座椅电机"/>
    <n v="1000000"/>
    <s v="送样"/>
    <m/>
    <s v="MT8361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Josh"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7"/>
    <s v="广东肇庆爱龙威机电有限公司"/>
    <s v="一般客户"/>
    <s v="厦门信和达电子有限公司"/>
    <s v="Yinan"/>
    <s v="高佳伟"/>
    <x v="6"/>
    <x v="6"/>
    <m/>
    <x v="0"/>
    <s v="水平电机调节"/>
    <n v="500000"/>
    <s v="样品测试完成"/>
    <m/>
    <s v="无"/>
    <m/>
    <n v="0.57999999999999996"/>
    <n v="0"/>
    <n v="0"/>
    <n v="0"/>
    <m/>
    <n v="1000"/>
    <m/>
    <m/>
    <m/>
    <m/>
    <m/>
    <m/>
    <m/>
    <m/>
    <m/>
    <m/>
    <n v="0"/>
    <n v="0"/>
    <n v="0"/>
    <n v="0"/>
    <n v="0"/>
    <n v="250"/>
    <n v="0"/>
    <n v="0"/>
    <m/>
    <m/>
    <m/>
    <m/>
    <m/>
    <s v="Josh"/>
    <s v="2部"/>
    <s v="磁性位置传感器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  <n v="0"/>
    <n v="0"/>
  </r>
  <r>
    <n v="8"/>
    <s v="河北安闻汽车零部件有限公司"/>
    <s v="一般客户"/>
    <s v="深圳市杰恒芯科技有限公司"/>
    <s v="Yinan"/>
    <s v="刘煦"/>
    <x v="7"/>
    <x v="7"/>
    <m/>
    <x v="0"/>
    <s v="座椅通风电机"/>
    <n v="10000000"/>
    <s v="样品测试完成"/>
    <m/>
    <s v="SDC1183"/>
    <n v="0.3"/>
    <n v="0.2"/>
    <n v="8000"/>
    <n v="8000"/>
    <n v="40000"/>
    <m/>
    <m/>
    <m/>
    <m/>
    <m/>
    <m/>
    <m/>
    <m/>
    <n v="10000"/>
    <n v="10000"/>
    <n v="10000"/>
    <n v="10000"/>
    <n v="10000"/>
    <n v="0"/>
    <n v="0"/>
    <n v="0"/>
    <n v="0"/>
    <n v="0"/>
    <n v="0"/>
    <n v="0"/>
    <m/>
    <m/>
    <m/>
    <m/>
    <m/>
    <s v="Ricky"/>
    <s v="2部"/>
    <s v="磁性位置传感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2000"/>
    <n v="2000"/>
    <n v="2000"/>
    <n v="2000"/>
  </r>
  <r>
    <n v="9"/>
    <s v="河北安闻汽车零部件有限公司"/>
    <s v="一般客户"/>
    <s v="深圳市杰恒芯科技有限公司"/>
    <s v="Yinan"/>
    <s v="刘煦"/>
    <x v="8"/>
    <x v="8"/>
    <m/>
    <x v="0"/>
    <s v="座椅通风电机"/>
    <n v="10000000"/>
    <s v="项目丢失"/>
    <s v="目前驱动类产品客户供应商太多，暂时不会考虑"/>
    <s v="A5947"/>
    <m/>
    <n v="0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Axel"/>
    <s v="2部"/>
    <s v="电机驱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  <n v="0"/>
    <n v="0"/>
  </r>
  <r>
    <n v="10"/>
    <s v="江苏雷利电机股份有限公司"/>
    <s v="重要客户"/>
    <s v="深圳市宝创科技有限公司"/>
    <s v="Yinan"/>
    <s v="凡莹"/>
    <x v="9"/>
    <x v="9"/>
    <m/>
    <x v="0"/>
    <s v="华为抬头显示电机"/>
    <n v="400000"/>
    <s v="批量"/>
    <m/>
    <s v="TDK1507"/>
    <m/>
    <n v="0.52"/>
    <n v="29640"/>
    <n v="39000"/>
    <n v="57000"/>
    <n v="45000"/>
    <n v="45000"/>
    <n v="0"/>
    <n v="15000"/>
    <n v="15000"/>
    <n v="15000"/>
    <n v="15000"/>
    <n v="27000"/>
    <n v="15000"/>
    <m/>
    <m/>
    <n v="15000"/>
    <n v="15000"/>
    <n v="0"/>
    <n v="0"/>
    <n v="0"/>
    <n v="21000"/>
    <n v="36000"/>
    <n v="69000"/>
    <n v="0"/>
    <m/>
    <m/>
    <m/>
    <m/>
    <m/>
    <s v="Ricky"/>
    <s v="2部"/>
    <s v="磁性位置传感器"/>
    <s v="汽车电子"/>
    <s v="车身电子"/>
    <s v="车身其他"/>
    <m/>
    <m/>
    <m/>
    <m/>
    <n v="1"/>
    <m/>
    <m/>
    <m/>
    <m/>
    <m/>
    <m/>
    <m/>
    <m/>
    <n v="7800"/>
    <n v="7800"/>
    <n v="7800"/>
    <n v="14040"/>
    <n v="7800"/>
    <n v="0"/>
    <n v="0"/>
    <n v="7800"/>
  </r>
  <r>
    <n v="11"/>
    <s v="江苏雷利电机股份有限公司"/>
    <s v="重要客户"/>
    <s v="深圳市宝创科技有限公司"/>
    <s v="Yinan"/>
    <s v="凡莹"/>
    <x v="10"/>
    <x v="10"/>
    <m/>
    <x v="0"/>
    <s v="冰箱内部制冰机"/>
    <n v="400000"/>
    <s v="小批量"/>
    <m/>
    <s v="SS341RT"/>
    <m/>
    <n v="0.52"/>
    <n v="0"/>
    <n v="3120"/>
    <n v="0"/>
    <m/>
    <m/>
    <m/>
    <m/>
    <m/>
    <m/>
    <n v="6000"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冰箱"/>
    <m/>
    <m/>
    <m/>
    <m/>
    <n v="3"/>
    <m/>
    <m/>
    <m/>
    <m/>
    <m/>
    <m/>
    <m/>
    <m/>
    <n v="0"/>
    <n v="0"/>
    <n v="3120"/>
    <n v="0"/>
    <n v="0"/>
    <n v="0"/>
    <n v="0"/>
    <n v="0"/>
  </r>
  <r>
    <n v="12"/>
    <s v="江苏雷利电机股份有限公司"/>
    <s v="重要客户"/>
    <s v="深圳市宝创科技有限公司"/>
    <s v="Yinan"/>
    <s v="凡莹"/>
    <x v="11"/>
    <x v="11"/>
    <m/>
    <x v="0"/>
    <s v="40WS1水泵"/>
    <n v="300000"/>
    <s v="小批量"/>
    <s v="8月份量产"/>
    <n v="0"/>
    <m/>
    <n v="0.3"/>
    <n v="0"/>
    <n v="0"/>
    <n v="0"/>
    <m/>
    <m/>
    <n v="6000"/>
    <n v="6000"/>
    <m/>
    <m/>
    <m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洗衣机"/>
    <m/>
    <m/>
    <m/>
    <m/>
    <n v="3"/>
    <m/>
    <m/>
    <m/>
    <m/>
    <m/>
    <m/>
    <m/>
    <m/>
    <n v="0"/>
    <n v="0"/>
    <n v="0"/>
    <n v="0"/>
    <n v="0"/>
    <n v="0"/>
    <n v="0"/>
    <n v="0"/>
  </r>
  <r>
    <n v="13"/>
    <s v="江苏雷利电机股份有限公司"/>
    <s v="重要客户"/>
    <s v="深圳市宝创科技有限公司"/>
    <s v="Yinan"/>
    <s v="凡莹"/>
    <x v="11"/>
    <x v="11"/>
    <m/>
    <x v="0"/>
    <s v="小家电风机-厨房碎菜机"/>
    <n v="1000000"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  <n v="0"/>
    <n v="0"/>
  </r>
  <r>
    <n v="14"/>
    <s v="江苏雷利电机股份有限公司"/>
    <s v="重要客户"/>
    <s v="深圳市宝创科技有限公司"/>
    <s v="Yinan"/>
    <s v="凡莹"/>
    <x v="9"/>
    <x v="9"/>
    <m/>
    <x v="0"/>
    <s v="HUD 华域视觉"/>
    <n v="200000"/>
    <s v="送样"/>
    <s v="客户沿用华为HUD的整体方案"/>
    <s v="无"/>
    <m/>
    <n v="0.52"/>
    <n v="0"/>
    <n v="0"/>
    <n v="0"/>
    <m/>
    <m/>
    <m/>
    <m/>
    <m/>
    <m/>
    <m/>
    <m/>
    <m/>
    <m/>
    <m/>
    <m/>
    <n v="0"/>
    <n v="0"/>
    <n v="0"/>
    <n v="0"/>
    <n v="21000"/>
    <n v="36000"/>
    <n v="69000"/>
    <n v="0"/>
    <m/>
    <m/>
    <m/>
    <m/>
    <m/>
    <s v="Ricky"/>
    <s v="2部"/>
    <s v="磁性位置传感器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  <n v="0"/>
    <n v="0"/>
  </r>
  <r>
    <n v="15"/>
    <s v="江苏雷利电机股份有限公司"/>
    <s v="重要客户"/>
    <s v="深圳市宝创科技有限公司"/>
    <s v="Yinan"/>
    <s v="凡莹"/>
    <x v="12"/>
    <x v="12"/>
    <m/>
    <x v="0"/>
    <s v="惠而浦制冰机"/>
    <n v="4000000"/>
    <s v="评估"/>
    <s v="已经告知客户在低电压下HALL休眠滞后于MCU，push客户进行测试"/>
    <s v="CH913SR"/>
    <m/>
    <n v="0.15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  <n v="0"/>
    <n v="0"/>
  </r>
  <r>
    <n v="16"/>
    <s v="江苏雷利电机股份有限公司"/>
    <s v="重要客户"/>
    <s v="深圳市宝创科技有限公司"/>
    <s v="Yinan"/>
    <s v="凡莹"/>
    <x v="13"/>
    <x v="13"/>
    <m/>
    <x v="0"/>
    <s v="GE的冰箱压缩机散热风扇"/>
    <n v="500000"/>
    <s v="评估"/>
    <s v="客户项目已经立项"/>
    <s v="无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Ricky"/>
    <s v="2部"/>
    <s v="磁性位置传感器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  <n v="0"/>
    <n v="0"/>
  </r>
  <r>
    <n v="17"/>
    <s v="宁波希磁电子科技有限公司"/>
    <s v="战略客户"/>
    <s v="宁波希磁电子科技有限公司"/>
    <s v="Freya"/>
    <s v="无"/>
    <x v="0"/>
    <x v="14"/>
    <m/>
    <x v="0"/>
    <s v="电流传感器模组"/>
    <n v="15000000"/>
    <s v="量产"/>
    <m/>
    <n v="0"/>
    <m/>
    <n v="1.95"/>
    <n v="1950000"/>
    <n v="13845000"/>
    <n v="1000000"/>
    <n v="800000"/>
    <n v="700000"/>
    <n v="800000"/>
    <n v="250000"/>
    <n v="250000"/>
    <m/>
    <m/>
    <m/>
    <n v="250000"/>
    <n v="250000"/>
    <n v="250000"/>
    <n v="250000"/>
    <n v="250000"/>
    <m/>
    <m/>
    <m/>
    <m/>
    <m/>
    <m/>
    <m/>
    <m/>
    <m/>
    <m/>
    <m/>
    <m/>
    <s v="Axel"/>
    <s v="2部"/>
    <s v="电流传感器"/>
    <s v="汽车电子"/>
    <s v="三电系统"/>
    <s v="三电BMS"/>
    <s v="BMS电流传感器"/>
    <m/>
    <m/>
    <m/>
    <n v="3"/>
    <m/>
    <m/>
    <m/>
    <m/>
    <m/>
    <m/>
    <m/>
    <m/>
    <n v="487500"/>
    <n v="0"/>
    <n v="0"/>
    <n v="0"/>
    <n v="487500"/>
    <n v="487500"/>
    <n v="487500"/>
    <n v="487500"/>
  </r>
  <r>
    <n v="18"/>
    <s v="宁波希磁电子科技有限公司"/>
    <s v="战略客户"/>
    <s v="宁波希磁电子科技有限公司"/>
    <s v="Freya"/>
    <s v="无"/>
    <x v="14"/>
    <x v="15"/>
    <m/>
    <x v="0"/>
    <s v="电流传感器模组"/>
    <n v="15000000"/>
    <s v="量产"/>
    <m/>
    <n v="0"/>
    <m/>
    <n v="1.95"/>
    <n v="6630000"/>
    <n v="13845000"/>
    <n v="3400000"/>
    <n v="800000"/>
    <n v="700000"/>
    <n v="800000"/>
    <n v="750000"/>
    <n v="750000"/>
    <n v="500000"/>
    <n v="500000"/>
    <n v="400000"/>
    <n v="750000"/>
    <n v="750000"/>
    <n v="750000"/>
    <n v="750000"/>
    <n v="750000"/>
    <m/>
    <m/>
    <m/>
    <m/>
    <m/>
    <m/>
    <m/>
    <m/>
    <m/>
    <m/>
    <m/>
    <m/>
    <s v="Axel"/>
    <s v="2部"/>
    <s v="电流传感器"/>
    <s v="汽车电子"/>
    <s v="三电系统"/>
    <s v="三电BMS"/>
    <s v="BMS电流传感器"/>
    <m/>
    <m/>
    <m/>
    <n v="3"/>
    <m/>
    <m/>
    <m/>
    <m/>
    <m/>
    <m/>
    <m/>
    <m/>
    <n v="1462500"/>
    <n v="975000"/>
    <n v="975000"/>
    <n v="780000"/>
    <n v="1462500"/>
    <n v="1462500"/>
    <n v="1462500"/>
    <n v="1462500"/>
  </r>
  <r>
    <n v="19"/>
    <s v="延锋安道拓方德电机有限公司上海分公司"/>
    <s v="战略客户"/>
    <s v="上海碧讯实业有限公司"/>
    <s v="Yinan"/>
    <s v="吕斐"/>
    <x v="15"/>
    <x v="16"/>
    <m/>
    <x v="0"/>
    <s v="座椅电机"/>
    <n v="2000000"/>
    <s v="量产"/>
    <m/>
    <m/>
    <m/>
    <n v="0.51"/>
    <n v="3060000"/>
    <n v="2703000"/>
    <n v="6000000"/>
    <n v="400000"/>
    <n v="400000"/>
    <n v="600000"/>
    <n v="650000"/>
    <n v="700000"/>
    <n v="800000"/>
    <n v="1300000"/>
    <n v="1200000"/>
    <n v="1200000"/>
    <n v="1200000"/>
    <n v="1200000"/>
    <n v="1200000"/>
    <n v="12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357000"/>
    <n v="408000"/>
    <n v="663000"/>
    <n v="612000"/>
    <n v="612000"/>
    <n v="612000"/>
    <n v="612000"/>
    <n v="612000"/>
  </r>
  <r>
    <n v="20"/>
    <s v="延锋安道拓方德电机有限公司上海分公司"/>
    <s v="战略客户"/>
    <s v="上海碧讯实业有限公司"/>
    <s v="Yinan"/>
    <s v="吕斐"/>
    <x v="16"/>
    <x v="17"/>
    <m/>
    <x v="0"/>
    <s v="座椅电机"/>
    <n v="1500000"/>
    <s v="量产"/>
    <m/>
    <m/>
    <m/>
    <n v="0.5"/>
    <n v="575000"/>
    <n v="600000"/>
    <n v="1150000"/>
    <n v="200000"/>
    <n v="200000"/>
    <n v="200000"/>
    <n v="150000"/>
    <n v="150000"/>
    <n v="200000"/>
    <n v="250000"/>
    <n v="250000"/>
    <n v="250000"/>
    <n v="250000"/>
    <n v="200000"/>
    <n v="200000"/>
    <n v="2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75000"/>
    <n v="100000"/>
    <n v="125000"/>
    <n v="125000"/>
    <n v="125000"/>
    <n v="125000"/>
    <n v="100000"/>
    <n v="100000"/>
  </r>
  <r>
    <n v="21"/>
    <s v="延锋安道拓方德电机有限公司上海分公司"/>
    <s v="战略客户"/>
    <s v="上海碧讯实业有限公司"/>
    <s v="Yinan"/>
    <s v="吕斐"/>
    <x v="6"/>
    <x v="6"/>
    <m/>
    <x v="0"/>
    <s v="座椅电机"/>
    <n v="500000"/>
    <s v="量产"/>
    <m/>
    <m/>
    <m/>
    <n v="0.51"/>
    <n v="193800"/>
    <n v="163200"/>
    <n v="380000"/>
    <n v="40000"/>
    <n v="40000"/>
    <n v="40000"/>
    <n v="40000"/>
    <n v="40000"/>
    <n v="60000"/>
    <n v="60000"/>
    <n v="100000"/>
    <n v="100000"/>
    <n v="60000"/>
    <n v="60000"/>
    <n v="60000"/>
    <n v="6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20400"/>
    <n v="30600"/>
    <n v="30600"/>
    <n v="51000"/>
    <n v="51000"/>
    <n v="30600"/>
    <n v="30600"/>
    <n v="30600"/>
  </r>
  <r>
    <n v="22"/>
    <s v="追觅科技（苏州）有限公司"/>
    <s v="重要客户"/>
    <s v="厦门信和达电子有限公司"/>
    <s v="Yinan"/>
    <s v="高佳伟"/>
    <x v="17"/>
    <x v="18"/>
    <m/>
    <x v="0"/>
    <s v="扫地机器人"/>
    <n v="4000000"/>
    <s v="评估"/>
    <s v="PUSH客户进行产品验证"/>
    <s v="MT8631AT"/>
    <m/>
    <n v="0.13800000000000001"/>
    <n v="276"/>
    <n v="0"/>
    <n v="2000"/>
    <m/>
    <m/>
    <m/>
    <m/>
    <m/>
    <m/>
    <m/>
    <m/>
    <m/>
    <m/>
    <n v="1000"/>
    <n v="1000"/>
    <n v="1000"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s v="扫地机"/>
    <s v="扫地机尘盒"/>
    <m/>
    <m/>
    <m/>
    <n v="1"/>
    <m/>
    <m/>
    <m/>
    <m/>
    <m/>
    <m/>
    <m/>
    <m/>
    <n v="0"/>
    <n v="0"/>
    <n v="0"/>
    <n v="0"/>
    <n v="0"/>
    <n v="0"/>
    <n v="138"/>
    <n v="138"/>
  </r>
  <r>
    <n v="23"/>
    <s v="追觅科技（苏州）有限公司"/>
    <s v="重要客户"/>
    <s v="厦门信和达电子有限公司"/>
    <s v="Yinan"/>
    <s v="高佳伟"/>
    <x v="18"/>
    <x v="19"/>
    <m/>
    <x v="0"/>
    <s v="扫地机器人"/>
    <n v="4000000"/>
    <s v="评估"/>
    <s v="PUSH客户进行产品验证"/>
    <m/>
    <m/>
    <n v="0.59799999999999998"/>
    <n v="1196"/>
    <n v="0"/>
    <n v="2000"/>
    <m/>
    <m/>
    <m/>
    <m/>
    <m/>
    <m/>
    <m/>
    <m/>
    <m/>
    <m/>
    <n v="1000"/>
    <n v="1000"/>
    <n v="1000"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s v="扫地机"/>
    <m/>
    <m/>
    <m/>
    <m/>
    <n v="1"/>
    <m/>
    <m/>
    <m/>
    <m/>
    <m/>
    <m/>
    <m/>
    <m/>
    <n v="0"/>
    <n v="0"/>
    <n v="0"/>
    <n v="0"/>
    <n v="0"/>
    <n v="0"/>
    <n v="598"/>
    <n v="598"/>
  </r>
  <r>
    <n v="24"/>
    <s v="上海胜华波汽车电器有限公司"/>
    <s v="战略客户"/>
    <s v="南京富聚科技有限公司"/>
    <s v="Yinan"/>
    <s v="Yao"/>
    <x v="6"/>
    <x v="6"/>
    <m/>
    <x v="0"/>
    <s v="多个项目"/>
    <n v="6000000"/>
    <s v="量产"/>
    <s v="崔金超：NISSAN 了解进度_x000a_雨刮事业部交流---丁浩_x000a_平行霍尔赛卓进度_x000a_SC2498应用车型和数量了解"/>
    <s v="A1212"/>
    <m/>
    <n v="0.61499999999999999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Harry"/>
    <s v="2部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  <n v="0"/>
    <n v="0"/>
  </r>
  <r>
    <n v="25"/>
    <s v="上海胜华波汽车电器有限公司"/>
    <s v="战略客户"/>
    <s v="南京富聚科技有限公司"/>
    <s v="Yinan"/>
    <s v="Yao"/>
    <x v="19"/>
    <x v="20"/>
    <m/>
    <x v="0"/>
    <s v="多个项目"/>
    <n v="100000"/>
    <s v="量产"/>
    <s v="无"/>
    <s v="A1212"/>
    <m/>
    <n v="0.57999999999999996"/>
    <n v="145000"/>
    <n v="231999.99999999997"/>
    <n v="250000"/>
    <m/>
    <m/>
    <n v="10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Harry"/>
    <s v="2部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28999.999999999996"/>
    <n v="28999.999999999996"/>
    <n v="28999.999999999996"/>
    <n v="28999.999999999996"/>
    <n v="28999.999999999996"/>
    <n v="28999.999999999996"/>
    <n v="28999.999999999996"/>
    <n v="28999.999999999996"/>
  </r>
  <r>
    <n v="26"/>
    <s v="上海胜华波汽车电器有限公司"/>
    <s v="战略客户"/>
    <s v="南京富聚科技有限公司"/>
    <s v="Yinan"/>
    <s v="Yao"/>
    <x v="6"/>
    <x v="6"/>
    <m/>
    <x v="0"/>
    <s v="座椅电机"/>
    <n v="100000"/>
    <s v="量产"/>
    <s v="2024年底才大批量"/>
    <s v="A1212"/>
    <m/>
    <n v="0.61499999999999999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  <n v="0"/>
    <n v="0"/>
  </r>
  <r>
    <n v="27"/>
    <s v="上海胜华波汽车电器有限公司"/>
    <s v="战略客户"/>
    <s v="南京富聚科技有限公司"/>
    <s v="Yinan"/>
    <s v="Yao"/>
    <x v="6"/>
    <x v="6"/>
    <m/>
    <x v="0"/>
    <s v="座椅电机"/>
    <n v="1000000"/>
    <s v="推进中"/>
    <s v="资料提报，看日产是否认可推荐"/>
    <s v="N/A"/>
    <m/>
    <n v="0.61499999999999999"/>
    <n v="2583000"/>
    <n v="2521500"/>
    <n v="4200000"/>
    <m/>
    <m/>
    <m/>
    <m/>
    <m/>
    <n v="500000"/>
    <n v="800000"/>
    <n v="800000"/>
    <n v="800000"/>
    <n v="800000"/>
    <n v="800000"/>
    <n v="1000000"/>
    <n v="100000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307500"/>
    <n v="492000"/>
    <n v="492000"/>
    <n v="492000"/>
    <n v="492000"/>
    <n v="492000"/>
    <n v="615000"/>
  </r>
  <r>
    <n v="28"/>
    <s v="上海胜华波汽车电器有限公司"/>
    <s v="战略客户"/>
    <s v="南京富聚科技有限公司"/>
    <s v="Yinan"/>
    <s v="Yao"/>
    <x v="20"/>
    <x v="21"/>
    <m/>
    <x v="0"/>
    <s v="座椅电机"/>
    <m/>
    <s v="量产"/>
    <s v="量产"/>
    <m/>
    <m/>
    <n v="0.55000000000000004"/>
    <n v="110000.00000000001"/>
    <n v="660000"/>
    <n v="200000"/>
    <n v="500000"/>
    <n v="200000"/>
    <n v="300000"/>
    <n v="0"/>
    <m/>
    <m/>
    <m/>
    <m/>
    <m/>
    <m/>
    <m/>
    <n v="200000"/>
    <n v="20000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  <n v="0"/>
    <n v="110000.00000000001"/>
  </r>
  <r>
    <n v="29"/>
    <s v="深圳胜华波汽车电器有限公司"/>
    <s v="战略客户"/>
    <s v="南京富聚科技有限公司"/>
    <s v="Yinan"/>
    <s v="Yao"/>
    <x v="21"/>
    <x v="22"/>
    <m/>
    <x v="0"/>
    <s v="座椅通风"/>
    <n v="500000"/>
    <s v="推进中"/>
    <s v="二次交流完成，胜华波提供板子供我们选型测试"/>
    <s v="MLX90412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电机驱动"/>
    <s v="汽车电子"/>
    <s v="车身电子"/>
    <s v="智能座椅"/>
    <s v="座椅通风"/>
    <s v="暂无"/>
    <m/>
    <m/>
    <n v="1"/>
    <m/>
    <m/>
    <m/>
    <m/>
    <m/>
    <m/>
    <m/>
    <m/>
    <n v="0"/>
    <n v="0"/>
    <n v="0"/>
    <n v="0"/>
    <n v="0"/>
    <n v="0"/>
    <n v="0"/>
    <n v="0"/>
  </r>
  <r>
    <n v="30"/>
    <s v="金华阿凡顿科技有限公司"/>
    <s v="一般客户"/>
    <s v="金华易蔚电子有限公司"/>
    <s v="Ricky"/>
    <m/>
    <x v="22"/>
    <x v="23"/>
    <m/>
    <x v="0"/>
    <s v="电动剪刀"/>
    <m/>
    <s v="量产"/>
    <s v="说服客户SC2063试产"/>
    <s v="AH464"/>
    <m/>
    <n v="0.28000000000000003"/>
    <n v="154000.00000000003"/>
    <n v="224000.00000000003"/>
    <n v="550000"/>
    <m/>
    <m/>
    <m/>
    <m/>
    <n v="100000"/>
    <n v="100000"/>
    <m/>
    <m/>
    <n v="150000"/>
    <n v="150000"/>
    <n v="100000"/>
    <n v="150000"/>
    <n v="15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28000.000000000004"/>
    <n v="28000.000000000004"/>
    <n v="0"/>
    <n v="0"/>
    <n v="42000.000000000007"/>
    <n v="42000.000000000007"/>
    <n v="28000.000000000004"/>
    <n v="42000.000000000007"/>
  </r>
  <r>
    <n v="31"/>
    <s v="杭州湖微科技有限公司"/>
    <s v="一般客户"/>
    <s v="广州汇昕微电子科技有限公司"/>
    <s v="Ricky"/>
    <m/>
    <x v="10"/>
    <x v="10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n v="12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2"/>
    <s v="杭州湖微科技有限公司"/>
    <s v="一般客户"/>
    <s v="广州汇昕微电子科技有限公司"/>
    <s v="Ricky"/>
    <m/>
    <x v="23"/>
    <x v="24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n v="12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3"/>
    <s v="杭州湖微科技有限公司"/>
    <s v="一般客户"/>
    <s v="广州汇昕微电子科技有限公司"/>
    <s v="Ricky"/>
    <m/>
    <x v="24"/>
    <x v="25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4"/>
    <s v="杭州湖微科技有限公司"/>
    <s v="一般客户"/>
    <s v="广州汇昕微电子科技有限公司"/>
    <s v="Ricky"/>
    <m/>
    <x v="25"/>
    <x v="26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5"/>
    <s v="深圳市恒瑞灵机电有限公司"/>
    <s v="一般客户"/>
    <s v="深圳市钧敏科技有限公司"/>
    <s v="Ricky"/>
    <m/>
    <x v="24"/>
    <x v="25"/>
    <m/>
    <x v="0"/>
    <s v="电动剪刀"/>
    <m/>
    <s v="小批量"/>
    <s v="同上，搭配2466用的，一个电剪刀用4颗（1颗2466 ，3颗1134）"/>
    <s v="MT3303"/>
    <m/>
    <n v="0.35"/>
    <n v="21000"/>
    <n v="42000"/>
    <n v="60000"/>
    <m/>
    <m/>
    <n v="30000"/>
    <m/>
    <n v="30000"/>
    <m/>
    <n v="30000"/>
    <m/>
    <n v="30000"/>
    <m/>
    <m/>
    <n v="30000"/>
    <n v="30000"/>
    <m/>
    <m/>
    <m/>
    <m/>
    <m/>
    <m/>
    <m/>
    <m/>
    <m/>
    <m/>
    <m/>
    <m/>
    <s v="Harry"/>
    <s v="2部"/>
    <s v="磁性位置传感器"/>
    <s v="工业和机器人"/>
    <s v="电动工具"/>
    <s v="电动工具位置开关"/>
    <m/>
    <m/>
    <m/>
    <m/>
    <n v="4"/>
    <m/>
    <d v="2023-04-01T00:00:00"/>
    <d v="2023-04-01T00:00:00"/>
    <d v="2023-04-15T00:00:00"/>
    <d v="2023-05-01T00:00:00"/>
    <m/>
    <m/>
    <n v="3"/>
    <n v="10500"/>
    <n v="0"/>
    <n v="10500"/>
    <n v="0"/>
    <n v="10500"/>
    <n v="0"/>
    <n v="0"/>
    <n v="10500"/>
  </r>
  <r>
    <n v="36"/>
    <s v="深圳市欧陆通电子有限公司"/>
    <s v="一般客户"/>
    <s v="深圳市钧敏科技有限公司"/>
    <s v="Ricky"/>
    <m/>
    <x v="26"/>
    <x v="27"/>
    <m/>
    <x v="0"/>
    <s v="棉花糖机"/>
    <m/>
    <s v="批量"/>
    <s v="批量生产，终端是印度，客户工厂也是印度生产"/>
    <s v="无"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工业其他"/>
    <m/>
    <m/>
    <m/>
    <m/>
    <m/>
    <m/>
    <m/>
    <m/>
    <m/>
    <m/>
    <m/>
    <m/>
    <m/>
    <m/>
    <n v="0"/>
    <n v="0"/>
    <n v="0"/>
    <n v="0"/>
    <n v="0"/>
    <n v="0"/>
    <n v="0"/>
    <n v="0"/>
  </r>
  <r>
    <n v="37"/>
    <s v="深圳市泰瑞达科技有限公司"/>
    <s v="一般客户"/>
    <s v="深圳市钧敏科技有限公司"/>
    <s v="Ricky"/>
    <m/>
    <x v="12"/>
    <x v="12"/>
    <m/>
    <x v="0"/>
    <s v="小家电PCBA "/>
    <m/>
    <s v="小批量"/>
    <s v="测试可以，7/1小批试产"/>
    <s v="无"/>
    <m/>
    <n v="0.18"/>
    <n v="2700"/>
    <n v="3780"/>
    <n v="15000"/>
    <n v="3000"/>
    <n v="3000"/>
    <n v="3000"/>
    <n v="3000"/>
    <m/>
    <n v="3000"/>
    <n v="3000"/>
    <n v="3000"/>
    <n v="3000"/>
    <n v="3000"/>
    <n v="3000"/>
    <n v="3000"/>
    <n v="3000"/>
    <m/>
    <m/>
    <m/>
    <m/>
    <m/>
    <m/>
    <m/>
    <m/>
    <m/>
    <m/>
    <m/>
    <m/>
    <s v="Harry"/>
    <s v="2部"/>
    <s v="磁性位置传感器"/>
    <s v="工业和机器人"/>
    <s v="工业其他"/>
    <m/>
    <m/>
    <m/>
    <m/>
    <m/>
    <m/>
    <m/>
    <m/>
    <m/>
    <m/>
    <m/>
    <m/>
    <m/>
    <m/>
    <n v="0"/>
    <n v="540"/>
    <n v="540"/>
    <n v="540"/>
    <n v="540"/>
    <n v="540"/>
    <n v="540"/>
    <n v="540"/>
  </r>
  <r>
    <n v="38"/>
    <s v="宁波生久科技有限公司"/>
    <s v="一般客户"/>
    <s v="深圳市钧敏科技有限公司"/>
    <s v="Ricky"/>
    <m/>
    <x v="27"/>
    <x v="28"/>
    <m/>
    <x v="0"/>
    <s v="散热风扇"/>
    <m/>
    <s v="送样"/>
    <s v="客户评估阶段，导入国产需要审核。下一步送样测试"/>
    <s v="无"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"/>
    <s v="深圳市华夏恒泰电子有限公司"/>
    <s v="一般客户"/>
    <s v="深圳市钧敏科技有限公司"/>
    <s v="Ricky"/>
    <m/>
    <x v="11"/>
    <x v="11"/>
    <m/>
    <x v="0"/>
    <s v="散热风扇"/>
    <m/>
    <s v="评估"/>
    <s v="约见高层，推进赛卓品牌"/>
    <s v="无"/>
    <m/>
    <n v="0.18"/>
    <n v="72000"/>
    <n v="144000"/>
    <n v="400000"/>
    <n v="100000"/>
    <n v="100000"/>
    <n v="100000"/>
    <n v="100000"/>
    <n v="100000"/>
    <n v="100000"/>
    <n v="100000"/>
    <m/>
    <n v="100000"/>
    <n v="100000"/>
    <n v="100000"/>
    <n v="100000"/>
    <n v="100000"/>
    <m/>
    <m/>
    <m/>
    <m/>
    <m/>
    <m/>
    <m/>
    <m/>
    <m/>
    <m/>
    <m/>
    <m/>
    <s v="Harry"/>
    <s v="2部"/>
    <s v="磁性位置传感器"/>
    <s v="工业和机器人"/>
    <s v="工业其他"/>
    <s v="工业接近开关"/>
    <m/>
    <m/>
    <m/>
    <m/>
    <m/>
    <m/>
    <m/>
    <m/>
    <m/>
    <m/>
    <m/>
    <m/>
    <m/>
    <n v="18000"/>
    <n v="18000"/>
    <n v="18000"/>
    <n v="0"/>
    <n v="18000"/>
    <n v="18000"/>
    <n v="18000"/>
    <n v="18000"/>
  </r>
  <r>
    <n v="40"/>
    <s v="东莞市润达散热风扇有限公司"/>
    <s v="一般客户"/>
    <s v="深圳市钧敏科技有限公司"/>
    <s v="Ricky"/>
    <m/>
    <x v="11"/>
    <x v="11"/>
    <m/>
    <x v="0"/>
    <s v="散热风扇"/>
    <m/>
    <s v="批量"/>
    <s v="已经小批，等客户终端订单"/>
    <s v="无"/>
    <m/>
    <n v="0.1350000000000000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1"/>
    <s v="东莞市诺尔电器有限公司"/>
    <s v="一般客户"/>
    <s v="深圳市钧敏科技有限公司"/>
    <s v="Ricky"/>
    <m/>
    <x v="13"/>
    <x v="13"/>
    <m/>
    <x v="0"/>
    <s v="料理机"/>
    <m/>
    <s v="批量"/>
    <s v="批量生产，贴片型号需要原厂重新匹配"/>
    <s v="无"/>
    <m/>
    <n v="0.2"/>
    <n v="80000"/>
    <n v="160000"/>
    <n v="400000"/>
    <m/>
    <n v="9000"/>
    <m/>
    <n v="9000"/>
    <n v="100000"/>
    <n v="100000"/>
    <n v="100000"/>
    <m/>
    <n v="100000"/>
    <n v="100000"/>
    <n v="100000"/>
    <n v="100000"/>
    <n v="100000"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n v="1"/>
    <m/>
    <d v="2023-05-01T00:00:00"/>
    <d v="2023-05-01T00:00:00"/>
    <d v="2023-05-15T00:00:00"/>
    <d v="2023-05-18T00:00:00"/>
    <d v="2023-06-01T00:00:00"/>
    <m/>
    <n v="3"/>
    <n v="20000"/>
    <n v="20000"/>
    <n v="20000"/>
    <n v="0"/>
    <n v="20000"/>
    <n v="20000"/>
    <n v="20000"/>
    <n v="20000"/>
  </r>
  <r>
    <n v="42"/>
    <s v="深圳市恒瑞灵机电有限公司"/>
    <s v="一般客户"/>
    <s v="深圳市钧敏科技有限公司"/>
    <s v="Ricky"/>
    <m/>
    <x v="10"/>
    <x v="10"/>
    <m/>
    <x v="0"/>
    <s v="电动剪刀"/>
    <m/>
    <s v="小批量"/>
    <m/>
    <m/>
    <m/>
    <n v="0.3"/>
    <n v="0"/>
    <n v="900"/>
    <n v="0"/>
    <n v="3000"/>
    <n v="3000"/>
    <n v="3000"/>
    <n v="3000"/>
    <n v="3000"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电动工具"/>
    <s v="电动工具位置开关"/>
    <s v="接近开关"/>
    <m/>
    <m/>
    <m/>
    <n v="3"/>
    <m/>
    <m/>
    <m/>
    <m/>
    <m/>
    <m/>
    <m/>
    <m/>
    <n v="900"/>
    <n v="0"/>
    <n v="0"/>
    <n v="0"/>
    <n v="0"/>
    <n v="0"/>
    <n v="0"/>
    <n v="0"/>
  </r>
  <r>
    <n v="43"/>
    <s v="玲动电器（广东）有限公司"/>
    <s v="一般客户"/>
    <s v="深圳市北高智电子有限公司"/>
    <s v="Ricky"/>
    <m/>
    <x v="28"/>
    <x v="29"/>
    <m/>
    <x v="0"/>
    <s v="自动驾驶"/>
    <m/>
    <s v="量产"/>
    <m/>
    <s v="无"/>
    <m/>
    <n v="0.53"/>
    <n v="3180"/>
    <n v="4770"/>
    <n v="6000"/>
    <n v="3000"/>
    <n v="3000"/>
    <n v="3000"/>
    <n v="3000"/>
    <n v="3000"/>
    <m/>
    <m/>
    <n v="3000"/>
    <m/>
    <n v="3000"/>
    <m/>
    <m/>
    <n v="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1590"/>
    <n v="0"/>
    <n v="0"/>
    <n v="1590"/>
    <n v="0"/>
    <n v="1590"/>
    <n v="0"/>
    <n v="0"/>
  </r>
  <r>
    <n v="44"/>
    <s v="杭州炬华科技股份有限公司"/>
    <s v="一般客户"/>
    <s v="深圳市北高智电子有限公司"/>
    <s v="Ricky"/>
    <m/>
    <x v="12"/>
    <x v="12"/>
    <m/>
    <x v="0"/>
    <s v="电表"/>
    <m/>
    <s v="量产"/>
    <m/>
    <s v="无"/>
    <m/>
    <n v="0.16"/>
    <n v="2400"/>
    <n v="3840"/>
    <n v="15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2部"/>
    <s v="磁性位置传感器"/>
    <s v="工业和机器人"/>
    <s v="三表"/>
    <s v="防窃电"/>
    <m/>
    <m/>
    <m/>
    <m/>
    <m/>
    <m/>
    <m/>
    <m/>
    <m/>
    <m/>
    <m/>
    <m/>
    <m/>
    <n v="480"/>
    <n v="480"/>
    <n v="480"/>
    <n v="480"/>
    <n v="480"/>
    <n v="480"/>
    <n v="480"/>
    <n v="480"/>
  </r>
  <r>
    <n v="45"/>
    <s v="张家港华捷电子有限公司"/>
    <s v="一般客户"/>
    <s v="深圳市北高智电子有限公司"/>
    <s v="Ricky"/>
    <m/>
    <x v="29"/>
    <x v="30"/>
    <m/>
    <x v="0"/>
    <s v="电动工具"/>
    <m/>
    <s v="小批量"/>
    <s v="约见客户，寻找潜在用量"/>
    <s v="无"/>
    <m/>
    <n v="0.4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  <n v="0"/>
  </r>
  <r>
    <n v="46"/>
    <s v="东莞维斗东方科技有限公司"/>
    <s v="一般客户"/>
    <s v="深圳市钧敏科技有限公司"/>
    <s v="Ricky"/>
    <m/>
    <x v="28"/>
    <x v="29"/>
    <m/>
    <x v="0"/>
    <s v="座椅风扇项目"/>
    <m/>
    <s v="小批量"/>
    <s v="客户测试OK ,已经小批试产"/>
    <s v="无"/>
    <m/>
    <n v="0.45"/>
    <n v="0"/>
    <n v="0"/>
    <n v="0"/>
    <n v="50000"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汽车电子"/>
    <s v="智能座舱"/>
    <s v="智能座椅"/>
    <s v="座椅水平电机"/>
    <m/>
    <m/>
    <m/>
    <n v="3"/>
    <m/>
    <d v="2023-03-01T00:00:00"/>
    <d v="2023-03-01T00:00:00"/>
    <d v="2023-09-01T00:00:00"/>
    <d v="2023-11-11T00:00:00"/>
    <m/>
    <m/>
    <n v="3"/>
    <n v="0"/>
    <n v="0"/>
    <n v="0"/>
    <n v="0"/>
    <n v="0"/>
    <n v="0"/>
    <n v="0"/>
    <n v="0"/>
  </r>
  <r>
    <n v="47"/>
    <s v="肇庆市众凯机电有限公司"/>
    <s v="一般客户"/>
    <s v="深圳市钧敏科技有限公司"/>
    <s v="Ricky"/>
    <m/>
    <x v="27"/>
    <x v="28"/>
    <m/>
    <x v="0"/>
    <s v="电动撑杆"/>
    <m/>
    <s v="送样"/>
    <m/>
    <m/>
    <m/>
    <n v="0.4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工业电机"/>
    <s v="工业电机电控"/>
    <m/>
    <m/>
    <m/>
    <m/>
    <n v="3"/>
    <m/>
    <m/>
    <m/>
    <m/>
    <m/>
    <m/>
    <m/>
    <m/>
    <n v="0"/>
    <n v="0"/>
    <n v="0"/>
    <n v="0"/>
    <n v="0"/>
    <n v="0"/>
    <n v="0"/>
    <n v="0"/>
  </r>
  <r>
    <n v="48"/>
    <s v="南通新德昇电子科技有限公司"/>
    <s v="战略客户"/>
    <s v="深圳市钧敏科技有限公司"/>
    <s v="Ricky"/>
    <m/>
    <x v="22"/>
    <x v="23"/>
    <m/>
    <x v="0"/>
    <s v="电动剪刀"/>
    <m/>
    <s v="批量"/>
    <s v="约见客户，确定实际用量情况"/>
    <s v="无"/>
    <m/>
    <n v="0.28000000000000003"/>
    <n v="56000.000000000007"/>
    <n v="42000.000000000007"/>
    <n v="200000"/>
    <m/>
    <m/>
    <m/>
    <n v="100000"/>
    <m/>
    <m/>
    <n v="50000"/>
    <m/>
    <n v="50000"/>
    <n v="50000"/>
    <n v="50000"/>
    <n v="50000"/>
    <n v="5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0"/>
    <n v="0"/>
    <n v="14000.000000000002"/>
    <n v="0"/>
    <n v="14000.000000000002"/>
    <n v="14000.000000000002"/>
    <n v="14000.000000000002"/>
    <n v="14000.000000000002"/>
  </r>
  <r>
    <n v="49"/>
    <s v="南通新德昇电子科技有限公司"/>
    <s v="一般客户"/>
    <s v="深圳市钧敏科技有限公司"/>
    <s v="Ricky"/>
    <m/>
    <x v="22"/>
    <x v="31"/>
    <s v="白板"/>
    <x v="0"/>
    <s v="电动剪刀"/>
    <m/>
    <m/>
    <m/>
    <m/>
    <m/>
    <n v="0.1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0"/>
    <n v="0"/>
    <n v="0"/>
    <n v="0"/>
    <n v="0"/>
    <n v="0"/>
    <n v="0"/>
    <n v="0"/>
  </r>
  <r>
    <n v="50"/>
    <s v="金华市聚杰电器有限公司"/>
    <s v="一般客户"/>
    <s v="深圳市钧敏科技有限公司"/>
    <s v="Ricky"/>
    <m/>
    <x v="22"/>
    <x v="23"/>
    <m/>
    <x v="0"/>
    <s v="电动剪刀"/>
    <m/>
    <s v="送样"/>
    <m/>
    <s v="无"/>
    <m/>
    <n v="0.4"/>
    <n v="12000"/>
    <n v="24000"/>
    <n v="30000"/>
    <m/>
    <n v="45000"/>
    <n v="15000"/>
    <n v="15000"/>
    <n v="15000"/>
    <m/>
    <n v="15000"/>
    <m/>
    <m/>
    <n v="15000"/>
    <m/>
    <n v="15000"/>
    <n v="15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6000"/>
    <n v="0"/>
    <n v="6000"/>
    <n v="0"/>
    <n v="0"/>
    <n v="6000"/>
    <n v="0"/>
    <n v="6000"/>
  </r>
  <r>
    <n v="51"/>
    <s v="宁波瑞霖机械科技有限公司"/>
    <s v="一般客户"/>
    <s v="深圳市钧敏科技有限公司"/>
    <s v="Ricky"/>
    <m/>
    <x v="30"/>
    <x v="32"/>
    <m/>
    <x v="0"/>
    <s v="电动剪刀"/>
    <m/>
    <s v="送样"/>
    <m/>
    <s v="无"/>
    <m/>
    <n v="0.3"/>
    <n v="60000"/>
    <n v="120000"/>
    <n v="200000"/>
    <n v="100000"/>
    <n v="138000"/>
    <n v="100000"/>
    <n v="100000"/>
    <n v="100000"/>
    <m/>
    <n v="100000"/>
    <m/>
    <m/>
    <n v="100000"/>
    <m/>
    <n v="100000"/>
    <n v="10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30000"/>
    <n v="0"/>
    <n v="30000"/>
    <n v="0"/>
    <n v="0"/>
    <n v="30000"/>
    <n v="0"/>
    <n v="30000"/>
  </r>
  <r>
    <n v="52"/>
    <s v="宁波友博电子有限公司"/>
    <s v="一般客户"/>
    <s v="深圳市钧敏科技有限公司"/>
    <s v="Ricky"/>
    <m/>
    <x v="31"/>
    <x v="33"/>
    <m/>
    <x v="0"/>
    <s v="电动剪刀"/>
    <m/>
    <s v="小批量"/>
    <m/>
    <s v="无"/>
    <m/>
    <n v="0.4"/>
    <n v="24000"/>
    <n v="48000"/>
    <n v="60000"/>
    <n v="30000"/>
    <n v="30000"/>
    <n v="30000"/>
    <n v="30000"/>
    <n v="30000"/>
    <m/>
    <m/>
    <m/>
    <m/>
    <n v="30000"/>
    <m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12000"/>
    <n v="0"/>
    <n v="0"/>
    <n v="0"/>
    <n v="0"/>
    <n v="12000"/>
    <n v="0"/>
    <n v="12000"/>
  </r>
  <r>
    <n v="53"/>
    <s v="_x0009_珠海创伟领航科技有限公司"/>
    <s v="一般客户"/>
    <s v="深圳市钧敏科技有限公司"/>
    <s v="Ricky"/>
    <m/>
    <x v="11"/>
    <x v="11"/>
    <m/>
    <x v="0"/>
    <s v="榨汁机"/>
    <m/>
    <s v="批量"/>
    <m/>
    <s v="无"/>
    <m/>
    <n v="0.28000000000000003"/>
    <n v="140000"/>
    <n v="224000.00000000003"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28000.000000000004"/>
    <n v="28000.000000000004"/>
    <n v="28000.000000000004"/>
    <n v="28000.000000000004"/>
    <n v="28000.000000000004"/>
    <n v="28000.000000000004"/>
    <n v="28000.000000000004"/>
    <n v="28000.000000000004"/>
  </r>
  <r>
    <n v="54"/>
    <s v="深圳市方力洋科技有限公司"/>
    <s v="一般客户"/>
    <s v="深圳市钧敏科技有限公司"/>
    <s v="Ricky"/>
    <m/>
    <x v="17"/>
    <x v="18"/>
    <m/>
    <x v="0"/>
    <s v="电动剪刀"/>
    <m/>
    <s v="小批量"/>
    <m/>
    <m/>
    <m/>
    <n v="0.18"/>
    <n v="27000"/>
    <n v="37800"/>
    <n v="150000"/>
    <n v="30000"/>
    <n v="30000"/>
    <n v="30000"/>
    <n v="30000"/>
    <m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工业其他"/>
    <m/>
    <m/>
    <m/>
    <m/>
    <m/>
    <m/>
    <m/>
    <m/>
    <m/>
    <m/>
    <m/>
    <m/>
    <m/>
    <m/>
    <n v="0"/>
    <n v="5400"/>
    <n v="5400"/>
    <n v="5400"/>
    <n v="5400"/>
    <n v="5400"/>
    <n v="5400"/>
    <n v="5400"/>
  </r>
  <r>
    <n v="55"/>
    <s v="威廉姆斯（苏州）控制系统有限公司"/>
    <s v="战略客户"/>
    <s v="上海亿韧电子有限公司"/>
    <s v="Ricky"/>
    <m/>
    <x v="32"/>
    <x v="34"/>
    <m/>
    <x v="0"/>
    <m/>
    <m/>
    <m/>
    <m/>
    <m/>
    <m/>
    <n v="2.8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6"/>
    <s v="深圳市艾华迪技术有限公司"/>
    <s v="重要客户"/>
    <s v="深圳市艾华迪技术有限公司"/>
    <s v="Freya"/>
    <m/>
    <x v="0"/>
    <x v="0"/>
    <m/>
    <x v="0"/>
    <s v="三合一电驱"/>
    <n v="2200000"/>
    <s v="量产"/>
    <m/>
    <m/>
    <m/>
    <n v="1.76"/>
    <n v="739200"/>
    <n v="1848000"/>
    <n v="420000"/>
    <n v="200000"/>
    <m/>
    <n v="180000"/>
    <n v="120000"/>
    <n v="120000"/>
    <n v="120000"/>
    <m/>
    <n v="120000"/>
    <m/>
    <n v="150000"/>
    <m/>
    <n v="150000"/>
    <n v="150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211200"/>
    <n v="211200"/>
    <n v="0"/>
    <n v="211200"/>
    <n v="0"/>
    <n v="264000"/>
    <n v="0"/>
    <n v="264000"/>
  </r>
  <r>
    <n v="57"/>
    <s v="深圳市艾华迪技术有限公司"/>
    <s v="重要客户"/>
    <s v="深圳市艾华迪技术有限公司"/>
    <s v="Freya"/>
    <m/>
    <x v="33"/>
    <x v="35"/>
    <m/>
    <x v="0"/>
    <s v="三合一电驱"/>
    <n v="2200000"/>
    <m/>
    <m/>
    <m/>
    <m/>
    <n v="1.62"/>
    <n v="243000.00000000003"/>
    <n v="405000"/>
    <n v="150000"/>
    <m/>
    <n v="50000"/>
    <m/>
    <n v="50000"/>
    <n v="50000"/>
    <m/>
    <n v="50000"/>
    <n v="50000"/>
    <m/>
    <n v="50000"/>
    <n v="50000"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81000"/>
    <n v="0"/>
    <n v="81000"/>
    <n v="81000"/>
    <n v="0"/>
    <n v="81000"/>
    <n v="81000"/>
    <n v="0"/>
  </r>
  <r>
    <n v="58"/>
    <s v="艾菲汽车零部件（武汉）有限公司"/>
    <s v="一般客户"/>
    <s v="艾菲汽车零部件（武汉）有限公司"/>
    <s v="Freya"/>
    <m/>
    <x v="34"/>
    <x v="36"/>
    <m/>
    <x v="0"/>
    <s v="曲轴传感器"/>
    <n v="500000"/>
    <s v="小批量"/>
    <m/>
    <m/>
    <m/>
    <n v="3.36"/>
    <n v="0"/>
    <n v="50400"/>
    <n v="0"/>
    <m/>
    <m/>
    <n v="3000"/>
    <m/>
    <m/>
    <n v="3000"/>
    <m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10080"/>
    <n v="0"/>
    <n v="0"/>
    <n v="0"/>
    <n v="0"/>
    <n v="0"/>
    <n v="0"/>
  </r>
  <r>
    <n v="59"/>
    <s v="艾菲汽车零部件（武汉）有限公司"/>
    <s v="一般客户"/>
    <s v="艾菲汽车零部件（武汉）有限公司"/>
    <s v="Freya"/>
    <m/>
    <x v="35"/>
    <x v="37"/>
    <m/>
    <x v="0"/>
    <s v="凸轮轴传感器"/>
    <n v="500000"/>
    <s v="评估"/>
    <m/>
    <m/>
    <m/>
    <n v="4.42"/>
    <n v="0"/>
    <n v="44200"/>
    <n v="0"/>
    <n v="0"/>
    <n v="0"/>
    <n v="0"/>
    <n v="0"/>
    <n v="0"/>
    <n v="0"/>
    <n v="0"/>
    <n v="0"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60"/>
    <s v="驭芯科技（上海）有限公司"/>
    <s v="战略客户"/>
    <s v="上海霍通电子有限公司"/>
    <s v="Freya"/>
    <s v="张翼虎"/>
    <x v="36"/>
    <x v="38"/>
    <m/>
    <x v="0"/>
    <s v="凸轮轴传感器"/>
    <n v="1000000"/>
    <s v="量产"/>
    <m/>
    <m/>
    <m/>
    <n v="0.7"/>
    <n v="140000"/>
    <n v="56000"/>
    <n v="200000"/>
    <n v="4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8000"/>
    <n v="28000"/>
    <n v="28000"/>
    <n v="28000"/>
    <n v="28000"/>
    <n v="28000"/>
    <n v="28000"/>
    <n v="28000"/>
  </r>
  <r>
    <n v="61"/>
    <s v="驭芯科技（上海）有限公司"/>
    <s v="战略客户"/>
    <s v="上海霍通电子有限公司"/>
    <s v="Freya"/>
    <s v="张翼虎"/>
    <x v="36"/>
    <x v="39"/>
    <m/>
    <x v="0"/>
    <s v="凸轮轴传感器"/>
    <n v="1000000"/>
    <s v="量产"/>
    <m/>
    <m/>
    <m/>
    <n v="0.7"/>
    <n v="560000"/>
    <n v="56000"/>
    <n v="800000"/>
    <n v="160000"/>
    <n v="160000"/>
    <n v="160000"/>
    <n v="160000"/>
    <n v="160000"/>
    <n v="160000"/>
    <n v="160000"/>
    <n v="160000"/>
    <n v="160000"/>
    <n v="160000"/>
    <n v="160000"/>
    <n v="160000"/>
    <n v="16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12000"/>
    <n v="112000"/>
    <n v="112000"/>
    <n v="112000"/>
    <n v="112000"/>
    <n v="112000"/>
    <n v="112000"/>
    <n v="112000"/>
  </r>
  <r>
    <n v="62"/>
    <s v="驭芯科技（上海）有限公司"/>
    <s v="战略客户"/>
    <s v="上海霍通电子有限公司"/>
    <s v="Freya"/>
    <s v="张翼虎"/>
    <x v="37"/>
    <x v="40"/>
    <m/>
    <x v="0"/>
    <s v="曲轴传感器"/>
    <n v="1000000"/>
    <s v="量产"/>
    <m/>
    <m/>
    <m/>
    <n v="1.27"/>
    <n v="63500"/>
    <n v="101600"/>
    <n v="5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700"/>
    <n v="12700"/>
    <n v="12700"/>
    <n v="12700"/>
    <n v="12700"/>
    <n v="12700"/>
    <n v="12700"/>
    <n v="12700"/>
  </r>
  <r>
    <n v="63"/>
    <s v="驭芯科技（上海）有限公司"/>
    <s v="战略客户"/>
    <s v="上海霍通电子有限公司"/>
    <s v="Freya"/>
    <s v="张翼虎"/>
    <x v="38"/>
    <x v="31"/>
    <m/>
    <x v="0"/>
    <s v="凸轮轴传感器"/>
    <n v="1000000"/>
    <s v="小批量"/>
    <m/>
    <m/>
    <m/>
    <n v="6.5"/>
    <n v="0"/>
    <n v="162500"/>
    <n v="0"/>
    <m/>
    <n v="3000"/>
    <m/>
    <m/>
    <m/>
    <m/>
    <n v="3000"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19500"/>
    <n v="0"/>
    <n v="0"/>
    <n v="0"/>
    <n v="0"/>
    <n v="0"/>
  </r>
  <r>
    <n v="64"/>
    <s v="上海感先汽车传感器有限公司"/>
    <s v="重要客户"/>
    <s v="上海霍通电子有限公司"/>
    <s v="Freya"/>
    <s v="张翼虎"/>
    <x v="39"/>
    <x v="41"/>
    <m/>
    <x v="0"/>
    <s v="凸轮轴传感器"/>
    <n v="1000000"/>
    <m/>
    <m/>
    <m/>
    <m/>
    <n v="6.05"/>
    <n v="96800"/>
    <n v="133100"/>
    <n v="16000"/>
    <n v="2000"/>
    <n v="2000"/>
    <n v="2000"/>
    <n v="2000"/>
    <n v="2000"/>
    <n v="2000"/>
    <n v="2000"/>
    <n v="2000"/>
    <n v="2000"/>
    <n v="2000"/>
    <n v="5000"/>
    <n v="5000"/>
    <n v="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100"/>
    <n v="12100"/>
    <n v="12100"/>
    <n v="12100"/>
    <n v="12100"/>
    <n v="12100"/>
    <n v="30250"/>
    <n v="30250"/>
  </r>
  <r>
    <n v="65"/>
    <s v="上海感先汽车传感器有限公司"/>
    <s v="重要客户"/>
    <s v="上海霍通电子有限公司"/>
    <s v="Freya"/>
    <s v="张翼虎"/>
    <x v="40"/>
    <x v="42"/>
    <m/>
    <x v="0"/>
    <s v="曲轴传感器"/>
    <n v="1000000"/>
    <s v="量产"/>
    <m/>
    <m/>
    <m/>
    <n v="6.05"/>
    <n v="314600"/>
    <n v="496100"/>
    <n v="52000"/>
    <n v="8000"/>
    <n v="8000"/>
    <n v="8000"/>
    <n v="10000"/>
    <n v="10000"/>
    <n v="10000"/>
    <n v="10000"/>
    <n v="10000"/>
    <n v="10000"/>
    <n v="10000"/>
    <n v="10000"/>
    <n v="12000"/>
    <n v="12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60500"/>
    <n v="60500"/>
    <n v="60500"/>
    <n v="60500"/>
    <n v="60500"/>
    <n v="60500"/>
    <n v="60500"/>
    <n v="72600"/>
  </r>
  <r>
    <n v="66"/>
    <s v="湖北三环汽车电器有限公司"/>
    <s v="一般客户"/>
    <s v="深圳市宝创科技有限公司"/>
    <s v="Freya"/>
    <s v="焦志军"/>
    <x v="41"/>
    <x v="43"/>
    <m/>
    <x v="0"/>
    <s v="油电口盖"/>
    <n v="500000"/>
    <s v="样品测试完成"/>
    <m/>
    <m/>
    <m/>
    <n v="0.4"/>
    <n v="14400"/>
    <n v="15600"/>
    <n v="36000"/>
    <n v="0"/>
    <n v="0"/>
    <n v="0"/>
    <n v="0"/>
    <n v="10000"/>
    <n v="0"/>
    <n v="3000"/>
    <n v="3000"/>
    <n v="5000"/>
    <n v="8000"/>
    <n v="10000"/>
    <n v="10000"/>
    <n v="1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4000"/>
    <n v="0"/>
    <n v="1200"/>
    <n v="1200"/>
    <n v="2000"/>
    <n v="3200"/>
    <n v="4000"/>
    <n v="4000"/>
  </r>
  <r>
    <n v="67"/>
    <s v="湖北三环汽车电器有限公司"/>
    <s v="一般客户"/>
    <s v="深圳市宝创科技有限公司"/>
    <s v="Freya"/>
    <s v="焦志军"/>
    <x v="42"/>
    <x v="44"/>
    <m/>
    <x v="0"/>
    <s v="换挡器"/>
    <n v="500000"/>
    <s v="量产"/>
    <m/>
    <m/>
    <m/>
    <n v="0.4"/>
    <n v="20000"/>
    <n v="96000"/>
    <n v="50000"/>
    <n v="15000"/>
    <n v="15000"/>
    <n v="15000"/>
    <n v="30000"/>
    <n v="30000"/>
    <n v="6000"/>
    <n v="12000"/>
    <n v="30000"/>
    <n v="0"/>
    <n v="0"/>
    <n v="0"/>
    <n v="20000"/>
    <n v="2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2000"/>
    <n v="2400"/>
    <n v="4800"/>
    <n v="12000"/>
    <n v="0"/>
    <n v="0"/>
    <n v="0"/>
    <n v="8000"/>
  </r>
  <r>
    <n v="68"/>
    <s v="重庆睿格汽车部件有限公司"/>
    <s v="重要客户"/>
    <s v="深圳市宝创科技有限公司"/>
    <s v="Freya"/>
    <s v="凡莹"/>
    <x v="43"/>
    <x v="45"/>
    <m/>
    <x v="0"/>
    <s v="商用车换挡器"/>
    <n v="2000000"/>
    <s v="小批量"/>
    <m/>
    <m/>
    <m/>
    <n v="0.4"/>
    <n v="30000"/>
    <n v="48000"/>
    <n v="75000"/>
    <n v="0"/>
    <n v="3000"/>
    <n v="15000"/>
    <m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69"/>
    <s v="重庆睿格汽车部件有限公司"/>
    <s v="重要客户"/>
    <s v="深圳市宝创科技有限公司"/>
    <s v="Freya"/>
    <s v="凡莹"/>
    <x v="44"/>
    <x v="46"/>
    <m/>
    <x v="0"/>
    <s v="商用车换挡器"/>
    <n v="2000000"/>
    <s v="小批量"/>
    <m/>
    <m/>
    <m/>
    <n v="0.4"/>
    <n v="13200"/>
    <n v="22800"/>
    <n v="33000"/>
    <n v="3000"/>
    <n v="0"/>
    <n v="15000"/>
    <m/>
    <n v="12000"/>
    <m/>
    <n v="12000"/>
    <m/>
    <n v="12000"/>
    <n v="6000"/>
    <n v="15000"/>
    <m/>
    <n v="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4800"/>
    <n v="0"/>
    <n v="4800"/>
    <n v="0"/>
    <n v="4800"/>
    <n v="2400"/>
    <n v="6000"/>
    <n v="0"/>
  </r>
  <r>
    <n v="70"/>
    <s v="湖北开特汽车电子电器股份有限公司"/>
    <s v="一般客户"/>
    <s v="敏迅通通信技术（武汉）有限公司"/>
    <s v="Freya"/>
    <s v="凡莹"/>
    <x v="4"/>
    <x v="4"/>
    <m/>
    <x v="0"/>
    <s v="翰昂"/>
    <m/>
    <s v="打样"/>
    <m/>
    <m/>
    <m/>
    <n v="3.6"/>
    <n v="259200"/>
    <n v="324000"/>
    <n v="72000"/>
    <m/>
    <m/>
    <m/>
    <n v="3000"/>
    <n v="6000"/>
    <n v="6000"/>
    <n v="6000"/>
    <n v="12000"/>
    <n v="12000"/>
    <n v="12000"/>
    <n v="18000"/>
    <n v="18000"/>
    <n v="18000"/>
    <m/>
    <m/>
    <m/>
    <m/>
    <m/>
    <m/>
    <m/>
    <m/>
    <m/>
    <n v="1"/>
    <m/>
    <m/>
    <s v="Serge"/>
    <s v="2部"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21600"/>
    <n v="21600"/>
    <n v="21600"/>
    <n v="43200"/>
    <n v="43200"/>
    <n v="43200"/>
    <n v="64800"/>
    <n v="64800"/>
  </r>
  <r>
    <n v="71"/>
    <s v="武汉艾特艾迪汽车科技有限公司"/>
    <s v="一般客户"/>
    <s v="深圳市宝创科技有限公司"/>
    <s v="Freya"/>
    <s v="凡莹"/>
    <x v="45"/>
    <x v="47"/>
    <m/>
    <x v="0"/>
    <s v="工程车辆遥感"/>
    <n v="100000"/>
    <s v="量产"/>
    <m/>
    <m/>
    <m/>
    <n v="7"/>
    <n v="63000"/>
    <n v="84000"/>
    <n v="9000"/>
    <n v="0"/>
    <n v="0"/>
    <n v="0"/>
    <n v="3000"/>
    <n v="0"/>
    <n v="0"/>
    <n v="3000"/>
    <n v="3000"/>
    <n v="0"/>
    <n v="3000"/>
    <n v="0"/>
    <n v="3000"/>
    <n v="300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21000"/>
    <n v="21000"/>
    <n v="0"/>
    <n v="21000"/>
    <n v="0"/>
    <n v="21000"/>
  </r>
  <r>
    <n v="72"/>
    <s v="湖北飞耀汽车控制系统有限公司"/>
    <s v="一般客户"/>
    <s v="深圳市宝创科技有限公司"/>
    <s v="Freya"/>
    <s v="凡莹"/>
    <x v="43"/>
    <x v="45"/>
    <m/>
    <x v="0"/>
    <s v="商用车换挡器"/>
    <n v="288000"/>
    <s v="量产"/>
    <m/>
    <m/>
    <m/>
    <n v="0.4"/>
    <n v="36000"/>
    <n v="84000"/>
    <n v="90000"/>
    <n v="15000"/>
    <n v="15000"/>
    <n v="15000"/>
    <m/>
    <n v="30000"/>
    <m/>
    <n v="90000"/>
    <m/>
    <m/>
    <n v="60000"/>
    <m/>
    <n v="30000"/>
    <n v="3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2000"/>
    <n v="0"/>
    <n v="36000"/>
    <n v="0"/>
    <n v="0"/>
    <n v="24000"/>
    <n v="0"/>
    <n v="12000"/>
  </r>
  <r>
    <n v="73"/>
    <s v="湖北飞耀汽车控制系统有限公司"/>
    <s v="一般客户"/>
    <s v="深圳市宝创科技有限公司"/>
    <s v="Freya"/>
    <s v="凡莹"/>
    <x v="42"/>
    <x v="44"/>
    <m/>
    <x v="0"/>
    <s v="商用车换挡器"/>
    <n v="288000"/>
    <s v="量产"/>
    <m/>
    <m/>
    <m/>
    <n v="0.4"/>
    <n v="18000"/>
    <n v="28800"/>
    <n v="45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74"/>
    <s v="湖北飞耀汽车控制系统有限公司"/>
    <s v="一般客户"/>
    <s v="深圳市宝创科技有限公司"/>
    <s v="Freya"/>
    <s v="凡莹"/>
    <x v="46"/>
    <x v="48"/>
    <m/>
    <x v="0"/>
    <s v="商用车换挡器"/>
    <n v="288000"/>
    <s v="量产"/>
    <m/>
    <m/>
    <m/>
    <n v="0.4"/>
    <n v="16800"/>
    <n v="22800"/>
    <n v="42000"/>
    <m/>
    <m/>
    <n v="30000"/>
    <m/>
    <n v="15000"/>
    <m/>
    <m/>
    <n v="9000"/>
    <m/>
    <n v="9000"/>
    <n v="15000"/>
    <n v="9000"/>
    <n v="9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6000"/>
    <n v="0"/>
    <n v="0"/>
    <n v="3600"/>
    <n v="0"/>
    <n v="3600"/>
    <n v="6000"/>
    <n v="3600"/>
  </r>
  <r>
    <n v="75"/>
    <s v="上海岱美汽车内饰件股份有限公司"/>
    <s v="重要客户"/>
    <s v="上海佩岭电子科技有限公司"/>
    <s v="Freya"/>
    <s v="朱一"/>
    <x v="41"/>
    <x v="43"/>
    <m/>
    <x v="0"/>
    <s v="化妆镜位置检测"/>
    <n v="100000"/>
    <s v="量产"/>
    <m/>
    <m/>
    <m/>
    <n v="0.39"/>
    <n v="117000"/>
    <n v="187200"/>
    <n v="300000"/>
    <n v="60000"/>
    <n v="60000"/>
    <m/>
    <m/>
    <n v="6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23400"/>
    <n v="23400"/>
    <n v="23400"/>
    <n v="23400"/>
    <n v="23400"/>
    <n v="23400"/>
    <n v="23400"/>
    <n v="23400"/>
  </r>
  <r>
    <n v="76"/>
    <s v="建德市五星车业有限公司"/>
    <s v="一般客户"/>
    <s v="上海和煦光电科技有限公司"/>
    <s v="Freya"/>
    <s v="陈云"/>
    <x v="47"/>
    <x v="49"/>
    <m/>
    <x v="0"/>
    <s v="电动车转板"/>
    <n v="5000000"/>
    <s v="送样"/>
    <m/>
    <m/>
    <m/>
    <n v="0.14000000000000001"/>
    <n v="84000.000000000015"/>
    <n v="210000.00000000003"/>
    <n v="600000"/>
    <m/>
    <n v="0"/>
    <n v="0"/>
    <n v="5000"/>
    <n v="100000"/>
    <n v="200000"/>
    <n v="0"/>
    <n v="0"/>
    <n v="0"/>
    <n v="200000"/>
    <n v="200000"/>
    <n v="200000"/>
    <n v="20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4000.000000000002"/>
    <n v="28000.000000000004"/>
    <n v="0"/>
    <n v="0"/>
    <n v="0"/>
    <n v="28000.000000000004"/>
    <n v="28000.000000000004"/>
    <n v="28000.000000000004"/>
  </r>
  <r>
    <n v="77"/>
    <s v="武汉盛势启创科技有限公司"/>
    <s v="战略客户"/>
    <s v="鸿赛芯（上海）科技有限公司"/>
    <s v="Freya"/>
    <s v="袁海峰"/>
    <x v="48"/>
    <x v="50"/>
    <m/>
    <x v="0"/>
    <s v="三合一电驱"/>
    <n v="500000"/>
    <s v="小批量"/>
    <m/>
    <m/>
    <m/>
    <n v="1.88"/>
    <n v="188000"/>
    <n v="857656"/>
    <n v="100000"/>
    <m/>
    <m/>
    <n v="1850"/>
    <n v="3200"/>
    <n v="4000"/>
    <n v="6000"/>
    <n v="11000"/>
    <n v="7000"/>
    <n v="27000"/>
    <n v="18000"/>
    <n v="24000"/>
    <n v="24000"/>
    <n v="24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7520"/>
    <n v="11280"/>
    <n v="20680"/>
    <n v="13160"/>
    <n v="50760"/>
    <n v="33840"/>
    <n v="45120"/>
    <n v="45120"/>
  </r>
  <r>
    <n v="78"/>
    <s v="武汉盛势启创科技有限公司"/>
    <s v="战略客户"/>
    <s v="鸿赛芯（上海）科技有限公司"/>
    <s v="Freya"/>
    <s v="袁海峰"/>
    <x v="49"/>
    <x v="51"/>
    <m/>
    <x v="0"/>
    <s v="三合一电驱"/>
    <n v="5000000"/>
    <s v="量产"/>
    <m/>
    <m/>
    <m/>
    <n v="1.88"/>
    <n v="510608"/>
    <n v="4162335.0399999996"/>
    <n v="271600"/>
    <m/>
    <n v="3000"/>
    <n v="3000"/>
    <n v="2000"/>
    <n v="2000"/>
    <n v="20000"/>
    <n v="50000"/>
    <n v="20000"/>
    <n v="58400"/>
    <n v="64400"/>
    <n v="64400"/>
    <n v="64400"/>
    <n v="644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3760"/>
    <n v="37600"/>
    <n v="94000"/>
    <n v="37600"/>
    <n v="109792"/>
    <n v="121072"/>
    <n v="121072"/>
    <n v="121072"/>
  </r>
  <r>
    <n v="79"/>
    <s v="江西昱恩电子技术有限公司"/>
    <s v="一般客户"/>
    <s v="鸿赛芯（上海）科技有限公司"/>
    <s v="Freya"/>
    <s v="袁海峰"/>
    <x v="49"/>
    <x v="51"/>
    <m/>
    <x v="0"/>
    <s v="电控电流传感器"/>
    <m/>
    <s v="前装送样"/>
    <s v="当下重点推进"/>
    <m/>
    <m/>
    <n v="2.2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0"/>
    <s v="江西昱恩电子技术有限公司"/>
    <s v="一般客户"/>
    <s v="鸿赛芯（上海）科技有限公司"/>
    <s v="Freya"/>
    <s v="袁海峰"/>
    <x v="48"/>
    <x v="50"/>
    <m/>
    <x v="0"/>
    <s v="电控电流传感器"/>
    <m/>
    <s v="前装送样"/>
    <s v="当下重点推进"/>
    <m/>
    <m/>
    <n v="2.2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1"/>
    <s v="宁波永信汽车部件股份有限公司"/>
    <s v="一般客户"/>
    <s v="鸿赛芯（上海）科技有限公司"/>
    <s v="Freya"/>
    <s v="袁海峰"/>
    <x v="4"/>
    <x v="4"/>
    <m/>
    <x v="0"/>
    <s v="换挡执行器"/>
    <m/>
    <s v="技术交流"/>
    <s v="当下重点推进"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2"/>
    <s v="浙江科博达工业有限公司"/>
    <s v="一般客户"/>
    <s v="苏州安连电子有限公司上海第一分公司"/>
    <s v="Freya"/>
    <s v="何梁辉"/>
    <x v="4"/>
    <x v="4"/>
    <m/>
    <x v="0"/>
    <s v="电子节气门体"/>
    <n v="500000"/>
    <s v="送样"/>
    <m/>
    <m/>
    <n v="90371"/>
    <n v="7"/>
    <n v="0"/>
    <n v="245000"/>
    <n v="0"/>
    <m/>
    <m/>
    <m/>
    <m/>
    <m/>
    <n v="0"/>
    <n v="0"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3"/>
    <s v="浙江科博达工业有限公司"/>
    <s v="一般客户"/>
    <s v="苏州安连电子有限公司上海第一分公司"/>
    <s v="Freya"/>
    <s v="何梁辉"/>
    <x v="50"/>
    <x v="52"/>
    <m/>
    <x v="0"/>
    <s v="位移传感器"/>
    <n v="300000"/>
    <s v="送样"/>
    <m/>
    <m/>
    <n v="90371"/>
    <n v="2.8"/>
    <n v="0"/>
    <n v="4480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4"/>
    <s v="武汉汉升汽车传感系统有限责任公司"/>
    <s v="一般客户"/>
    <s v="苏州安连电子有限公司上海第一分公司"/>
    <s v="Freya"/>
    <s v="何梁辉"/>
    <x v="35"/>
    <x v="37"/>
    <m/>
    <x v="0"/>
    <s v="凸轮轴相位传感器"/>
    <n v="300000"/>
    <s v="批量"/>
    <m/>
    <m/>
    <s v="ATS675"/>
    <n v="6"/>
    <n v="300000"/>
    <n v="480000"/>
    <n v="50000"/>
    <n v="5000"/>
    <n v="5000"/>
    <n v="5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85"/>
    <s v="武汉汉升汽车传感系统有限责任公司"/>
    <s v="一般客户"/>
    <s v="苏州安连电子有限公司上海第一分公司"/>
    <s v="Freya"/>
    <s v="何梁辉"/>
    <x v="37"/>
    <x v="40"/>
    <m/>
    <x v="0"/>
    <s v="曲轴位置传感器"/>
    <n v="200000"/>
    <s v="批量"/>
    <m/>
    <m/>
    <s v="TLE4921-5U"/>
    <n v="2.4"/>
    <n v="12000"/>
    <n v="19200"/>
    <n v="5000"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6"/>
    <s v="武汉汉升汽车传感系统有限责任公司"/>
    <s v="一般客户"/>
    <s v="苏州安连电子有限公司上海第一分公司"/>
    <s v="Freya"/>
    <s v="何梁辉"/>
    <x v="51"/>
    <x v="53"/>
    <m/>
    <x v="0"/>
    <s v="凸轮轴相位传感器"/>
    <n v="100000"/>
    <s v="PV"/>
    <m/>
    <m/>
    <s v="MLX90217"/>
    <n v="1.6"/>
    <n v="8000"/>
    <n v="33600"/>
    <n v="5000"/>
    <n v="1000"/>
    <n v="1000"/>
    <n v="1000"/>
    <n v="1000"/>
    <n v="2000"/>
    <n v="2000"/>
    <n v="2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3200"/>
    <n v="3200"/>
    <n v="3200"/>
    <n v="1600"/>
    <n v="1600"/>
    <n v="1600"/>
    <n v="1600"/>
    <n v="1600"/>
  </r>
  <r>
    <n v="87"/>
    <s v="无锡盛邦电子有限公司"/>
    <s v="重要客户"/>
    <s v="苏州安连电子有限公司上海第一分公司"/>
    <s v="Freya"/>
    <s v="何梁辉"/>
    <x v="34"/>
    <x v="36"/>
    <m/>
    <x v="0"/>
    <s v="曲轴位置传感器"/>
    <n v="20000"/>
    <s v="PV"/>
    <m/>
    <m/>
    <s v="无"/>
    <n v="2.4"/>
    <n v="12000"/>
    <n v="19200"/>
    <n v="5000"/>
    <m/>
    <m/>
    <m/>
    <m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8"/>
    <s v="无锡盛邦电子有限公司"/>
    <s v="重要客户"/>
    <s v="苏州安连电子有限公司上海第一分公司"/>
    <s v="Freya"/>
    <s v="何梁辉"/>
    <x v="52"/>
    <x v="54"/>
    <m/>
    <x v="0"/>
    <s v="曲轴位置传感器"/>
    <n v="500000"/>
    <s v="送样"/>
    <m/>
    <m/>
    <s v="TLE4924"/>
    <n v="2.200000000000000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9"/>
    <s v="无锡盛邦电子有限公司"/>
    <s v="重要客户"/>
    <s v="苏州安连电子有限公司上海第一分公司"/>
    <s v="Freya"/>
    <s v="何梁辉"/>
    <x v="35"/>
    <x v="37"/>
    <m/>
    <x v="0"/>
    <s v="凸轮轴相位传感器"/>
    <n v="400000"/>
    <s v="送样"/>
    <m/>
    <s v="用在长柴商用车项目"/>
    <s v="ATS675"/>
    <n v="6"/>
    <n v="150000"/>
    <n v="222000"/>
    <n v="25000"/>
    <m/>
    <m/>
    <m/>
    <n v="2000"/>
    <n v="3000"/>
    <n v="4000"/>
    <n v="5000"/>
    <n v="5000"/>
    <n v="5000"/>
    <n v="5000"/>
    <n v="5000"/>
    <n v="5000"/>
    <n v="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8000"/>
    <n v="24000"/>
    <n v="30000"/>
    <n v="30000"/>
    <n v="30000"/>
    <n v="30000"/>
    <n v="30000"/>
    <n v="30000"/>
  </r>
  <r>
    <n v="90"/>
    <s v="无锡盛邦电子有限公司"/>
    <s v="重要客户"/>
    <s v="苏州安连电子有限公司上海第一分公司"/>
    <s v="Freya"/>
    <s v="何梁辉"/>
    <x v="53"/>
    <x v="55"/>
    <m/>
    <x v="0"/>
    <s v="凸轮轴相位传感器"/>
    <n v="400000"/>
    <s v="评估"/>
    <m/>
    <s v="客户成本压力高，客户准备用SC9675TS做潍柴项目，需要赛卓给出磁铁方案，可能需要赛卓编好程出货给他们，另外需要仿真支持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91"/>
    <s v="苏州微测电子有限公司"/>
    <s v="一般客户"/>
    <s v="苏州安连电子有限公司上海第一分公司"/>
    <s v="Freya"/>
    <s v="何梁辉"/>
    <x v="54"/>
    <x v="56"/>
    <m/>
    <x v="0"/>
    <s v="ABS轮速传感器"/>
    <n v="100000"/>
    <s v="送样"/>
    <m/>
    <m/>
    <m/>
    <n v="2.5"/>
    <n v="0"/>
    <n v="82500"/>
    <n v="0"/>
    <m/>
    <m/>
    <m/>
    <m/>
    <m/>
    <n v="3000"/>
    <n v="5000"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7500"/>
    <n v="12500"/>
    <n v="0"/>
    <n v="0"/>
    <n v="0"/>
    <n v="0"/>
    <n v="0"/>
  </r>
  <r>
    <n v="92"/>
    <s v="深圳市森世泰科技有限公司"/>
    <s v="一般客户"/>
    <s v="苏州安连电子有限公司上海第一分公司"/>
    <s v="Freya"/>
    <s v="何梁辉"/>
    <x v="35"/>
    <x v="37"/>
    <m/>
    <x v="0"/>
    <s v="凸轮轴相位传感器"/>
    <n v="300000"/>
    <s v="PV"/>
    <m/>
    <m/>
    <s v="ATS675"/>
    <n v="6"/>
    <n v="60000"/>
    <n v="96000"/>
    <n v="10000"/>
    <n v="2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93"/>
    <s v="十堰合容汽车电器股份有限公司"/>
    <s v="一般客户"/>
    <s v="上海和煦光电科技有限公司"/>
    <s v="Freya"/>
    <s v="陈云"/>
    <x v="55"/>
    <x v="57"/>
    <m/>
    <x v="0"/>
    <m/>
    <m/>
    <s v="量产"/>
    <m/>
    <m/>
    <m/>
    <n v="7.5"/>
    <n v="112500"/>
    <n v="180000"/>
    <n v="15000"/>
    <n v="0"/>
    <n v="0"/>
    <n v="3000"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22500"/>
    <n v="22500"/>
    <n v="22500"/>
    <n v="22500"/>
    <n v="22500"/>
    <n v="22500"/>
    <n v="22500"/>
    <n v="22500"/>
  </r>
  <r>
    <n v="94"/>
    <s v="霍尼韦尔（中国)有限公司"/>
    <s v="重要客户"/>
    <s v="武汉沃达瑞电子科技有限公司"/>
    <s v="Freya"/>
    <s v="周晓雨"/>
    <x v="56"/>
    <x v="58"/>
    <m/>
    <x v="0"/>
    <m/>
    <n v="500000"/>
    <s v="批量"/>
    <m/>
    <m/>
    <m/>
    <n v="2.2999999999999998"/>
    <n v="23000"/>
    <n v="92000"/>
    <n v="10000"/>
    <n v="5000"/>
    <n v="5000"/>
    <n v="5000"/>
    <n v="5000"/>
    <n v="5000"/>
    <n v="5000"/>
    <n v="5000"/>
    <n v="2000"/>
    <n v="2000"/>
    <n v="2000"/>
    <n v="2000"/>
    <n v="2000"/>
    <n v="2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11500"/>
    <n v="11500"/>
    <n v="11500"/>
    <n v="4600"/>
    <n v="4600"/>
    <n v="4600"/>
    <n v="4600"/>
    <n v="4600"/>
  </r>
  <r>
    <n v="95"/>
    <s v="湖北瑞磁科技有限公司"/>
    <s v="一般客户"/>
    <s v="贝能电子（上海）有限公司"/>
    <s v="Freya"/>
    <s v="张雨泽"/>
    <x v="48"/>
    <x v="50"/>
    <m/>
    <x v="0"/>
    <m/>
    <m/>
    <s v="小批量"/>
    <m/>
    <m/>
    <m/>
    <n v="2.4969999999999999"/>
    <n v="0"/>
    <n v="0"/>
    <n v="0"/>
    <m/>
    <m/>
    <m/>
    <m/>
    <n v="200"/>
    <m/>
    <n v="3000"/>
    <m/>
    <m/>
    <m/>
    <m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499.4"/>
    <n v="0"/>
    <n v="7491"/>
    <n v="0"/>
    <n v="0"/>
    <n v="0"/>
    <n v="0"/>
    <n v="0"/>
  </r>
  <r>
    <n v="96"/>
    <s v="宜美科技集团有限公司"/>
    <s v="一般客户"/>
    <s v="贝能电子（上海）有限公司"/>
    <s v="Freya"/>
    <s v="张雨泽"/>
    <x v="17"/>
    <x v="18"/>
    <m/>
    <x v="0"/>
    <m/>
    <m/>
    <s v="小批量"/>
    <m/>
    <m/>
    <m/>
    <n v="0.20499999999999999"/>
    <n v="0"/>
    <n v="0"/>
    <n v="0"/>
    <m/>
    <m/>
    <m/>
    <m/>
    <n v="50000"/>
    <m/>
    <m/>
    <m/>
    <m/>
    <m/>
    <m/>
    <m/>
    <n v="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0250"/>
    <n v="0"/>
    <n v="0"/>
    <n v="0"/>
    <n v="0"/>
    <n v="0"/>
    <n v="0"/>
    <n v="0"/>
  </r>
  <r>
    <n v="97"/>
    <s v="上海博邦汽车技术有限公司"/>
    <s v="一般客户"/>
    <s v="上海碧讯实业有限公司"/>
    <s v="Leo"/>
    <s v="吕斐"/>
    <x v="7"/>
    <x v="7"/>
    <m/>
    <x v="0"/>
    <s v="500W的气泵无刷电机，（OEM奇瑞）"/>
    <n v="500000"/>
    <s v="小批量"/>
    <s v="250509：已经按照18K的月需求滚动备料，5月开始拉动，实际以保隆采购下单为准；但是现在碧讯有54K库存，已经够用。（5，6，7月用库存即可）"/>
    <s v="TLE4961-1M"/>
    <m/>
    <n v="0.37"/>
    <n v="0"/>
    <m/>
    <n v="0"/>
    <n v="0"/>
    <n v="0"/>
    <n v="0"/>
    <n v="0"/>
    <n v="1"/>
    <n v="3000"/>
    <n v="18000"/>
    <m/>
    <m/>
    <m/>
    <m/>
    <m/>
    <n v="0"/>
    <n v="0"/>
    <n v="0"/>
    <n v="0"/>
    <n v="0"/>
    <m/>
    <m/>
    <m/>
    <m/>
    <m/>
    <m/>
    <m/>
    <m/>
    <m/>
    <s v="1部"/>
    <s v="磁性位置传感器"/>
    <s v="汽车电子"/>
    <s v="底盘电子"/>
    <s v="悬架系统"/>
    <s v="车身高度传感器"/>
    <m/>
    <m/>
    <m/>
    <m/>
    <m/>
    <m/>
    <m/>
    <m/>
    <m/>
    <m/>
    <m/>
    <m/>
    <n v="0.37"/>
    <n v="1110"/>
    <n v="6660"/>
    <n v="0"/>
    <n v="0"/>
    <n v="0"/>
    <n v="0"/>
    <n v="0"/>
  </r>
  <r>
    <n v="98"/>
    <s v="上海博邦汽车技术有限公司"/>
    <s v="一般客户"/>
    <s v="上海碧讯实业有限公司"/>
    <s v="Leo"/>
    <s v="吕斐"/>
    <x v="5"/>
    <x v="5"/>
    <m/>
    <x v="0"/>
    <s v="天窗电机（OEM蔚来）"/>
    <n v="100000"/>
    <s v="送样"/>
    <s v="250509：项目等待中，暂无更新"/>
    <s v="MLX92211BAA-202"/>
    <m/>
    <n v="0.77600000000000002"/>
    <n v="271600"/>
    <m/>
    <n v="350000"/>
    <n v="0"/>
    <n v="0"/>
    <n v="0"/>
    <n v="0"/>
    <n v="0"/>
    <n v="40000"/>
    <n v="60000"/>
    <n v="70000"/>
    <n v="70000"/>
    <n v="70000"/>
    <n v="70000"/>
    <n v="70000"/>
    <n v="70000"/>
    <n v="0"/>
    <n v="0"/>
    <n v="0"/>
    <n v="0"/>
    <m/>
    <m/>
    <m/>
    <m/>
    <m/>
    <m/>
    <m/>
    <m/>
    <m/>
    <s v="1部"/>
    <s v="磁性位置传感器"/>
    <s v="汽车电子"/>
    <s v="车身电子"/>
    <s v="天窗系统"/>
    <s v="天窗电机"/>
    <m/>
    <m/>
    <m/>
    <m/>
    <m/>
    <m/>
    <m/>
    <m/>
    <m/>
    <m/>
    <m/>
    <m/>
    <n v="0"/>
    <n v="31040"/>
    <n v="46560"/>
    <n v="54320"/>
    <n v="54320"/>
    <n v="54320"/>
    <n v="54320"/>
    <n v="54320"/>
  </r>
  <r>
    <n v="99"/>
    <s v="浙江泰米电子科技有限公司"/>
    <s v="重要客户"/>
    <s v="上海碧讯实业有限公司"/>
    <s v="Leo"/>
    <s v="吕斐"/>
    <x v="57"/>
    <x v="59"/>
    <m/>
    <x v="0"/>
    <s v="速度传感器"/>
    <s v="9641/70K每月"/>
    <s v="批量"/>
    <s v="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m/>
    <m/>
    <n v="1.55"/>
    <n v="775000"/>
    <m/>
    <n v="500000"/>
    <n v="70000"/>
    <n v="70000"/>
    <n v="70000"/>
    <n v="70000"/>
    <n v="70000"/>
    <n v="70000"/>
    <n v="70000"/>
    <n v="100000"/>
    <n v="100000"/>
    <n v="100000"/>
    <n v="100000"/>
    <n v="100000"/>
    <n v="100000"/>
    <n v="0"/>
    <n v="0"/>
    <n v="0"/>
    <n v="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8500"/>
    <n v="108500"/>
    <n v="108500"/>
    <n v="155000"/>
    <n v="155000"/>
    <n v="155000"/>
    <n v="155000"/>
    <n v="155000"/>
  </r>
  <r>
    <n v="100"/>
    <s v="浙江泰米电子科技有限公司"/>
    <s v="重要客户"/>
    <s v="上海碧讯实业有限公司"/>
    <s v="Leo"/>
    <s v="吕斐"/>
    <x v="58"/>
    <x v="60"/>
    <m/>
    <x v="0"/>
    <s v="速度传感器"/>
    <s v="9642/3K每月"/>
    <s v="批量"/>
    <s v="250509：年降25%，赛卓谈定只承担原厂10%，其他由碧讯搞定_x000a_250425：节后和代理商一同去客户正式拜访_x000a_250418：上周转移到Leo这，发了一次订单"/>
    <m/>
    <m/>
    <n v="2.25"/>
    <n v="33750"/>
    <m/>
    <n v="15000"/>
    <n v="3000"/>
    <n v="3000"/>
    <n v="3000"/>
    <n v="3000"/>
    <n v="3000"/>
    <n v="3000"/>
    <n v="3000"/>
    <n v="3000"/>
    <n v="3000"/>
    <n v="3000"/>
    <n v="3000"/>
    <n v="3000"/>
    <n v="3000"/>
    <n v="0"/>
    <n v="0"/>
    <n v="0"/>
    <n v="1500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750"/>
    <n v="6750"/>
    <n v="6750"/>
    <n v="6750"/>
    <n v="6750"/>
    <n v="6750"/>
    <n v="6750"/>
    <n v="6750"/>
  </r>
  <r>
    <n v="101"/>
    <s v="浙江泰米电子科技有限公司"/>
    <s v="重要客户"/>
    <s v="上海碧讯实业有限公司"/>
    <s v="Leo"/>
    <s v="吕斐"/>
    <x v="34"/>
    <x v="36"/>
    <m/>
    <x v="0"/>
    <s v="速度传感器"/>
    <s v="9621/1K每月"/>
    <s v="批量"/>
    <s v="250509：年降25%，不同意降价_x000a_250425：节后和代理商一同去客户正式拜访_x000a_250418：上周转移到Leo这，发了一次订单"/>
    <m/>
    <m/>
    <n v="2.1"/>
    <n v="10500"/>
    <m/>
    <n v="5000"/>
    <n v="1000"/>
    <n v="1000"/>
    <n v="1000"/>
    <n v="1000"/>
    <n v="1000"/>
    <n v="1000"/>
    <n v="1000"/>
    <n v="1000"/>
    <n v="1000"/>
    <n v="1000"/>
    <n v="1000"/>
    <n v="1000"/>
    <n v="1000"/>
    <n v="0"/>
    <n v="0"/>
    <n v="0"/>
    <n v="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100"/>
    <n v="2100"/>
    <n v="2100"/>
    <n v="2100"/>
    <n v="2100"/>
    <n v="2100"/>
    <n v="2100"/>
    <n v="2100"/>
  </r>
  <r>
    <n v="102"/>
    <s v="浙江泰米电子科技有限公司"/>
    <s v="重要客户"/>
    <s v="上海碧讯实业有限公司"/>
    <s v="Leo"/>
    <s v="吕斐"/>
    <x v="36"/>
    <x v="61"/>
    <m/>
    <x v="0"/>
    <m/>
    <m/>
    <m/>
    <m/>
    <m/>
    <m/>
    <n v="1.95"/>
    <n v="9750"/>
    <m/>
    <n v="5000"/>
    <m/>
    <m/>
    <m/>
    <m/>
    <m/>
    <n v="1000"/>
    <n v="1000"/>
    <n v="1000"/>
    <n v="1000"/>
    <n v="1000"/>
    <n v="1000"/>
    <n v="1000"/>
    <n v="1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1950"/>
    <n v="1950"/>
    <n v="1950"/>
    <n v="1950"/>
    <n v="1950"/>
    <n v="1950"/>
    <n v="1950"/>
  </r>
  <r>
    <n v="103"/>
    <s v="浙江泰米电子科技有限公司"/>
    <s v="重要客户"/>
    <s v="上海碧讯实业有限公司"/>
    <s v="Leo"/>
    <s v="吕斐"/>
    <x v="59"/>
    <x v="62"/>
    <m/>
    <x v="0"/>
    <m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0"/>
    <n v="0"/>
    <n v="0"/>
    <n v="0"/>
    <n v="0"/>
    <n v="0"/>
    <n v="0"/>
  </r>
  <r>
    <n v="104"/>
    <s v="杭州临安天隆电子有限公司"/>
    <s v="重要客户"/>
    <s v="上海霍通电子有限公司"/>
    <s v="Leo"/>
    <s v="张翼鹏"/>
    <x v="58"/>
    <x v="63"/>
    <m/>
    <x v="0"/>
    <s v="ABS轮速传感器"/>
    <n v="5000000"/>
    <s v="批量"/>
    <s v="250509：5-26那周周和代理商一同去客户正式拜访_x000a_20240418：已通知代理商，从5月1日起开始封装切换至佛山蓝箭"/>
    <m/>
    <m/>
    <n v="2.1800000000000002"/>
    <n v="981000.00000000012"/>
    <m/>
    <n v="450000"/>
    <n v="80000"/>
    <n v="80000"/>
    <n v="80000"/>
    <n v="80000"/>
    <n v="80000"/>
    <n v="80000"/>
    <n v="80000"/>
    <n v="90000"/>
    <n v="90000"/>
    <n v="90000"/>
    <n v="90000"/>
    <n v="90000"/>
    <n v="90000"/>
    <m/>
    <m/>
    <m/>
    <m/>
    <m/>
    <m/>
    <m/>
    <m/>
    <m/>
    <m/>
    <m/>
    <m/>
    <m/>
    <s v="1部"/>
    <s v="速度传感器"/>
    <m/>
    <m/>
    <m/>
    <m/>
    <s v="长安汽车"/>
    <m/>
    <m/>
    <m/>
    <m/>
    <m/>
    <m/>
    <m/>
    <m/>
    <m/>
    <m/>
    <m/>
    <n v="174400"/>
    <n v="174400"/>
    <n v="174400"/>
    <n v="196200"/>
    <n v="196200"/>
    <n v="196200"/>
    <n v="196200"/>
    <n v="196200"/>
  </r>
  <r>
    <n v="105"/>
    <s v="杭州临安天隆电子有限公司"/>
    <s v="重要客户"/>
    <s v="上海霍通电子有限公司"/>
    <s v="Leo"/>
    <s v="张翼鹏"/>
    <x v="60"/>
    <x v="64"/>
    <m/>
    <x v="0"/>
    <m/>
    <m/>
    <m/>
    <m/>
    <m/>
    <m/>
    <n v="1.6"/>
    <n v="160000"/>
    <m/>
    <n v="100000"/>
    <m/>
    <m/>
    <m/>
    <m/>
    <m/>
    <n v="3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48000"/>
    <n v="32000"/>
    <n v="32000"/>
    <n v="32000"/>
    <n v="32000"/>
    <n v="32000"/>
    <n v="32000"/>
  </r>
  <r>
    <n v="106"/>
    <s v="上海昕荧科技有限公司"/>
    <s v="一般客户"/>
    <s v="上海众知晓电子科技有限公司"/>
    <s v="Leo"/>
    <s v="赵书晓"/>
    <x v="50"/>
    <x v="52"/>
    <m/>
    <x v="0"/>
    <s v="换挡器"/>
    <n v="100000"/>
    <s v="批量"/>
    <s v="250509：正常供货；但4688没有断线检测，又重新送了4689的样去救场。"/>
    <s v="HAL888/ FI6710"/>
    <m/>
    <n v="2.72"/>
    <n v="0"/>
    <m/>
    <n v="0"/>
    <n v="0"/>
    <n v="4100"/>
    <n v="10000"/>
    <n v="0"/>
    <n v="10000"/>
    <n v="0"/>
    <n v="10000"/>
    <n v="0"/>
    <m/>
    <m/>
    <m/>
    <m/>
    <n v="0"/>
    <m/>
    <m/>
    <m/>
    <m/>
    <m/>
    <m/>
    <m/>
    <m/>
    <m/>
    <m/>
    <m/>
    <m/>
    <m/>
    <s v="1部"/>
    <s v="角度传感器"/>
    <s v="汽车电子"/>
    <s v="动力总成"/>
    <s v="变速箱"/>
    <s v="拨叉位置传感器"/>
    <m/>
    <m/>
    <m/>
    <n v="1"/>
    <m/>
    <m/>
    <m/>
    <m/>
    <m/>
    <m/>
    <m/>
    <m/>
    <n v="27200.000000000004"/>
    <n v="0"/>
    <n v="27200.000000000004"/>
    <n v="0"/>
    <n v="0"/>
    <n v="0"/>
    <n v="0"/>
    <n v="0"/>
  </r>
  <r>
    <n v="107"/>
    <s v="无锡凌思科技有限公司"/>
    <s v="一般客户"/>
    <s v="上海众知晓电子科技有限公司"/>
    <s v="Leo"/>
    <s v="赵书晓"/>
    <x v="61"/>
    <x v="31"/>
    <m/>
    <x v="0"/>
    <s v="惯性导航"/>
    <s v="NA"/>
    <s v="评估"/>
    <s v="250509：客户未反馈，状态TBD_x000a_无锡凌思已经调通了，现在在准备做高温环境下的稳定性验证,5月份DV,年底PV。"/>
    <s v="4.5-40的XL1509"/>
    <n v="0.6"/>
    <n v="2.19"/>
    <n v="0"/>
    <m/>
    <n v="0"/>
    <n v="0"/>
    <n v="0"/>
    <n v="0"/>
    <n v="0"/>
    <n v="0"/>
    <n v="0"/>
    <n v="0"/>
    <n v="0"/>
    <n v="0"/>
    <n v="0"/>
    <n v="0"/>
    <m/>
    <n v="0"/>
    <m/>
    <m/>
    <m/>
    <m/>
    <m/>
    <m/>
    <m/>
    <m/>
    <m/>
    <m/>
    <m/>
    <m/>
    <m/>
    <s v="1部"/>
    <s v="电源管理"/>
    <s v="工业与机器人"/>
    <s v="工程机械"/>
    <s v="挖掘机"/>
    <s v="GNSS模块"/>
    <m/>
    <m/>
    <m/>
    <m/>
    <m/>
    <m/>
    <m/>
    <m/>
    <m/>
    <m/>
    <m/>
    <m/>
    <n v="0"/>
    <n v="0"/>
    <n v="0"/>
    <n v="0"/>
    <n v="0"/>
    <n v="0"/>
    <n v="0"/>
    <n v="0"/>
  </r>
  <r>
    <n v="108"/>
    <s v="伟巴斯特车顶供暖系统（上海）有限公司"/>
    <s v="重要客户"/>
    <s v="深圳市道合顺网络有限公司"/>
    <s v="Leo"/>
    <s v="韩晓锐"/>
    <x v="16"/>
    <x v="17"/>
    <m/>
    <x v="0"/>
    <s v="天窗控制器"/>
    <n v="300000"/>
    <s v="批量"/>
    <s v="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74100"/>
    <m/>
    <n v="156000"/>
    <n v="3000"/>
    <n v="12000"/>
    <n v="15000"/>
    <n v="11692"/>
    <n v="22264"/>
    <n v="24384"/>
    <n v="21156"/>
    <n v="24000"/>
    <n v="42000"/>
    <n v="36000"/>
    <n v="30000"/>
    <n v="24000"/>
    <n v="20000"/>
    <n v="3000"/>
    <n v="12000"/>
    <n v="15000"/>
    <m/>
    <m/>
    <m/>
    <m/>
    <m/>
    <m/>
    <m/>
    <m/>
    <m/>
    <m/>
    <s v="1部"/>
    <s v="磁性位置传感器"/>
    <s v="汽车电子"/>
    <s v="车身电子"/>
    <s v="天窗总成"/>
    <s v="天窗电机控制器"/>
    <m/>
    <m/>
    <s v="L946"/>
    <n v="2"/>
    <m/>
    <m/>
    <m/>
    <m/>
    <m/>
    <m/>
    <m/>
    <s v="5年"/>
    <n v="10575.4"/>
    <n v="11582.4"/>
    <n v="10049.1"/>
    <n v="11400"/>
    <n v="19950"/>
    <n v="17100"/>
    <n v="14250"/>
    <n v="11400"/>
  </r>
  <r>
    <n v="109"/>
    <s v="上海禾赛科技有限公司"/>
    <s v="重要客户"/>
    <s v="上海全一通讯技术有限公司"/>
    <s v="Leo"/>
    <s v="邬亮峰"/>
    <x v="62"/>
    <x v="65"/>
    <m/>
    <x v="0"/>
    <s v="Lindar"/>
    <n v="560000"/>
    <s v="批量"/>
    <s v="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0"/>
    <m/>
    <n v="0"/>
    <n v="0"/>
    <n v="135000"/>
    <n v="0"/>
    <n v="132000"/>
    <n v="204000"/>
    <n v="0"/>
    <n v="0"/>
    <n v="0"/>
    <n v="0"/>
    <n v="0"/>
    <m/>
    <n v="0"/>
    <n v="0"/>
    <n v="0"/>
    <n v="135000"/>
    <n v="0"/>
    <n v="132000"/>
    <n v="204000"/>
    <m/>
    <m/>
    <m/>
    <m/>
    <m/>
    <m/>
    <m/>
    <m/>
    <s v="1部"/>
    <s v="磁性位置传感器"/>
    <s v="汽车电子"/>
    <s v="车身电子"/>
    <s v="其他"/>
    <s v="激光雷达执行器"/>
    <m/>
    <m/>
    <m/>
    <n v="3"/>
    <m/>
    <m/>
    <m/>
    <m/>
    <m/>
    <m/>
    <m/>
    <m/>
    <n v="91800"/>
    <n v="0"/>
    <n v="0"/>
    <n v="0"/>
    <n v="0"/>
    <n v="0"/>
    <n v="0"/>
    <n v="0"/>
  </r>
  <r>
    <n v="110"/>
    <s v="比亚迪半导体股份有限公司"/>
    <s v="重要客户"/>
    <s v="比亚迪半导体股份有限公司"/>
    <s v="Stephen"/>
    <m/>
    <x v="63"/>
    <x v="66"/>
    <n v="2100"/>
    <x v="0"/>
    <s v="电流传感器"/>
    <m/>
    <m/>
    <m/>
    <m/>
    <m/>
    <n v="1.8079999999999998"/>
    <n v="4521663.3599999994"/>
    <n v="13379199.999999998"/>
    <n v="2500920"/>
    <m/>
    <m/>
    <m/>
    <m/>
    <n v="1000000"/>
    <n v="800000"/>
    <n v="300000"/>
    <n v="151320"/>
    <n v="174800"/>
    <n v="174800"/>
    <n v="1000000"/>
    <n v="1000000"/>
    <n v="1000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1807999.9999999998"/>
    <n v="1446399.9999999998"/>
    <n v="542400"/>
    <n v="273586.56"/>
    <n v="316038.39999999997"/>
    <n v="316038.39999999997"/>
    <n v="1807999.9999999998"/>
    <n v="1807999.9999999998"/>
  </r>
  <r>
    <n v="111"/>
    <s v="比亚迪半导体股份有限公司"/>
    <s v="重要客户"/>
    <s v="比亚迪半导体股份有限公司"/>
    <s v="Stephen"/>
    <m/>
    <x v="64"/>
    <x v="67"/>
    <n v="2100"/>
    <x v="0"/>
    <s v="电流传感器"/>
    <m/>
    <m/>
    <m/>
    <m/>
    <m/>
    <n v="2.2373999999999996"/>
    <n v="286722.80999999994"/>
    <n v="425105.99999999994"/>
    <n v="128150"/>
    <m/>
    <m/>
    <m/>
    <m/>
    <n v="20000"/>
    <n v="20000"/>
    <n v="20000"/>
    <n v="21150"/>
    <n v="23500"/>
    <n v="23500"/>
    <n v="30000"/>
    <n v="30000"/>
    <n v="30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44747.999999999993"/>
    <n v="44747.999999999993"/>
    <n v="44747.999999999993"/>
    <n v="47321.009999999995"/>
    <n v="52578.899999999994"/>
    <n v="52578.899999999994"/>
    <n v="67121.999999999985"/>
    <n v="67121.999999999985"/>
  </r>
  <r>
    <n v="112"/>
    <s v="比亚迪半导体股份有限公司"/>
    <s v="重要客户"/>
    <s v="比亚迪半导体股份有限公司"/>
    <s v="Stephen"/>
    <m/>
    <x v="65"/>
    <x v="68"/>
    <n v="2100"/>
    <x v="0"/>
    <s v="电流传感器"/>
    <m/>
    <m/>
    <m/>
    <m/>
    <m/>
    <n v="2.2373999999999996"/>
    <n v="27408.149999999994"/>
    <n v="1968911.9999999998"/>
    <n v="12250"/>
    <m/>
    <m/>
    <m/>
    <m/>
    <n v="10000"/>
    <n v="5000"/>
    <n v="5000"/>
    <n v="4750"/>
    <n v="3750"/>
    <n v="3750"/>
    <m/>
    <m/>
    <n v="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22373.999999999996"/>
    <n v="11186.999999999998"/>
    <n v="11186.999999999998"/>
    <n v="10627.649999999998"/>
    <n v="8390.2499999999982"/>
    <n v="8390.2499999999982"/>
    <n v="0"/>
    <n v="0"/>
  </r>
  <r>
    <n v="113"/>
    <s v="上海龙感汽车电子有限公司"/>
    <s v="战略客户"/>
    <s v="上海君芷电子科技有限公司"/>
    <s v="Stephen"/>
    <s v="黄慧"/>
    <x v="66"/>
    <x v="69"/>
    <m/>
    <x v="0"/>
    <s v="ABS轮速传感器"/>
    <m/>
    <m/>
    <m/>
    <m/>
    <m/>
    <n v="2.0299999999999998"/>
    <n v="3792222.6999999997"/>
    <n v="5580835.3999999994"/>
    <n v="1868090"/>
    <m/>
    <m/>
    <m/>
    <m/>
    <n v="291070"/>
    <n v="350000"/>
    <n v="350000"/>
    <n v="323570"/>
    <n v="372970"/>
    <n v="385370"/>
    <n v="393850"/>
    <n v="392330"/>
    <n v="39233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90872.1"/>
    <n v="710499.99999999988"/>
    <n v="710499.99999999988"/>
    <n v="656847.1"/>
    <n v="757129.1"/>
    <n v="782301.1"/>
    <n v="799515.49999999988"/>
    <n v="796429.89999999991"/>
  </r>
  <r>
    <n v="114"/>
    <s v="上海龙感汽车电子有限公司"/>
    <s v="战略客户"/>
    <s v="上海君芷电子科技有限公司"/>
    <s v="Stephen"/>
    <s v="黄慧"/>
    <x v="54"/>
    <x v="56"/>
    <m/>
    <x v="0"/>
    <s v="ABS轮速传感器"/>
    <m/>
    <m/>
    <m/>
    <m/>
    <m/>
    <n v="2.0680000000000001"/>
    <n v="781704"/>
    <n v="977709.04"/>
    <n v="378000"/>
    <m/>
    <m/>
    <m/>
    <m/>
    <n v="73924"/>
    <n v="66856"/>
    <n v="80000"/>
    <n v="80000"/>
    <n v="80000"/>
    <n v="80000"/>
    <n v="80000"/>
    <n v="58000"/>
    <n v="5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52874.83199999999"/>
    <n v="138258.20800000001"/>
    <n v="165440"/>
    <n v="165440"/>
    <n v="165440"/>
    <n v="165440"/>
    <n v="165440"/>
    <n v="119944"/>
  </r>
  <r>
    <n v="115"/>
    <s v="上海文襄汽车传感器有限公司"/>
    <s v="一般客户"/>
    <s v="上海君芷电子科技有限公司"/>
    <s v="Stephen"/>
    <s v="黄慧"/>
    <x v="0"/>
    <x v="0"/>
    <m/>
    <x v="0"/>
    <s v="电流传感器"/>
    <m/>
    <m/>
    <m/>
    <m/>
    <m/>
    <n v="2.17"/>
    <n v="371070"/>
    <n v="121520"/>
    <n v="171000"/>
    <m/>
    <m/>
    <m/>
    <m/>
    <n v="6000"/>
    <n v="6000"/>
    <n v="6000"/>
    <n v="75000"/>
    <n v="60000"/>
    <n v="8000"/>
    <n v="20000"/>
    <n v="8000"/>
    <n v="8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13020"/>
    <n v="13020"/>
    <n v="13020"/>
    <n v="162750"/>
    <n v="130200"/>
    <n v="17360"/>
    <n v="43400"/>
    <n v="17360"/>
  </r>
  <r>
    <n v="116"/>
    <s v="陆博汽车电子（曲阜）有限公司"/>
    <s v="重要客户"/>
    <s v="常州迈莱芯电子有限公司"/>
    <s v="Stephen"/>
    <s v="王健"/>
    <x v="67"/>
    <x v="70"/>
    <m/>
    <x v="0"/>
    <s v="ABS轮速传感器"/>
    <m/>
    <m/>
    <m/>
    <m/>
    <m/>
    <n v="2.1549999999999998"/>
    <n v="0"/>
    <n v="4278752.5"/>
    <n v="0"/>
    <m/>
    <m/>
    <m/>
    <m/>
    <n v="189000"/>
    <n v="196500"/>
    <n v="20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07294.99999999994"/>
    <n v="423457.49999999994"/>
    <n v="430999.99999999994"/>
    <n v="0"/>
    <n v="0"/>
    <n v="0"/>
    <n v="0"/>
    <n v="0"/>
  </r>
  <r>
    <n v="117"/>
    <s v="陆博汽车电子（曲阜）有限公司"/>
    <s v="重要客户"/>
    <s v="常州迈莱芯电子有限公司"/>
    <s v="Stephen"/>
    <s v="王健"/>
    <x v="68"/>
    <x v="71"/>
    <m/>
    <x v="0"/>
    <s v="ABS轮速传感器"/>
    <m/>
    <m/>
    <m/>
    <m/>
    <m/>
    <n v="2"/>
    <n v="1941000"/>
    <n v="2610000"/>
    <n v="970500"/>
    <m/>
    <m/>
    <m/>
    <m/>
    <n v="135000"/>
    <n v="210000"/>
    <n v="210000"/>
    <n v="240000"/>
    <n v="250500"/>
    <n v="150000"/>
    <n v="150000"/>
    <n v="180000"/>
    <n v="18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70000"/>
    <n v="420000"/>
    <n v="420000"/>
    <n v="480000"/>
    <n v="501000"/>
    <n v="300000"/>
    <n v="300000"/>
    <n v="360000"/>
  </r>
  <r>
    <n v="118"/>
    <s v="黄山辛贤汽车电子有限公司"/>
    <s v="重要客户"/>
    <s v="无锡摩芯半导体有限公司"/>
    <s v="Stephen"/>
    <s v="王伟强"/>
    <x v="66"/>
    <x v="69"/>
    <m/>
    <x v="0"/>
    <s v="ABS轮速传感器"/>
    <m/>
    <m/>
    <m/>
    <m/>
    <m/>
    <n v="2.2799999999999998"/>
    <n v="2394000"/>
    <n v="3647999.9999999995"/>
    <n v="1050000"/>
    <m/>
    <m/>
    <m/>
    <m/>
    <n v="200000"/>
    <n v="200000"/>
    <n v="200000"/>
    <n v="250000"/>
    <n v="200000"/>
    <n v="200000"/>
    <n v="200000"/>
    <n v="200000"/>
    <n v="2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55999.99999999994"/>
    <n v="455999.99999999994"/>
    <n v="455999.99999999994"/>
    <n v="570000"/>
    <n v="455999.99999999994"/>
    <n v="455999.99999999994"/>
    <n v="455999.99999999994"/>
    <n v="455999.99999999994"/>
  </r>
  <r>
    <n v="119"/>
    <s v="浙江亚特电器股份有限公司"/>
    <s v="一般客户"/>
    <s v="欧铂电子科技（上海）有限公司"/>
    <s v="Stephen"/>
    <s v="张翼鹏"/>
    <x v="11"/>
    <x v="11"/>
    <m/>
    <x v="0"/>
    <s v="电动工具"/>
    <m/>
    <m/>
    <m/>
    <m/>
    <m/>
    <n v="0.19"/>
    <n v="172900"/>
    <n v="245100"/>
    <n v="910000"/>
    <m/>
    <m/>
    <m/>
    <m/>
    <n v="120000"/>
    <n v="240000"/>
    <n v="175000"/>
    <n v="210000"/>
    <n v="175000"/>
    <n v="175000"/>
    <n v="175000"/>
    <n v="175000"/>
    <n v="17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2800"/>
    <n v="45600"/>
    <n v="33250"/>
    <n v="39900"/>
    <n v="33250"/>
    <n v="33250"/>
    <n v="33250"/>
    <n v="33250"/>
  </r>
  <r>
    <n v="120"/>
    <s v="浙江亚特电器股份有限公司"/>
    <s v="一般客户"/>
    <s v="欧铂电子科技（上海）有限公司"/>
    <s v="Stephen"/>
    <s v="张翼鹏"/>
    <x v="24"/>
    <x v="25"/>
    <m/>
    <x v="0"/>
    <s v="电动工具"/>
    <m/>
    <m/>
    <m/>
    <m/>
    <m/>
    <n v="0.32"/>
    <n v="129600"/>
    <n v="207360"/>
    <n v="405000"/>
    <m/>
    <m/>
    <m/>
    <m/>
    <n v="81000"/>
    <n v="81000"/>
    <n v="81000"/>
    <n v="81000"/>
    <n v="81000"/>
    <n v="81000"/>
    <n v="81000"/>
    <n v="81000"/>
    <n v="81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5920"/>
    <n v="25920"/>
    <n v="25920"/>
    <n v="25920"/>
    <n v="25920"/>
    <n v="25920"/>
    <n v="25920"/>
    <n v="25920"/>
  </r>
  <r>
    <n v="121"/>
    <s v="天域智控科技（上海）科技有限公司"/>
    <s v="一般客户"/>
    <s v="欧铂电子科技（上海）有限公司"/>
    <s v="Stephen"/>
    <s v="张翼鹏"/>
    <x v="62"/>
    <x v="72"/>
    <m/>
    <x v="0"/>
    <s v="天窗电机控制器"/>
    <m/>
    <m/>
    <m/>
    <m/>
    <m/>
    <n v="0.32"/>
    <n v="320000"/>
    <n v="512000"/>
    <n v="1000000"/>
    <m/>
    <m/>
    <m/>
    <m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22"/>
    <s v="上海艾铭思汽车控制系统有限公司"/>
    <s v="重要客户"/>
    <s v="欧铂电子科技（上海）有限公司"/>
    <s v="Stephen"/>
    <s v="张翼鹏"/>
    <x v="7"/>
    <x v="7"/>
    <m/>
    <x v="0"/>
    <s v="天窗电机控制器"/>
    <m/>
    <m/>
    <m/>
    <m/>
    <m/>
    <n v="0.28000000000000003"/>
    <n v="722400.00000000012"/>
    <n v="1176000"/>
    <n v="2580000"/>
    <m/>
    <m/>
    <m/>
    <m/>
    <n v="400000"/>
    <n v="420000"/>
    <n v="210000"/>
    <n v="300000"/>
    <n v="480000"/>
    <n v="600000"/>
    <n v="600000"/>
    <n v="600000"/>
    <n v="6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12000.00000000001"/>
    <n v="117600.00000000001"/>
    <n v="58800.000000000007"/>
    <n v="84000.000000000015"/>
    <n v="134400"/>
    <n v="168000.00000000003"/>
    <n v="168000.00000000003"/>
    <n v="168000.00000000003"/>
  </r>
  <r>
    <n v="123"/>
    <s v="瑞悍电子科技（上海）有限公司"/>
    <s v="一般客户"/>
    <s v="欧铂电子科技（上海）有限公司"/>
    <s v="Stephen"/>
    <s v="张翼鹏"/>
    <x v="62"/>
    <x v="72"/>
    <m/>
    <x v="0"/>
    <s v="天窗电机控制器"/>
    <m/>
    <m/>
    <m/>
    <m/>
    <m/>
    <n v="0.32"/>
    <n v="160000"/>
    <n v="291200"/>
    <n v="500000"/>
    <m/>
    <m/>
    <m/>
    <m/>
    <n v="100000"/>
    <n v="210000"/>
    <n v="100000"/>
    <n v="100000"/>
    <n v="100000"/>
    <n v="100000"/>
    <n v="100000"/>
    <n v="100000"/>
    <n v="1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32000"/>
    <n v="67200"/>
    <n v="32000"/>
    <n v="32000"/>
    <n v="32000"/>
    <n v="32000"/>
    <n v="32000"/>
    <n v="32000"/>
  </r>
  <r>
    <n v="124"/>
    <s v="浙江帆舟电子科技有限公司"/>
    <s v="一般客户"/>
    <s v="欧铂电子科技（上海）有限公司"/>
    <s v="Stephen"/>
    <s v="张翼鹏"/>
    <x v="29"/>
    <x v="30"/>
    <m/>
    <x v="0"/>
    <s v="车窗防夹电机"/>
    <m/>
    <m/>
    <m/>
    <m/>
    <m/>
    <n v="0.25"/>
    <n v="290000"/>
    <n v="400000"/>
    <n v="1160000"/>
    <m/>
    <m/>
    <m/>
    <m/>
    <n v="200000"/>
    <n v="200000"/>
    <n v="200000"/>
    <n v="360000"/>
    <n v="200000"/>
    <n v="200000"/>
    <n v="200000"/>
    <n v="200000"/>
    <n v="2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50000"/>
    <n v="50000"/>
    <n v="50000"/>
    <n v="90000"/>
    <n v="50000"/>
    <n v="50000"/>
    <n v="50000"/>
    <n v="50000"/>
  </r>
  <r>
    <n v="125"/>
    <s v="昌辉汽车电器（黄山）股份公司"/>
    <s v="一般客户"/>
    <s v="欧铂电子科技（上海）有限公司"/>
    <s v="Stephen"/>
    <s v="张翼鹏"/>
    <x v="42"/>
    <x v="44"/>
    <m/>
    <x v="0"/>
    <s v="组合开关"/>
    <m/>
    <m/>
    <m/>
    <m/>
    <m/>
    <n v="0.32"/>
    <n v="19200"/>
    <n v="28160"/>
    <n v="60000"/>
    <m/>
    <m/>
    <m/>
    <m/>
    <n v="8000"/>
    <n v="8000"/>
    <n v="12000"/>
    <n v="12000"/>
    <n v="12000"/>
    <n v="12000"/>
    <n v="12000"/>
    <n v="12000"/>
    <n v="12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560"/>
    <n v="2560"/>
    <n v="3840"/>
    <n v="3840"/>
    <n v="3840"/>
    <n v="3840"/>
    <n v="3840"/>
    <n v="3840"/>
  </r>
  <r>
    <n v="126"/>
    <s v="黄山市瑞兴汽车电子有限公司"/>
    <s v="一般客户"/>
    <s v="上海霍通电子有限公司"/>
    <s v="Stephen"/>
    <s v="张翼鹏"/>
    <x v="43"/>
    <x v="45"/>
    <n v="1134"/>
    <x v="1"/>
    <s v="电子换挡器"/>
    <m/>
    <m/>
    <m/>
    <m/>
    <m/>
    <n v="0.32"/>
    <n v="200000"/>
    <n v="320000"/>
    <n v="625000"/>
    <m/>
    <m/>
    <m/>
    <m/>
    <n v="125000"/>
    <n v="125000"/>
    <n v="125000"/>
    <n v="125000"/>
    <n v="125000"/>
    <n v="125000"/>
    <n v="125000"/>
    <n v="125000"/>
    <n v="12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40000"/>
    <n v="40000"/>
    <n v="40000"/>
    <n v="40000"/>
    <n v="40000"/>
    <n v="40000"/>
    <n v="40000"/>
    <n v="40000"/>
  </r>
  <r>
    <n v="127"/>
    <s v="宁波拓普集团股份有限公司"/>
    <s v="重要客户"/>
    <s v="上海霍通电子有限公司"/>
    <s v="Stephen"/>
    <s v="张翼鹏"/>
    <x v="69"/>
    <x v="73"/>
    <m/>
    <x v="0"/>
    <s v="电子膨胀阀"/>
    <m/>
    <m/>
    <m/>
    <m/>
    <m/>
    <n v="0.32"/>
    <n v="48000"/>
    <n v="76800"/>
    <n v="150000"/>
    <m/>
    <m/>
    <m/>
    <m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9600"/>
    <n v="9600"/>
    <n v="9600"/>
    <n v="9600"/>
    <n v="9600"/>
    <n v="9600"/>
    <n v="9600"/>
    <n v="9600"/>
  </r>
  <r>
    <n v="128"/>
    <s v="东莞市铱鑫电子科技有限公司"/>
    <s v="一般客户"/>
    <s v="上海霍通电子有限公司"/>
    <s v="Stephen"/>
    <s v="张翼鹏"/>
    <x v="70"/>
    <x v="74"/>
    <n v="2642"/>
    <x v="0"/>
    <s v="水流量传感器"/>
    <m/>
    <m/>
    <m/>
    <m/>
    <m/>
    <n v="0.32"/>
    <n v="121920"/>
    <n v="0"/>
    <n v="381000"/>
    <m/>
    <m/>
    <m/>
    <m/>
    <n v="60000"/>
    <m/>
    <m/>
    <n v="381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9200"/>
    <n v="0"/>
    <n v="0"/>
    <n v="121920"/>
    <n v="0"/>
    <n v="0"/>
    <n v="0"/>
    <n v="0"/>
  </r>
  <r>
    <n v="129"/>
    <s v="_x0009_德惠市北方汽车底盘零部件有限公司"/>
    <s v="一般客户"/>
    <s v="上海霍通电子有限公司"/>
    <s v="Stephen"/>
    <s v="张翼鹏"/>
    <x v="71"/>
    <x v="31"/>
    <m/>
    <x v="0"/>
    <s v="制动灯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0"/>
    <s v="宁波新思创机电科技有限公司"/>
    <s v="重要客户"/>
    <s v="上海霍通电子有限公司"/>
    <s v="Stephen"/>
    <s v="张翼鹏"/>
    <x v="58"/>
    <x v="60"/>
    <m/>
    <x v="0"/>
    <s v="ABS轮速传感器"/>
    <m/>
    <m/>
    <m/>
    <m/>
    <m/>
    <n v="2.0699999999999998"/>
    <n v="1304100"/>
    <n v="1987199.9999999998"/>
    <n v="630000"/>
    <m/>
    <m/>
    <m/>
    <m/>
    <n v="110000"/>
    <n v="110000"/>
    <n v="110000"/>
    <n v="110000"/>
    <n v="130000"/>
    <n v="130000"/>
    <n v="130000"/>
    <n v="130000"/>
    <n v="1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27699.99999999997"/>
    <n v="227699.99999999997"/>
    <n v="227699.99999999997"/>
    <n v="227699.99999999997"/>
    <n v="269100"/>
    <n v="269100"/>
    <n v="269100"/>
    <n v="269100"/>
  </r>
  <r>
    <n v="131"/>
    <s v="宁波新思创机电科技有限公司"/>
    <s v="重要客户"/>
    <s v="上海霍通电子有限公司"/>
    <s v="Stephen"/>
    <s v="张翼鹏"/>
    <x v="72"/>
    <x v="75"/>
    <m/>
    <x v="0"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2"/>
    <s v="宁波新思创机电科技有限公司"/>
    <s v="重要客户"/>
    <s v="上海霍通电子有限公司"/>
    <s v="Stephen"/>
    <s v="张翼鹏"/>
    <x v="54"/>
    <x v="56"/>
    <m/>
    <x v="0"/>
    <s v="ABS轮速传感器"/>
    <m/>
    <m/>
    <m/>
    <m/>
    <m/>
    <n v="2.0699999999999998"/>
    <n v="310500"/>
    <n v="0"/>
    <n v="150000"/>
    <m/>
    <m/>
    <m/>
    <m/>
    <m/>
    <m/>
    <m/>
    <n v="3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62099.999999999993"/>
    <n v="62099.999999999993"/>
    <n v="62099.999999999993"/>
    <n v="62099.999999999993"/>
    <n v="62099.999999999993"/>
  </r>
  <r>
    <n v="133"/>
    <s v="合肥邦立电子股份有限公司"/>
    <s v="一般客户"/>
    <s v="上海霍通电子有限公司"/>
    <s v="Stephen"/>
    <s v="张翼鹏"/>
    <x v="66"/>
    <x v="69"/>
    <m/>
    <x v="0"/>
    <s v="ABS轮速传感器"/>
    <m/>
    <m/>
    <m/>
    <m/>
    <m/>
    <n v="2.1800000000000002"/>
    <n v="0"/>
    <n v="1133600"/>
    <n v="0"/>
    <m/>
    <m/>
    <m/>
    <m/>
    <n v="50000"/>
    <n v="24000"/>
    <n v="24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9000.00000000001"/>
    <n v="52320.000000000007"/>
    <n v="52320.000000000007"/>
    <n v="0"/>
    <n v="0"/>
    <n v="0"/>
    <n v="0"/>
    <n v="0"/>
  </r>
  <r>
    <n v="134"/>
    <s v="合肥邦立电子股份有限公司"/>
    <s v="一般客户"/>
    <s v="上海霍通电子有限公司"/>
    <s v="Stephen"/>
    <s v="张翼鹏"/>
    <x v="54"/>
    <x v="56"/>
    <m/>
    <x v="0"/>
    <s v="ABS轮速传感器"/>
    <m/>
    <m/>
    <m/>
    <m/>
    <m/>
    <n v="2.2999999999999998"/>
    <n v="0"/>
    <n v="2357500"/>
    <n v="0"/>
    <m/>
    <m/>
    <m/>
    <m/>
    <n v="100000"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29999.99999999997"/>
    <n v="0"/>
    <n v="0"/>
    <n v="0"/>
    <n v="0"/>
    <n v="0"/>
    <n v="0"/>
    <n v="0"/>
  </r>
  <r>
    <n v="135"/>
    <s v="广州瑞立科密汽车电子股份有限公司"/>
    <s v="重要客户"/>
    <s v="上海霍通电子有限公司"/>
    <s v="Stephen"/>
    <s v="张翼鹏"/>
    <x v="68"/>
    <x v="71"/>
    <m/>
    <x v="0"/>
    <s v="ABS轮速传感器"/>
    <m/>
    <m/>
    <m/>
    <m/>
    <m/>
    <n v="2.02"/>
    <n v="909000"/>
    <n v="1454400"/>
    <n v="450000"/>
    <m/>
    <m/>
    <m/>
    <m/>
    <n v="90000"/>
    <n v="90000"/>
    <n v="90000"/>
    <n v="90000"/>
    <n v="90000"/>
    <n v="90000"/>
    <n v="90000"/>
    <n v="90000"/>
    <n v="9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1800"/>
    <n v="181800"/>
    <n v="181800"/>
    <n v="181800"/>
    <n v="181800"/>
    <n v="181800"/>
    <n v="181800"/>
    <n v="181800"/>
  </r>
  <r>
    <n v="136"/>
    <s v="领联汽车零部件制造（上海）有限公司"/>
    <s v="重要客户"/>
    <s v="上海霍通电子有限公司"/>
    <s v="Stephen"/>
    <s v="张翼鹏"/>
    <x v="66"/>
    <x v="69"/>
    <m/>
    <x v="0"/>
    <s v="ABS轮速传感器"/>
    <m/>
    <m/>
    <m/>
    <m/>
    <m/>
    <n v="2.1800000000000002"/>
    <n v="2092800.0000000002"/>
    <n v="3270000.0000000005"/>
    <n v="960000"/>
    <m/>
    <m/>
    <m/>
    <m/>
    <n v="180000"/>
    <n v="180000"/>
    <n v="180000"/>
    <n v="180000"/>
    <n v="195000"/>
    <n v="195000"/>
    <n v="195000"/>
    <n v="195000"/>
    <n v="19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92400"/>
    <n v="392400"/>
    <n v="392400"/>
    <n v="392400"/>
    <n v="425100.00000000006"/>
    <n v="425100.00000000006"/>
    <n v="425100.00000000006"/>
    <n v="425100.00000000006"/>
  </r>
  <r>
    <n v="137"/>
    <s v="利奥电子(南京)有限公司"/>
    <s v="一般客户"/>
    <s v="上海霍通电子有限公司"/>
    <s v="Stephen"/>
    <s v="张翼鹏"/>
    <x v="35"/>
    <x v="37"/>
    <m/>
    <x v="0"/>
    <s v="凸轮轴相位传感器"/>
    <m/>
    <m/>
    <m/>
    <m/>
    <m/>
    <n v="6.5"/>
    <n v="325000"/>
    <n v="520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138"/>
    <s v="重庆佳速汽车零部件有限公司"/>
    <s v="一般客户"/>
    <s v="上海霍通电子有限公司"/>
    <s v="Stephen"/>
    <s v="张翼鹏"/>
    <x v="73"/>
    <x v="76"/>
    <m/>
    <x v="0"/>
    <s v="电子油门踏板"/>
    <m/>
    <m/>
    <m/>
    <m/>
    <m/>
    <n v="2.7"/>
    <n v="189000"/>
    <n v="265950"/>
    <n v="70000"/>
    <m/>
    <m/>
    <m/>
    <m/>
    <n v="8000"/>
    <n v="8000"/>
    <n v="12500"/>
    <n v="12500"/>
    <n v="12500"/>
    <n v="15000"/>
    <n v="15000"/>
    <n v="15000"/>
    <n v="15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1600"/>
    <n v="21600"/>
    <n v="33750"/>
    <n v="33750"/>
    <n v="33750"/>
    <n v="40500"/>
    <n v="40500"/>
    <n v="40500"/>
  </r>
  <r>
    <n v="139"/>
    <s v="瑞安市金洲汽车配件有限公司"/>
    <s v="一般客户"/>
    <s v="上海霍通电子有限公司"/>
    <s v="Stephen"/>
    <s v="张翼鹏"/>
    <x v="74"/>
    <x v="77"/>
    <m/>
    <x v="0"/>
    <s v="ABS轮速传感器"/>
    <m/>
    <m/>
    <m/>
    <m/>
    <m/>
    <n v="1.3"/>
    <n v="0"/>
    <n v="1040000"/>
    <n v="0"/>
    <m/>
    <m/>
    <m/>
    <m/>
    <n v="100000"/>
    <n v="100000"/>
    <n v="10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0000"/>
    <n v="130000"/>
    <n v="130000"/>
    <n v="0"/>
    <n v="0"/>
    <n v="0"/>
    <n v="0"/>
    <n v="0"/>
  </r>
  <r>
    <n v="140"/>
    <s v="浙江科丰传感器股份有限公司"/>
    <s v="重要客户"/>
    <s v="上海霍通电子有限公司"/>
    <s v="Stephen"/>
    <s v="张翼鹏"/>
    <x v="37"/>
    <x v="40"/>
    <m/>
    <x v="0"/>
    <s v="曲轴位置传感器"/>
    <m/>
    <m/>
    <m/>
    <m/>
    <m/>
    <n v="1.7"/>
    <n v="722500"/>
    <n v="1156000"/>
    <n v="425000"/>
    <m/>
    <m/>
    <m/>
    <m/>
    <n v="85000"/>
    <n v="85000"/>
    <n v="85000"/>
    <n v="85000"/>
    <n v="85000"/>
    <n v="85000"/>
    <n v="85000"/>
    <n v="85000"/>
    <n v="8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44500"/>
    <n v="144500"/>
    <n v="144500"/>
    <n v="144500"/>
    <n v="144500"/>
    <n v="144500"/>
    <n v="144500"/>
    <n v="144500"/>
  </r>
  <r>
    <n v="141"/>
    <s v="宿州奥凯森汽车部件有限公司"/>
    <s v="一般客户"/>
    <s v="上海霍通电子有限公司"/>
    <s v="Stephen"/>
    <s v="张翼鹏"/>
    <x v="74"/>
    <x v="77"/>
    <m/>
    <x v="0"/>
    <s v="ABS轮速传感器"/>
    <m/>
    <m/>
    <m/>
    <m/>
    <m/>
    <n v="1.3"/>
    <n v="0"/>
    <n v="1300000"/>
    <n v="0"/>
    <m/>
    <m/>
    <m/>
    <m/>
    <n v="125000"/>
    <n v="125000"/>
    <n v="125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62500"/>
    <n v="162500"/>
    <n v="162500"/>
    <n v="0"/>
    <n v="0"/>
    <n v="0"/>
    <n v="0"/>
    <n v="0"/>
  </r>
  <r>
    <n v="142"/>
    <s v="凯晟动力技术（嘉兴）有限公司"/>
    <s v="重要客户"/>
    <s v="上海聚臣电子科技有限公司"/>
    <s v="Stephen"/>
    <s v="张伟"/>
    <x v="68"/>
    <x v="78"/>
    <m/>
    <x v="0"/>
    <s v="ABS轮速传感器"/>
    <m/>
    <m/>
    <m/>
    <m/>
    <m/>
    <n v="2.0299999999999998"/>
    <n v="1014999.9999999999"/>
    <n v="4263000"/>
    <n v="500000"/>
    <m/>
    <m/>
    <m/>
    <m/>
    <n v="200000"/>
    <n v="200000"/>
    <n v="200000"/>
    <n v="100000"/>
    <n v="100000"/>
    <n v="100000"/>
    <n v="100000"/>
    <n v="100000"/>
    <n v="1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05999.99999999994"/>
    <n v="405999.99999999994"/>
    <n v="405999.99999999994"/>
    <n v="202999.99999999997"/>
    <n v="202999.99999999997"/>
    <n v="202999.99999999997"/>
    <n v="202999.99999999997"/>
    <n v="202999.99999999997"/>
  </r>
  <r>
    <n v="143"/>
    <s v="凯晟动力技术（嘉兴）有限公司"/>
    <s v="重要客户"/>
    <s v="上海聚臣电子科技有限公司"/>
    <s v="Stephen"/>
    <s v="张伟"/>
    <x v="51"/>
    <x v="53"/>
    <m/>
    <x v="0"/>
    <s v="凸轮轴相位传感器"/>
    <m/>
    <m/>
    <m/>
    <m/>
    <m/>
    <n v="1.5"/>
    <n v="0"/>
    <n v="240000"/>
    <n v="0"/>
    <m/>
    <m/>
    <m/>
    <m/>
    <n v="20000"/>
    <n v="20000"/>
    <n v="2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0000"/>
    <n v="30000"/>
    <n v="30000"/>
    <n v="0"/>
    <n v="0"/>
    <n v="0"/>
    <n v="0"/>
    <n v="0"/>
  </r>
  <r>
    <n v="144"/>
    <s v="麦格纳（太仓）汽车科技有限公司"/>
    <s v="重要客户"/>
    <s v="上海聚臣电子科技有限公司"/>
    <s v="Stephen"/>
    <s v="张伟"/>
    <x v="7"/>
    <x v="7"/>
    <m/>
    <x v="0"/>
    <s v="尾门电机"/>
    <m/>
    <m/>
    <m/>
    <m/>
    <m/>
    <n v="0.35"/>
    <n v="392000"/>
    <n v="546000"/>
    <n v="1120000"/>
    <m/>
    <m/>
    <m/>
    <m/>
    <n v="120000"/>
    <n v="120000"/>
    <n v="120000"/>
    <n v="120000"/>
    <n v="200000"/>
    <n v="200000"/>
    <n v="300000"/>
    <n v="300000"/>
    <n v="3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42000"/>
    <n v="42000"/>
    <n v="42000"/>
    <n v="42000"/>
    <n v="70000"/>
    <n v="70000"/>
    <n v="105000"/>
    <n v="105000"/>
  </r>
  <r>
    <n v="145"/>
    <s v="上海新跃联汇电子科技有限公司"/>
    <s v="一般客户"/>
    <s v="上海葳脉电子科技有限公司"/>
    <s v="Stephen"/>
    <s v="Y"/>
    <x v="58"/>
    <x v="60"/>
    <m/>
    <x v="0"/>
    <s v="ABS轮速传感器"/>
    <m/>
    <m/>
    <m/>
    <m/>
    <m/>
    <n v="1.8"/>
    <n v="180000"/>
    <n v="2880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6000"/>
    <n v="36000"/>
    <n v="36000"/>
    <n v="36000"/>
    <n v="36000"/>
    <n v="36000"/>
    <n v="36000"/>
    <n v="36000"/>
  </r>
  <r>
    <n v="146"/>
    <s v="京山雪乾汽车部件有限公司"/>
    <s v="一般客户"/>
    <s v="上海葳脉电子科技有限公司"/>
    <s v="Stephen"/>
    <s v="Y"/>
    <x v="37"/>
    <x v="40"/>
    <m/>
    <x v="0"/>
    <s v="曲轴位置传感器"/>
    <m/>
    <m/>
    <m/>
    <m/>
    <m/>
    <n v="1.6"/>
    <n v="320000"/>
    <n v="512000"/>
    <n v="200000"/>
    <m/>
    <m/>
    <m/>
    <m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47"/>
    <s v="上海凯众材料科技股份有限公司"/>
    <s v="一般客户"/>
    <s v="上海葳脉电子科技有限公司"/>
    <s v="Stephen"/>
    <s v="Y"/>
    <x v="75"/>
    <x v="79"/>
    <m/>
    <x v="0"/>
    <s v="电子油门踏板"/>
    <m/>
    <m/>
    <m/>
    <m/>
    <m/>
    <n v="7"/>
    <n v="525000"/>
    <n v="525000"/>
    <n v="75000"/>
    <m/>
    <m/>
    <m/>
    <m/>
    <n v="0"/>
    <n v="0"/>
    <n v="0"/>
    <n v="0"/>
    <n v="5000"/>
    <n v="10000"/>
    <n v="30000"/>
    <n v="30000"/>
    <n v="3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0"/>
    <n v="0"/>
    <n v="0"/>
    <n v="0"/>
    <n v="35000"/>
    <n v="70000"/>
    <n v="210000"/>
    <n v="210000"/>
  </r>
  <r>
    <n v="148"/>
    <s v="瑞安瑞派汽车部件有限公司"/>
    <s v="一般客户"/>
    <s v="上海葳脉电子科技有限公司"/>
    <s v="Stephen"/>
    <s v="Y"/>
    <x v="36"/>
    <x v="61"/>
    <m/>
    <x v="0"/>
    <s v="凸轮轴相位传感器"/>
    <m/>
    <m/>
    <m/>
    <m/>
    <m/>
    <n v="0.97"/>
    <n v="97000"/>
    <n v="1552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400"/>
    <n v="19400"/>
    <n v="19400"/>
    <n v="19400"/>
    <n v="19400"/>
    <n v="19400"/>
    <n v="19400"/>
    <n v="19400"/>
  </r>
  <r>
    <n v="149"/>
    <s v="瑞安瑞派汽车部件有限公司"/>
    <s v="一般客户"/>
    <s v="上海葳脉电子科技有限公司"/>
    <s v="Stephen"/>
    <s v="Y"/>
    <x v="50"/>
    <x v="52"/>
    <m/>
    <x v="0"/>
    <s v="电子油门踏板"/>
    <m/>
    <m/>
    <m/>
    <m/>
    <m/>
    <n v="2.6"/>
    <n v="78000"/>
    <n v="124800"/>
    <n v="30000"/>
    <m/>
    <m/>
    <m/>
    <m/>
    <n v="6000"/>
    <n v="6000"/>
    <n v="6000"/>
    <n v="6000"/>
    <n v="6000"/>
    <n v="6000"/>
    <n v="6000"/>
    <n v="6000"/>
    <n v="6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5600"/>
    <n v="15600"/>
    <n v="15600"/>
    <n v="15600"/>
    <n v="15600"/>
    <n v="15600"/>
    <n v="15600"/>
    <n v="15600"/>
  </r>
  <r>
    <n v="150"/>
    <s v="瑞安东辰汽车部件有限公司"/>
    <s v="一般客户"/>
    <s v="上海葳脉电子科技有限公司"/>
    <s v="Stephen"/>
    <s v="Y"/>
    <x v="37"/>
    <x v="40"/>
    <m/>
    <x v="0"/>
    <s v="曲轴位置传感器"/>
    <m/>
    <m/>
    <m/>
    <m/>
    <m/>
    <n v="1.6"/>
    <n v="432000"/>
    <n v="656000"/>
    <n v="270000"/>
    <m/>
    <m/>
    <m/>
    <m/>
    <n v="130000"/>
    <n v="100000"/>
    <n v="30000"/>
    <n v="15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08000"/>
    <n v="160000"/>
    <n v="48000"/>
    <n v="240000"/>
    <n v="48000"/>
    <n v="48000"/>
    <n v="48000"/>
    <n v="48000"/>
  </r>
  <r>
    <n v="151"/>
    <s v="瑞安东辰汽车部件有限公司"/>
    <s v="一般客户"/>
    <s v="上海葳脉电子科技有限公司"/>
    <s v="Stephen"/>
    <s v="Y"/>
    <x v="76"/>
    <x v="80"/>
    <m/>
    <x v="0"/>
    <s v="车身高度传感器"/>
    <m/>
    <m/>
    <m/>
    <m/>
    <m/>
    <n v="3.3"/>
    <n v="148500"/>
    <n v="207900"/>
    <n v="45000"/>
    <m/>
    <m/>
    <m/>
    <m/>
    <n v="6000"/>
    <n v="6000"/>
    <n v="6000"/>
    <n v="9000"/>
    <n v="9000"/>
    <n v="9000"/>
    <n v="9000"/>
    <n v="9000"/>
    <n v="9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9800"/>
    <n v="19800"/>
    <n v="19800"/>
    <n v="29700"/>
    <n v="29700"/>
    <n v="29700"/>
    <n v="29700"/>
    <n v="29700"/>
  </r>
  <r>
    <n v="152"/>
    <s v="瑞安东辰汽车部件有限公司"/>
    <s v="一般客户"/>
    <s v="上海葳脉电子科技有限公司"/>
    <s v="Stephen"/>
    <s v="Y"/>
    <x v="26"/>
    <x v="27"/>
    <m/>
    <x v="0"/>
    <m/>
    <m/>
    <m/>
    <m/>
    <m/>
    <m/>
    <n v="0.28000000000000003"/>
    <n v="14000.000000000002"/>
    <n v="14000.000000000002"/>
    <n v="50000"/>
    <m/>
    <m/>
    <m/>
    <m/>
    <n v="50000"/>
    <m/>
    <m/>
    <n v="5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4000.000000000002"/>
    <n v="0"/>
    <n v="0"/>
    <n v="14000.000000000002"/>
    <n v="0"/>
    <n v="0"/>
    <n v="0"/>
    <n v="0"/>
  </r>
  <r>
    <n v="153"/>
    <s v="瑞安东辰汽车部件有限公司"/>
    <s v="一般客户"/>
    <s v="上海葳脉电子科技有限公司"/>
    <s v="Stephen"/>
    <s v="Y"/>
    <x v="27"/>
    <x v="81"/>
    <n v="2442"/>
    <x v="0"/>
    <m/>
    <m/>
    <m/>
    <m/>
    <m/>
    <m/>
    <n v="0.28000000000000003"/>
    <n v="14000.000000000002"/>
    <n v="14000.000000000002"/>
    <n v="50000"/>
    <m/>
    <m/>
    <m/>
    <m/>
    <n v="50000"/>
    <m/>
    <m/>
    <n v="5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4000.000000000002"/>
    <n v="0"/>
    <n v="0"/>
    <n v="14000.000000000002"/>
    <n v="0"/>
    <n v="0"/>
    <n v="0"/>
    <n v="0"/>
  </r>
  <r>
    <n v="154"/>
    <s v="瑞安江和汽车部件有限公司"/>
    <s v="一般客户"/>
    <s v="上海葳脉电子科技有限公司"/>
    <s v="Stephen"/>
    <s v="Y"/>
    <x v="57"/>
    <x v="59"/>
    <m/>
    <x v="0"/>
    <s v="ABS轮速传感器"/>
    <m/>
    <m/>
    <m/>
    <m/>
    <m/>
    <n v="1.6"/>
    <n v="0"/>
    <n v="640000"/>
    <n v="0"/>
    <m/>
    <m/>
    <m/>
    <m/>
    <n v="50000"/>
    <n v="50000"/>
    <n v="5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80000"/>
    <n v="80000"/>
    <n v="80000"/>
    <n v="0"/>
    <n v="0"/>
    <n v="0"/>
    <n v="0"/>
    <n v="0"/>
  </r>
  <r>
    <n v="155"/>
    <s v="瑞安江和汽车部件有限公司"/>
    <s v="一般客户"/>
    <s v="上海葳脉电子科技有限公司"/>
    <s v="Stephen"/>
    <s v="Y"/>
    <x v="74"/>
    <x v="77"/>
    <m/>
    <x v="0"/>
    <s v="ABS轮速传感器"/>
    <m/>
    <m/>
    <m/>
    <m/>
    <m/>
    <n v="1.35"/>
    <n v="0"/>
    <n v="864000"/>
    <n v="0"/>
    <m/>
    <m/>
    <m/>
    <m/>
    <n v="80000"/>
    <n v="80000"/>
    <n v="8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8000"/>
    <n v="108000"/>
    <n v="108000"/>
    <n v="0"/>
    <n v="0"/>
    <n v="0"/>
    <n v="0"/>
    <n v="0"/>
  </r>
  <r>
    <n v="156"/>
    <s v="瑞安江和汽车部件有限公司"/>
    <s v="一般客户"/>
    <s v="上海葳脉电子科技有限公司"/>
    <s v="Stephen"/>
    <s v="Y"/>
    <x v="77"/>
    <x v="82"/>
    <m/>
    <x v="0"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7"/>
    <s v="瑞安江和汽车部件有限公司"/>
    <s v="一般客户"/>
    <s v="上海葳脉电子科技有限公司"/>
    <s v="Stephen"/>
    <s v="Y"/>
    <x v="66"/>
    <x v="69"/>
    <m/>
    <x v="0"/>
    <s v="ABS轮速传感器"/>
    <m/>
    <m/>
    <m/>
    <m/>
    <m/>
    <n v="1.8"/>
    <n v="0"/>
    <n v="468000"/>
    <n v="0"/>
    <m/>
    <m/>
    <m/>
    <m/>
    <n v="30000"/>
    <n v="40000"/>
    <n v="4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4000"/>
    <n v="72000"/>
    <n v="72000"/>
    <n v="0"/>
    <n v="0"/>
    <n v="0"/>
    <n v="0"/>
    <n v="0"/>
  </r>
  <r>
    <n v="158"/>
    <s v="瑞安江和汽车部件有限公司"/>
    <s v="一般客户"/>
    <s v="上海葳脉电子科技有限公司"/>
    <s v="Stephen"/>
    <s v="Y"/>
    <x v="78"/>
    <x v="83"/>
    <m/>
    <x v="0"/>
    <s v="进气歧管执行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9"/>
    <s v="瑞安泽纳科技有限公司"/>
    <s v="一般客户"/>
    <s v="上海葳脉电子科技有限公司"/>
    <s v="Stephen"/>
    <s v="Y"/>
    <x v="74"/>
    <x v="77"/>
    <m/>
    <x v="0"/>
    <s v="ABS轮速传感器"/>
    <m/>
    <m/>
    <m/>
    <m/>
    <m/>
    <n v="1.35"/>
    <n v="121500.00000000001"/>
    <n v="108000"/>
    <n v="90000"/>
    <m/>
    <m/>
    <m/>
    <m/>
    <n v="10000"/>
    <n v="10000"/>
    <n v="10000"/>
    <n v="1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500"/>
    <n v="13500"/>
    <n v="13500"/>
    <n v="13500"/>
    <n v="27000"/>
    <n v="27000"/>
    <n v="27000"/>
    <n v="27000"/>
  </r>
  <r>
    <n v="160"/>
    <s v="上海金巨源热能技术有限公司"/>
    <s v="一般客户"/>
    <s v="上海葳脉电子科技有限公司"/>
    <s v="Stephen"/>
    <s v="Y"/>
    <x v="11"/>
    <x v="84"/>
    <m/>
    <x v="0"/>
    <s v="水流量传感器"/>
    <m/>
    <m/>
    <m/>
    <m/>
    <m/>
    <n v="0.16"/>
    <n v="0"/>
    <n v="38400"/>
    <n v="0"/>
    <m/>
    <m/>
    <m/>
    <m/>
    <n v="120000"/>
    <n v="120000"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9200"/>
    <n v="19200"/>
    <n v="0"/>
    <n v="0"/>
    <n v="0"/>
    <n v="0"/>
    <n v="0"/>
    <n v="0"/>
  </r>
  <r>
    <n v="161"/>
    <s v="上海金巨源热能技术有限公司"/>
    <s v="一般客户"/>
    <s v="上海葳脉电子科技有限公司"/>
    <s v="Stephen"/>
    <s v="Y"/>
    <x v="16"/>
    <x v="17"/>
    <m/>
    <x v="0"/>
    <s v="水流量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2"/>
    <s v="浙江汉博汽车传感器有限公司"/>
    <s v="重要客户"/>
    <s v="鸿赛芯（上海）科技有限公司"/>
    <s v="Stephen"/>
    <s v="袁海峰"/>
    <x v="57"/>
    <x v="59"/>
    <m/>
    <x v="0"/>
    <s v="ABS轮速传感器"/>
    <m/>
    <m/>
    <m/>
    <m/>
    <m/>
    <n v="1.53"/>
    <n v="2907000"/>
    <n v="4896000"/>
    <n v="1900000"/>
    <m/>
    <m/>
    <m/>
    <m/>
    <n v="400000"/>
    <n v="300000"/>
    <n v="300000"/>
    <n v="400000"/>
    <n v="400000"/>
    <n v="300000"/>
    <n v="400000"/>
    <n v="400000"/>
    <n v="4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12000"/>
    <n v="459000"/>
    <n v="459000"/>
    <n v="612000"/>
    <n v="612000"/>
    <n v="459000"/>
    <n v="612000"/>
    <n v="612000"/>
  </r>
  <r>
    <n v="163"/>
    <s v="浙江汉博汽车传感器有限公司"/>
    <s v="重要客户"/>
    <s v="鸿赛芯（上海）科技有限公司"/>
    <s v="Stephen"/>
    <s v="袁海峰"/>
    <x v="54"/>
    <x v="56"/>
    <m/>
    <x v="0"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4"/>
    <s v="浙江瑞奇汽车电子有限公司"/>
    <s v="一般客户"/>
    <s v="鸿赛芯（上海）科技有限公司"/>
    <s v="Stephen"/>
    <s v="袁海峰"/>
    <x v="74"/>
    <x v="77"/>
    <m/>
    <x v="0"/>
    <s v="ABS轮速传感器"/>
    <m/>
    <m/>
    <m/>
    <m/>
    <m/>
    <n v="1.258"/>
    <n v="1509600"/>
    <n v="6604500"/>
    <n v="1200000"/>
    <m/>
    <m/>
    <m/>
    <m/>
    <n v="600000"/>
    <n v="100000"/>
    <n v="100000"/>
    <n v="0"/>
    <n v="300000"/>
    <n v="300000"/>
    <n v="300000"/>
    <n v="300000"/>
    <n v="3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754800"/>
    <n v="125800"/>
    <n v="125800"/>
    <n v="0"/>
    <n v="377400"/>
    <n v="377400"/>
    <n v="377400"/>
    <n v="377400"/>
  </r>
  <r>
    <n v="165"/>
    <s v="温州伟力汽车部件有限公司"/>
    <s v="重要客户"/>
    <s v="鸿赛芯（上海）科技有限公司"/>
    <s v="Stephen"/>
    <s v="袁海峰"/>
    <x v="37"/>
    <x v="40"/>
    <m/>
    <x v="0"/>
    <s v="曲轴位置传感器"/>
    <m/>
    <m/>
    <m/>
    <m/>
    <m/>
    <n v="1.61"/>
    <n v="450800"/>
    <n v="660100"/>
    <n v="280000"/>
    <m/>
    <m/>
    <m/>
    <m/>
    <n v="40000"/>
    <n v="15000"/>
    <n v="15000"/>
    <n v="50000"/>
    <n v="50000"/>
    <n v="60000"/>
    <n v="60000"/>
    <n v="60000"/>
    <n v="60000"/>
    <n v="6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4400.000000000007"/>
    <n v="24150"/>
    <n v="24150"/>
    <n v="80500"/>
    <n v="80500"/>
    <n v="96600"/>
    <n v="96600"/>
    <n v="96600"/>
  </r>
  <r>
    <n v="166"/>
    <s v="宁德市沃德汽车配件有限公司"/>
    <s v="一般客户"/>
    <s v="鸿赛芯（上海）科技有限公司"/>
    <s v="Stephen"/>
    <s v="袁海峰"/>
    <x v="34"/>
    <x v="36"/>
    <m/>
    <x v="0"/>
    <s v="曲轴位置传感器"/>
    <m/>
    <m/>
    <m/>
    <m/>
    <m/>
    <n v="1.61"/>
    <n v="225400"/>
    <n v="330050"/>
    <n v="140000"/>
    <m/>
    <m/>
    <m/>
    <m/>
    <n v="20000"/>
    <n v="20000"/>
    <n v="25000"/>
    <n v="25000"/>
    <n v="25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2200.000000000004"/>
    <n v="32200.000000000004"/>
    <n v="40250"/>
    <n v="40250"/>
    <n v="40250"/>
    <n v="48300"/>
    <n v="48300"/>
    <n v="48300"/>
  </r>
  <r>
    <n v="167"/>
    <s v="浙江汉博汽车传感器有限公司"/>
    <s v="一般客户"/>
    <s v="鸿赛芯（上海）科技有限公司"/>
    <s v="Stephen"/>
    <s v="袁海峰"/>
    <x v="36"/>
    <x v="61"/>
    <m/>
    <x v="0"/>
    <s v="凸轮轴相位传感器"/>
    <m/>
    <m/>
    <m/>
    <m/>
    <m/>
    <n v="0.98"/>
    <n v="147000"/>
    <n v="245000"/>
    <n v="150000"/>
    <m/>
    <m/>
    <m/>
    <m/>
    <n v="2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600"/>
    <n v="29400"/>
    <n v="29400"/>
    <n v="29400"/>
    <n v="29400"/>
    <n v="29400"/>
    <n v="29400"/>
    <n v="29400"/>
  </r>
  <r>
    <n v="168"/>
    <s v="浙江顺加汽车配件有限公司"/>
    <s v="一般客户"/>
    <s v="鸿赛芯（上海）科技有限公司"/>
    <s v="Stephen"/>
    <s v="袁海峰"/>
    <x v="79"/>
    <x v="85"/>
    <m/>
    <x v="0"/>
    <s v="凸轮轴相位传感器"/>
    <m/>
    <m/>
    <m/>
    <m/>
    <m/>
    <n v="6.02"/>
    <n v="228759.99999999997"/>
    <n v="150500"/>
    <n v="38000"/>
    <m/>
    <m/>
    <m/>
    <m/>
    <n v="2000"/>
    <n v="2000"/>
    <n v="3000"/>
    <n v="10000"/>
    <n v="10000"/>
    <n v="10000"/>
    <n v="4000"/>
    <n v="4000"/>
    <n v="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2040"/>
    <n v="12040"/>
    <n v="18060"/>
    <n v="60199.999999999993"/>
    <n v="60199.999999999993"/>
    <n v="60199.999999999993"/>
    <n v="24080"/>
    <n v="24080"/>
  </r>
  <r>
    <n v="169"/>
    <s v="重庆亚川电器有限公司"/>
    <s v="一般客户"/>
    <s v="鸿赛芯（上海）科技有限公司"/>
    <s v="Stephen"/>
    <s v="袁海峰"/>
    <x v="27"/>
    <x v="81"/>
    <n v="2442"/>
    <x v="0"/>
    <s v="里程表传感器"/>
    <m/>
    <m/>
    <m/>
    <m/>
    <m/>
    <n v="0.27200000000000002"/>
    <n v="76160"/>
    <n v="111520.00000000001"/>
    <n v="280000"/>
    <m/>
    <m/>
    <m/>
    <m/>
    <n v="40000"/>
    <n v="40000"/>
    <n v="50000"/>
    <n v="50000"/>
    <n v="50000"/>
    <n v="60000"/>
    <n v="60000"/>
    <n v="60000"/>
    <n v="6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0880"/>
    <n v="10880"/>
    <n v="13600.000000000002"/>
    <n v="13600.000000000002"/>
    <n v="13600.000000000002"/>
    <n v="16320.000000000002"/>
    <n v="16320.000000000002"/>
    <n v="16320.000000000002"/>
  </r>
  <r>
    <n v="170"/>
    <s v="芜湖联诺电器有限公司"/>
    <s v="一般客户"/>
    <s v="鸿赛芯（上海）科技有限公司"/>
    <s v="Stephen"/>
    <s v="袁海峰"/>
    <x v="78"/>
    <x v="83"/>
    <m/>
    <x v="0"/>
    <s v="里程表传感器"/>
    <m/>
    <m/>
    <m/>
    <m/>
    <m/>
    <n v="0.27200000000000002"/>
    <n v="21760"/>
    <n v="27200.000000000004"/>
    <n v="80000"/>
    <m/>
    <m/>
    <m/>
    <m/>
    <n v="5000"/>
    <n v="5000"/>
    <n v="10000"/>
    <n v="10000"/>
    <n v="10000"/>
    <n v="20000"/>
    <n v="20000"/>
    <n v="20000"/>
    <n v="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360"/>
    <n v="1360"/>
    <n v="2720"/>
    <n v="2720"/>
    <n v="2720"/>
    <n v="5440"/>
    <n v="5440"/>
    <n v="5440"/>
  </r>
  <r>
    <n v="171"/>
    <m/>
    <s v="一般客户"/>
    <s v="鸿赛芯（上海）科技有限公司"/>
    <s v="Stephen"/>
    <s v="袁海峰"/>
    <x v="50"/>
    <x v="52"/>
    <m/>
    <x v="0"/>
    <s v="车身高度传感器"/>
    <m/>
    <m/>
    <m/>
    <m/>
    <m/>
    <n v="2.4700000000000002"/>
    <n v="51870.000000000007"/>
    <n v="69160"/>
    <n v="21000"/>
    <m/>
    <m/>
    <m/>
    <m/>
    <n v="2000"/>
    <n v="20000"/>
    <n v="20000"/>
    <n v="3000"/>
    <n v="3000"/>
    <n v="5000"/>
    <n v="5000"/>
    <n v="5000"/>
    <n v="5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4940"/>
    <n v="49400.000000000007"/>
    <n v="49400.000000000007"/>
    <n v="7410.0000000000009"/>
    <n v="7410.0000000000009"/>
    <n v="12350.000000000002"/>
    <n v="12350.000000000002"/>
    <n v="12350.000000000002"/>
  </r>
  <r>
    <n v="172"/>
    <s v="浙江可得电子科技有限公司"/>
    <s v="一般客户"/>
    <s v="鸿赛芯（上海）科技有限公司"/>
    <s v="Stephen"/>
    <s v="袁海峰"/>
    <x v="76"/>
    <x v="80"/>
    <m/>
    <x v="0"/>
    <s v="车身高度传感器"/>
    <m/>
    <m/>
    <m/>
    <m/>
    <m/>
    <n v="3.32"/>
    <n v="385120"/>
    <n v="803440"/>
    <n v="116000"/>
    <m/>
    <m/>
    <m/>
    <m/>
    <n v="12000"/>
    <n v="12000"/>
    <n v="12000"/>
    <n v="12000"/>
    <n v="12000"/>
    <n v="12000"/>
    <n v="40000"/>
    <n v="40000"/>
    <n v="4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39840"/>
    <n v="39840"/>
    <n v="39840"/>
    <n v="39840"/>
    <n v="39840"/>
    <n v="39840"/>
    <n v="132800"/>
    <n v="132800"/>
  </r>
  <r>
    <n v="173"/>
    <s v="浙江可得电子科技有限公司"/>
    <s v="一般客户"/>
    <s v="鸿赛芯（上海）科技有限公司"/>
    <s v="Stephen"/>
    <s v="袁海峰"/>
    <x v="80"/>
    <x v="86"/>
    <m/>
    <x v="0"/>
    <s v="车身高度传感器"/>
    <m/>
    <m/>
    <m/>
    <m/>
    <m/>
    <n v="7"/>
    <n v="434000"/>
    <n v="735000"/>
    <n v="62000"/>
    <m/>
    <m/>
    <m/>
    <m/>
    <n v="6000"/>
    <n v="6000"/>
    <n v="6000"/>
    <n v="12000"/>
    <n v="7000"/>
    <n v="7000"/>
    <n v="18000"/>
    <n v="18000"/>
    <n v="18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42000"/>
    <n v="42000"/>
    <n v="42000"/>
    <n v="84000"/>
    <n v="49000"/>
    <n v="49000"/>
    <n v="126000"/>
    <n v="126000"/>
  </r>
  <r>
    <n v="174"/>
    <m/>
    <s v="一般客户"/>
    <s v="鸿赛芯（上海）科技有限公司"/>
    <s v="Stephen"/>
    <s v="袁海峰"/>
    <x v="53"/>
    <x v="55"/>
    <m/>
    <x v="0"/>
    <s v="凸轮轴相位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75"/>
    <s v="浙江好亚汽车配件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0"/>
    <n v="144000"/>
    <n v="0"/>
    <m/>
    <m/>
    <m/>
    <m/>
    <n v="10000"/>
    <n v="10000"/>
    <n v="1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000"/>
    <n v="18000"/>
    <n v="18000"/>
    <n v="0"/>
    <n v="0"/>
    <n v="0"/>
    <n v="0"/>
    <n v="0"/>
  </r>
  <r>
    <n v="176"/>
    <s v="浙江好亚汽车配件有限公司"/>
    <s v="一般客户"/>
    <s v="颖晶电子科技(上海)有限公司"/>
    <s v="Stephen"/>
    <s v="曾文鼎"/>
    <x v="37"/>
    <x v="40"/>
    <m/>
    <x v="0"/>
    <s v="曲轴位置传感器"/>
    <m/>
    <m/>
    <m/>
    <m/>
    <m/>
    <n v="2.2000000000000002"/>
    <n v="550000"/>
    <n v="198000.00000000003"/>
    <n v="250000"/>
    <m/>
    <m/>
    <m/>
    <m/>
    <n v="2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4000"/>
    <n v="110000.00000000001"/>
    <n v="110000.00000000001"/>
    <n v="110000.00000000001"/>
    <n v="110000.00000000001"/>
    <n v="110000.00000000001"/>
    <n v="110000.00000000001"/>
    <n v="110000.00000000001"/>
  </r>
  <r>
    <n v="177"/>
    <s v="浙江好亚汽车配件有限公司"/>
    <s v="一般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0"/>
    <n v="110399.99999999999"/>
    <n v="0"/>
    <m/>
    <m/>
    <m/>
    <m/>
    <n v="6000"/>
    <n v="6000"/>
    <n v="6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799.999999999998"/>
    <n v="13799.999999999998"/>
    <n v="13799.999999999998"/>
    <n v="0"/>
    <n v="0"/>
    <n v="0"/>
    <n v="0"/>
    <n v="0"/>
  </r>
  <r>
    <n v="178"/>
    <s v="浙江好亚汽车配件有限公司"/>
    <s v="一般客户"/>
    <s v="颖晶电子科技(上海)有限公司"/>
    <s v="Stephen"/>
    <s v="曾文鼎"/>
    <x v="27"/>
    <x v="81"/>
    <n v="2442"/>
    <x v="0"/>
    <s v="里程表传感器"/>
    <m/>
    <m/>
    <m/>
    <m/>
    <m/>
    <n v="0.36"/>
    <n v="0"/>
    <n v="28800"/>
    <n v="0"/>
    <m/>
    <m/>
    <m/>
    <m/>
    <n v="10000"/>
    <n v="10000"/>
    <n v="10000"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3600"/>
    <n v="3600"/>
    <n v="3600"/>
    <n v="0"/>
    <n v="0"/>
    <n v="0"/>
    <n v="0"/>
    <n v="0"/>
  </r>
  <r>
    <n v="179"/>
    <s v="杭州沃能汽车传感技术有限公司"/>
    <s v="重要客户"/>
    <s v="颖晶电子科技(上海)有限公司"/>
    <s v="Stephen"/>
    <s v="曾文鼎"/>
    <x v="74"/>
    <x v="77"/>
    <m/>
    <x v="0"/>
    <s v="ABS轮速传感器"/>
    <m/>
    <m/>
    <m/>
    <m/>
    <m/>
    <n v="1.302"/>
    <n v="1296792"/>
    <n v="632772"/>
    <n v="996000"/>
    <m/>
    <m/>
    <m/>
    <m/>
    <n v="150000"/>
    <n v="60000"/>
    <n v="120000"/>
    <n v="300000"/>
    <n v="300000"/>
    <n v="300000"/>
    <n v="48000"/>
    <n v="48000"/>
    <n v="4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5300"/>
    <n v="78120"/>
    <n v="156240"/>
    <n v="390600"/>
    <n v="390600"/>
    <n v="390600"/>
    <n v="62496"/>
    <n v="62496"/>
  </r>
  <r>
    <n v="180"/>
    <s v="杭州沃能汽车传感技术有限公司"/>
    <s v="重要客户"/>
    <s v="颖晶电子科技(上海)有限公司"/>
    <s v="Stephen"/>
    <s v="曾文鼎"/>
    <x v="58"/>
    <x v="60"/>
    <m/>
    <x v="0"/>
    <s v="ABS轮速传感器"/>
    <m/>
    <m/>
    <m/>
    <m/>
    <m/>
    <n v="2.2999999999999998"/>
    <n v="69000"/>
    <n v="110399.99999999999"/>
    <n v="30000"/>
    <m/>
    <m/>
    <m/>
    <m/>
    <n v="6000"/>
    <n v="6000"/>
    <n v="6000"/>
    <n v="6000"/>
    <n v="6000"/>
    <n v="6000"/>
    <n v="6000"/>
    <n v="6000"/>
    <n v="6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799.999999999998"/>
    <n v="13799.999999999998"/>
    <n v="13799.999999999998"/>
    <n v="13799.999999999998"/>
    <n v="13799.999999999998"/>
    <n v="13799.999999999998"/>
    <n v="13799.999999999998"/>
    <n v="13799.999999999998"/>
  </r>
  <r>
    <n v="181"/>
    <s v="杭州沃能汽车传感技术有限公司"/>
    <s v="重要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17250"/>
    <n v="27599.999999999996"/>
    <n v="7500"/>
    <m/>
    <m/>
    <m/>
    <m/>
    <n v="1500"/>
    <n v="1500"/>
    <n v="1500"/>
    <n v="1500"/>
    <n v="1500"/>
    <n v="1500"/>
    <n v="1500"/>
    <n v="1500"/>
    <n v="15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449.9999999999995"/>
    <n v="3449.9999999999995"/>
    <n v="3449.9999999999995"/>
    <n v="3449.9999999999995"/>
    <n v="3449.9999999999995"/>
    <n v="3449.9999999999995"/>
    <n v="3449.9999999999995"/>
    <n v="3449.9999999999995"/>
  </r>
  <r>
    <n v="182"/>
    <s v="浙江卓瑞控制系统有限公司"/>
    <s v="一般客户"/>
    <s v="颖晶电子科技(上海)有限公司"/>
    <s v="Stephen"/>
    <s v="曾文鼎"/>
    <x v="50"/>
    <x v="52"/>
    <m/>
    <x v="0"/>
    <s v="电子油门踏板"/>
    <m/>
    <m/>
    <m/>
    <m/>
    <m/>
    <n v="2.9"/>
    <n v="145000"/>
    <n v="232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9000"/>
    <n v="29000"/>
    <n v="29000"/>
    <n v="29000"/>
    <n v="29000"/>
    <n v="29000"/>
    <n v="29000"/>
    <n v="29000"/>
  </r>
  <r>
    <n v="183"/>
    <s v="温州鑫亚汽车电子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45000"/>
    <n v="72000"/>
    <n v="25000"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184"/>
    <s v="温州鑫亚汽车电子有限公司"/>
    <s v="一般客户"/>
    <s v="颖晶电子科技(上海)有限公司"/>
    <s v="Stephen"/>
    <s v="曾文鼎"/>
    <x v="37"/>
    <x v="40"/>
    <m/>
    <x v="0"/>
    <s v="曲轴位置传感器"/>
    <m/>
    <m/>
    <m/>
    <m/>
    <m/>
    <n v="1.6"/>
    <n v="40000"/>
    <n v="64000"/>
    <n v="25000"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8000"/>
    <n v="8000"/>
    <n v="8000"/>
    <n v="8000"/>
    <n v="8000"/>
    <n v="8000"/>
    <n v="8000"/>
    <n v="8000"/>
  </r>
  <r>
    <n v="185"/>
    <s v="瑞安市众品汽车配件制造有限公司"/>
    <s v="一般客户"/>
    <s v="颖晶电子科技(上海)有限公司"/>
    <s v="Stephen"/>
    <s v="曾文鼎"/>
    <x v="74"/>
    <x v="77"/>
    <m/>
    <x v="0"/>
    <s v="ABS轮速传感器"/>
    <m/>
    <m/>
    <m/>
    <m/>
    <m/>
    <n v="1.302"/>
    <n v="78120"/>
    <n v="338520"/>
    <n v="60000"/>
    <m/>
    <m/>
    <m/>
    <m/>
    <n v="50000"/>
    <n v="30000"/>
    <n v="30000"/>
    <n v="0"/>
    <n v="0"/>
    <n v="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5100"/>
    <n v="39060"/>
    <n v="39060"/>
    <n v="0"/>
    <n v="0"/>
    <n v="0"/>
    <n v="39060"/>
    <n v="39060"/>
  </r>
  <r>
    <n v="186"/>
    <s v="瑞安市众品汽车配件制造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9000"/>
    <n v="14400"/>
    <n v="5000"/>
    <m/>
    <m/>
    <m/>
    <m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00"/>
    <n v="1800"/>
    <n v="1800"/>
    <n v="1800"/>
    <n v="1800"/>
    <n v="1800"/>
    <n v="1800"/>
    <n v="1800"/>
  </r>
  <r>
    <n v="187"/>
    <s v="温州峰汇汽车部件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27000"/>
    <n v="43200"/>
    <n v="15000"/>
    <m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188"/>
    <s v="温州峰汇汽车部件有限公司"/>
    <s v="一般客户"/>
    <s v="颖晶电子科技(上海)有限公司"/>
    <s v="Stephen"/>
    <s v="曾文鼎"/>
    <x v="37"/>
    <x v="40"/>
    <m/>
    <x v="0"/>
    <s v="曲轴位置传感器"/>
    <m/>
    <m/>
    <m/>
    <m/>
    <m/>
    <n v="1.6"/>
    <n v="12000"/>
    <n v="19200"/>
    <n v="7500"/>
    <m/>
    <m/>
    <m/>
    <m/>
    <n v="1500"/>
    <n v="1500"/>
    <n v="1500"/>
    <n v="1500"/>
    <n v="1500"/>
    <n v="1500"/>
    <n v="1500"/>
    <n v="1500"/>
    <n v="15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189"/>
    <s v="温州楷瑞电子科技有限公司"/>
    <s v="一般客户"/>
    <s v="颖晶电子科技(上海)有限公司"/>
    <s v="Stephen"/>
    <s v="曾文鼎"/>
    <x v="27"/>
    <x v="81"/>
    <n v="2442"/>
    <x v="0"/>
    <s v="BLDC"/>
    <m/>
    <m/>
    <m/>
    <m/>
    <m/>
    <n v="0.36"/>
    <n v="3600"/>
    <n v="5760"/>
    <n v="10000"/>
    <m/>
    <m/>
    <m/>
    <m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720"/>
    <n v="720"/>
    <n v="720"/>
    <n v="720"/>
    <n v="720"/>
    <n v="720"/>
    <n v="720"/>
    <n v="720"/>
  </r>
  <r>
    <n v="190"/>
    <s v="温州市祺隆汽车电子有限公司"/>
    <s v="一般客户"/>
    <s v="颖晶电子科技(上海)有限公司"/>
    <s v="Stephen"/>
    <s v="曾文鼎"/>
    <x v="50"/>
    <x v="52"/>
    <m/>
    <x v="0"/>
    <s v="车身高度传感器"/>
    <m/>
    <m/>
    <m/>
    <m/>
    <m/>
    <n v="2.9"/>
    <n v="145000"/>
    <n v="46400"/>
    <n v="50000"/>
    <m/>
    <m/>
    <m/>
    <m/>
    <n v="2000"/>
    <n v="2000"/>
    <n v="2000"/>
    <n v="10000"/>
    <n v="10000"/>
    <n v="10000"/>
    <n v="10000"/>
    <n v="10000"/>
    <n v="10000"/>
    <n v="10000"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800"/>
    <n v="5800"/>
    <n v="5800"/>
    <n v="29000"/>
    <n v="29000"/>
    <n v="29000"/>
    <n v="29000"/>
    <n v="29000"/>
  </r>
  <r>
    <n v="191"/>
    <s v="瑞安市宇泰汽车电子有限公司"/>
    <s v="一般客户"/>
    <s v="颖晶电子科技(上海)有限公司"/>
    <s v="Stephen"/>
    <s v="曾文鼎"/>
    <x v="27"/>
    <x v="81"/>
    <n v="2442"/>
    <x v="0"/>
    <s v="里程表传感器"/>
    <m/>
    <m/>
    <m/>
    <m/>
    <m/>
    <n v="0.36"/>
    <n v="36000"/>
    <n v="576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7200"/>
    <n v="7200"/>
    <n v="7200"/>
    <n v="7200"/>
    <n v="7200"/>
    <n v="7200"/>
    <n v="7200"/>
    <n v="7200"/>
  </r>
  <r>
    <n v="192"/>
    <s v="瑞安市宇泰汽车电子有限公司"/>
    <s v="一般客户"/>
    <s v="颖晶电子科技(上海)有限公司"/>
    <s v="Stephen"/>
    <s v="曾文鼎"/>
    <x v="76"/>
    <x v="80"/>
    <m/>
    <x v="0"/>
    <s v="车身高度传感器"/>
    <m/>
    <m/>
    <m/>
    <m/>
    <m/>
    <n v="4.2"/>
    <n v="4200"/>
    <n v="8400"/>
    <n v="1000"/>
    <m/>
    <m/>
    <m/>
    <m/>
    <n v="500"/>
    <n v="0"/>
    <n v="500"/>
    <n v="0"/>
    <n v="500"/>
    <n v="0"/>
    <n v="500"/>
    <n v="0"/>
    <n v="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100"/>
    <n v="0"/>
    <n v="2100"/>
    <n v="0"/>
    <n v="2100"/>
    <n v="0"/>
    <n v="2100"/>
    <n v="0"/>
  </r>
  <r>
    <n v="193"/>
    <s v="广东九和新电器科技有限公司"/>
    <s v="一般客户"/>
    <s v="颖晶电子科技(上海)有限公司"/>
    <s v="Stephen"/>
    <s v="曾文鼎"/>
    <x v="32"/>
    <x v="34"/>
    <m/>
    <x v="0"/>
    <s v="水压传感器"/>
    <m/>
    <m/>
    <m/>
    <m/>
    <m/>
    <n v="2.5"/>
    <n v="250000"/>
    <n v="4000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0000"/>
    <n v="50000"/>
    <n v="50000"/>
    <n v="50000"/>
    <n v="50000"/>
    <n v="50000"/>
    <n v="50000"/>
    <n v="50000"/>
  </r>
  <r>
    <n v="194"/>
    <s v="浙江华地电子有限公司"/>
    <s v="一般客户"/>
    <s v="颖晶电子科技(上海)有限公司"/>
    <s v="Stephen"/>
    <s v="曾文鼎"/>
    <x v="32"/>
    <x v="34"/>
    <m/>
    <x v="0"/>
    <s v="水压传感器"/>
    <m/>
    <m/>
    <m/>
    <m/>
    <m/>
    <n v="2.5"/>
    <n v="150000"/>
    <n v="260000"/>
    <n v="60000"/>
    <m/>
    <m/>
    <m/>
    <m/>
    <n v="20000"/>
    <n v="12000"/>
    <n v="12000"/>
    <n v="12000"/>
    <n v="12000"/>
    <n v="12000"/>
    <n v="12000"/>
    <n v="12000"/>
    <n v="12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0000"/>
    <n v="30000"/>
    <n v="30000"/>
    <n v="30000"/>
    <n v="30000"/>
    <n v="30000"/>
    <n v="30000"/>
    <n v="30000"/>
  </r>
  <r>
    <n v="195"/>
    <s v="杭州飞越汽车零部件有限公司"/>
    <s v="一般客户"/>
    <s v="颖晶电子科技(上海)有限公司"/>
    <s v="Stephen"/>
    <s v="曾文鼎"/>
    <x v="50"/>
    <x v="52"/>
    <m/>
    <x v="0"/>
    <s v="扭矩传感器"/>
    <m/>
    <m/>
    <m/>
    <m/>
    <m/>
    <n v="2.9"/>
    <n v="58000"/>
    <n v="92800"/>
    <n v="20000"/>
    <m/>
    <m/>
    <m/>
    <m/>
    <n v="4000"/>
    <n v="4000"/>
    <n v="4000"/>
    <n v="4000"/>
    <n v="4000"/>
    <n v="4000"/>
    <n v="4000"/>
    <n v="4000"/>
    <n v="4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1600"/>
    <n v="11600"/>
    <n v="11600"/>
    <n v="11600"/>
    <n v="11600"/>
    <n v="11600"/>
    <n v="11600"/>
    <n v="11600"/>
  </r>
  <r>
    <n v="196"/>
    <s v="余姚市博使通电子科技有限公司"/>
    <s v="一般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17250"/>
    <n v="27599.999999999996"/>
    <n v="7500"/>
    <m/>
    <m/>
    <m/>
    <m/>
    <n v="1500"/>
    <n v="1500"/>
    <n v="1500"/>
    <n v="1500"/>
    <n v="1500"/>
    <n v="1500"/>
    <n v="1500"/>
    <n v="1500"/>
    <n v="15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449.9999999999995"/>
    <n v="3449.9999999999995"/>
    <n v="3449.9999999999995"/>
    <n v="3449.9999999999995"/>
    <n v="3449.9999999999995"/>
    <n v="3449.9999999999995"/>
    <n v="3449.9999999999995"/>
    <n v="3449.9999999999995"/>
  </r>
  <r>
    <n v="197"/>
    <s v="临沂市国连电子有限公司"/>
    <s v="一般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34500"/>
    <n v="55199.999999999993"/>
    <n v="15000"/>
    <m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899.9999999999991"/>
    <n v="6899.9999999999991"/>
    <n v="6899.9999999999991"/>
    <n v="6899.9999999999991"/>
    <n v="6899.9999999999991"/>
    <n v="6899.9999999999991"/>
    <n v="6899.9999999999991"/>
    <n v="6899.9999999999991"/>
  </r>
  <r>
    <n v="198"/>
    <s v="临沂市国连电子有限公司"/>
    <s v="一般客户"/>
    <s v="颖晶电子科技(上海)有限公司"/>
    <s v="Stephen"/>
    <s v="曾文鼎"/>
    <x v="37"/>
    <x v="40"/>
    <m/>
    <x v="0"/>
    <s v="轮速传感器"/>
    <m/>
    <m/>
    <m/>
    <m/>
    <m/>
    <n v="1.6"/>
    <n v="16000"/>
    <n v="25600"/>
    <n v="10000"/>
    <m/>
    <m/>
    <m/>
    <m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200"/>
    <n v="3200"/>
    <n v="3200"/>
    <n v="3200"/>
    <n v="3200"/>
    <n v="3200"/>
    <n v="3200"/>
    <n v="3200"/>
  </r>
  <r>
    <n v="199"/>
    <s v="温州万辅科技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18000"/>
    <n v="28800"/>
    <n v="10000"/>
    <m/>
    <m/>
    <m/>
    <m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200"/>
    <s v="江西格泰汽车零部件有限公司"/>
    <s v="一般客户"/>
    <s v="颖晶电子科技(上海)有限公司"/>
    <s v="Stephen"/>
    <s v="曾文鼎"/>
    <x v="50"/>
    <x v="52"/>
    <m/>
    <x v="0"/>
    <s v="电子节气门"/>
    <m/>
    <m/>
    <m/>
    <m/>
    <m/>
    <n v="2.9"/>
    <n v="43500"/>
    <n v="69600"/>
    <n v="15000"/>
    <m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8700"/>
    <n v="8700"/>
    <n v="8700"/>
    <n v="8700"/>
    <n v="8700"/>
    <n v="8700"/>
    <n v="8700"/>
    <n v="8700"/>
  </r>
  <r>
    <n v="201"/>
    <s v="温州瑞感科技有限公司"/>
    <s v="一般客户"/>
    <s v="武汉沃达瑞电子科技有限公司"/>
    <s v="Stephen"/>
    <s v="周晓雨"/>
    <x v="24"/>
    <x v="25"/>
    <m/>
    <x v="0"/>
    <s v="电子换挡器"/>
    <m/>
    <m/>
    <m/>
    <m/>
    <m/>
    <n v="0.25"/>
    <n v="12500"/>
    <n v="18750"/>
    <n v="50000"/>
    <m/>
    <m/>
    <m/>
    <m/>
    <n v="0"/>
    <n v="25000"/>
    <n v="0"/>
    <n v="0"/>
    <n v="25000"/>
    <n v="0"/>
    <n v="0"/>
    <n v="25000"/>
    <n v="2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6250"/>
    <n v="0"/>
    <n v="0"/>
    <n v="6250"/>
    <n v="0"/>
    <n v="0"/>
    <n v="6250"/>
  </r>
  <r>
    <n v="202"/>
    <s v="温州市雷迅电子科技有限公司"/>
    <s v="一般客户"/>
    <s v="武汉沃达瑞电子科技有限公司"/>
    <s v="Stephen"/>
    <s v="周晓雨"/>
    <x v="81"/>
    <x v="31"/>
    <m/>
    <x v="0"/>
    <s v="速度传感器"/>
    <m/>
    <m/>
    <m/>
    <m/>
    <m/>
    <n v="0"/>
    <n v="0"/>
    <n v="0"/>
    <n v="0"/>
    <m/>
    <m/>
    <m/>
    <m/>
    <n v="0"/>
    <n v="0"/>
    <n v="0"/>
    <m/>
    <m/>
    <m/>
    <m/>
    <m/>
    <n v="0"/>
    <m/>
    <m/>
    <m/>
    <m/>
    <m/>
    <m/>
    <m/>
    <m/>
    <m/>
    <m/>
    <m/>
    <m/>
    <m/>
    <s v="1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03"/>
    <s v="温州弘腾科技有限公司"/>
    <s v="一般客户"/>
    <s v="武汉沃达瑞电子科技有限公司"/>
    <s v="Stephen"/>
    <s v="周晓雨"/>
    <x v="50"/>
    <x v="52"/>
    <m/>
    <x v="0"/>
    <s v="EGR阀"/>
    <m/>
    <m/>
    <m/>
    <m/>
    <m/>
    <n v="2.5"/>
    <n v="625000"/>
    <n v="1000000"/>
    <n v="250000"/>
    <m/>
    <m/>
    <m/>
    <m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25000"/>
    <n v="125000"/>
    <n v="125000"/>
    <n v="125000"/>
    <n v="125000"/>
    <n v="125000"/>
    <n v="125000"/>
    <n v="125000"/>
  </r>
  <r>
    <n v="204"/>
    <s v="上海智穆汽车配件有限公司"/>
    <s v="一般客户"/>
    <s v="武汉沃达瑞电子科技有限公司"/>
    <s v="Stephen"/>
    <s v="周晓雨"/>
    <x v="37"/>
    <x v="40"/>
    <m/>
    <x v="0"/>
    <s v="曲轴位置传感器"/>
    <m/>
    <m/>
    <m/>
    <m/>
    <m/>
    <n v="2"/>
    <n v="100000"/>
    <n v="160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205"/>
    <s v="温州品一车辆配件有限公司"/>
    <s v="一般客户"/>
    <s v="武汉沃达瑞电子科技有限公司"/>
    <s v="Stephen"/>
    <s v="周晓雨"/>
    <x v="78"/>
    <x v="83"/>
    <m/>
    <x v="0"/>
    <s v="电子水泵"/>
    <m/>
    <m/>
    <m/>
    <m/>
    <m/>
    <n v="0.32"/>
    <n v="128000"/>
    <n v="192000"/>
    <n v="400000"/>
    <m/>
    <m/>
    <m/>
    <m/>
    <n v="0"/>
    <n v="200000"/>
    <n v="0"/>
    <n v="0"/>
    <n v="200000"/>
    <n v="0"/>
    <n v="0"/>
    <n v="200000"/>
    <n v="2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64000"/>
    <n v="0"/>
    <n v="0"/>
    <n v="64000"/>
    <n v="0"/>
    <n v="0"/>
    <n v="64000"/>
  </r>
  <r>
    <n v="206"/>
    <s v="瑞安市浩南电器有限公司"/>
    <s v="一般客户"/>
    <s v="武汉沃达瑞电子科技有限公司"/>
    <s v="Stephen"/>
    <s v="周晓雨"/>
    <x v="74"/>
    <x v="77"/>
    <m/>
    <x v="0"/>
    <s v="曲轴位置传感器"/>
    <m/>
    <m/>
    <m/>
    <m/>
    <m/>
    <n v="1.35"/>
    <n v="0"/>
    <n v="2160000"/>
    <n v="0"/>
    <m/>
    <m/>
    <m/>
    <m/>
    <n v="200000"/>
    <n v="200000"/>
    <n v="20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70000"/>
    <n v="270000"/>
    <n v="270000"/>
    <n v="0"/>
    <n v="0"/>
    <n v="0"/>
    <n v="0"/>
    <n v="0"/>
  </r>
  <r>
    <n v="207"/>
    <s v="浙江中创汽车部件有限公司"/>
    <s v="一般客户"/>
    <s v="武汉沃达瑞电子科技有限公司"/>
    <s v="Stephen"/>
    <s v="周晓雨"/>
    <x v="76"/>
    <x v="80"/>
    <m/>
    <x v="0"/>
    <s v="阀体"/>
    <m/>
    <m/>
    <m/>
    <m/>
    <m/>
    <n v="3.8"/>
    <n v="190000"/>
    <n v="304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38000"/>
    <n v="38000"/>
    <n v="38000"/>
    <n v="38000"/>
    <n v="38000"/>
    <n v="38000"/>
    <n v="38000"/>
    <n v="38000"/>
  </r>
  <r>
    <n v="208"/>
    <s v="深圳市齐锴电子有限公司"/>
    <s v="一般客户"/>
    <s v="深圳市齐锴电子有限公司"/>
    <s v="Stephen"/>
    <s v="陈义财"/>
    <x v="66"/>
    <x v="69"/>
    <m/>
    <x v="0"/>
    <s v="ABS轮速传感器"/>
    <m/>
    <m/>
    <m/>
    <m/>
    <m/>
    <n v="2.2799999999999998"/>
    <n v="0"/>
    <n v="934799.99999999988"/>
    <n v="0"/>
    <m/>
    <m/>
    <m/>
    <m/>
    <n v="200000"/>
    <n v="30000"/>
    <n v="3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55999.99999999994"/>
    <n v="68400"/>
    <n v="68400"/>
    <n v="0"/>
    <n v="0"/>
    <n v="0"/>
    <n v="0"/>
    <n v="0"/>
  </r>
  <r>
    <n v="209"/>
    <s v="深圳市齐锴电子有限公司"/>
    <s v="一般客户"/>
    <s v="深圳市齐锴电子有限公司"/>
    <s v="Stephen"/>
    <s v="陈义财"/>
    <x v="28"/>
    <x v="29"/>
    <m/>
    <x v="0"/>
    <s v="速度表"/>
    <m/>
    <m/>
    <m/>
    <m/>
    <m/>
    <n v="0.52"/>
    <n v="13000"/>
    <n v="20800"/>
    <n v="25000"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210"/>
    <s v="深圳市中旭源科技有限公司"/>
    <s v="一般客户"/>
    <m/>
    <s v="Kevin"/>
    <m/>
    <x v="82"/>
    <x v="87"/>
    <n v="8602"/>
    <x v="0"/>
    <s v="应急电源300W"/>
    <m/>
    <s v="小批量"/>
    <m/>
    <m/>
    <m/>
    <n v="3"/>
    <n v="222000"/>
    <n v="528000"/>
    <n v="74000"/>
    <m/>
    <m/>
    <m/>
    <n v="0"/>
    <n v="0"/>
    <n v="2000"/>
    <n v="4000"/>
    <n v="4000"/>
    <n v="10000"/>
    <n v="20000"/>
    <n v="20000"/>
    <n v="20000"/>
    <n v="2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6000"/>
    <n v="12000"/>
    <n v="12000"/>
    <n v="30000"/>
    <n v="60000"/>
    <n v="60000"/>
    <n v="60000"/>
  </r>
  <r>
    <n v="211"/>
    <s v="东莞市朗泰通科技股份有限公司"/>
    <s v="一般客户"/>
    <m/>
    <s v="Kevin"/>
    <m/>
    <x v="83"/>
    <x v="88"/>
    <n v="8602"/>
    <x v="0"/>
    <s v="路灯电源100W"/>
    <m/>
    <s v="送样"/>
    <m/>
    <m/>
    <m/>
    <n v="3"/>
    <n v="54000"/>
    <n v="276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3000"/>
    <n v="6000"/>
    <n v="12000"/>
    <n v="12000"/>
    <n v="12000"/>
    <n v="12000"/>
  </r>
  <r>
    <n v="212"/>
    <s v="广州广沃电子有限公司"/>
    <s v="一般客户"/>
    <m/>
    <s v="Kevin"/>
    <m/>
    <x v="83"/>
    <x v="88"/>
    <n v="8602"/>
    <x v="0"/>
    <s v="拉杆音响200W"/>
    <m/>
    <s v="送样"/>
    <m/>
    <m/>
    <m/>
    <n v="2.5"/>
    <n v="185000"/>
    <n v="245000"/>
    <n v="74000"/>
    <m/>
    <m/>
    <m/>
    <n v="0"/>
    <n v="0"/>
    <n v="0"/>
    <n v="1000"/>
    <n v="4000"/>
    <n v="10000"/>
    <n v="20000"/>
    <n v="20000"/>
    <n v="20000"/>
    <n v="2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3"/>
    <s v="歌特贝斯(广州)电子有限公司"/>
    <s v="一般客户"/>
    <m/>
    <s v="Kevin"/>
    <m/>
    <x v="83"/>
    <x v="88"/>
    <n v="8602"/>
    <x v="0"/>
    <s v="拉杆音响300W"/>
    <m/>
    <s v="送样"/>
    <m/>
    <m/>
    <m/>
    <n v="2.5"/>
    <n v="45000"/>
    <n v="230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4"/>
    <s v="广州一凡电子有限公司"/>
    <s v="一般客户"/>
    <m/>
    <s v="Kevin"/>
    <m/>
    <x v="83"/>
    <x v="88"/>
    <n v="8602"/>
    <x v="0"/>
    <s v="拉杆音响150W"/>
    <m/>
    <s v="小批量"/>
    <m/>
    <m/>
    <m/>
    <n v="2.5"/>
    <n v="45000"/>
    <n v="230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5"/>
    <s v="广州翔科电子科技有限公司"/>
    <s v="一般客户"/>
    <m/>
    <s v="Kevin"/>
    <m/>
    <x v="83"/>
    <x v="88"/>
    <n v="8602"/>
    <x v="0"/>
    <s v="拉杆音响300W"/>
    <m/>
    <s v="送样"/>
    <m/>
    <m/>
    <m/>
    <n v="2.5"/>
    <n v="45000"/>
    <n v="145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6"/>
    <s v="广东声视美电子有限公司"/>
    <s v="一般客户"/>
    <m/>
    <s v="Kevin"/>
    <m/>
    <x v="83"/>
    <x v="88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n v="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17"/>
    <s v="广东新越电子有限公司"/>
    <s v="一般客户"/>
    <m/>
    <s v="Kevin"/>
    <m/>
    <x v="83"/>
    <x v="88"/>
    <n v="8602"/>
    <x v="0"/>
    <s v="拉杆音响200W"/>
    <m/>
    <s v="送样"/>
    <m/>
    <m/>
    <m/>
    <n v="2.5"/>
    <n v="45000"/>
    <n v="120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8"/>
    <s v="广东创芯辉电子有限公司"/>
    <s v="一般客户"/>
    <m/>
    <s v="Kevin"/>
    <m/>
    <x v="83"/>
    <x v="88"/>
    <n v="8602"/>
    <x v="0"/>
    <s v="拉杆音响200W"/>
    <m/>
    <s v="送样"/>
    <m/>
    <m/>
    <m/>
    <n v="2.5"/>
    <n v="185000"/>
    <n v="120000"/>
    <n v="74000"/>
    <m/>
    <m/>
    <m/>
    <n v="0"/>
    <n v="0"/>
    <n v="0"/>
    <n v="1000"/>
    <n v="4000"/>
    <n v="10000"/>
    <n v="20000"/>
    <n v="20000"/>
    <n v="20000"/>
    <n v="2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9"/>
    <s v="广东旭杰电子有限公司"/>
    <s v="一般客户"/>
    <m/>
    <s v="Kevin"/>
    <m/>
    <x v="83"/>
    <x v="88"/>
    <n v="8602"/>
    <x v="0"/>
    <s v="拉杆音响200W"/>
    <m/>
    <s v="送样"/>
    <m/>
    <m/>
    <m/>
    <n v="2.5"/>
    <n v="90000"/>
    <n v="120000"/>
    <n v="36000"/>
    <m/>
    <m/>
    <m/>
    <n v="0"/>
    <n v="0"/>
    <n v="0"/>
    <n v="1000"/>
    <n v="2000"/>
    <n v="4000"/>
    <n v="10000"/>
    <n v="10000"/>
    <n v="10000"/>
    <n v="1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0"/>
    <s v="广州明生电子有限公司"/>
    <s v="一般客户"/>
    <m/>
    <s v="Kevin"/>
    <m/>
    <x v="83"/>
    <x v="88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n v="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21"/>
    <s v="清远辉杰智能有限公司"/>
    <s v="一般客户"/>
    <m/>
    <s v="Kevin"/>
    <m/>
    <x v="83"/>
    <x v="88"/>
    <n v="8602"/>
    <x v="0"/>
    <s v="拉杆音响200W"/>
    <m/>
    <s v="送样"/>
    <m/>
    <m/>
    <m/>
    <n v="2.5"/>
    <n v="125000"/>
    <m/>
    <n v="50000"/>
    <m/>
    <m/>
    <m/>
    <m/>
    <m/>
    <m/>
    <n v="0"/>
    <n v="1000"/>
    <n v="4000"/>
    <n v="15000"/>
    <n v="15000"/>
    <n v="15000"/>
    <n v="15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2500"/>
    <n v="10000"/>
    <n v="37500"/>
    <n v="37500"/>
    <n v="37500"/>
  </r>
  <r>
    <n v="222"/>
    <s v="广东浩声科技有限公司"/>
    <s v="一般客户"/>
    <m/>
    <s v="Kevin"/>
    <m/>
    <x v="83"/>
    <x v="88"/>
    <n v="8602"/>
    <x v="0"/>
    <s v="拉杆音响200W"/>
    <m/>
    <s v="送样"/>
    <m/>
    <m/>
    <m/>
    <n v="2.5"/>
    <n v="95000"/>
    <m/>
    <n v="38000"/>
    <m/>
    <m/>
    <m/>
    <m/>
    <m/>
    <m/>
    <n v="1000"/>
    <n v="4000"/>
    <n v="4000"/>
    <n v="10000"/>
    <n v="10000"/>
    <n v="10000"/>
    <n v="1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10000"/>
    <n v="25000"/>
    <n v="25000"/>
    <n v="25000"/>
  </r>
  <r>
    <n v="223"/>
    <s v="广东心乐电子有限公司"/>
    <s v="一般客户"/>
    <m/>
    <s v="Kevin"/>
    <m/>
    <x v="83"/>
    <x v="88"/>
    <n v="8602"/>
    <x v="0"/>
    <s v="拉杆音响200W"/>
    <m/>
    <s v="送样"/>
    <m/>
    <m/>
    <m/>
    <n v="2.5"/>
    <n v="90000"/>
    <m/>
    <n v="36000"/>
    <m/>
    <m/>
    <m/>
    <m/>
    <m/>
    <m/>
    <n v="1000"/>
    <n v="2000"/>
    <n v="4000"/>
    <n v="10000"/>
    <n v="10000"/>
    <n v="10000"/>
    <n v="1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4"/>
    <s v="东莞市景盛电子科技有限公司"/>
    <s v="重要客户"/>
    <s v="深圳市亚特联科技有限公司"/>
    <s v="Bill"/>
    <s v="陈松玲"/>
    <x v="84"/>
    <x v="89"/>
    <m/>
    <x v="0"/>
    <s v="游戏扳机"/>
    <n v="10800000"/>
    <s v="送样"/>
    <s v="推动研发人员进行测试，测试通过后封装改为正封测试"/>
    <s v="MT9105、CC6503"/>
    <n v="0.33"/>
    <n v="0.26"/>
    <n v="468000"/>
    <m/>
    <n v="1800000"/>
    <m/>
    <m/>
    <n v="5000"/>
    <n v="6000"/>
    <n v="12000"/>
    <n v="12000"/>
    <n v="12000"/>
    <n v="400000"/>
    <n v="400000"/>
    <n v="400000"/>
    <n v="300000"/>
    <n v="300000"/>
    <n v="300000"/>
    <m/>
    <m/>
    <m/>
    <m/>
    <m/>
    <m/>
    <m/>
    <m/>
    <m/>
    <m/>
    <m/>
    <m/>
    <s v="Bill"/>
    <s v="3部"/>
    <s v="磁性位置传感器"/>
    <s v="消费电子"/>
    <s v="电脑周边"/>
    <s v="游戏摇杆"/>
    <s v="游戏扳机"/>
    <m/>
    <m/>
    <m/>
    <n v="2"/>
    <m/>
    <m/>
    <m/>
    <m/>
    <m/>
    <m/>
    <m/>
    <m/>
    <n v="3120"/>
    <n v="3120"/>
    <n v="3120"/>
    <n v="104000"/>
    <n v="104000"/>
    <n v="104000"/>
    <n v="78000"/>
    <n v="78000"/>
  </r>
  <r>
    <n v="225"/>
    <s v="珠海创伟领航科技有限公司"/>
    <s v="一般客户"/>
    <s v="深圳市大凌电子有限公司"/>
    <s v="Bill"/>
    <s v="Shu"/>
    <x v="13"/>
    <x v="90"/>
    <m/>
    <x v="0"/>
    <s v="无刷电机控制板"/>
    <n v="12000000"/>
    <s v="批量"/>
    <m/>
    <s v="177直插"/>
    <m/>
    <n v="0.12"/>
    <n v="0"/>
    <m/>
    <n v="0"/>
    <n v="1000000"/>
    <n v="1000000"/>
    <n v="1000000"/>
    <n v="0"/>
    <n v="0"/>
    <n v="0"/>
    <n v="0"/>
    <n v="0"/>
    <n v="0"/>
    <n v="0"/>
    <n v="0"/>
    <n v="0"/>
    <n v="0"/>
    <m/>
    <m/>
    <m/>
    <m/>
    <m/>
    <m/>
    <m/>
    <m/>
    <m/>
    <m/>
    <m/>
    <m/>
    <s v="Bill"/>
    <s v="3部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226"/>
    <s v="上海飞智电子科技有限公司"/>
    <s v="战略客户"/>
    <s v="深圳市大凌电子有限公司"/>
    <s v="Bill"/>
    <s v="Shu"/>
    <x v="85"/>
    <x v="91"/>
    <m/>
    <x v="0"/>
    <s v="磁轴键盘，游戏手柄"/>
    <n v="5000000"/>
    <s v="送样"/>
    <m/>
    <s v="无"/>
    <m/>
    <n v="0.2"/>
    <n v="500000"/>
    <m/>
    <n v="2500000"/>
    <n v="500000"/>
    <n v="500000"/>
    <n v="0"/>
    <n v="0"/>
    <n v="0"/>
    <n v="0"/>
    <n v="0"/>
    <n v="500000"/>
    <n v="500000"/>
    <n v="500000"/>
    <n v="500000"/>
    <n v="500000"/>
    <n v="5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100000"/>
    <n v="100000"/>
    <n v="100000"/>
    <n v="100000"/>
    <n v="100000"/>
  </r>
  <r>
    <n v="227"/>
    <s v="深圳市万至达电机制造有限公司"/>
    <s v="一般客户"/>
    <s v="深圳市大凌电子有限公司"/>
    <s v="Bill"/>
    <s v="Shu"/>
    <x v="70"/>
    <x v="92"/>
    <m/>
    <x v="0"/>
    <s v="电动牙刷电机方案，无刷电机"/>
    <n v="1800000"/>
    <s v="批量"/>
    <m/>
    <s v="无"/>
    <m/>
    <n v="0.28000000000000003"/>
    <n v="420000.00000000006"/>
    <m/>
    <n v="1500000"/>
    <n v="3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84000.000000000015"/>
    <n v="84000.000000000015"/>
    <n v="84000.000000000015"/>
    <n v="84000.000000000015"/>
    <n v="84000.000000000015"/>
    <n v="84000.000000000015"/>
    <n v="84000.000000000015"/>
    <n v="84000.000000000015"/>
  </r>
  <r>
    <n v="228"/>
    <s v="惠州市金力变速实业发展有限公司"/>
    <s v="一般客户"/>
    <s v="深圳市亚特联科技有限公司"/>
    <s v="Bill"/>
    <s v="May"/>
    <x v="11"/>
    <x v="84"/>
    <m/>
    <x v="0"/>
    <s v="扫地机三相无刷电机"/>
    <n v="10000000"/>
    <s v="送样"/>
    <s v="英能同步拜访，建立方案级合作"/>
    <s v="MT876X、MH188"/>
    <n v="0.35"/>
    <n v="0.22"/>
    <n v="0"/>
    <m/>
    <n v="0"/>
    <n v="0"/>
    <n v="10000"/>
    <n v="10000"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智能家居"/>
    <s v="小型家电"/>
    <s v="扫地机"/>
    <s v="扫地机行走电机"/>
    <m/>
    <m/>
    <m/>
    <n v="3"/>
    <m/>
    <m/>
    <m/>
    <m/>
    <m/>
    <m/>
    <m/>
    <m/>
    <n v="0"/>
    <n v="0"/>
    <n v="0"/>
    <n v="0"/>
    <n v="0"/>
    <n v="0"/>
    <n v="0"/>
    <n v="0"/>
  </r>
  <r>
    <n v="229"/>
    <s v="浙江仕优驱动有限公司"/>
    <s v="一般客户"/>
    <s v="深圳市首显电子设计有限公司"/>
    <s v="Bill"/>
    <s v="Suzy"/>
    <x v="86"/>
    <x v="93"/>
    <m/>
    <x v="0"/>
    <s v="轮椅电机"/>
    <n v="240000"/>
    <s v="送样"/>
    <s v="跟进后续需求"/>
    <m/>
    <m/>
    <n v="3.65"/>
    <n v="182500"/>
    <m/>
    <n v="50000"/>
    <n v="20000"/>
    <n v="20000"/>
    <n v="2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电机编码器"/>
    <s v="工业和机器人"/>
    <s v="工业电机"/>
    <s v="电机电控"/>
    <m/>
    <m/>
    <m/>
    <m/>
    <m/>
    <m/>
    <m/>
    <m/>
    <m/>
    <m/>
    <m/>
    <m/>
    <m/>
    <n v="36500"/>
    <n v="36500"/>
    <n v="36500"/>
    <n v="36500"/>
    <n v="36500"/>
    <n v="36500"/>
    <n v="36500"/>
    <n v="36500"/>
  </r>
  <r>
    <n v="230"/>
    <s v="广州市沃燊电子科技有限公司"/>
    <s v="一般客户"/>
    <s v="深圳市大凌电子有限公司"/>
    <s v="Bill"/>
    <s v="Shu"/>
    <x v="26"/>
    <x v="94"/>
    <m/>
    <x v="0"/>
    <s v="舞台灯光"/>
    <n v="2000000"/>
    <s v="批量"/>
    <m/>
    <m/>
    <m/>
    <n v="0.19"/>
    <n v="9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9000"/>
    <n v="19000"/>
    <n v="19000"/>
    <n v="19000"/>
    <n v="19000"/>
    <n v="19000"/>
    <n v="19000"/>
    <n v="19000"/>
  </r>
  <r>
    <n v="231"/>
    <s v="广州市沃燊电子科技有限公司"/>
    <s v="一般客户"/>
    <s v="深圳市大凌电子有限公司"/>
    <s v="Bill"/>
    <s v="Shu"/>
    <x v="26"/>
    <x v="95"/>
    <m/>
    <x v="0"/>
    <s v="舞台灯光"/>
    <n v="2000000"/>
    <s v="批量"/>
    <m/>
    <m/>
    <m/>
    <n v="0.19"/>
    <n v="114000"/>
    <m/>
    <n v="600000"/>
    <n v="100000"/>
    <n v="100000"/>
    <n v="100000"/>
    <n v="120000"/>
    <n v="120000"/>
    <n v="120000"/>
    <n v="120000"/>
    <n v="120000"/>
    <n v="120000"/>
    <n v="120000"/>
    <n v="120000"/>
    <n v="120000"/>
    <n v="1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800"/>
    <n v="22800"/>
    <n v="22800"/>
    <n v="22800"/>
    <n v="22800"/>
    <n v="22800"/>
    <n v="22800"/>
    <n v="22800"/>
  </r>
  <r>
    <n v="232"/>
    <s v="广州市沃燊电子科技有限公司"/>
    <s v="一般客户"/>
    <s v="深圳市大凌电子有限公司"/>
    <s v="Bill"/>
    <s v="Shu"/>
    <x v="26"/>
    <x v="27"/>
    <m/>
    <x v="0"/>
    <s v="舞台灯光"/>
    <n v="2000000"/>
    <s v="批量"/>
    <m/>
    <m/>
    <m/>
    <n v="0.19"/>
    <n v="95000"/>
    <m/>
    <n v="500000"/>
    <m/>
    <m/>
    <n v="30000"/>
    <n v="4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9000"/>
    <n v="19000"/>
    <n v="19000"/>
    <n v="19000"/>
    <n v="19000"/>
    <n v="19000"/>
    <n v="19000"/>
    <n v="19000"/>
  </r>
  <r>
    <n v="233"/>
    <s v="深圳市金跃达电子有限公司"/>
    <s v="重要客户"/>
    <s v="南京富聚科技有限公司"/>
    <s v="Bill"/>
    <s v="晏紫莹"/>
    <x v="7"/>
    <x v="7"/>
    <m/>
    <x v="0"/>
    <s v="撑杆电机（电动车尾门）"/>
    <m/>
    <s v="批量"/>
    <s v="量产"/>
    <m/>
    <m/>
    <n v="0.46"/>
    <n v="345000"/>
    <m/>
    <n v="7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69000"/>
    <n v="69000"/>
    <n v="69000"/>
    <n v="69000"/>
    <n v="69000"/>
    <n v="69000"/>
    <n v="69000"/>
    <n v="69000"/>
  </r>
  <r>
    <n v="234"/>
    <s v="广州市沃燊电子科技有限公司"/>
    <s v="一般客户"/>
    <s v="深圳市大凌电子有限公司"/>
    <s v="Bill"/>
    <s v="Shu"/>
    <x v="87"/>
    <x v="96"/>
    <m/>
    <x v="0"/>
    <s v="共享单车锁"/>
    <n v="3000000"/>
    <s v="评估"/>
    <m/>
    <m/>
    <m/>
    <n v="0.25"/>
    <n v="375000"/>
    <m/>
    <n v="1500000"/>
    <m/>
    <m/>
    <n v="50000"/>
    <n v="50000"/>
    <n v="50000"/>
    <n v="5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工业和机器人"/>
    <m/>
    <m/>
    <m/>
    <m/>
    <m/>
    <m/>
    <m/>
    <m/>
    <m/>
    <m/>
    <m/>
    <m/>
    <m/>
    <m/>
    <m/>
    <n v="12500"/>
    <n v="12500"/>
    <n v="75000"/>
    <n v="75000"/>
    <n v="75000"/>
    <n v="75000"/>
    <n v="75000"/>
    <n v="75000"/>
  </r>
  <r>
    <n v="235"/>
    <s v="深圳市恒驱电机股份有限公司"/>
    <s v="重要客户"/>
    <s v="南京富聚科技有限公司"/>
    <s v="Bill"/>
    <s v="晏紫莹"/>
    <x v="88"/>
    <x v="97"/>
    <m/>
    <x v="0"/>
    <s v="电动牙刷"/>
    <n v="2600000"/>
    <s v="小批量"/>
    <s v="待量产后，进行1000Pcs小批量测试"/>
    <s v="MT9101"/>
    <n v="0.31"/>
    <n v="0.44"/>
    <n v="0"/>
    <m/>
    <n v="0"/>
    <m/>
    <n v="0"/>
    <n v="100000"/>
    <n v="100000"/>
    <n v="200000"/>
    <n v="100000"/>
    <n v="100000"/>
    <m/>
    <m/>
    <m/>
    <m/>
    <m/>
    <n v="0"/>
    <m/>
    <m/>
    <m/>
    <m/>
    <m/>
    <m/>
    <m/>
    <m/>
    <m/>
    <m/>
    <m/>
    <m/>
    <s v="Bill"/>
    <s v="3部"/>
    <s v="磁性位置传感器"/>
    <s v="消费电子"/>
    <s v="个人护理"/>
    <s v="电动牙刷"/>
    <s v="转子定位"/>
    <m/>
    <m/>
    <m/>
    <n v="1"/>
    <m/>
    <m/>
    <m/>
    <m/>
    <m/>
    <m/>
    <m/>
    <m/>
    <n v="88000"/>
    <n v="44000"/>
    <n v="44000"/>
    <n v="0"/>
    <n v="0"/>
    <n v="0"/>
    <n v="0"/>
    <n v="0"/>
  </r>
  <r>
    <n v="236"/>
    <s v="广州华望半导体科技有限公司"/>
    <s v="一般客户"/>
    <s v="南京富聚科技有限公司"/>
    <s v="Bill"/>
    <s v="姚振环"/>
    <x v="19"/>
    <x v="20"/>
    <m/>
    <x v="0"/>
    <s v="座椅水平电机"/>
    <n v="5000000"/>
    <s v="送样"/>
    <s v="送样测试阶段"/>
    <m/>
    <m/>
    <n v="0.62"/>
    <n v="0"/>
    <m/>
    <n v="0"/>
    <n v="50000"/>
    <n v="50000"/>
    <n v="100000"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237"/>
    <s v="广州市鸿远电子科技有限公司"/>
    <s v="一般客户"/>
    <s v="深圳市智芯诚科技有限公司"/>
    <s v="Bill"/>
    <s v="Guo"/>
    <x v="89"/>
    <x v="98"/>
    <m/>
    <x v="0"/>
    <s v="摇头灯"/>
    <n v="100000"/>
    <s v="批量"/>
    <s v="已量产"/>
    <s v="无"/>
    <s v="无"/>
    <n v="3"/>
    <n v="223200"/>
    <m/>
    <n v="74400"/>
    <n v="14880"/>
    <n v="14880"/>
    <n v="14880"/>
    <n v="14880"/>
    <n v="14880"/>
    <n v="14880"/>
    <n v="14880"/>
    <n v="14880"/>
    <n v="14880"/>
    <n v="14880"/>
    <n v="14880"/>
    <n v="14880"/>
    <n v="14880"/>
    <m/>
    <m/>
    <m/>
    <m/>
    <m/>
    <m/>
    <m/>
    <m/>
    <m/>
    <m/>
    <m/>
    <m/>
    <s v="Bill"/>
    <s v="3部"/>
    <s v="电机编码器"/>
    <s v="消费电子"/>
    <m/>
    <m/>
    <m/>
    <m/>
    <m/>
    <m/>
    <m/>
    <m/>
    <m/>
    <m/>
    <m/>
    <m/>
    <m/>
    <m/>
    <m/>
    <n v="44640"/>
    <n v="44640"/>
    <n v="44640"/>
    <n v="44640"/>
    <n v="44640"/>
    <n v="44640"/>
    <n v="44640"/>
    <n v="44640"/>
  </r>
  <r>
    <n v="238"/>
    <s v="深圳市金跃达电子有限公司"/>
    <s v="重要客户"/>
    <s v="南京富聚科技有限公司"/>
    <s v="Bill"/>
    <s v="晏紫莹"/>
    <x v="7"/>
    <x v="7"/>
    <m/>
    <x v="0"/>
    <s v="撑杆电机（电动车尾门）"/>
    <n v="1000000"/>
    <s v="批量"/>
    <s v="量产"/>
    <s v="A1212"/>
    <n v="1.1000000000000001"/>
    <n v="0.52"/>
    <n v="312000"/>
    <m/>
    <n v="600000"/>
    <n v="10000"/>
    <n v="10000"/>
    <n v="10000"/>
    <n v="100000"/>
    <n v="100000"/>
    <n v="100000"/>
    <n v="100000"/>
    <n v="120000"/>
    <n v="120000"/>
    <n v="120000"/>
    <n v="120000"/>
    <n v="120000"/>
    <n v="12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52000"/>
    <n v="52000"/>
    <n v="52000"/>
    <n v="62400"/>
    <n v="62400"/>
    <n v="62400"/>
    <n v="62400"/>
    <n v="62400"/>
  </r>
  <r>
    <n v="239"/>
    <s v="深圳市永诚创科技有限公司"/>
    <s v="一般客户"/>
    <s v="深圳市大凌电子有限公司"/>
    <s v="Bill"/>
    <s v="Chen"/>
    <x v="31"/>
    <x v="33"/>
    <m/>
    <x v="0"/>
    <s v="散热风扇"/>
    <n v="1000000"/>
    <s v="小批量"/>
    <m/>
    <s v="新项目"/>
    <m/>
    <n v="0.35"/>
    <n v="17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0"/>
    <s v="深圳市清联同创汽车电子有限公司"/>
    <s v="重要客户"/>
    <s v="深圳市大凌电子有限公司"/>
    <s v="Bill"/>
    <s v="Shu"/>
    <x v="90"/>
    <x v="99"/>
    <m/>
    <x v="0"/>
    <s v="汽车尾门电机"/>
    <n v="1000000"/>
    <s v="批量"/>
    <m/>
    <m/>
    <m/>
    <n v="0.35"/>
    <n v="17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1"/>
    <s v="深圳市太美亚电子科技有限公司（恒盟鑫）"/>
    <s v="一般客户"/>
    <s v="深圳市大凌电子有限公司"/>
    <s v="Bill"/>
    <s v="Shu"/>
    <x v="90"/>
    <x v="99"/>
    <m/>
    <x v="0"/>
    <s v="汽车尾门电机"/>
    <n v="1000000"/>
    <s v="批量"/>
    <m/>
    <m/>
    <m/>
    <n v="0.35"/>
    <n v="17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2"/>
    <s v="深圳微羽智能科技有限公司"/>
    <s v="一般客户"/>
    <s v="深圳市首显电子设计有限公司"/>
    <s v="Bill"/>
    <s v="Wayne"/>
    <x v="91"/>
    <x v="100"/>
    <m/>
    <x v="0"/>
    <s v="工业电机驱动"/>
    <n v="120000"/>
    <s v="批量"/>
    <s v="正常下单"/>
    <m/>
    <m/>
    <n v="3.3"/>
    <n v="165000"/>
    <m/>
    <n v="5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电机编码器"/>
    <s v="工业和机器人"/>
    <m/>
    <m/>
    <m/>
    <m/>
    <m/>
    <m/>
    <m/>
    <m/>
    <m/>
    <m/>
    <m/>
    <m/>
    <m/>
    <m/>
    <m/>
    <n v="33000"/>
    <n v="33000"/>
    <n v="33000"/>
    <n v="33000"/>
    <n v="33000"/>
    <n v="33000"/>
    <n v="33000"/>
    <n v="33000"/>
  </r>
  <r>
    <n v="243"/>
    <s v="广东芯通电子科技有限公司"/>
    <s v="一般客户"/>
    <s v="深圳市大凌电子有限公司"/>
    <s v="Bill"/>
    <s v="Shu"/>
    <x v="24"/>
    <x v="25"/>
    <m/>
    <x v="0"/>
    <s v="商用电磁炉开关"/>
    <n v="2000000"/>
    <s v="批量"/>
    <m/>
    <m/>
    <m/>
    <n v="0.21"/>
    <n v="157500"/>
    <m/>
    <n v="7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1500"/>
    <n v="31500"/>
    <n v="31500"/>
    <n v="31500"/>
    <n v="31500"/>
    <n v="31500"/>
    <n v="31500"/>
    <n v="31500"/>
  </r>
  <r>
    <n v="244"/>
    <s v="深圳市恒驱电机股份有限公司"/>
    <s v="重要客户"/>
    <s v="南京富聚科技有限公司"/>
    <s v="Bill"/>
    <s v="晏紫莹"/>
    <x v="88"/>
    <x v="97"/>
    <m/>
    <x v="0"/>
    <s v="云台定位"/>
    <n v="1000000"/>
    <s v="评估"/>
    <s v="待带量产进行小批量测试"/>
    <s v="MT9102"/>
    <n v="0.31"/>
    <n v="0.44"/>
    <n v="0"/>
    <m/>
    <n v="0"/>
    <n v="0"/>
    <n v="0"/>
    <n v="0"/>
    <m/>
    <n v="100000"/>
    <n v="100000"/>
    <n v="100000"/>
    <m/>
    <m/>
    <m/>
    <m/>
    <m/>
    <n v="0"/>
    <m/>
    <m/>
    <m/>
    <m/>
    <m/>
    <m/>
    <m/>
    <m/>
    <m/>
    <m/>
    <m/>
    <m/>
    <s v="Bill"/>
    <s v="3部"/>
    <s v="磁性位置传感器"/>
    <s v="消费电子"/>
    <s v="电脑周边"/>
    <s v="摄像头云台"/>
    <s v="云台定位"/>
    <m/>
    <m/>
    <m/>
    <n v="1"/>
    <m/>
    <m/>
    <m/>
    <m/>
    <m/>
    <m/>
    <m/>
    <m/>
    <n v="44000"/>
    <n v="44000"/>
    <n v="44000"/>
    <n v="0"/>
    <n v="0"/>
    <n v="0"/>
    <n v="0"/>
    <n v="0"/>
  </r>
  <r>
    <n v="245"/>
    <s v="中山群荣电子有限公司"/>
    <s v="一般客户"/>
    <s v="深圳市大凌电子有限公司"/>
    <s v="Bill"/>
    <s v="Shu"/>
    <x v="10"/>
    <x v="10"/>
    <m/>
    <x v="0"/>
    <s v="商用电磁炉开关"/>
    <n v="1000000"/>
    <s v="批量"/>
    <m/>
    <m/>
    <m/>
    <n v="0.25"/>
    <n v="375000"/>
    <m/>
    <n v="1500000"/>
    <n v="3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75000"/>
    <n v="75000"/>
    <n v="75000"/>
    <n v="75000"/>
    <n v="75000"/>
    <n v="75000"/>
    <n v="75000"/>
    <n v="75000"/>
  </r>
  <r>
    <n v="246"/>
    <s v="大凌-SC1134SO-N"/>
    <s v="一般客户"/>
    <s v="深圳市大凌电子有限公司"/>
    <s v="Bill"/>
    <s v="Shu"/>
    <x v="24"/>
    <x v="25"/>
    <m/>
    <x v="0"/>
    <s v="商用电磁炉开关"/>
    <n v="1200000"/>
    <s v="批量"/>
    <m/>
    <s v="无"/>
    <m/>
    <n v="0.25"/>
    <n v="12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7"/>
    <s v="深圳市金跃达电子有限公司"/>
    <s v="重要客户"/>
    <s v="南京富聚科技有限公司"/>
    <s v="Bill"/>
    <s v="晏紫莹"/>
    <x v="19"/>
    <x v="20"/>
    <m/>
    <x v="0"/>
    <s v="座椅水平电机"/>
    <m/>
    <s v="批量"/>
    <s v="量产"/>
    <m/>
    <m/>
    <n v="0.62"/>
    <n v="124000"/>
    <m/>
    <n v="200000"/>
    <n v="4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Bill"/>
    <s v="3部"/>
    <s v="磁性位置传感器"/>
    <s v="汽车电子"/>
    <s v="智能座舱"/>
    <s v="智能座椅"/>
    <s v="座椅水平电机"/>
    <m/>
    <m/>
    <m/>
    <m/>
    <m/>
    <m/>
    <m/>
    <m/>
    <m/>
    <m/>
    <m/>
    <m/>
    <n v="24800"/>
    <n v="24800"/>
    <n v="24800"/>
    <n v="24800"/>
    <n v="24800"/>
    <n v="24800"/>
    <n v="24800"/>
    <n v="24800"/>
  </r>
  <r>
    <n v="248"/>
    <s v="佛山联睿电子科技有限公司"/>
    <s v="一般客户"/>
    <s v="深圳市大凌电子有限公司"/>
    <s v="Bill"/>
    <s v="Chen"/>
    <x v="11"/>
    <x v="84"/>
    <m/>
    <x v="0"/>
    <s v="散热风扇，家电控制板"/>
    <n v="2000000"/>
    <s v="批量"/>
    <m/>
    <m/>
    <m/>
    <n v="0.12"/>
    <n v="120000"/>
    <m/>
    <n v="1000000"/>
    <n v="2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49"/>
    <s v="深圳市方珘电子有限公司"/>
    <s v="重要客户"/>
    <s v="深圳市大凌电子有限公司"/>
    <s v="Bill"/>
    <s v="Shu"/>
    <x v="92"/>
    <x v="101"/>
    <m/>
    <x v="0"/>
    <s v="电动牙刷电机方案"/>
    <m/>
    <s v="小批量"/>
    <m/>
    <s v="MT9101DT"/>
    <m/>
    <n v="0.23"/>
    <n v="14950"/>
    <m/>
    <n v="65000"/>
    <n v="100000"/>
    <n v="100000"/>
    <n v="15000"/>
    <n v="15000"/>
    <n v="15000"/>
    <n v="15000"/>
    <n v="15000"/>
    <n v="65000"/>
    <m/>
    <m/>
    <m/>
    <m/>
    <n v="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3450"/>
    <n v="3450"/>
    <n v="3450"/>
    <n v="14950"/>
    <n v="0"/>
    <n v="0"/>
    <n v="0"/>
    <n v="0"/>
  </r>
  <r>
    <n v="250"/>
    <s v="深圳市海富创电子科技有限公司"/>
    <s v="一般客户"/>
    <s v="深圳市首显电子设计有限公司"/>
    <s v="Bill"/>
    <s v="Wayne"/>
    <x v="26"/>
    <x v="27"/>
    <m/>
    <x v="0"/>
    <s v="接近开关"/>
    <n v="1200000"/>
    <s v="批量"/>
    <s v="正常下单"/>
    <m/>
    <m/>
    <n v="0.23"/>
    <n v="23000"/>
    <m/>
    <n v="100000"/>
    <n v="100000"/>
    <n v="100000"/>
    <n v="10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51"/>
    <s v="佛山联睿电子科技有限公司"/>
    <s v="一般客户"/>
    <s v="深圳市大凌电子有限公司"/>
    <s v="Bill"/>
    <s v="Chen"/>
    <x v="24"/>
    <x v="25"/>
    <m/>
    <x v="0"/>
    <s v="散热风扇，家电控制板"/>
    <n v="1000000"/>
    <s v="批量"/>
    <m/>
    <m/>
    <m/>
    <n v="0.20499999999999999"/>
    <n v="1025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0500"/>
    <n v="20500"/>
    <n v="20500"/>
    <n v="20500"/>
    <n v="20500"/>
    <n v="20500"/>
    <n v="20500"/>
    <n v="20500"/>
  </r>
  <r>
    <n v="252"/>
    <s v="亚美达电气（深圳）有限公司"/>
    <s v="一般客户"/>
    <s v="深圳市大凌电子有限公司"/>
    <s v="Bill"/>
    <s v="Chen"/>
    <x v="11"/>
    <x v="84"/>
    <m/>
    <x v="0"/>
    <s v="加湿器电机控制板（华为）"/>
    <n v="3000000"/>
    <s v="送样"/>
    <m/>
    <s v="SDC177"/>
    <m/>
    <n v="0.12"/>
    <n v="120000"/>
    <m/>
    <n v="1000000"/>
    <m/>
    <m/>
    <m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3"/>
    <s v="佛山市小点电子科技有限公司"/>
    <s v="一般客户"/>
    <s v="深圳市大凌电子有限公司"/>
    <s v="Bill"/>
    <s v="Chen"/>
    <x v="11"/>
    <x v="84"/>
    <m/>
    <x v="0"/>
    <s v="散热风扇"/>
    <n v="3000000"/>
    <s v="送样"/>
    <m/>
    <s v="SDC177"/>
    <m/>
    <n v="0.12"/>
    <n v="120000"/>
    <m/>
    <n v="1000000"/>
    <m/>
    <m/>
    <m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4"/>
    <s v="大凌-SC1134BU"/>
    <s v="一般客户"/>
    <s v="深圳市大凌电子有限公司"/>
    <s v="Bill"/>
    <s v="Shu"/>
    <x v="93"/>
    <x v="102"/>
    <m/>
    <x v="0"/>
    <s v="舞台灯光"/>
    <n v="750000"/>
    <s v="批量"/>
    <m/>
    <s v="无"/>
    <m/>
    <n v="0.37"/>
    <n v="925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8500"/>
    <n v="18500"/>
    <n v="18500"/>
    <n v="18500"/>
    <n v="18500"/>
    <n v="18500"/>
    <n v="18500"/>
    <n v="18500"/>
  </r>
  <r>
    <n v="255"/>
    <s v="深圳市清联同创汽车电子有限公司"/>
    <s v="重要客户"/>
    <s v="深圳市大凌电子有限公司"/>
    <s v="Bill"/>
    <s v="Shu"/>
    <x v="41"/>
    <x v="43"/>
    <m/>
    <x v="0"/>
    <s v="汽车尾门电机"/>
    <n v="500000"/>
    <s v="批量"/>
    <m/>
    <m/>
    <m/>
    <n v="0.35"/>
    <n v="875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6"/>
    <s v="大凌-SC2442UA"/>
    <s v="一般客户"/>
    <s v="深圳市大凌电子有限公司"/>
    <s v="Bill"/>
    <s v="Shu"/>
    <x v="27"/>
    <x v="81"/>
    <m/>
    <x v="0"/>
    <s v="汽车尾门电机"/>
    <n v="750000"/>
    <s v="批量"/>
    <m/>
    <s v="无"/>
    <m/>
    <n v="0.35"/>
    <n v="875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7"/>
    <s v="大凌-SC2063SO"/>
    <s v="一般客户"/>
    <s v="深圳市大凌电子有限公司"/>
    <s v="Bill"/>
    <s v="Chen"/>
    <x v="17"/>
    <x v="18"/>
    <m/>
    <x v="0"/>
    <s v="豆浆机/料理机电机"/>
    <n v="2000000"/>
    <s v="批量"/>
    <m/>
    <s v="无"/>
    <m/>
    <n v="0.115"/>
    <n v="86250"/>
    <m/>
    <n v="7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7250"/>
    <n v="17250"/>
    <n v="17250"/>
    <n v="17250"/>
    <n v="17250"/>
    <n v="17250"/>
    <n v="17250"/>
    <n v="17250"/>
  </r>
  <r>
    <n v="258"/>
    <s v="中山澳多科技有限公司"/>
    <s v="重要客户"/>
    <s v="南京富聚科技有限公司"/>
    <s v="Bill"/>
    <s v="姚振环"/>
    <x v="10"/>
    <x v="10"/>
    <m/>
    <x v="0"/>
    <s v="转向锁"/>
    <m/>
    <s v="批量"/>
    <s v="量产"/>
    <m/>
    <m/>
    <n v="0.52"/>
    <n v="26000"/>
    <m/>
    <n v="50000"/>
    <n v="30000"/>
    <n v="30000"/>
    <n v="3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59"/>
    <s v="汉宇集团股份有限公司"/>
    <s v="一般客户"/>
    <s v="深圳市大凌电子有限公司"/>
    <s v="Bill"/>
    <s v="Shu"/>
    <x v="30"/>
    <x v="32"/>
    <m/>
    <x v="0"/>
    <s v="洗碗机水泵"/>
    <n v="800000"/>
    <s v="批量"/>
    <m/>
    <s v="无"/>
    <m/>
    <n v="0.21"/>
    <n v="73500"/>
    <m/>
    <n v="350000"/>
    <n v="70000"/>
    <n v="70000"/>
    <n v="70000"/>
    <n v="70000"/>
    <n v="70000"/>
    <n v="70000"/>
    <n v="70000"/>
    <n v="70000"/>
    <n v="70000"/>
    <n v="70000"/>
    <n v="70000"/>
    <n v="70000"/>
    <n v="7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4700"/>
    <n v="14700"/>
    <n v="14700"/>
    <n v="14700"/>
    <n v="14700"/>
    <n v="14700"/>
    <n v="14700"/>
    <n v="14700"/>
  </r>
  <r>
    <n v="260"/>
    <s v="深圳市拓邦自动化技术有限公司"/>
    <s v="重要客户"/>
    <s v="深圳市光耀发展实业有限公司"/>
    <s v="Bill"/>
    <s v="陈博"/>
    <x v="94"/>
    <x v="103"/>
    <m/>
    <x v="0"/>
    <s v="智能马桶（开合盖）-恒洁"/>
    <n v="400000"/>
    <s v="批量"/>
    <m/>
    <m/>
    <m/>
    <n v="0.28000000000000003"/>
    <n v="0"/>
    <m/>
    <n v="0"/>
    <m/>
    <m/>
    <m/>
    <n v="30000"/>
    <n v="30000"/>
    <n v="0"/>
    <n v="0"/>
    <n v="0"/>
    <n v="0"/>
    <n v="0"/>
    <n v="0"/>
    <n v="0"/>
    <n v="0"/>
    <m/>
    <m/>
    <m/>
    <m/>
    <m/>
    <m/>
    <m/>
    <m/>
    <m/>
    <m/>
    <m/>
    <m/>
    <s v="Bill"/>
    <s v="3部"/>
    <s v="磁性位置传感器"/>
    <s v="智能家居"/>
    <s v="小型家电"/>
    <s v="智能马桶"/>
    <s v="马桶开盖"/>
    <m/>
    <m/>
    <m/>
    <m/>
    <m/>
    <m/>
    <m/>
    <m/>
    <m/>
    <m/>
    <m/>
    <m/>
    <n v="8400"/>
    <n v="0"/>
    <n v="0"/>
    <n v="0"/>
    <n v="0"/>
    <n v="0"/>
    <n v="0"/>
    <n v="0"/>
  </r>
  <r>
    <n v="261"/>
    <s v="中山市永盈电子有限公司"/>
    <s v="一般客户"/>
    <s v="深圳市大凌电子有限公司"/>
    <s v="Bill"/>
    <s v="Chen"/>
    <x v="29"/>
    <x v="30"/>
    <m/>
    <x v="0"/>
    <s v="电机霍尔板"/>
    <n v="700000"/>
    <s v="批量"/>
    <m/>
    <s v="无"/>
    <m/>
    <n v="0.25"/>
    <n v="18750"/>
    <m/>
    <n v="75000"/>
    <n v="50000"/>
    <n v="50000"/>
    <n v="50000"/>
    <n v="50000"/>
    <n v="50000"/>
    <n v="50000"/>
    <n v="50000"/>
    <n v="15000"/>
    <n v="15000"/>
    <n v="15000"/>
    <n v="15000"/>
    <n v="15000"/>
    <n v="15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2500"/>
    <n v="12500"/>
    <n v="12500"/>
    <n v="3750"/>
    <n v="3750"/>
    <n v="3750"/>
    <n v="3750"/>
    <n v="3750"/>
  </r>
  <r>
    <n v="262"/>
    <s v="深圳市海富创电子科技有限公司"/>
    <s v="一般客户"/>
    <s v="深圳市首显电子设计有限公司"/>
    <s v="Bill"/>
    <s v="Wayne"/>
    <x v="95"/>
    <x v="104"/>
    <m/>
    <x v="0"/>
    <s v="直发器"/>
    <n v="720000"/>
    <s v="批量"/>
    <s v="正常下单"/>
    <m/>
    <m/>
    <n v="0.2"/>
    <n v="30000"/>
    <m/>
    <n v="150000"/>
    <n v="60000"/>
    <n v="60000"/>
    <n v="6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263"/>
    <s v="惠州市谷粒精密制造有限公司"/>
    <s v="一般客户"/>
    <s v="深圳市首显电子设计有限公司"/>
    <s v="Bill"/>
    <s v="Suyun.Yan"/>
    <x v="96"/>
    <x v="105"/>
    <m/>
    <x v="0"/>
    <s v="游戏手柄-霍尔摇杆"/>
    <n v="600000"/>
    <s v="送样"/>
    <s v="现测试未达效果，需要改结构，具体需面谈"/>
    <s v="SL93"/>
    <m/>
    <n v="0.2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64"/>
    <s v="东莞市创美时科技有限公司"/>
    <s v="一般客户"/>
    <s v="深圳市首显电子设计有限公司"/>
    <s v="Bill"/>
    <s v="Wayne"/>
    <x v="11"/>
    <x v="84"/>
    <m/>
    <x v="0"/>
    <s v="电机霍尔板"/>
    <n v="360000"/>
    <s v="批量"/>
    <s v="正常下单"/>
    <m/>
    <m/>
    <n v="0.18"/>
    <n v="27000"/>
    <m/>
    <n v="150000"/>
    <n v="60000"/>
    <n v="60000"/>
    <n v="6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265"/>
    <s v="大凌-SC2402SO-N-G"/>
    <s v="一般客户"/>
    <s v="深圳市大凌电子有限公司"/>
    <s v="Bill"/>
    <s v="Shu"/>
    <x v="11"/>
    <x v="84"/>
    <m/>
    <x v="0"/>
    <s v="家电电机"/>
    <n v="1000000"/>
    <s v="批量"/>
    <m/>
    <s v="无"/>
    <m/>
    <n v="0.13"/>
    <n v="52000"/>
    <m/>
    <n v="400000"/>
    <n v="8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0400"/>
    <n v="10400"/>
    <n v="10400"/>
    <n v="10400"/>
    <n v="10400"/>
    <n v="10400"/>
    <n v="10400"/>
    <n v="10400"/>
  </r>
  <r>
    <n v="266"/>
    <s v="东莞市创美时科技有限公司"/>
    <s v="一般客户"/>
    <s v="深圳市首显电子设计有限公司"/>
    <s v="Bill"/>
    <s v="Wayne"/>
    <x v="23"/>
    <x v="24"/>
    <m/>
    <x v="0"/>
    <s v="接近开关"/>
    <n v="240000"/>
    <s v="批量"/>
    <s v="正常下单"/>
    <m/>
    <m/>
    <n v="0.52"/>
    <n v="26000"/>
    <m/>
    <n v="50000"/>
    <n v="20000"/>
    <n v="20000"/>
    <n v="2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7"/>
    <s v="深圳市捷诺科智能科技有限公司"/>
    <s v="一般客户"/>
    <s v="深圳市首显电子设计有限公司"/>
    <s v="Bill"/>
    <s v="Davy"/>
    <x v="95"/>
    <x v="104"/>
    <m/>
    <x v="0"/>
    <s v="IOT 升降桌"/>
    <n v="600000"/>
    <s v="小批量"/>
    <s v="跟进后续需求"/>
    <m/>
    <m/>
    <n v="0.2"/>
    <n v="500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智能家居"/>
    <m/>
    <m/>
    <m/>
    <m/>
    <m/>
    <m/>
    <m/>
    <m/>
    <m/>
    <m/>
    <m/>
    <m/>
    <m/>
    <m/>
    <m/>
    <n v="10000"/>
    <n v="10000"/>
    <n v="10000"/>
    <n v="10000"/>
    <n v="10000"/>
    <n v="10000"/>
    <n v="10000"/>
    <n v="10000"/>
  </r>
  <r>
    <n v="268"/>
    <s v="广州市鸿远电子科技有限公司"/>
    <s v="一般客户"/>
    <s v="深圳市智芯诚科技有限公司"/>
    <s v="Bill"/>
    <s v="Guo"/>
    <x v="91"/>
    <x v="100"/>
    <m/>
    <x v="0"/>
    <s v="摇头灯"/>
    <n v="30000"/>
    <s v="批量"/>
    <s v="已量产"/>
    <s v="无"/>
    <s v="无"/>
    <n v="3"/>
    <n v="45000"/>
    <m/>
    <n v="15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电机编码器"/>
    <s v="消费电子"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269"/>
    <s v="东莞恒达电机制造有限公司"/>
    <s v="一般客户"/>
    <s v="南京富聚科技有限公司"/>
    <s v="Bill"/>
    <s v="姚振环"/>
    <x v="7"/>
    <x v="7"/>
    <m/>
    <x v="0"/>
    <s v="隐藏式门把手"/>
    <m/>
    <s v="送样"/>
    <s v="画板调试阶段"/>
    <m/>
    <m/>
    <n v="0.52"/>
    <n v="52000"/>
    <m/>
    <n v="100000"/>
    <m/>
    <m/>
    <m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汽车电子"/>
    <s v="车身电子"/>
    <s v="车门系统"/>
    <s v="隐藏式门把手"/>
    <s v="小米"/>
    <m/>
    <s v="Su7"/>
    <m/>
    <m/>
    <m/>
    <m/>
    <m/>
    <m/>
    <m/>
    <m/>
    <m/>
    <n v="10400"/>
    <n v="10400"/>
    <n v="10400"/>
    <n v="10400"/>
    <n v="10400"/>
    <n v="10400"/>
    <n v="10400"/>
    <n v="10400"/>
  </r>
  <r>
    <n v="270"/>
    <s v="深圳市拓邦自动化技术有限公司"/>
    <s v="重要客户"/>
    <s v="深圳市光耀发展实业有限公司"/>
    <s v="Bill"/>
    <s v="陈博"/>
    <x v="11"/>
    <x v="84"/>
    <m/>
    <x v="0"/>
    <s v="智能马桶（流量计）-恒洁"/>
    <n v="510000"/>
    <s v="批量"/>
    <m/>
    <s v="US2882_TSOT_3L"/>
    <m/>
    <n v="0.17"/>
    <n v="17000"/>
    <m/>
    <n v="100000"/>
    <m/>
    <m/>
    <m/>
    <n v="4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s v="小型家电"/>
    <s v="智能马桶"/>
    <s v="流量计"/>
    <m/>
    <m/>
    <m/>
    <m/>
    <m/>
    <m/>
    <m/>
    <m/>
    <m/>
    <m/>
    <m/>
    <m/>
    <n v="3400.0000000000005"/>
    <n v="3400.0000000000005"/>
    <n v="3400.0000000000005"/>
    <n v="3400.0000000000005"/>
    <n v="3400.0000000000005"/>
    <n v="3400.0000000000005"/>
    <n v="3400.0000000000005"/>
    <n v="3400.0000000000005"/>
  </r>
  <r>
    <n v="271"/>
    <s v="广州飞玛光电科技有限公司"/>
    <s v="一般客户"/>
    <s v="深圳市智芯诚科技有限公司"/>
    <s v="Bill"/>
    <s v="Guo"/>
    <x v="26"/>
    <x v="106"/>
    <s v="NM"/>
    <x v="0"/>
    <s v="摇头灯"/>
    <n v="200000"/>
    <s v="批量"/>
    <s v="已量产"/>
    <s v="无"/>
    <s v="无"/>
    <n v="0.32"/>
    <n v="0"/>
    <m/>
    <n v="0"/>
    <n v="23000"/>
    <n v="23000"/>
    <n v="23000"/>
    <n v="23000"/>
    <n v="23000"/>
    <n v="23000"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7360"/>
    <n v="7360"/>
    <n v="0"/>
    <n v="0"/>
    <n v="0"/>
    <n v="0"/>
    <n v="0"/>
    <n v="0"/>
  </r>
  <r>
    <n v="272"/>
    <s v="深圳市唯真电机发展有限公司"/>
    <s v="一般客户"/>
    <s v="深圳市大凌电子有限公司"/>
    <s v="Bill"/>
    <s v="Shu"/>
    <x v="78"/>
    <x v="83"/>
    <m/>
    <x v="0"/>
    <s v="工缝电机"/>
    <n v="900000"/>
    <s v="评估"/>
    <m/>
    <s v="无"/>
    <m/>
    <n v="0.3"/>
    <n v="33000"/>
    <m/>
    <n v="110000"/>
    <n v="22000"/>
    <n v="22000"/>
    <m/>
    <n v="22000"/>
    <n v="22000"/>
    <n v="22000"/>
    <n v="22000"/>
    <n v="22000"/>
    <n v="22000"/>
    <n v="22000"/>
    <n v="22000"/>
    <n v="22000"/>
    <n v="22000"/>
    <m/>
    <m/>
    <m/>
    <m/>
    <m/>
    <m/>
    <m/>
    <m/>
    <m/>
    <m/>
    <m/>
    <m/>
    <s v="Bill"/>
    <s v="3部"/>
    <s v="磁性位置传感器"/>
    <s v="工业和机器人"/>
    <m/>
    <m/>
    <m/>
    <m/>
    <m/>
    <m/>
    <m/>
    <m/>
    <m/>
    <m/>
    <m/>
    <m/>
    <m/>
    <m/>
    <m/>
    <n v="6600"/>
    <n v="6600"/>
    <n v="6600"/>
    <n v="6600"/>
    <n v="6600"/>
    <n v="6600"/>
    <n v="6600"/>
    <n v="6600"/>
  </r>
  <r>
    <n v="273"/>
    <s v="广东锦富智能科技有限公司"/>
    <s v="一般客户"/>
    <s v="深圳市首显电子设计有限公司"/>
    <s v="Bill"/>
    <s v="Suyun.Yan"/>
    <x v="97"/>
    <x v="31"/>
    <m/>
    <x v="0"/>
    <s v="游戏手柄-霍尔摇杆"/>
    <n v="600000"/>
    <s v="送样"/>
    <s v="现测试未达效果，需要改结构，具体需面谈"/>
    <s v="GH39F"/>
    <m/>
    <n v="0.1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4"/>
    <s v="东莞福哥电子"/>
    <s v="一般客户"/>
    <s v="深圳市首显电子设计有限公司"/>
    <s v="Bill"/>
    <s v="Suyun.Yan"/>
    <x v="97"/>
    <x v="31"/>
    <m/>
    <x v="0"/>
    <s v="游戏手柄-霍尔摇杆"/>
    <n v="500000"/>
    <s v="送样"/>
    <s v="测试通过，项目卡在客户的销售环节，跟进中"/>
    <s v="GH39F"/>
    <m/>
    <n v="0.1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5"/>
    <s v="广东东箭汽车科技股份有限公司"/>
    <s v="一般客户"/>
    <s v="深圳市大凌电子有限公司"/>
    <s v="Bill"/>
    <s v="Shu"/>
    <x v="31"/>
    <x v="33"/>
    <m/>
    <x v="0"/>
    <s v="汽车尾门电机"/>
    <n v="300000"/>
    <s v="批量"/>
    <m/>
    <m/>
    <m/>
    <n v="0.45"/>
    <n v="27000"/>
    <m/>
    <n v="60000"/>
    <n v="12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5400"/>
    <n v="5400"/>
    <n v="5400"/>
    <n v="5400"/>
    <n v="5400"/>
    <n v="5400"/>
    <n v="5400"/>
    <n v="5400"/>
  </r>
  <r>
    <n v="276"/>
    <s v="深圳市三美电子科技有限公司"/>
    <s v="一般客户"/>
    <s v="深圳市首显电子设计有限公司"/>
    <s v="Bill"/>
    <s v="Wayne"/>
    <x v="24"/>
    <x v="25"/>
    <m/>
    <x v="0"/>
    <s v="接近开关"/>
    <n v="240000"/>
    <s v="批量"/>
    <s v="正常下单"/>
    <m/>
    <m/>
    <n v="0.23"/>
    <n v="23000"/>
    <m/>
    <n v="100000"/>
    <n v="2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77"/>
    <s v="德昌电机集团"/>
    <s v="一般客户"/>
    <s v="深圳市首显电子设计有限公司"/>
    <s v="Bill"/>
    <s v="Davy"/>
    <x v="28"/>
    <x v="29"/>
    <m/>
    <x v="0"/>
    <s v="CHARGING LID LOCK "/>
    <n v="110000"/>
    <s v="批量"/>
    <s v="跟进后续需求"/>
    <m/>
    <m/>
    <n v="0.4"/>
    <n v="0"/>
    <m/>
    <n v="0"/>
    <m/>
    <n v="10000"/>
    <n v="10000"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8"/>
    <s v="常州普芝机电有限公司"/>
    <s v="一般客户"/>
    <s v="深圳市首显电子设计有限公司"/>
    <s v="Bill"/>
    <s v="Suzy"/>
    <x v="98"/>
    <x v="107"/>
    <m/>
    <x v="0"/>
    <s v="电摩电机"/>
    <n v="72000"/>
    <s v="批量"/>
    <s v="正常下单"/>
    <m/>
    <m/>
    <n v="0.45"/>
    <n v="13500"/>
    <m/>
    <n v="30000"/>
    <n v="6000"/>
    <n v="6000"/>
    <n v="6000"/>
    <n v="6000"/>
    <n v="6000"/>
    <n v="6000"/>
    <n v="6000"/>
    <n v="6000"/>
    <n v="6000"/>
    <n v="6000"/>
    <n v="6000"/>
    <n v="6000"/>
    <n v="6000"/>
    <m/>
    <m/>
    <m/>
    <m/>
    <m/>
    <m/>
    <m/>
    <m/>
    <m/>
    <m/>
    <m/>
    <m/>
    <s v="Bill"/>
    <s v="3部"/>
    <s v="磁性位置传感器"/>
    <s v="替代交通"/>
    <m/>
    <m/>
    <m/>
    <m/>
    <m/>
    <m/>
    <m/>
    <m/>
    <m/>
    <m/>
    <m/>
    <m/>
    <m/>
    <m/>
    <m/>
    <n v="2700"/>
    <n v="2700"/>
    <n v="2700"/>
    <n v="2700"/>
    <n v="2700"/>
    <n v="2700"/>
    <n v="2700"/>
    <n v="2700"/>
  </r>
  <r>
    <n v="279"/>
    <s v="广州市明电照明科技有限公司"/>
    <s v="一般客户"/>
    <s v="深圳市智芯诚科技有限公司"/>
    <s v="Bill"/>
    <s v="Guo"/>
    <x v="11"/>
    <x v="84"/>
    <m/>
    <x v="0"/>
    <s v="摇头灯"/>
    <n v="100000"/>
    <s v="批量"/>
    <s v="已量产"/>
    <s v="无"/>
    <s v="无"/>
    <n v="0.19"/>
    <n v="11400"/>
    <m/>
    <n v="60000"/>
    <n v="12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80"/>
    <n v="2280"/>
    <n v="2280"/>
    <n v="2280"/>
    <n v="2280"/>
    <n v="2280"/>
    <n v="2280"/>
    <n v="2280"/>
  </r>
  <r>
    <n v="280"/>
    <s v="深圳市力辉电机有限公司"/>
    <s v="一般客户"/>
    <s v="深圳市首显电子设计有限公司"/>
    <s v="Bill"/>
    <s v="Davy"/>
    <x v="19"/>
    <x v="20"/>
    <m/>
    <x v="0"/>
    <s v="汽车座椅电机"/>
    <n v="400000"/>
    <s v="送样"/>
    <s v="跟进后续需求"/>
    <m/>
    <m/>
    <n v="0.62"/>
    <n v="15500"/>
    <m/>
    <n v="25000"/>
    <m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s v="Bill"/>
    <s v="3部"/>
    <s v="磁性位置传感器"/>
    <s v="汽车电子"/>
    <s v="汽车电子"/>
    <s v="智能座舱"/>
    <s v="智能座椅"/>
    <s v="座椅调角电机"/>
    <m/>
    <m/>
    <m/>
    <m/>
    <m/>
    <m/>
    <m/>
    <m/>
    <m/>
    <m/>
    <m/>
    <n v="0"/>
    <n v="3100"/>
    <n v="3100"/>
    <n v="3100"/>
    <n v="3100"/>
    <n v="3100"/>
    <n v="3100"/>
    <n v="3100"/>
  </r>
  <r>
    <n v="281"/>
    <s v="深圳市拓邦自动化技术有限公司"/>
    <s v="重要客户"/>
    <s v="深圳市光耀发展实业有限公司"/>
    <s v="Bill"/>
    <s v="陈博"/>
    <x v="99"/>
    <x v="108"/>
    <m/>
    <x v="0"/>
    <s v="智能马桶（开合盖）-恒洁"/>
    <n v="270000"/>
    <s v="批量"/>
    <m/>
    <m/>
    <m/>
    <n v="0.32"/>
    <n v="14400"/>
    <m/>
    <n v="45000"/>
    <m/>
    <m/>
    <m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s v="Bill"/>
    <s v="3部"/>
    <s v="磁性位置传感器"/>
    <s v="智能家居"/>
    <s v="小型家电"/>
    <s v="智能马桶"/>
    <s v="马桶开盖"/>
    <m/>
    <m/>
    <m/>
    <m/>
    <m/>
    <m/>
    <m/>
    <m/>
    <m/>
    <m/>
    <m/>
    <m/>
    <n v="2880"/>
    <n v="2880"/>
    <n v="2880"/>
    <n v="2880"/>
    <n v="2880"/>
    <n v="2880"/>
    <n v="2880"/>
    <n v="2880"/>
  </r>
  <r>
    <n v="282"/>
    <s v=" _x0009_深圳市博海威电子科技有限公司"/>
    <s v="一般客户"/>
    <s v="深圳市光耀发展实业有限公司"/>
    <s v="Bill"/>
    <s v="陈博"/>
    <x v="100"/>
    <x v="109"/>
    <m/>
    <x v="0"/>
    <s v="电动工具扳值位置检测"/>
    <n v="40000"/>
    <s v="批量"/>
    <m/>
    <m/>
    <m/>
    <n v="0.54"/>
    <n v="8100.0000000000009"/>
    <m/>
    <n v="15000"/>
    <m/>
    <m/>
    <m/>
    <n v="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磁性位置传感器"/>
    <s v="工业和机器人"/>
    <s v="电动工具"/>
    <s v="位置开关"/>
    <s v="接近开关"/>
    <m/>
    <m/>
    <m/>
    <m/>
    <m/>
    <m/>
    <m/>
    <m/>
    <m/>
    <m/>
    <m/>
    <m/>
    <n v="1620"/>
    <n v="1620"/>
    <n v="1620"/>
    <n v="1620"/>
    <n v="1620"/>
    <n v="1620"/>
    <n v="1620"/>
    <n v="1620"/>
  </r>
  <r>
    <n v="283"/>
    <s v="深圳市海富创电子科技有限公司"/>
    <s v="一般客户"/>
    <s v="深圳市首显电子设计有限公司"/>
    <s v="Bill"/>
    <s v="Wayne"/>
    <x v="9"/>
    <x v="9"/>
    <m/>
    <x v="0"/>
    <s v="接近开关"/>
    <n v="36000"/>
    <s v="批量"/>
    <s v="正常下单"/>
    <m/>
    <m/>
    <n v="0.5"/>
    <n v="7500"/>
    <m/>
    <n v="15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500"/>
    <n v="1500"/>
    <n v="1500"/>
    <n v="1500"/>
    <n v="1500"/>
    <n v="1500"/>
    <n v="1500"/>
    <n v="1500"/>
  </r>
  <r>
    <n v="284"/>
    <s v="广州市鸿远电子科技有限公司"/>
    <s v="一般客户"/>
    <s v="深圳市智芯诚科技有限公司"/>
    <s v="Bill"/>
    <s v="Guo"/>
    <x v="26"/>
    <x v="106"/>
    <m/>
    <x v="0"/>
    <s v="摇头灯"/>
    <n v="70000"/>
    <s v="批量"/>
    <s v="已量产"/>
    <s v="无"/>
    <s v="无"/>
    <n v="0.19"/>
    <n v="0"/>
    <m/>
    <n v="0"/>
    <n v="7000"/>
    <n v="7000"/>
    <n v="7000"/>
    <n v="7000"/>
    <n v="7000"/>
    <n v="7000"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330"/>
    <n v="1330"/>
    <n v="0"/>
    <n v="0"/>
    <n v="0"/>
    <n v="0"/>
    <n v="0"/>
    <n v="0"/>
  </r>
  <r>
    <n v="285"/>
    <s v="广州飞玛光电科技有限公司"/>
    <s v="一般客户"/>
    <s v="深圳市智芯诚科技有限公司"/>
    <s v="Bill"/>
    <s v="Guo"/>
    <x v="24"/>
    <x v="25"/>
    <m/>
    <x v="0"/>
    <s v="摇头灯"/>
    <n v="10000"/>
    <s v="批量"/>
    <s v="已量产"/>
    <s v="无"/>
    <s v="无"/>
    <n v="0.3"/>
    <n v="1725"/>
    <m/>
    <n v="5750"/>
    <n v="1150"/>
    <n v="1150"/>
    <n v="1150"/>
    <n v="1150"/>
    <n v="1150"/>
    <n v="1150"/>
    <n v="1150"/>
    <n v="1150"/>
    <n v="1150"/>
    <n v="1150"/>
    <n v="1150"/>
    <n v="1150"/>
    <n v="115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45"/>
    <n v="345"/>
    <n v="345"/>
    <n v="345"/>
    <n v="345"/>
    <n v="345"/>
    <n v="345"/>
    <n v="345"/>
  </r>
  <r>
    <n v="286"/>
    <s v="深圳市鸿飞机电科技有限公司"/>
    <s v="一般客户"/>
    <s v="深圳市大凌电子有限公司"/>
    <s v="Bill"/>
    <s v="Chen"/>
    <x v="11"/>
    <x v="84"/>
    <m/>
    <x v="0"/>
    <s v="散热风扇"/>
    <n v="3000000"/>
    <s v="评估"/>
    <m/>
    <s v="SDC177"/>
    <m/>
    <n v="0.1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7"/>
    <s v="深圳市凯创德科技有限公司"/>
    <s v="一般客户"/>
    <s v="深圳市大凌电子有限公司"/>
    <s v="Bill"/>
    <s v="Ma"/>
    <x v="101"/>
    <x v="110"/>
    <m/>
    <x v="0"/>
    <s v="电动牙刷电机方案"/>
    <m/>
    <s v="送样"/>
    <m/>
    <s v="MT9101DT"/>
    <m/>
    <n v="0.2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8"/>
    <s v="东莞市臻智慧电子有限公司"/>
    <s v="一般客户"/>
    <s v="深圳市大凌电子有限公司"/>
    <s v="Bill"/>
    <s v="Ma"/>
    <x v="17"/>
    <x v="18"/>
    <m/>
    <x v="0"/>
    <s v="玩具"/>
    <n v="1000000"/>
    <s v="送样"/>
    <m/>
    <m/>
    <m/>
    <n v="0.11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9"/>
    <s v="上海飞智电子科技有限公司"/>
    <s v="战略客户"/>
    <s v="深圳市大凌电子有限公司"/>
    <s v="Bill"/>
    <s v="Shu"/>
    <x v="102"/>
    <x v="111"/>
    <m/>
    <x v="0"/>
    <s v="磁轴键盘，游戏手柄"/>
    <n v="3000000"/>
    <s v="送样"/>
    <m/>
    <s v="CH605"/>
    <m/>
    <n v="0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0"/>
    <s v="深圳市万至达电机制造有限公司"/>
    <s v="一般客户"/>
    <s v="深圳市大凌电子有限公司"/>
    <s v="Bill"/>
    <s v="Shu"/>
    <x v="101"/>
    <x v="110"/>
    <m/>
    <x v="0"/>
    <s v="电动牙刷电机方案，无刷电机"/>
    <m/>
    <s v="送样"/>
    <m/>
    <s v="MT9103DT"/>
    <m/>
    <n v="0.2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1"/>
    <s v="深圳市星闪悦动科技有限公司"/>
    <s v="一般客户"/>
    <s v="深圳市大凌电子有限公司"/>
    <s v="Bill"/>
    <s v="Shu"/>
    <x v="103"/>
    <x v="112"/>
    <m/>
    <x v="0"/>
    <s v="键盘方案商"/>
    <n v="100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2"/>
    <s v="深圳市星闪悦动科技有限公司"/>
    <s v="一般客户"/>
    <s v="深圳市大凌电子有限公司"/>
    <s v="Bill"/>
    <s v="Shu"/>
    <x v="102"/>
    <x v="111"/>
    <m/>
    <x v="0"/>
    <s v="键盘方案商"/>
    <n v="50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3"/>
    <s v="深圳市容圆科技有限公司"/>
    <s v="一般客户"/>
    <s v="深圳市大凌电子有限公司"/>
    <s v="Bill"/>
    <s v="Shu"/>
    <x v="103"/>
    <x v="112"/>
    <m/>
    <x v="0"/>
    <s v="键盘方案商"/>
    <n v="10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4"/>
    <s v="深圳市贝盈科技有限公司"/>
    <s v="一般客户"/>
    <s v="深圳市大凌电子有限公司"/>
    <s v="Bill"/>
    <s v="Shu"/>
    <x v="103"/>
    <x v="112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5"/>
    <s v="深圳市贝盈科技有限公司"/>
    <s v="一般客户"/>
    <s v="深圳市大凌电子有限公司"/>
    <s v="Bill"/>
    <s v="Shu"/>
    <x v="104"/>
    <x v="31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6"/>
    <s v="惠州市华密智能科技有限公司"/>
    <s v="一般客户"/>
    <s v="深圳市大凌电子有限公司"/>
    <s v="Bill"/>
    <s v="Shu"/>
    <x v="102"/>
    <x v="111"/>
    <m/>
    <x v="0"/>
    <s v="键盘品牌方（自己方案）"/>
    <n v="20000000"/>
    <s v="送样"/>
    <m/>
    <s v="CH605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7"/>
    <s v="天津市久安科技发展有限公司"/>
    <s v="一般客户"/>
    <s v="深圳市大凌电子有限公司"/>
    <s v="Bill"/>
    <s v="Shu"/>
    <x v="103"/>
    <x v="112"/>
    <m/>
    <x v="0"/>
    <s v="键盘方案商"/>
    <n v="2000000"/>
    <s v="批量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8"/>
    <s v="深圳市和沐科技有限公司"/>
    <s v="一般客户"/>
    <s v="深圳市大凌电子有限公司"/>
    <s v="Bill"/>
    <s v="Shu"/>
    <x v="102"/>
    <x v="111"/>
    <m/>
    <x v="0"/>
    <s v="键盘方案商和品牌方"/>
    <n v="2000000"/>
    <s v="送样"/>
    <m/>
    <s v="MA7919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9"/>
    <s v="深圳市盛牛科技有限公司"/>
    <s v="一般客户"/>
    <s v="深圳市大凌电子有限公司"/>
    <s v="Bill"/>
    <s v="Shu"/>
    <x v="103"/>
    <x v="112"/>
    <m/>
    <x v="0"/>
    <s v="键盘方案商和品牌方"/>
    <n v="2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0"/>
    <s v="深圳市思德创新科技有限公司"/>
    <s v="一般客户"/>
    <s v="深圳市大凌电子有限公司"/>
    <s v="Bill"/>
    <s v="Shu"/>
    <x v="103"/>
    <x v="112"/>
    <m/>
    <x v="0"/>
    <s v="键盘方案商"/>
    <m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1"/>
    <s v="佛山市瀚燊电子科技发展有限公司"/>
    <s v="一般客户"/>
    <s v="深圳市大凌电子有限公司"/>
    <s v="Bill"/>
    <s v="Ma"/>
    <x v="13"/>
    <x v="90"/>
    <m/>
    <x v="0"/>
    <s v="水流量计"/>
    <n v="600000"/>
    <s v="批量"/>
    <m/>
    <s v="易良盛"/>
    <m/>
    <n v="0.18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工业和机器人"/>
    <s v="三表"/>
    <s v="水流量检测"/>
    <s v="水表、气表"/>
    <m/>
    <m/>
    <m/>
    <m/>
    <m/>
    <m/>
    <m/>
    <m/>
    <m/>
    <m/>
    <m/>
    <m/>
    <n v="0"/>
    <n v="0"/>
    <n v="0"/>
    <n v="0"/>
    <n v="0"/>
    <n v="0"/>
    <n v="0"/>
    <n v="0"/>
  </r>
  <r>
    <n v="302"/>
    <s v="深圳市长天智能有限公司"/>
    <s v="一般客户"/>
    <s v="深圳市大凌电子有限公司"/>
    <s v="Bill"/>
    <s v="Shu"/>
    <x v="0"/>
    <x v="0"/>
    <m/>
    <x v="0"/>
    <s v="EMS电流检测"/>
    <n v="100000"/>
    <s v="批量"/>
    <m/>
    <s v="MLX91209"/>
    <m/>
    <n v="2.1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电流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3"/>
    <s v="深圳市矢量科技有限公司"/>
    <s v="一般客户"/>
    <s v="深圳市大凌电子有限公司"/>
    <s v="Bill"/>
    <s v="Shu"/>
    <x v="101"/>
    <x v="110"/>
    <m/>
    <x v="0"/>
    <s v="电动牙刷电机方案"/>
    <m/>
    <s v="送样"/>
    <m/>
    <s v="MT910XDT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0"/>
    <n v="0"/>
    <n v="0"/>
    <n v="0"/>
    <n v="0"/>
    <n v="0"/>
    <n v="0"/>
    <n v="0"/>
  </r>
  <r>
    <n v="304"/>
    <s v="深圳市富士泰科电子有限公司"/>
    <s v="一般客户"/>
    <s v="深圳市大凌电子有限公司"/>
    <s v="Bill"/>
    <s v="Shu"/>
    <x v="105"/>
    <x v="31"/>
    <m/>
    <x v="0"/>
    <s v="高速风筒"/>
    <n v="30000000"/>
    <s v="评估"/>
    <m/>
    <s v="SA2601"/>
    <m/>
    <n v="0.17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电机驱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5"/>
    <s v="宁波柯力传感科技股份有限公司"/>
    <s v="一般客户"/>
    <s v="深圳市大凌电子有限公司"/>
    <s v="Bill"/>
    <s v="Shu"/>
    <x v="103"/>
    <x v="112"/>
    <m/>
    <x v="0"/>
    <s v="防爆开关"/>
    <m/>
    <s v="评估"/>
    <m/>
    <s v="新项目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6"/>
    <s v="东莞市本末科技有限公司"/>
    <s v="战略客户"/>
    <s v="深圳市光耀发展实业有限公司"/>
    <s v="Bill"/>
    <s v="陈博"/>
    <x v="106"/>
    <x v="31"/>
    <m/>
    <x v="0"/>
    <s v="无刷电机位置检测"/>
    <n v="25000000"/>
    <s v="接触"/>
    <s v="6月之前确认结果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307"/>
    <s v="深圳市和生创新技术有限公司"/>
    <s v="重要客户"/>
    <s v="深圳市光耀发展实业有限公司"/>
    <s v="Bill"/>
    <s v="陈博"/>
    <x v="17"/>
    <x v="18"/>
    <m/>
    <x v="0"/>
    <s v="加湿器水位检测—工厂瑞德智能"/>
    <n v="1500000"/>
    <s v="送样"/>
    <s v="009案子重新验证"/>
    <m/>
    <m/>
    <n v="0.13"/>
    <n v="13000"/>
    <m/>
    <n v="100000"/>
    <m/>
    <m/>
    <m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308"/>
    <s v="深圳市浦瑞克机电技术有限公司"/>
    <s v="一般客户"/>
    <s v="深圳市光耀发展实业有限公司"/>
    <s v="Bill"/>
    <m/>
    <x v="11"/>
    <x v="84"/>
    <m/>
    <x v="0"/>
    <s v="无刷电机定位"/>
    <m/>
    <s v="送样"/>
    <s v="等新案子机会"/>
    <m/>
    <m/>
    <n v="0.17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9"/>
    <s v="中山澳多电子科技有限公司"/>
    <s v="重要客户"/>
    <s v="南京富聚科技有限公司"/>
    <s v="Bill"/>
    <m/>
    <x v="24"/>
    <x v="25"/>
    <m/>
    <x v="0"/>
    <s v="尾门电机"/>
    <n v="400000"/>
    <s v="批量"/>
    <m/>
    <m/>
    <m/>
    <n v="0.4"/>
    <n v="60000"/>
    <m/>
    <n v="150000"/>
    <m/>
    <m/>
    <m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310"/>
    <s v="中山澳多科技有限公司"/>
    <s v="重要客户"/>
    <s v="南京富聚科技有限公司"/>
    <s v="Bill"/>
    <m/>
    <x v="23"/>
    <x v="24"/>
    <m/>
    <x v="0"/>
    <s v="转向锁"/>
    <n v="100000"/>
    <s v="批量"/>
    <m/>
    <m/>
    <m/>
    <n v="0.5"/>
    <n v="25000"/>
    <m/>
    <n v="50000"/>
    <m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汽车电子"/>
    <m/>
    <m/>
    <m/>
    <m/>
    <m/>
    <m/>
    <m/>
    <m/>
    <m/>
    <m/>
    <m/>
    <m/>
    <m/>
    <m/>
    <m/>
    <n v="0"/>
    <n v="5000"/>
    <n v="5000"/>
    <n v="5000"/>
    <n v="5000"/>
    <n v="5000"/>
    <n v="5000"/>
    <n v="5000"/>
  </r>
  <r>
    <n v="311"/>
    <s v="云鲸智能（深圳）有限公司"/>
    <s v="重要客户"/>
    <s v="深圳市蓝东明科技有限公司"/>
    <s v="Bill"/>
    <m/>
    <x v="11"/>
    <x v="84"/>
    <m/>
    <x v="0"/>
    <s v="扫地机三相无刷电机"/>
    <m/>
    <s v="批量"/>
    <m/>
    <m/>
    <m/>
    <n v="0.13"/>
    <n v="520000"/>
    <m/>
    <n v="4000000"/>
    <m/>
    <m/>
    <m/>
    <n v="800000"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04000"/>
    <n v="104000"/>
    <n v="104000"/>
    <n v="104000"/>
    <n v="104000"/>
    <n v="104000"/>
    <n v="104000"/>
    <n v="104000"/>
  </r>
  <r>
    <n v="312"/>
    <s v="深圳市创科维信电子有限公司"/>
    <s v="重要客户"/>
    <s v="深圳市蓝东明科技有限公司"/>
    <s v="Bill"/>
    <m/>
    <x v="11"/>
    <x v="84"/>
    <m/>
    <x v="0"/>
    <s v="电机方案商"/>
    <m/>
    <s v="批量"/>
    <m/>
    <m/>
    <m/>
    <n v="0.13"/>
    <n v="325000"/>
    <m/>
    <n v="2500000"/>
    <m/>
    <m/>
    <m/>
    <n v="500000"/>
    <n v="500000"/>
    <n v="500000"/>
    <n v="500000"/>
    <n v="500000"/>
    <n v="500000"/>
    <n v="500000"/>
    <n v="500000"/>
    <n v="500000"/>
    <n v="5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313"/>
    <s v="深圳市银色风暴科技有限公司"/>
    <s v="战略客户"/>
    <s v="东莞市永巨科技有限公司"/>
    <s v="Harry"/>
    <s v="Harry"/>
    <x v="107"/>
    <x v="113"/>
    <n v="4923"/>
    <x v="2"/>
    <s v="磁轴键盘"/>
    <m/>
    <m/>
    <m/>
    <m/>
    <m/>
    <n v="0.4"/>
    <n v="8000000"/>
    <n v="12680000"/>
    <n v="20000000"/>
    <m/>
    <m/>
    <m/>
    <n v="1000000"/>
    <n v="3700000"/>
    <n v="4000000"/>
    <n v="4000000"/>
    <n v="4000000"/>
    <n v="4000000"/>
    <n v="4000000"/>
    <n v="4000000"/>
    <n v="4000000"/>
    <n v="4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480000"/>
    <n v="1600000"/>
    <n v="1600000"/>
    <n v="1600000"/>
    <n v="1600000"/>
    <n v="1600000"/>
    <n v="1600000"/>
    <n v="1600000"/>
  </r>
  <r>
    <n v="314"/>
    <s v="深圳市银色风暴科技有限公司"/>
    <s v="战略客户"/>
    <s v="东莞市永巨科技有限公司"/>
    <s v="Harry"/>
    <s v="Harry"/>
    <x v="108"/>
    <x v="114"/>
    <n v="4391"/>
    <x v="2"/>
    <s v="磁轴键盘"/>
    <m/>
    <m/>
    <m/>
    <m/>
    <m/>
    <n v="1"/>
    <n v="6000000"/>
    <n v="14400000"/>
    <n v="6000000"/>
    <m/>
    <m/>
    <m/>
    <m/>
    <n v="1000000"/>
    <m/>
    <m/>
    <m/>
    <m/>
    <n v="2000000"/>
    <n v="2000000"/>
    <n v="2000000"/>
    <n v="2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000000"/>
    <n v="0"/>
    <n v="0"/>
    <n v="0"/>
    <n v="0"/>
    <n v="2000000"/>
    <n v="2000000"/>
    <n v="2000000"/>
  </r>
  <r>
    <n v="315"/>
    <s v="深圳市银色风暴科技有限公司"/>
    <s v="战略客户"/>
    <s v="东莞市永巨科技有限公司"/>
    <s v="Harry"/>
    <s v="Harry"/>
    <x v="109"/>
    <x v="115"/>
    <n v="4823"/>
    <x v="0"/>
    <s v="磁轴键盘"/>
    <m/>
    <m/>
    <m/>
    <m/>
    <m/>
    <n v="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6"/>
    <s v="深圳思维奇电子科技有限公司"/>
    <s v="重要客户"/>
    <s v="深圳思维奇电子科技有限公司"/>
    <s v="Harry"/>
    <s v="Harry"/>
    <x v="107"/>
    <x v="113"/>
    <n v="4923"/>
    <x v="0"/>
    <s v="磁轴键盘"/>
    <m/>
    <m/>
    <m/>
    <m/>
    <m/>
    <n v="0.4"/>
    <n v="2400000"/>
    <n v="6400000"/>
    <n v="6000000"/>
    <m/>
    <m/>
    <m/>
    <m/>
    <n v="2000000"/>
    <m/>
    <m/>
    <m/>
    <m/>
    <n v="2000000"/>
    <n v="2000000"/>
    <n v="2000000"/>
    <n v="2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800000"/>
    <n v="0"/>
    <n v="0"/>
    <n v="0"/>
    <n v="0"/>
    <n v="800000"/>
    <n v="800000"/>
    <n v="800000"/>
  </r>
  <r>
    <n v="317"/>
    <s v="深圳思维奇电子科技有限公司"/>
    <s v="重要客户"/>
    <s v="深圳思维奇电子科技有限公司"/>
    <s v="Harry"/>
    <s v="Harry"/>
    <x v="109"/>
    <x v="115"/>
    <n v="4823"/>
    <x v="0"/>
    <s v="磁轴键盘"/>
    <m/>
    <m/>
    <m/>
    <m/>
    <m/>
    <n v="0.5"/>
    <n v="15000000"/>
    <n v="30000000"/>
    <n v="30000000"/>
    <m/>
    <m/>
    <m/>
    <m/>
    <n v="0"/>
    <n v="0"/>
    <m/>
    <m/>
    <m/>
    <n v="10000000"/>
    <n v="10000000"/>
    <n v="10000000"/>
    <n v="10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5000000"/>
    <n v="5000000"/>
    <n v="5000000"/>
  </r>
  <r>
    <n v="318"/>
    <s v="深圳意义之塔科技有限公司"/>
    <s v="重要客户"/>
    <s v="深圳意义之塔科技有限公司"/>
    <s v="Harry"/>
    <s v="Harry"/>
    <x v="110"/>
    <x v="116"/>
    <n v="4015"/>
    <x v="0"/>
    <m/>
    <m/>
    <m/>
    <m/>
    <m/>
    <m/>
    <n v="0.26500000000000001"/>
    <n v="2650000"/>
    <m/>
    <n v="10000000"/>
    <m/>
    <m/>
    <m/>
    <m/>
    <m/>
    <n v="2000000"/>
    <n v="2000000"/>
    <n v="2000000"/>
    <n v="2000000"/>
    <n v="2000000"/>
    <n v="2000000"/>
    <n v="2000000"/>
    <n v="2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n v="530000"/>
    <n v="530000"/>
    <n v="530000"/>
    <n v="530000"/>
    <n v="530000"/>
    <n v="530000"/>
    <n v="530000"/>
  </r>
  <r>
    <n v="319"/>
    <s v="华奋达（东莞）科技有限公司"/>
    <s v="重要客户"/>
    <s v="广东长耀光电科技有限公司"/>
    <s v="Harry"/>
    <s v="Harry"/>
    <x v="111"/>
    <x v="117"/>
    <s v="CY19S"/>
    <x v="3"/>
    <s v="磁轴键盘"/>
    <m/>
    <m/>
    <m/>
    <m/>
    <m/>
    <n v="0.14000000000000001"/>
    <n v="2100000"/>
    <n v="5600000.0000000009"/>
    <n v="15000000"/>
    <m/>
    <m/>
    <m/>
    <m/>
    <n v="5000000"/>
    <m/>
    <m/>
    <m/>
    <m/>
    <n v="5000000"/>
    <n v="5000000"/>
    <n v="5000000"/>
    <n v="5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700000.00000000012"/>
    <n v="0"/>
    <n v="0"/>
    <n v="0"/>
    <n v="0"/>
    <n v="700000.00000000012"/>
    <n v="700000.00000000012"/>
    <n v="700000.00000000012"/>
  </r>
  <r>
    <n v="320"/>
    <s v="泛仕达机电股份有限公司"/>
    <s v="一般客户"/>
    <s v="深圳市志德机电科技有限公司"/>
    <s v="Harry"/>
    <s v="Harry"/>
    <x v="27"/>
    <x v="81"/>
    <n v="2442"/>
    <x v="0"/>
    <m/>
    <m/>
    <m/>
    <m/>
    <m/>
    <m/>
    <n v="0.28000000000000003"/>
    <n v="210000.00000000003"/>
    <m/>
    <n v="750000"/>
    <m/>
    <m/>
    <m/>
    <m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  <n v="42000.000000000007"/>
    <n v="42000.000000000007"/>
  </r>
  <r>
    <n v="321"/>
    <s v="广东瑞讯电子科技有限公司"/>
    <s v="重要客户"/>
    <s v="深圳市志德机电科技有限公司"/>
    <s v="Harry"/>
    <s v="Harry"/>
    <x v="112"/>
    <x v="118"/>
    <m/>
    <x v="0"/>
    <s v="磁轴键盘"/>
    <m/>
    <m/>
    <m/>
    <m/>
    <m/>
    <n v="1665"/>
    <n v="1040625"/>
    <n v="1665000"/>
    <n v="625"/>
    <m/>
    <m/>
    <m/>
    <n v="125"/>
    <n v="125"/>
    <n v="125"/>
    <n v="125"/>
    <n v="125"/>
    <n v="125"/>
    <n v="125"/>
    <n v="125"/>
    <n v="125"/>
    <n v="125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208125"/>
    <n v="208125"/>
    <n v="208125"/>
    <n v="208125"/>
    <n v="208125"/>
    <n v="208125"/>
    <n v="208125"/>
    <n v="208125"/>
  </r>
  <r>
    <n v="322"/>
    <s v="惠州市立源电器有限公司"/>
    <s v="一般客户"/>
    <s v="深圳市志德机电科技有限公司"/>
    <s v="Harry"/>
    <s v="Harry"/>
    <x v="113"/>
    <x v="119"/>
    <m/>
    <x v="0"/>
    <m/>
    <m/>
    <m/>
    <m/>
    <m/>
    <m/>
    <n v="0.33"/>
    <n v="16500"/>
    <m/>
    <n v="50000"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3300"/>
    <n v="3300"/>
    <n v="3300"/>
    <n v="3300"/>
    <n v="3300"/>
  </r>
  <r>
    <n v="323"/>
    <s v="乐清市三合电子有限公司"/>
    <s v="一般客户"/>
    <s v="深圳市志德机电科技有限公司"/>
    <s v="Harry"/>
    <s v="Harry"/>
    <x v="114"/>
    <x v="120"/>
    <s v="41F"/>
    <x v="0"/>
    <m/>
    <m/>
    <m/>
    <m/>
    <m/>
    <m/>
    <n v="0.2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4"/>
    <s v="乐清市三合电子有限公司"/>
    <s v="一般客户"/>
    <s v="深圳市志德机电科技有限公司"/>
    <s v="Harry"/>
    <s v="Harry"/>
    <x v="115"/>
    <x v="121"/>
    <n v="2546"/>
    <x v="0"/>
    <m/>
    <m/>
    <m/>
    <m/>
    <m/>
    <m/>
    <n v="1.2"/>
    <n v="30000"/>
    <m/>
    <n v="25000"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6000"/>
    <n v="6000"/>
    <n v="6000"/>
    <n v="6000"/>
    <n v="6000"/>
  </r>
  <r>
    <n v="325"/>
    <s v="宁波皓源智能科技有限公司"/>
    <s v="一般客户"/>
    <s v="深圳市志德机电科技有限公司"/>
    <s v="Harry"/>
    <s v="Harry"/>
    <x v="11"/>
    <x v="84"/>
    <n v="2402"/>
    <x v="4"/>
    <m/>
    <m/>
    <m/>
    <m/>
    <m/>
    <m/>
    <n v="0.1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6"/>
    <s v="厦门华联电子股份有限公司"/>
    <s v="一般客户"/>
    <s v="深圳市志德机电科技有限公司"/>
    <s v="Harry"/>
    <s v="Harry"/>
    <x v="18"/>
    <x v="19"/>
    <n v="2462"/>
    <x v="0"/>
    <m/>
    <m/>
    <m/>
    <m/>
    <m/>
    <m/>
    <n v="0.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7"/>
    <s v="厦门市瑞尔特卫浴科技股份有限公司"/>
    <s v="一般客户"/>
    <s v="深圳市志德机电科技有限公司"/>
    <s v="Harry"/>
    <s v="Harry"/>
    <x v="18"/>
    <x v="19"/>
    <n v="2462"/>
    <x v="0"/>
    <m/>
    <m/>
    <m/>
    <m/>
    <m/>
    <m/>
    <n v="0.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8"/>
    <s v="深圳阿比特科技有限公司"/>
    <s v="一般客户"/>
    <s v="深圳市志德机电科技有限公司"/>
    <s v="Harry"/>
    <s v="Harry"/>
    <x v="111"/>
    <x v="122"/>
    <s v="G01M"/>
    <x v="0"/>
    <s v="磁轴键盘"/>
    <m/>
    <m/>
    <m/>
    <m/>
    <m/>
    <n v="0.1400000000000000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9"/>
    <s v="深圳巨力神电气有限公司"/>
    <s v="一般客户"/>
    <s v="深圳市志德机电科技有限公司"/>
    <s v="Harry"/>
    <s v="Harry"/>
    <x v="116"/>
    <x v="123"/>
    <m/>
    <x v="0"/>
    <m/>
    <m/>
    <m/>
    <m/>
    <m/>
    <m/>
    <n v="2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电机编码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0"/>
    <s v="深圳骏飞扬科技有限公司"/>
    <s v="一般客户"/>
    <s v="深圳市志德机电科技有限公司"/>
    <s v="Harry"/>
    <s v="Harry"/>
    <x v="78"/>
    <x v="83"/>
    <n v="2442"/>
    <x v="0"/>
    <m/>
    <m/>
    <m/>
    <m/>
    <m/>
    <m/>
    <n v="0.4"/>
    <n v="480000"/>
    <m/>
    <n v="1200000"/>
    <m/>
    <m/>
    <m/>
    <m/>
    <n v="240000"/>
    <n v="240000"/>
    <n v="240000"/>
    <n v="240000"/>
    <n v="240000"/>
    <n v="240000"/>
    <n v="240000"/>
    <n v="240000"/>
    <n v="24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96000"/>
    <n v="96000"/>
    <n v="96000"/>
    <n v="96000"/>
    <n v="96000"/>
    <n v="96000"/>
    <n v="96000"/>
    <n v="96000"/>
  </r>
  <r>
    <n v="331"/>
    <s v="深圳市华源鑫电器有限公司"/>
    <s v="一般客户"/>
    <s v="深圳市志德机电科技有限公司"/>
    <s v="Harry"/>
    <s v="Harry"/>
    <x v="113"/>
    <x v="119"/>
    <m/>
    <x v="0"/>
    <m/>
    <m/>
    <m/>
    <m/>
    <m/>
    <m/>
    <n v="0.3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2"/>
    <s v="深圳市诺必成电子有限公司"/>
    <s v="一般客户"/>
    <s v="深圳市志德机电科技有限公司"/>
    <s v="Harry"/>
    <s v="Harry"/>
    <x v="11"/>
    <x v="84"/>
    <n v="2402"/>
    <x v="4"/>
    <m/>
    <m/>
    <m/>
    <m/>
    <m/>
    <m/>
    <n v="0.1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3"/>
    <s v="深圳市诺必成电子有限公司"/>
    <s v="一般客户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4"/>
    <s v="深圳市诺必成电子有限公司"/>
    <s v="一般客户"/>
    <s v="深圳市志德机电科技有限公司"/>
    <s v="Harry"/>
    <s v="Harry"/>
    <x v="13"/>
    <x v="13"/>
    <n v="2402"/>
    <x v="0"/>
    <m/>
    <m/>
    <m/>
    <m/>
    <m/>
    <m/>
    <n v="0.16"/>
    <n v="80000"/>
    <m/>
    <n v="500000"/>
    <m/>
    <m/>
    <m/>
    <m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6000"/>
    <n v="16000"/>
    <n v="16000"/>
    <n v="16000"/>
    <n v="16000"/>
    <n v="16000"/>
    <n v="16000"/>
    <n v="16000"/>
  </r>
  <r>
    <n v="335"/>
    <s v="深圳市唯川科技有限公司"/>
    <s v="一般客户"/>
    <s v="深圳市志德机电科技有限公司"/>
    <s v="Harry"/>
    <s v="Harry"/>
    <x v="101"/>
    <x v="110"/>
    <m/>
    <x v="0"/>
    <m/>
    <m/>
    <m/>
    <m/>
    <m/>
    <m/>
    <n v="0.2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6"/>
    <s v="深圳市小龙电器科技有限公司"/>
    <s v="一般客户"/>
    <s v="深圳市志德机电科技有限公司"/>
    <s v="Harry"/>
    <s v="Harry"/>
    <x v="50"/>
    <x v="52"/>
    <m/>
    <x v="0"/>
    <m/>
    <m/>
    <m/>
    <m/>
    <m/>
    <m/>
    <n v="2.9"/>
    <n v="58000"/>
    <m/>
    <n v="20000"/>
    <n v="10000"/>
    <n v="10000"/>
    <m/>
    <n v="10000"/>
    <n v="10000"/>
    <m/>
    <n v="10000"/>
    <m/>
    <n v="10000"/>
    <m/>
    <n v="10000"/>
    <m/>
    <n v="10000"/>
    <m/>
    <m/>
    <m/>
    <m/>
    <m/>
    <m/>
    <m/>
    <m/>
    <m/>
    <m/>
    <m/>
    <m/>
    <m/>
    <s v="3部"/>
    <s v="角度传感器"/>
    <m/>
    <m/>
    <m/>
    <m/>
    <m/>
    <m/>
    <m/>
    <m/>
    <m/>
    <m/>
    <m/>
    <m/>
    <m/>
    <m/>
    <m/>
    <m/>
    <n v="29000"/>
    <n v="0"/>
    <n v="29000"/>
    <n v="0"/>
    <n v="29000"/>
    <n v="0"/>
    <n v="29000"/>
    <n v="0"/>
  </r>
  <r>
    <n v="337"/>
    <s v="深圳市小龙电器科技有限公司"/>
    <s v="一般客户"/>
    <s v="深圳市志德机电科技有限公司"/>
    <s v="Harry"/>
    <s v="Harry"/>
    <x v="68"/>
    <x v="71"/>
    <m/>
    <x v="0"/>
    <m/>
    <m/>
    <m/>
    <m/>
    <m/>
    <m/>
    <n v="2.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8"/>
    <s v="深圳市骏飞阳科技有限公司"/>
    <s v="一般客户"/>
    <s v="深圳市志德机电科技有限公司"/>
    <s v="Harry"/>
    <s v="Harry"/>
    <x v="70"/>
    <x v="92"/>
    <m/>
    <x v="0"/>
    <m/>
    <m/>
    <m/>
    <m/>
    <m/>
    <m/>
    <n v="0.33"/>
    <n v="148500"/>
    <n v="0"/>
    <n v="450000"/>
    <m/>
    <m/>
    <m/>
    <m/>
    <n v="90000"/>
    <n v="90000"/>
    <n v="90000"/>
    <n v="90000"/>
    <n v="90000"/>
    <n v="90000"/>
    <n v="90000"/>
    <n v="90000"/>
    <n v="9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29700"/>
    <n v="29700"/>
    <n v="29700"/>
    <n v="29700"/>
    <n v="29700"/>
    <n v="29700"/>
    <n v="29700"/>
    <n v="29700"/>
  </r>
  <r>
    <n v="339"/>
    <s v="深圳市旭顺电子有限公司"/>
    <s v="一般客户"/>
    <s v="深圳市志德机电科技有限公司"/>
    <s v="Harry"/>
    <s v="Harry"/>
    <x v="70"/>
    <x v="92"/>
    <m/>
    <x v="0"/>
    <m/>
    <m/>
    <m/>
    <m/>
    <m/>
    <m/>
    <n v="0.33"/>
    <n v="99000"/>
    <n v="0"/>
    <n v="300000"/>
    <m/>
    <m/>
    <m/>
    <m/>
    <n v="6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9800"/>
    <n v="19800"/>
    <n v="19800"/>
    <n v="19800"/>
    <n v="19800"/>
    <n v="19800"/>
    <n v="19800"/>
    <n v="19800"/>
  </r>
  <r>
    <n v="340"/>
    <s v="深圳市旭顺电子有限公司"/>
    <s v="一般客户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1"/>
    <s v="深圳市雅腾电机有限公司"/>
    <s v="一般客户"/>
    <s v="深圳市志德机电科技有限公司"/>
    <s v="Harry"/>
    <s v="Harry"/>
    <x v="114"/>
    <x v="120"/>
    <s v="41F"/>
    <x v="0"/>
    <m/>
    <m/>
    <m/>
    <m/>
    <m/>
    <m/>
    <n v="0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2"/>
    <s v="深圳烨昊科技有限公司"/>
    <s v="一般客户"/>
    <s v="深圳市志德机电科技有限公司"/>
    <s v="Harry"/>
    <s v="Harry"/>
    <x v="22"/>
    <x v="23"/>
    <n v="2466"/>
    <x v="0"/>
    <m/>
    <m/>
    <m/>
    <m/>
    <m/>
    <m/>
    <n v="0.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3"/>
    <s v="温州市展芯电子科技有限公司"/>
    <s v="一般客户"/>
    <s v="深圳市志德机电科技有限公司"/>
    <s v="Harry"/>
    <s v="Harry"/>
    <x v="115"/>
    <x v="121"/>
    <n v="2546"/>
    <x v="0"/>
    <m/>
    <m/>
    <m/>
    <m/>
    <m/>
    <m/>
    <n v="1.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4"/>
    <s v="深圳骏飞扬科技有限公司"/>
    <s v="一般客户"/>
    <s v="深圳市志德机电科技有限公司"/>
    <s v="Harry"/>
    <s v="Harry"/>
    <x v="31"/>
    <x v="33"/>
    <n v="2442"/>
    <x v="0"/>
    <m/>
    <m/>
    <m/>
    <m/>
    <m/>
    <m/>
    <n v="0.28000000000000003"/>
    <n v="126000.00000000001"/>
    <m/>
    <n v="450000"/>
    <m/>
    <m/>
    <m/>
    <m/>
    <m/>
    <n v="90000"/>
    <n v="90000"/>
    <n v="90000"/>
    <n v="90000"/>
    <n v="90000"/>
    <n v="90000"/>
    <n v="90000"/>
    <n v="9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25200.000000000004"/>
    <n v="25200.000000000004"/>
    <n v="25200.000000000004"/>
    <n v="25200.000000000004"/>
    <n v="25200.000000000004"/>
    <n v="25200.000000000004"/>
    <n v="25200.000000000004"/>
  </r>
  <r>
    <n v="345"/>
    <s v="深圳市迪美思机电科技有限公司"/>
    <s v="一般客户"/>
    <s v="深圳市志德机电科技有限公司"/>
    <s v="Harry"/>
    <s v="Harry"/>
    <x v="31"/>
    <x v="33"/>
    <n v="2442"/>
    <x v="0"/>
    <m/>
    <m/>
    <m/>
    <m/>
    <m/>
    <m/>
    <n v="0.28000000000000003"/>
    <n v="84000.000000000015"/>
    <m/>
    <n v="300000"/>
    <m/>
    <m/>
    <m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6800"/>
    <n v="16800"/>
    <n v="16800"/>
    <n v="16800"/>
    <n v="16800"/>
    <n v="16800"/>
    <n v="16800"/>
  </r>
  <r>
    <n v="346"/>
    <s v="友贸电机（深圳）有限公司"/>
    <s v="一般客户"/>
    <s v="深圳市志德机电科技有限公司"/>
    <s v="Harry"/>
    <s v="Harry"/>
    <x v="31"/>
    <x v="33"/>
    <n v="2442"/>
    <x v="0"/>
    <m/>
    <m/>
    <m/>
    <m/>
    <m/>
    <m/>
    <n v="0.28000000000000003"/>
    <n v="84000.000000000015"/>
    <m/>
    <n v="300000"/>
    <m/>
    <m/>
    <m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6800"/>
    <n v="16800"/>
    <n v="16800"/>
    <n v="16800"/>
    <n v="16800"/>
    <n v="16800"/>
    <n v="16800"/>
  </r>
  <r>
    <n v="347"/>
    <s v="台州市乐利电子科技有限公司"/>
    <s v="一般客户"/>
    <s v="台州同异元电子科技有限公司"/>
    <s v="Harry"/>
    <s v="Harry"/>
    <x v="81"/>
    <x v="31"/>
    <m/>
    <x v="0"/>
    <m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8"/>
    <s v="安乃达驱动技术（上海）股份有限公司"/>
    <s v="重要客户"/>
    <s v="台州同异元电子科技有限公司"/>
    <s v="Harry"/>
    <s v="Harry"/>
    <x v="117"/>
    <x v="124"/>
    <m/>
    <x v="0"/>
    <m/>
    <m/>
    <m/>
    <m/>
    <m/>
    <m/>
    <n v="0.255"/>
    <n v="4462500"/>
    <n v="0"/>
    <n v="17500000"/>
    <m/>
    <m/>
    <m/>
    <m/>
    <m/>
    <n v="3500000"/>
    <n v="3500000"/>
    <n v="3500000"/>
    <n v="3500000"/>
    <n v="3500000"/>
    <n v="3500000"/>
    <n v="3500000"/>
    <n v="35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892500"/>
    <n v="892500"/>
    <n v="892500"/>
    <n v="892500"/>
    <n v="892500"/>
    <n v="892500"/>
    <n v="892500"/>
  </r>
  <r>
    <n v="349"/>
    <s v="成都市力远新能源电动车有限公司"/>
    <s v="一般客户"/>
    <s v="台州同异元电子科技有限公司"/>
    <s v="Harry"/>
    <s v="Harry"/>
    <x v="118"/>
    <x v="125"/>
    <m/>
    <x v="0"/>
    <m/>
    <m/>
    <m/>
    <m/>
    <m/>
    <m/>
    <n v="0.255"/>
    <n v="3825000"/>
    <n v="0"/>
    <n v="15000000"/>
    <m/>
    <m/>
    <m/>
    <m/>
    <m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765000"/>
    <n v="765000"/>
    <n v="765000"/>
    <n v="765000"/>
    <n v="765000"/>
    <n v="765000"/>
    <n v="765000"/>
  </r>
  <r>
    <n v="350"/>
    <s v="无锡赛盈动力科技有限公司"/>
    <s v="一般客户"/>
    <s v="台州同异元电子科技有限公司"/>
    <s v="Harry"/>
    <s v="Harry"/>
    <x v="119"/>
    <x v="126"/>
    <m/>
    <x v="0"/>
    <m/>
    <m/>
    <m/>
    <m/>
    <m/>
    <m/>
    <n v="0.255"/>
    <n v="382500"/>
    <n v="0"/>
    <n v="1500000"/>
    <m/>
    <m/>
    <m/>
    <m/>
    <m/>
    <n v="1500000"/>
    <n v="1500000"/>
    <n v="150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382500"/>
    <n v="382500"/>
    <n v="382500"/>
    <n v="0"/>
    <n v="0"/>
    <n v="0"/>
    <n v="0"/>
  </r>
  <r>
    <n v="351"/>
    <s v="无锡华芯晟科技有限公司"/>
    <s v="重要客户"/>
    <s v="无锡华芯晟科技有限公司"/>
    <s v="Harry"/>
    <s v="Harry"/>
    <x v="103"/>
    <x v="112"/>
    <s v="49E"/>
    <x v="3"/>
    <m/>
    <m/>
    <m/>
    <m/>
    <m/>
    <m/>
    <n v="0.2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2"/>
    <s v="无锡华芯晟科技有限公司"/>
    <s v="重要客户"/>
    <s v="无锡华芯晟科技有限公司"/>
    <s v="Harry"/>
    <s v="Harry"/>
    <x v="120"/>
    <x v="127"/>
    <s v="41F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3"/>
    <s v="无锡华芯晟科技有限公司"/>
    <s v="重要客户"/>
    <s v="无锡华芯晟科技有限公司"/>
    <s v="Harry"/>
    <s v="Harry"/>
    <x v="120"/>
    <x v="128"/>
    <s v="S41H"/>
    <x v="0"/>
    <m/>
    <m/>
    <m/>
    <m/>
    <m/>
    <m/>
    <n v="0.255"/>
    <n v="1275000"/>
    <n v="5100000"/>
    <n v="5000000"/>
    <m/>
    <m/>
    <m/>
    <m/>
    <n v="2500000"/>
    <n v="2500000"/>
    <n v="2500000"/>
    <n v="2500000"/>
    <n v="2500000"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637500"/>
    <n v="637500"/>
    <n v="637500"/>
    <n v="637500"/>
    <n v="637500"/>
    <n v="0"/>
    <n v="0"/>
    <n v="0"/>
  </r>
  <r>
    <n v="354"/>
    <s v="无锡华芯晟科技有限公司"/>
    <s v="重要客户"/>
    <s v="无锡华芯晟科技有限公司"/>
    <s v="Harry"/>
    <s v="Harry"/>
    <x v="121"/>
    <x v="129"/>
    <s v="41F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5"/>
    <s v="无锡华芯晟科技有限公司"/>
    <s v="重要客户"/>
    <s v="无锡华芯晟科技有限公司"/>
    <s v="Harry"/>
    <s v="Harry"/>
    <x v="121"/>
    <x v="130"/>
    <s v="S41H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6"/>
    <s v="无锡华芯晟科技有限公司"/>
    <s v="重要客户"/>
    <s v="无锡华芯晟科技有限公司"/>
    <s v="Harry"/>
    <s v="Harry"/>
    <x v="122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7"/>
    <s v="无锡华芯晟科技有限公司"/>
    <s v="重要客户"/>
    <s v="无锡华芯晟科技有限公司"/>
    <s v="Harry"/>
    <s v="Harry"/>
    <x v="123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8"/>
    <s v="无锡华芯晟科技有限公司"/>
    <s v="重要客户"/>
    <s v="无锡华芯晟科技有限公司"/>
    <s v="Harry"/>
    <s v="Harry"/>
    <x v="124"/>
    <x v="131"/>
    <s v="41F"/>
    <x v="0"/>
    <m/>
    <m/>
    <m/>
    <m/>
    <m/>
    <m/>
    <n v="0.1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9"/>
    <s v="无锡华芯晟科技有限公司"/>
    <s v="重要客户"/>
    <s v="无锡华芯晟科技有限公司"/>
    <s v="Harry"/>
    <s v="Harry"/>
    <x v="125"/>
    <x v="132"/>
    <s v="42N"/>
    <x v="0"/>
    <m/>
    <m/>
    <m/>
    <m/>
    <m/>
    <m/>
    <n v="0.16"/>
    <n v="0"/>
    <n v="80000"/>
    <n v="0"/>
    <m/>
    <m/>
    <m/>
    <m/>
    <n v="500000"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80000"/>
    <n v="0"/>
    <n v="0"/>
    <n v="0"/>
    <n v="0"/>
    <n v="0"/>
    <n v="0"/>
    <n v="0"/>
  </r>
  <r>
    <n v="360"/>
    <s v="无锡华芯晟科技有限公司"/>
    <s v="重要客户"/>
    <s v="无锡华芯晟科技有限公司"/>
    <s v="Harry"/>
    <s v="Harry"/>
    <x v="26"/>
    <x v="133"/>
    <s v="43F"/>
    <x v="6"/>
    <m/>
    <m/>
    <m/>
    <m/>
    <m/>
    <m/>
    <n v="0.26500000000000001"/>
    <n v="201400"/>
    <n v="805600"/>
    <n v="760000"/>
    <m/>
    <m/>
    <m/>
    <m/>
    <n v="380000"/>
    <n v="380000"/>
    <n v="380000"/>
    <n v="380000"/>
    <n v="380000"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00700"/>
    <n v="100700"/>
    <n v="100700"/>
    <n v="100700"/>
    <n v="100700"/>
    <n v="0"/>
    <n v="0"/>
    <n v="0"/>
  </r>
  <r>
    <n v="361"/>
    <s v="无锡华芯晟科技有限公司"/>
    <s v="重要客户"/>
    <s v="无锡华芯晟科技有限公司"/>
    <s v="Harry"/>
    <s v="Harry"/>
    <x v="13"/>
    <x v="134"/>
    <s v="U18"/>
    <x v="7"/>
    <m/>
    <m/>
    <m/>
    <m/>
    <m/>
    <m/>
    <n v="0.155"/>
    <n v="0"/>
    <n v="310000"/>
    <n v="0"/>
    <m/>
    <m/>
    <m/>
    <m/>
    <n v="1000000"/>
    <m/>
    <n v="1000000"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55000"/>
    <n v="0"/>
    <n v="155000"/>
    <n v="0"/>
    <n v="0"/>
    <n v="0"/>
    <n v="0"/>
    <n v="0"/>
  </r>
  <r>
    <n v="362"/>
    <s v="无锡华芯晟科技有限公司"/>
    <s v="重要客户"/>
    <s v="无锡华芯晟科技有限公司"/>
    <s v="Harry"/>
    <s v="Harry"/>
    <x v="11"/>
    <x v="135"/>
    <n v="6571"/>
    <x v="8"/>
    <m/>
    <m/>
    <m/>
    <m/>
    <m/>
    <m/>
    <n v="0.1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3"/>
    <s v="无锡华芯晟科技有限公司"/>
    <s v="重要客户"/>
    <s v="无锡华芯晟科技有限公司"/>
    <s v="Harry"/>
    <s v="Harry"/>
    <x v="13"/>
    <x v="136"/>
    <n v="6501"/>
    <x v="7"/>
    <m/>
    <m/>
    <m/>
    <m/>
    <m/>
    <m/>
    <n v="0.155"/>
    <n v="155000"/>
    <n v="0"/>
    <n v="1000000"/>
    <m/>
    <m/>
    <m/>
    <m/>
    <m/>
    <m/>
    <m/>
    <n v="100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155000"/>
    <n v="0"/>
    <n v="0"/>
    <n v="0"/>
    <n v="0"/>
  </r>
  <r>
    <n v="364"/>
    <s v="无锡华芯晟科技有限公司"/>
    <s v="重要客户"/>
    <s v="无锡华芯晟科技有限公司"/>
    <s v="Harry"/>
    <s v="Harry"/>
    <x v="11"/>
    <x v="31"/>
    <n v="6501"/>
    <x v="7"/>
    <m/>
    <m/>
    <m/>
    <m/>
    <m/>
    <m/>
    <n v="0.1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5"/>
    <s v="无锡华芯晟科技有限公司"/>
    <s v="重要客户"/>
    <s v="无锡华芯晟科技有限公司"/>
    <s v="Harry"/>
    <s v="Harry"/>
    <x v="126"/>
    <x v="137"/>
    <n v="6210"/>
    <x v="0"/>
    <m/>
    <m/>
    <m/>
    <m/>
    <m/>
    <m/>
    <n v="0.31"/>
    <n v="0"/>
    <n v="372000"/>
    <n v="0"/>
    <m/>
    <m/>
    <m/>
    <m/>
    <n v="400000"/>
    <m/>
    <n v="400000"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24000"/>
    <n v="0"/>
    <n v="124000"/>
    <n v="0"/>
    <n v="0"/>
    <n v="0"/>
    <n v="0"/>
    <n v="0"/>
  </r>
  <r>
    <n v="366"/>
    <s v="无锡华芯晟科技有限公司"/>
    <s v="重要客户"/>
    <s v="无锡华芯晟科技有限公司"/>
    <s v="Harry"/>
    <s v="Harry"/>
    <x v="127"/>
    <x v="138"/>
    <s v="61H"/>
    <x v="0"/>
    <m/>
    <m/>
    <m/>
    <m/>
    <m/>
    <m/>
    <n v="0.28499999999999998"/>
    <n v="0"/>
    <n v="320625"/>
    <n v="0"/>
    <m/>
    <m/>
    <m/>
    <m/>
    <n v="1125000"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320625"/>
    <n v="0"/>
    <n v="0"/>
    <n v="0"/>
    <n v="0"/>
    <n v="0"/>
    <n v="0"/>
    <n v="0"/>
  </r>
  <r>
    <n v="367"/>
    <s v="无锡华芯晟科技有限公司"/>
    <s v="重要客户"/>
    <s v="无锡华芯晟科技有限公司"/>
    <s v="Harry"/>
    <s v="Harry"/>
    <x v="128"/>
    <x v="139"/>
    <s v="S21C"/>
    <x v="0"/>
    <m/>
    <m/>
    <m/>
    <m/>
    <m/>
    <m/>
    <n v="0.28499999999999998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8"/>
    <s v="无锡华芯晟科技有限公司"/>
    <s v="重要客户"/>
    <s v="无锡华芯晟科技有限公司"/>
    <s v="Harry"/>
    <s v="Harry"/>
    <x v="32"/>
    <x v="34"/>
    <n v="6388"/>
    <x v="0"/>
    <m/>
    <m/>
    <m/>
    <m/>
    <m/>
    <m/>
    <n v="1.9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9"/>
    <s v="无锡华芯晟科技有限公司"/>
    <s v="重要客户"/>
    <s v="无锡华芯晟科技有限公司"/>
    <s v="Harry"/>
    <s v="Harry"/>
    <x v="129"/>
    <x v="140"/>
    <n v="6232"/>
    <x v="0"/>
    <m/>
    <m/>
    <m/>
    <m/>
    <m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0"/>
    <s v="无锡华芯晟科技有限公司"/>
    <s v="重要客户"/>
    <s v="无锡华芯晟科技有限公司"/>
    <s v="Harry"/>
    <s v="Harry"/>
    <x v="87"/>
    <x v="141"/>
    <n v="6472"/>
    <x v="0"/>
    <m/>
    <m/>
    <m/>
    <m/>
    <m/>
    <m/>
    <n v="0.26"/>
    <n v="104000"/>
    <n v="312000"/>
    <n v="400000"/>
    <m/>
    <m/>
    <m/>
    <m/>
    <m/>
    <n v="400000"/>
    <n v="400000"/>
    <n v="40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04000"/>
    <n v="104000"/>
    <n v="104000"/>
    <n v="0"/>
    <n v="0"/>
    <n v="0"/>
    <n v="0"/>
  </r>
  <r>
    <n v="371"/>
    <s v="无锡友创电子有限公司"/>
    <s v="一般客户"/>
    <s v="无锡友创电子有限公司"/>
    <s v="Harry"/>
    <s v="Harry"/>
    <x v="81"/>
    <x v="31"/>
    <m/>
    <x v="0"/>
    <m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2"/>
    <s v="南京博士朗新能源科技有限公司"/>
    <s v="一般客户"/>
    <s v="常州迈莱芯电子有限公司"/>
    <s v="Alex"/>
    <m/>
    <x v="73"/>
    <x v="76"/>
    <n v="4689"/>
    <x v="0"/>
    <m/>
    <s v="电子油门踏板，奇瑞和哪吒"/>
    <n v="3000000"/>
    <s v="无"/>
    <s v="HAL888"/>
    <s v="NA"/>
    <n v="2.4"/>
    <n v="1080000"/>
    <n v="1320000"/>
    <n v="450000"/>
    <n v="0"/>
    <n v="0"/>
    <n v="0"/>
    <n v="0"/>
    <n v="0"/>
    <n v="50000"/>
    <n v="50000"/>
    <n v="50000"/>
    <n v="100000"/>
    <n v="100000"/>
    <n v="100000"/>
    <n v="100000"/>
    <n v="100000"/>
    <m/>
    <m/>
    <m/>
    <m/>
    <m/>
    <m/>
    <m/>
    <m/>
    <m/>
    <m/>
    <m/>
    <m/>
    <s v="Alex"/>
    <s v="1部"/>
    <s v="角度传感器"/>
    <s v="汽车电子"/>
    <s v="安全与智驾"/>
    <s v="油门踏板"/>
    <m/>
    <s v="奇瑞"/>
    <s v="T19"/>
    <m/>
    <n v="2"/>
    <m/>
    <d v="2023-10-20T00:00:00"/>
    <d v="2023-10-25T00:00:00"/>
    <d v="2024-02-02T00:00:00"/>
    <d v="2024-04-02T00:00:00"/>
    <d v="2024-05-02T00:00:00"/>
    <n v="0.8"/>
    <m/>
    <n v="0"/>
    <n v="120000"/>
    <n v="120000"/>
    <n v="120000"/>
    <n v="240000"/>
    <n v="240000"/>
    <n v="240000"/>
    <n v="240000"/>
  </r>
  <r>
    <n v="373"/>
    <s v="江苏恒立液压股份有限公司"/>
    <s v="一般客户"/>
    <s v="常州迈莱芯电子有限公司"/>
    <s v="Alex"/>
    <m/>
    <x v="130"/>
    <x v="142"/>
    <n v="4616"/>
    <x v="0"/>
    <m/>
    <s v="直线位置检测，大型液压油缸行程位置检测"/>
    <n v="20000000"/>
    <s v="目前已经完成小批量验证，无问题。"/>
    <s v="无"/>
    <s v="无"/>
    <n v="0.54"/>
    <n v="1080000"/>
    <n v="1517400"/>
    <n v="2000000"/>
    <n v="0"/>
    <n v="0"/>
    <n v="10000"/>
    <n v="10000"/>
    <n v="10000"/>
    <n v="400000"/>
    <n v="400000"/>
    <n v="400000"/>
    <n v="400000"/>
    <n v="400000"/>
    <n v="400000"/>
    <n v="400000"/>
    <n v="400000"/>
    <m/>
    <m/>
    <m/>
    <m/>
    <m/>
    <m/>
    <m/>
    <m/>
    <m/>
    <m/>
    <m/>
    <m/>
    <s v="Alex"/>
    <s v="1部"/>
    <s v="电流传感器"/>
    <s v="工业和机器人"/>
    <s v="其他_3"/>
    <m/>
    <m/>
    <s v="恒立液压股份"/>
    <m/>
    <s v="NA"/>
    <n v="192"/>
    <m/>
    <d v="2023-08-27T00:00:00"/>
    <d v="2023-09-18T00:00:00"/>
    <d v="2023-11-10T00:00:00"/>
    <d v="2023-12-30T00:00:00"/>
    <d v="2024-06-30T00:00:00"/>
    <n v="1"/>
    <m/>
    <n v="5400"/>
    <n v="216000"/>
    <n v="216000"/>
    <n v="216000"/>
    <n v="216000"/>
    <n v="216000"/>
    <n v="216000"/>
    <n v="216000"/>
  </r>
  <r>
    <n v="374"/>
    <s v="南京奥联汽车电子电器股份有限公司"/>
    <s v="重要客户"/>
    <s v="南京奥联汽车电子电器股份有限公司"/>
    <s v="Alex"/>
    <m/>
    <x v="131"/>
    <x v="143"/>
    <s v="1430QC5"/>
    <x v="0"/>
    <m/>
    <s v="电子换挡器、怀挡、组合开关电源转换"/>
    <n v="500000"/>
    <s v="客户成本太低，并且量少，切换动力不足。只能在新项目上看是否有机会"/>
    <s v="LN2054YQ1"/>
    <n v="1.4"/>
    <n v="1.2"/>
    <n v="20400"/>
    <n v="21600"/>
    <n v="17000"/>
    <n v="0"/>
    <n v="0"/>
    <n v="0"/>
    <n v="0"/>
    <n v="0"/>
    <n v="0"/>
    <n v="1000"/>
    <n v="1000"/>
    <n v="1000"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安全与智驾"/>
    <s v="换挡传感器"/>
    <m/>
    <m/>
    <m/>
    <m/>
    <n v="1"/>
    <m/>
    <m/>
    <m/>
    <m/>
    <m/>
    <m/>
    <s v="NA"/>
    <m/>
    <n v="0"/>
    <n v="0"/>
    <n v="1200"/>
    <n v="1200"/>
    <n v="1200"/>
    <n v="6000"/>
    <n v="6000"/>
    <n v="6000"/>
  </r>
  <r>
    <n v="375"/>
    <s v="南京奥联汽车电子电器股份有限公司"/>
    <s v="重要客户"/>
    <s v="南京奥联汽车电子电器股份有限公司"/>
    <s v="Alex"/>
    <m/>
    <x v="75"/>
    <x v="79"/>
    <n v="69401"/>
    <x v="0"/>
    <m/>
    <s v="第三代电子油门踏板，目前还在DV实验中，未定点"/>
    <n v="1000000"/>
    <s v="无 "/>
    <m/>
    <n v="6.9"/>
    <n v="6.5"/>
    <n v="32500"/>
    <n v="39000"/>
    <n v="5000"/>
    <n v="0"/>
    <n v="0"/>
    <n v="0"/>
    <n v="0"/>
    <n v="0"/>
    <n v="0"/>
    <n v="1000"/>
    <n v="1000"/>
    <n v="1000"/>
    <n v="1000"/>
    <n v="1000"/>
    <n v="1000"/>
    <n v="1000"/>
    <m/>
    <m/>
    <m/>
    <m/>
    <m/>
    <m/>
    <m/>
    <m/>
    <m/>
    <m/>
    <m/>
    <m/>
    <s v="Serge"/>
    <s v="1部"/>
    <s v="角度传感器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0"/>
    <n v="0"/>
    <n v="6500"/>
    <n v="6500"/>
    <n v="6500"/>
    <n v="6500"/>
    <n v="6500"/>
    <n v="6500"/>
  </r>
  <r>
    <n v="376"/>
    <s v="南京奥联汽车电子电器股份有限公司"/>
    <s v="重要客户"/>
    <s v="南京奥联汽车电子电器股份有限公司"/>
    <s v="Alex"/>
    <m/>
    <x v="4"/>
    <x v="4"/>
    <n v="69401"/>
    <x v="0"/>
    <m/>
    <s v="商用车电子节气门，一汽解放定点项目"/>
    <n v="100000"/>
    <s v="目前已经开始PV，无问题"/>
    <s v="MLX90365"/>
    <m/>
    <n v="4.5"/>
    <n v="22500"/>
    <n v="27000"/>
    <n v="5000"/>
    <n v="0"/>
    <n v="0"/>
    <n v="0"/>
    <n v="0"/>
    <n v="0"/>
    <n v="0"/>
    <n v="1000"/>
    <n v="1000"/>
    <n v="1000"/>
    <n v="1000"/>
    <n v="1000"/>
    <n v="1000"/>
    <n v="1000"/>
    <m/>
    <m/>
    <m/>
    <m/>
    <m/>
    <m/>
    <m/>
    <m/>
    <m/>
    <m/>
    <m/>
    <m/>
    <s v="Serge"/>
    <s v="1部"/>
    <s v="角度传感器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0"/>
    <n v="0"/>
    <n v="4500"/>
    <n v="4500"/>
    <n v="4500"/>
    <n v="4500"/>
    <n v="4500"/>
    <n v="4500"/>
  </r>
  <r>
    <n v="377"/>
    <s v="南京奥联汽车电子电器股份有限公司"/>
    <s v="重要客户"/>
    <s v="南京亿力胜电子科技有限公司"/>
    <s v="Alex"/>
    <m/>
    <x v="73"/>
    <x v="76"/>
    <n v="4689"/>
    <x v="0"/>
    <m/>
    <s v="电子油门踏板，量产车厂有广汽，一汽奔腾"/>
    <n v="4500000"/>
    <s v="关注客户目前量产情况以及质量表现，稳步提升份额"/>
    <s v="HAL888"/>
    <n v="3.5"/>
    <n v="2.66"/>
    <n v="2660000"/>
    <n v="2926000"/>
    <n v="1000000"/>
    <n v="100000"/>
    <n v="100000"/>
    <n v="100000"/>
    <n v="100000"/>
    <n v="100000"/>
    <n v="100000"/>
    <n v="150000"/>
    <n v="200000"/>
    <n v="200000"/>
    <n v="200000"/>
    <n v="200000"/>
    <n v="200000"/>
    <n v="200000"/>
    <m/>
    <m/>
    <m/>
    <m/>
    <m/>
    <m/>
    <m/>
    <m/>
    <m/>
    <m/>
    <m/>
    <m/>
    <s v="Alex"/>
    <s v="1部"/>
    <s v="角度传感器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266000"/>
    <n v="266000"/>
    <n v="399000"/>
    <n v="532000"/>
    <n v="532000"/>
    <n v="532000"/>
    <n v="532000"/>
    <n v="532000"/>
  </r>
  <r>
    <n v="378"/>
    <s v="南京奥联汽车电子电器股份有限公司"/>
    <s v="重要客户"/>
    <s v="南京奥联汽车电子电器股份有限公司"/>
    <s v="Alex"/>
    <m/>
    <x v="132"/>
    <x v="144"/>
    <n v="2455"/>
    <x v="0"/>
    <m/>
    <s v="电子换挡器，一汽项目"/>
    <n v="200000"/>
    <s v="无"/>
    <s v="A1106"/>
    <s v="NA"/>
    <n v="0.55000000000000004"/>
    <n v="13750.000000000002"/>
    <n v="22550.000000000004"/>
    <n v="25000"/>
    <n v="0"/>
    <n v="5000"/>
    <n v="5000"/>
    <n v="5000"/>
    <n v="5000"/>
    <n v="5000"/>
    <n v="6000"/>
    <n v="5000"/>
    <n v="5000"/>
    <n v="5000"/>
    <n v="5000"/>
    <n v="5000"/>
    <n v="5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3300.0000000000005"/>
    <n v="2750"/>
    <n v="2750"/>
    <n v="2750"/>
    <n v="2750"/>
    <n v="2750"/>
  </r>
  <r>
    <n v="379"/>
    <s v="南京奥联汽车电子电器股份有限公司"/>
    <s v="重要客户"/>
    <s v="南京奥联汽车电子电器股份有限公司"/>
    <s v="Alex"/>
    <m/>
    <x v="133"/>
    <x v="46"/>
    <n v="2436"/>
    <x v="0"/>
    <m/>
    <s v="电子换挡器，长安项目"/>
    <n v="200000"/>
    <s v="无"/>
    <s v="A1106"/>
    <s v="NA"/>
    <n v="0.55000000000000004"/>
    <n v="82500"/>
    <n v="132000"/>
    <n v="150000"/>
    <n v="3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m/>
    <m/>
    <m/>
    <n v="3"/>
    <m/>
    <m/>
    <m/>
    <m/>
    <m/>
    <m/>
    <s v="NA"/>
    <m/>
    <n v="16500"/>
    <n v="16500"/>
    <n v="16500"/>
    <n v="16500"/>
    <n v="16500"/>
    <n v="16500"/>
    <n v="16500"/>
    <n v="16500"/>
  </r>
  <r>
    <n v="380"/>
    <s v="宁波高发汽车控制系统股份有限公司"/>
    <s v="战略客户"/>
    <s v="宁波高发汽车控制系统股份有限公司"/>
    <s v="Alex"/>
    <m/>
    <x v="131"/>
    <x v="143"/>
    <s v="1430QC5"/>
    <x v="0"/>
    <m/>
    <s v="电子换挡器、怀挡、组合开关电源转换"/>
    <n v="2000000"/>
    <s v="目前卡在胡万训上，主要矛盾点是对我司产品的不信任。不想当小白鼠。25年重点跟进项目"/>
    <s v="LN2054YQ1"/>
    <n v="0.9"/>
    <n v="0.8"/>
    <n v="360000"/>
    <n v="416000"/>
    <n v="450000"/>
    <n v="0"/>
    <n v="0"/>
    <n v="1000"/>
    <n v="1000"/>
    <n v="10000"/>
    <n v="10000"/>
    <n v="50000"/>
    <n v="50000"/>
    <n v="100000"/>
    <n v="100000"/>
    <n v="100000"/>
    <n v="100000"/>
    <n v="100000"/>
    <m/>
    <m/>
    <m/>
    <m/>
    <m/>
    <m/>
    <m/>
    <m/>
    <m/>
    <m/>
    <m/>
    <m/>
    <s v="Torres"/>
    <s v="1部"/>
    <s v="电源管理"/>
    <s v="汽车电子"/>
    <s v="安全与智驾"/>
    <s v="换挡传感器"/>
    <m/>
    <s v="平台产品"/>
    <m/>
    <m/>
    <n v="1"/>
    <m/>
    <d v="2023-10-20T00:00:00"/>
    <d v="2023-10-25T00:00:00"/>
    <d v="2024-02-02T00:00:00"/>
    <d v="2025-03-02T00:00:00"/>
    <d v="2025-05-02T00:00:00"/>
    <s v="NA"/>
    <m/>
    <n v="8000"/>
    <n v="8000"/>
    <n v="40000"/>
    <n v="40000"/>
    <n v="80000"/>
    <n v="80000"/>
    <n v="80000"/>
    <n v="80000"/>
  </r>
  <r>
    <n v="381"/>
    <s v="宁波高发汽车控制系统股份有限公司"/>
    <s v="战略客户"/>
    <s v="宁波高发汽车控制系统股份有限公司"/>
    <s v="Alex"/>
    <m/>
    <x v="75"/>
    <x v="79"/>
    <n v="69401"/>
    <x v="0"/>
    <m/>
    <s v="高发未来主推产品，第三代电子油门踏板，目前在长安定点"/>
    <n v="1500000"/>
    <s v="配合客户和车厂的相关测试。 价格讨论"/>
    <s v="MT6511"/>
    <n v="5.0999999999999996"/>
    <n v="4.8"/>
    <n v="1200000"/>
    <n v="1680000"/>
    <n v="250000"/>
    <n v="0"/>
    <n v="0"/>
    <n v="0"/>
    <n v="0"/>
    <n v="0"/>
    <n v="50000"/>
    <n v="50000"/>
    <n v="50000"/>
    <n v="50000"/>
    <n v="50000"/>
    <n v="50000"/>
    <n v="50000"/>
    <n v="50000"/>
    <m/>
    <m/>
    <m/>
    <m/>
    <m/>
    <m/>
    <m/>
    <m/>
    <m/>
    <m/>
    <m/>
    <m/>
    <s v="Serge"/>
    <s v="1部"/>
    <s v="角度传感器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0"/>
    <n v="240000"/>
    <n v="240000"/>
    <n v="240000"/>
    <n v="240000"/>
    <n v="240000"/>
    <n v="240000"/>
    <n v="240000"/>
  </r>
  <r>
    <n v="382"/>
    <s v="宁波高发汽车控制系统股份有限公司"/>
    <s v="战略客户"/>
    <s v="宁波高发汽车控制系统股份有限公司"/>
    <s v="Alex"/>
    <m/>
    <x v="4"/>
    <x v="4"/>
    <n v="69401"/>
    <x v="0"/>
    <m/>
    <s v="车身高度传感器-奇瑞定点项目"/>
    <s v="NA "/>
    <s v="配合客户和车厂的相关测试"/>
    <s v="MT6511"/>
    <n v="3.6"/>
    <n v="3.62"/>
    <n v="362000"/>
    <n v="398200"/>
    <n v="100000"/>
    <n v="0"/>
    <n v="0"/>
    <n v="0"/>
    <n v="0"/>
    <n v="0"/>
    <n v="5000"/>
    <n v="5000"/>
    <n v="20000"/>
    <n v="20000"/>
    <n v="20000"/>
    <n v="20000"/>
    <n v="20000"/>
    <n v="20000"/>
    <m/>
    <m/>
    <m/>
    <m/>
    <m/>
    <m/>
    <m/>
    <m/>
    <m/>
    <m/>
    <m/>
    <m/>
    <m/>
    <s v="1部"/>
    <s v="角度传感器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0"/>
    <n v="18100"/>
    <n v="18100"/>
    <n v="72400"/>
    <n v="72400"/>
    <n v="72400"/>
    <n v="72400"/>
    <n v="72400"/>
  </r>
  <r>
    <n v="383"/>
    <s v="宁波高发汽车控制系统股份有限公司"/>
    <s v="战略客户"/>
    <s v="宁波高发汽车控制系统股份有限公司"/>
    <s v="Alex"/>
    <m/>
    <x v="50"/>
    <x v="145"/>
    <s v="888K"/>
    <x v="0"/>
    <m/>
    <s v="电子油门踏板，国内商用车市场，以及五菱，BYD等"/>
    <n v="9000000"/>
    <s v="持续跟进项目状态，以及量产提量。同时，注重产品质量，重点关注24年8月之后出货质量"/>
    <s v="HAL888"/>
    <n v="3"/>
    <n v="2.42"/>
    <n v="7260000"/>
    <n v="8833000"/>
    <n v="3000000"/>
    <n v="450000"/>
    <n v="300000"/>
    <n v="300000"/>
    <n v="300000"/>
    <n v="300000"/>
    <n v="450000"/>
    <n v="450000"/>
    <n v="600000"/>
    <n v="600000"/>
    <n v="600000"/>
    <n v="600000"/>
    <n v="600000"/>
    <n v="600000"/>
    <m/>
    <m/>
    <m/>
    <m/>
    <m/>
    <m/>
    <m/>
    <m/>
    <m/>
    <m/>
    <m/>
    <m/>
    <s v="Alex"/>
    <s v="1部"/>
    <s v="角度传感器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726000"/>
    <n v="1089000"/>
    <n v="1089000"/>
    <n v="1452000"/>
    <n v="1452000"/>
    <n v="1452000"/>
    <n v="1452000"/>
    <n v="1452000"/>
  </r>
  <r>
    <n v="384"/>
    <s v="宁波高发汽车控制系统股份有限公司"/>
    <s v="战略客户"/>
    <s v="宁波高发汽车控制系统股份有限公司"/>
    <s v="Alex"/>
    <m/>
    <x v="25"/>
    <x v="26"/>
    <n v="1138"/>
    <x v="6"/>
    <m/>
    <s v="电子换挡器，主要终端是奇瑞和吉利"/>
    <n v="2350000"/>
    <s v="无"/>
    <s v="无"/>
    <s v="无"/>
    <n v="0.42"/>
    <n v="420000"/>
    <n v="420000"/>
    <n v="1000000"/>
    <n v="180000"/>
    <n v="0"/>
    <n v="180000"/>
    <n v="180000"/>
    <n v="0"/>
    <n v="0"/>
    <n v="0"/>
    <n v="200000"/>
    <n v="200000"/>
    <n v="200000"/>
    <n v="200000"/>
    <n v="200000"/>
    <n v="20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0"/>
    <n v="0"/>
    <n v="0"/>
    <n v="84000"/>
    <n v="84000"/>
    <n v="84000"/>
    <n v="84000"/>
    <n v="84000"/>
  </r>
  <r>
    <n v="385"/>
    <s v="宁波高发汽车控制系统股份有限公司"/>
    <s v="战略客户"/>
    <s v="宁波高发汽车控制系统股份有限公司"/>
    <s v="Alex"/>
    <m/>
    <x v="43"/>
    <x v="45"/>
    <n v="1134"/>
    <x v="6"/>
    <m/>
    <s v="电子换挡器，主要终端是奇瑞和吉利"/>
    <n v="540000"/>
    <s v="无"/>
    <s v="无"/>
    <s v="无"/>
    <n v="0.42"/>
    <n v="105000"/>
    <n v="168000"/>
    <n v="250000"/>
    <n v="0"/>
    <n v="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1000"/>
    <n v="21000"/>
    <n v="21000"/>
    <n v="21000"/>
    <n v="21000"/>
    <n v="21000"/>
    <n v="21000"/>
    <n v="21000"/>
  </r>
  <r>
    <n v="386"/>
    <s v="鸣志电器（太仓）有限公司"/>
    <s v="战略客户"/>
    <s v="上海霍通电子有限公司"/>
    <s v="Alex"/>
    <m/>
    <x v="134"/>
    <x v="146"/>
    <n v="60370"/>
    <x v="0"/>
    <m/>
    <s v="无刷电机编码器项目-华为云台项目（108，145，146）"/>
    <n v="100000"/>
    <s v="无"/>
    <s v="无"/>
    <s v="NA"/>
    <n v="8.5"/>
    <n v="425000"/>
    <n v="425000"/>
    <n v="50000"/>
    <n v="50000"/>
    <n v="0"/>
    <n v="0"/>
    <n v="0"/>
    <n v="0"/>
    <n v="0"/>
    <n v="0"/>
    <n v="0"/>
    <n v="0"/>
    <n v="0"/>
    <n v="0"/>
    <n v="50000"/>
    <n v="50000"/>
    <m/>
    <m/>
    <m/>
    <m/>
    <m/>
    <m/>
    <m/>
    <m/>
    <m/>
    <m/>
    <m/>
    <m/>
    <s v="Alex"/>
    <s v="1部"/>
    <s v="电机编码器"/>
    <s v="工业和机器人"/>
    <s v="工业电机"/>
    <s v="工业电机电控"/>
    <s v="工业伺服电机"/>
    <s v="华为"/>
    <m/>
    <m/>
    <n v="1"/>
    <m/>
    <m/>
    <m/>
    <m/>
    <m/>
    <m/>
    <s v="NA"/>
    <m/>
    <n v="0"/>
    <n v="0"/>
    <n v="0"/>
    <n v="0"/>
    <n v="0"/>
    <n v="0"/>
    <n v="0"/>
    <n v="425000"/>
  </r>
  <r>
    <n v="387"/>
    <s v="鸣志电器（太仓）有限公司"/>
    <s v="战略客户"/>
    <s v="上海霍通电子有限公司"/>
    <s v="Alex"/>
    <m/>
    <x v="62"/>
    <x v="147"/>
    <n v="2662"/>
    <x v="0"/>
    <m/>
    <s v="无刷电机霍尔-华为天玑项目"/>
    <s v="NA "/>
    <s v="11月底华为将开始招标，目前鸣志成功率接近80%。最新消息，项目最终由1部量产。目前正在积极接触1部相关人员"/>
    <s v="无"/>
    <s v="NA"/>
    <n v="0.25"/>
    <n v="280000"/>
    <n v="175000"/>
    <n v="1120000"/>
    <n v="0"/>
    <n v="0"/>
    <n v="0"/>
    <n v="0"/>
    <n v="0"/>
    <n v="212000"/>
    <n v="242000"/>
    <n v="212000"/>
    <n v="212000"/>
    <n v="242000"/>
    <n v="212000"/>
    <n v="242000"/>
    <n v="242000"/>
    <m/>
    <m/>
    <m/>
    <m/>
    <m/>
    <m/>
    <m/>
    <m/>
    <m/>
    <m/>
    <m/>
    <m/>
    <s v="Alex"/>
    <s v="1部"/>
    <s v="磁性位置传感器"/>
    <s v="工业和机器人"/>
    <s v="工业电机"/>
    <s v="工业电机电控"/>
    <s v="工业伺服电机"/>
    <s v="华为"/>
    <m/>
    <m/>
    <n v="3"/>
    <m/>
    <m/>
    <m/>
    <m/>
    <m/>
    <m/>
    <s v="NA"/>
    <m/>
    <n v="0"/>
    <n v="53000"/>
    <n v="60500"/>
    <n v="53000"/>
    <n v="53000"/>
    <n v="60500"/>
    <n v="53000"/>
    <n v="60500"/>
  </r>
  <r>
    <n v="388"/>
    <s v="宁波汽车软轴软管有限公司"/>
    <s v="一般客户"/>
    <s v="上海致馨电子科技有限公司"/>
    <s v="Alex"/>
    <m/>
    <x v="50"/>
    <x v="52"/>
    <n v="4688"/>
    <x v="0"/>
    <m/>
    <s v="电子油门踏板，主要是出口市场以及国内电车市场"/>
    <n v="500000"/>
    <s v="客户目前准备全面切换，目前主要是量产产线跟进中。（同时客户在和飞仙接触，飞仙价格2元）"/>
    <s v="HAL888"/>
    <n v="4.2"/>
    <n v="2.66"/>
    <n v="266000"/>
    <n v="425600"/>
    <n v="100000"/>
    <n v="0"/>
    <n v="0"/>
    <n v="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Alex"/>
    <s v="1部"/>
    <s v="角度传感器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  <n v="53200"/>
    <n v="53200"/>
  </r>
  <r>
    <n v="389"/>
    <s v="苏州柯尔特测控技术有限公司"/>
    <s v="一般客户"/>
    <s v="苏州柯尔特测控技术有限公司"/>
    <s v="Alex"/>
    <m/>
    <x v="135"/>
    <x v="148"/>
    <n v="2425"/>
    <x v="0"/>
    <s v="手柄"/>
    <m/>
    <s v="批量"/>
    <s v="客户移交给陈端淇"/>
    <s v="N/A"/>
    <m/>
    <s v="2.5"/>
    <n v="2500000"/>
    <n v="4000000"/>
    <n v="1000000"/>
    <n v="2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Alex"/>
    <s v="1部"/>
    <s v="角度传感器"/>
    <s v="智能家居"/>
    <s v="大型家电"/>
    <s v="壁挂炉水压力传感器"/>
    <m/>
    <m/>
    <m/>
    <m/>
    <m/>
    <m/>
    <m/>
    <m/>
    <m/>
    <m/>
    <m/>
    <m/>
    <m/>
    <n v="500000"/>
    <n v="500000"/>
    <n v="500000"/>
    <n v="500000"/>
    <n v="500000"/>
    <n v="500000"/>
    <n v="500000"/>
    <n v="500000"/>
  </r>
  <r>
    <n v="390"/>
    <s v="浙江三花汽车零部件有限公司"/>
    <s v="重要客户"/>
    <s v="浙江三花汽车零部件有限公司"/>
    <s v="Alex"/>
    <m/>
    <x v="69"/>
    <x v="73"/>
    <n v="2443"/>
    <x v="0"/>
    <m/>
    <s v="电子膨胀阀开合角度检测"/>
    <n v="8000000"/>
    <s v="交货，和客户确认换封装厂事宜"/>
    <s v="MLX92211"/>
    <s v="NA"/>
    <n v="0.65"/>
    <n v="2600000"/>
    <n v="4160000"/>
    <n v="4000000"/>
    <n v="288187"/>
    <n v="212300"/>
    <n v="536969"/>
    <n v="529507"/>
    <n v="800000"/>
    <n v="800000"/>
    <n v="903893"/>
    <n v="800000"/>
    <n v="800000"/>
    <n v="800000"/>
    <n v="800000"/>
    <n v="800000"/>
    <n v="800000"/>
    <m/>
    <m/>
    <m/>
    <m/>
    <m/>
    <m/>
    <m/>
    <m/>
    <m/>
    <m/>
    <m/>
    <m/>
    <s v="Alex"/>
    <s v="1部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520000"/>
    <n v="520000"/>
    <n v="587530.45000000007"/>
    <n v="520000"/>
    <n v="520000"/>
    <n v="520000"/>
    <n v="520000"/>
    <n v="520000"/>
  </r>
  <r>
    <n v="391"/>
    <s v="浙江三花汽车零部件有限公司"/>
    <s v="重要客户"/>
    <s v="浙江三花汽车零部件有限公司"/>
    <s v="Alex"/>
    <m/>
    <x v="28"/>
    <x v="29"/>
    <n v="2443"/>
    <x v="0"/>
    <m/>
    <s v="电子膨胀阀开合角度检测"/>
    <n v="300000"/>
    <s v="项目延续，量少"/>
    <s v="MLX92211"/>
    <s v="NA"/>
    <n v="0.65"/>
    <n v="130000"/>
    <n v="208000"/>
    <n v="200000"/>
    <n v="33340"/>
    <n v="15245"/>
    <n v="23069"/>
    <n v="31033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Alex"/>
    <s v="1部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26000"/>
    <n v="26000"/>
    <n v="26000"/>
    <n v="26000"/>
    <n v="26000"/>
    <n v="26000"/>
    <n v="26000"/>
    <n v="26000"/>
  </r>
  <r>
    <n v="392"/>
    <s v="智邦-SC2063SO"/>
    <s v="一般客户"/>
    <s v="深圳市智邦电子有限公司"/>
    <s v="Tom"/>
    <m/>
    <x v="17"/>
    <x v="18"/>
    <m/>
    <x v="0"/>
    <s v="手持榨汁机"/>
    <n v="3000000"/>
    <s v="批量"/>
    <m/>
    <s v="无"/>
    <m/>
    <n v="0.125"/>
    <n v="125000"/>
    <m/>
    <n v="1000000"/>
    <m/>
    <m/>
    <n v="1000000"/>
    <m/>
    <m/>
    <m/>
    <m/>
    <n v="0"/>
    <n v="1000000"/>
    <m/>
    <m/>
    <m/>
    <n v="0"/>
    <m/>
    <n v="0"/>
    <n v="0"/>
    <n v="0"/>
    <m/>
    <m/>
    <n v="0"/>
    <m/>
    <m/>
    <m/>
    <m/>
    <m/>
    <s v="Tom"/>
    <s v="3部"/>
    <s v="磁性位置传感器"/>
    <s v="智能家居"/>
    <s v="小型家电"/>
    <s v="豆浆机/咖啡机"/>
    <m/>
    <m/>
    <m/>
    <m/>
    <m/>
    <m/>
    <m/>
    <m/>
    <m/>
    <m/>
    <m/>
    <m/>
    <m/>
    <n v="0"/>
    <n v="0"/>
    <n v="0"/>
    <n v="0"/>
    <n v="125000"/>
    <n v="0"/>
    <n v="0"/>
    <n v="0"/>
  </r>
  <r>
    <n v="393"/>
    <s v="智邦-SC1134SO-N"/>
    <s v="一般客户"/>
    <s v="深圳市智邦电子有限公司"/>
    <s v="Tom"/>
    <m/>
    <x v="24"/>
    <x v="25"/>
    <m/>
    <x v="0"/>
    <s v="接近开关"/>
    <n v="661230"/>
    <s v="批量"/>
    <m/>
    <s v="无"/>
    <m/>
    <n v="0.23"/>
    <n v="55200"/>
    <m/>
    <n v="240000"/>
    <n v="60000"/>
    <n v="60000"/>
    <n v="60000"/>
    <n v="60000"/>
    <n v="60000"/>
    <n v="60000"/>
    <n v="0"/>
    <n v="60000"/>
    <n v="0"/>
    <n v="60000"/>
    <n v="60000"/>
    <n v="60000"/>
    <n v="60000"/>
    <n v="0"/>
    <n v="0"/>
    <n v="0"/>
    <n v="0"/>
    <n v="0"/>
    <n v="0"/>
    <n v="0"/>
    <m/>
    <m/>
    <m/>
    <m/>
    <m/>
    <s v="Tom"/>
    <s v="3部"/>
    <s v="磁性位置传感器"/>
    <s v="工业和机器人"/>
    <s v="工业其他"/>
    <s v="工业接近开关"/>
    <s v="接近开关"/>
    <m/>
    <m/>
    <m/>
    <m/>
    <m/>
    <m/>
    <m/>
    <m/>
    <m/>
    <m/>
    <m/>
    <m/>
    <n v="13800"/>
    <n v="13800"/>
    <n v="0"/>
    <n v="13800"/>
    <n v="0"/>
    <n v="13800"/>
    <n v="13800"/>
    <n v="13800"/>
  </r>
  <r>
    <n v="394"/>
    <s v="余姚市瑞玛特电器有限公司"/>
    <s v="一般客户"/>
    <s v="天津越尔兴电子科技有限公司"/>
    <s v="Sales"/>
    <m/>
    <x v="136"/>
    <x v="149"/>
    <m/>
    <x v="0"/>
    <s v="其他电机控制板"/>
    <n v="300000"/>
    <s v="批量"/>
    <m/>
    <s v="N/A"/>
    <m/>
    <n v="0.495"/>
    <n v="74250"/>
    <m/>
    <n v="150000"/>
    <m/>
    <n v="0"/>
    <m/>
    <n v="0"/>
    <n v="0"/>
    <n v="0"/>
    <n v="30000"/>
    <n v="30000"/>
    <n v="30000"/>
    <n v="30000"/>
    <n v="30000"/>
    <n v="30000"/>
    <n v="30000"/>
    <m/>
    <n v="0"/>
    <m/>
    <n v="0"/>
    <n v="0"/>
    <m/>
    <n v="0"/>
    <m/>
    <m/>
    <m/>
    <m/>
    <m/>
    <s v="Harry"/>
    <s v="其他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4850"/>
    <n v="14850"/>
    <n v="14850"/>
    <n v="14850"/>
    <n v="14850"/>
    <n v="14850"/>
  </r>
  <r>
    <n v="395"/>
    <s v="余姚市瑞玛特电器有限公司"/>
    <s v="一般客户"/>
    <s v="天津越尔兴电子科技有限公司"/>
    <s v="Sales"/>
    <m/>
    <x v="25"/>
    <x v="26"/>
    <m/>
    <x v="1"/>
    <s v="其他电机控制板"/>
    <n v="600000"/>
    <s v="批量"/>
    <m/>
    <s v="N/A"/>
    <m/>
    <n v="0.4"/>
    <n v="6000"/>
    <m/>
    <n v="15000"/>
    <n v="0"/>
    <m/>
    <m/>
    <m/>
    <m/>
    <m/>
    <n v="3000"/>
    <n v="3000"/>
    <n v="3000"/>
    <n v="3000"/>
    <n v="3000"/>
    <n v="3000"/>
    <n v="3000"/>
    <n v="0"/>
    <n v="0"/>
    <n v="0"/>
    <n v="0"/>
    <n v="0"/>
    <m/>
    <n v="0"/>
    <m/>
    <m/>
    <m/>
    <m/>
    <m/>
    <s v="Harry"/>
    <s v="其他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200"/>
    <n v="1200"/>
    <n v="1200"/>
    <n v="1200"/>
    <n v="1200"/>
    <n v="1200"/>
  </r>
  <r>
    <n v="396"/>
    <s v="余姚市瑞玛特电器有限公司"/>
    <s v="一般客户"/>
    <s v="天津越尔兴电子科技有限公司"/>
    <s v="Sales"/>
    <m/>
    <x v="50"/>
    <x v="52"/>
    <m/>
    <x v="0"/>
    <s v="其他电机控制板"/>
    <n v="20000"/>
    <s v="批量"/>
    <m/>
    <m/>
    <m/>
    <n v="2.6"/>
    <n v="130000"/>
    <m/>
    <n v="50000"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s v="Tom"/>
    <s v="其他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26000"/>
    <n v="26000"/>
    <n v="26000"/>
    <n v="26000"/>
    <n v="26000"/>
    <n v="26000"/>
  </r>
  <r>
    <n v="397"/>
    <s v="余姚市瑞玛特电器有限公司"/>
    <s v="一般客户"/>
    <s v="天津越尔兴电子科技有限公司"/>
    <s v="Sales"/>
    <m/>
    <x v="32"/>
    <x v="34"/>
    <m/>
    <x v="0"/>
    <s v="其他电机控制板"/>
    <m/>
    <s v="评估"/>
    <s v="跟踪样品评估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其他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8"/>
    <s v="余姚市瑞玛特电器有限公司"/>
    <s v="一般客户"/>
    <s v="天津越尔兴电子科技有限公司"/>
    <s v="Sales"/>
    <m/>
    <x v="116"/>
    <x v="123"/>
    <m/>
    <x v="0"/>
    <s v="其他电机控制板"/>
    <m/>
    <s v="批量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其他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9"/>
    <s v="余姚市瑞玛特电器有限公司"/>
    <s v="一般客户"/>
    <s v="天津越尔兴电子科技有限公司"/>
    <s v="Sales"/>
    <m/>
    <x v="137"/>
    <x v="150"/>
    <m/>
    <x v="0"/>
    <s v="其他电机控制板"/>
    <n v="10000"/>
    <s v="小批量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其他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0"/>
    <s v="余姚市电控电器三厂"/>
    <s v="一般客户"/>
    <s v="上海养盈电子科技有限公司"/>
    <s v="Tom"/>
    <m/>
    <x v="138"/>
    <x v="151"/>
    <m/>
    <x v="0"/>
    <s v="漏保插头"/>
    <n v="1000000"/>
    <s v="批量"/>
    <m/>
    <s v="M54123"/>
    <m/>
    <n v="0.17"/>
    <n v="136000"/>
    <m/>
    <n v="800000"/>
    <n v="0"/>
    <n v="0"/>
    <n v="150000"/>
    <n v="100000"/>
    <n v="200000"/>
    <n v="50000"/>
    <n v="0"/>
    <n v="200000"/>
    <n v="200000"/>
    <n v="100000"/>
    <n v="100000"/>
    <n v="200000"/>
    <n v="2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34000"/>
    <n v="8500"/>
    <n v="0"/>
    <n v="34000"/>
    <n v="34000"/>
    <n v="17000"/>
    <n v="17000"/>
    <n v="34000"/>
  </r>
  <r>
    <n v="401"/>
    <s v="养盈-SD477S"/>
    <s v="一般客户"/>
    <s v="上海养盈电子科技有限公司"/>
    <s v="Tom"/>
    <m/>
    <x v="139"/>
    <x v="152"/>
    <m/>
    <x v="0"/>
    <s v="散热风扇"/>
    <m/>
    <s v="批量"/>
    <m/>
    <s v="OCH477H"/>
    <m/>
    <n v="0.18"/>
    <n v="0"/>
    <m/>
    <n v="0"/>
    <n v="0"/>
    <n v="0"/>
    <n v="500000"/>
    <m/>
    <m/>
    <m/>
    <m/>
    <m/>
    <m/>
    <m/>
    <m/>
    <m/>
    <n v="0"/>
    <n v="0"/>
    <n v="0"/>
    <n v="0"/>
    <n v="0"/>
    <n v="0"/>
    <n v="0"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  <n v="0"/>
    <n v="0"/>
  </r>
  <r>
    <n v="402"/>
    <s v="养盈-SD2276"/>
    <s v="一般客户"/>
    <s v="上海养盈电子科技有限公司"/>
    <s v="Tom"/>
    <m/>
    <x v="140"/>
    <x v="153"/>
    <m/>
    <x v="0"/>
    <s v="散热风扇"/>
    <m/>
    <s v="批量"/>
    <m/>
    <s v="SDC276"/>
    <m/>
    <n v="0.125"/>
    <n v="1487500"/>
    <m/>
    <n v="11900000"/>
    <n v="2000000"/>
    <n v="800000"/>
    <n v="1200000"/>
    <n v="800000"/>
    <n v="3000000"/>
    <n v="2000000"/>
    <n v="2000000"/>
    <n v="2000000"/>
    <n v="3000000"/>
    <n v="1900000"/>
    <n v="2000000"/>
    <n v="3000000"/>
    <n v="3000000"/>
    <n v="0"/>
    <m/>
    <m/>
    <m/>
    <m/>
    <m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375000"/>
    <n v="250000"/>
    <n v="250000"/>
    <n v="250000"/>
    <n v="375000"/>
    <n v="237500"/>
    <n v="250000"/>
    <n v="375000"/>
  </r>
  <r>
    <n v="403"/>
    <s v="养盈-SD211VB"/>
    <s v="一般客户"/>
    <s v="上海养盈电子科技有限公司"/>
    <s v="Tom"/>
    <m/>
    <x v="141"/>
    <x v="154"/>
    <m/>
    <x v="0"/>
    <s v="散热风扇"/>
    <m/>
    <s v="批量"/>
    <m/>
    <s v="SDC211"/>
    <m/>
    <n v="0.14000000000000001"/>
    <n v="1036000.0000000001"/>
    <m/>
    <n v="7400000"/>
    <n v="1000000"/>
    <n v="800000"/>
    <n v="1200000"/>
    <n v="800000"/>
    <n v="1000000"/>
    <n v="1000000"/>
    <n v="600000"/>
    <n v="1000000"/>
    <n v="1200000"/>
    <n v="2000000"/>
    <n v="1200000"/>
    <n v="2000000"/>
    <n v="2000000"/>
    <n v="0"/>
    <n v="0"/>
    <n v="0"/>
    <m/>
    <m/>
    <m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140000"/>
    <n v="140000"/>
    <n v="84000.000000000015"/>
    <n v="140000"/>
    <n v="168000.00000000003"/>
    <n v="280000"/>
    <n v="168000.00000000003"/>
    <n v="280000"/>
  </r>
  <r>
    <n v="404"/>
    <s v="养盈-SC4688SA"/>
    <s v="一般客户"/>
    <s v="上海养盈电子科技有限公司"/>
    <s v="Tom"/>
    <m/>
    <x v="50"/>
    <x v="52"/>
    <m/>
    <x v="0"/>
    <s v="外贸"/>
    <n v="100000"/>
    <s v="批量"/>
    <m/>
    <s v="HAL888"/>
    <m/>
    <n v="2.5499999999999998"/>
    <n v="127499.99999999999"/>
    <m/>
    <n v="50000"/>
    <n v="10000"/>
    <n v="0"/>
    <n v="10000"/>
    <n v="5000"/>
    <n v="5000"/>
    <n v="10000"/>
    <n v="10000"/>
    <n v="10000"/>
    <n v="10000"/>
    <n v="10000"/>
    <n v="10000"/>
    <n v="10000"/>
    <n v="10000"/>
    <n v="0"/>
    <n v="0"/>
    <n v="0"/>
    <n v="0"/>
    <n v="0"/>
    <n v="0"/>
    <n v="0"/>
    <m/>
    <m/>
    <m/>
    <m/>
    <m/>
    <s v="Tom"/>
    <s v="3部"/>
    <s v="角度传感器"/>
    <s v="替代交通"/>
    <s v="农机"/>
    <s v="农机踏板/转把"/>
    <s v="其他"/>
    <m/>
    <m/>
    <m/>
    <m/>
    <m/>
    <m/>
    <m/>
    <m/>
    <m/>
    <m/>
    <m/>
    <m/>
    <n v="12750"/>
    <n v="25500"/>
    <n v="25500"/>
    <n v="25500"/>
    <n v="25500"/>
    <n v="25500"/>
    <n v="25500"/>
    <n v="25500"/>
  </r>
  <r>
    <n v="405"/>
    <s v="养盈-SC4002UA"/>
    <s v="一般客户"/>
    <s v="上海养盈电子科技有限公司"/>
    <s v="Tom"/>
    <m/>
    <x v="136"/>
    <x v="155"/>
    <m/>
    <x v="0"/>
    <s v="其他电机电机控制板"/>
    <m/>
    <s v="批量"/>
    <m/>
    <s v="N/A"/>
    <m/>
    <n v="0.5"/>
    <n v="125000"/>
    <m/>
    <n v="250000"/>
    <n v="0"/>
    <n v="50000"/>
    <n v="50000"/>
    <n v="50000"/>
    <n v="50000"/>
    <n v="50000"/>
    <n v="50000"/>
    <n v="50000"/>
    <n v="50000"/>
    <n v="50000"/>
    <n v="50000"/>
    <n v="50000"/>
    <n v="50000"/>
    <n v="0"/>
    <m/>
    <m/>
    <n v="0"/>
    <n v="0"/>
    <m/>
    <n v="0"/>
    <m/>
    <m/>
    <m/>
    <m/>
    <m/>
    <s v="Harry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406"/>
    <s v="养盈-SC2063UA"/>
    <s v="一般客户"/>
    <s v="上海养盈电子科技有限公司"/>
    <s v="Tom"/>
    <m/>
    <x v="142"/>
    <x v="156"/>
    <m/>
    <x v="0"/>
    <s v="门磁开关"/>
    <m/>
    <s v="批量"/>
    <m/>
    <s v="N/A"/>
    <m/>
    <n v="0.13"/>
    <n v="11700"/>
    <m/>
    <n v="90000"/>
    <n v="50000"/>
    <n v="30000"/>
    <n v="30000"/>
    <n v="0"/>
    <n v="30000"/>
    <n v="0"/>
    <n v="30000"/>
    <n v="0"/>
    <n v="30000"/>
    <n v="0"/>
    <n v="30000"/>
    <n v="30000"/>
    <n v="30000"/>
    <n v="0"/>
    <n v="0"/>
    <m/>
    <n v="0"/>
    <m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3900"/>
    <n v="0"/>
    <n v="3900"/>
    <n v="0"/>
    <n v="3900"/>
    <n v="0"/>
    <n v="3900"/>
    <n v="3900"/>
  </r>
  <r>
    <n v="407"/>
    <s v="养盈-SC1134SO-N"/>
    <s v="一般客户"/>
    <s v="上海养盈电子科技有限公司"/>
    <s v="Tom"/>
    <m/>
    <x v="24"/>
    <x v="25"/>
    <m/>
    <x v="0"/>
    <s v="豆浆机/料理机电机"/>
    <m/>
    <s v="批量"/>
    <m/>
    <s v="N/A"/>
    <m/>
    <n v="0.2"/>
    <n v="12000"/>
    <m/>
    <n v="60000"/>
    <n v="18000"/>
    <n v="12000"/>
    <n v="0"/>
    <n v="30000"/>
    <n v="0"/>
    <n v="0"/>
    <n v="30000"/>
    <n v="0"/>
    <n v="0"/>
    <n v="0"/>
    <n v="60000"/>
    <n v="0"/>
    <n v="0"/>
    <m/>
    <n v="0"/>
    <n v="0"/>
    <n v="0"/>
    <m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6000"/>
    <n v="0"/>
    <n v="0"/>
    <n v="0"/>
    <n v="12000"/>
    <n v="0"/>
  </r>
  <r>
    <n v="408"/>
    <s v="养盈-SC1134B1"/>
    <s v="一般客户"/>
    <s v="上海养盈电子科技有限公司"/>
    <s v="Tom"/>
    <m/>
    <x v="143"/>
    <x v="157"/>
    <s v="43F"/>
    <x v="0"/>
    <s v="豆浆机/料理机电机"/>
    <m/>
    <s v="批量"/>
    <m/>
    <s v="N/A"/>
    <m/>
    <n v="0.2"/>
    <n v="148000"/>
    <m/>
    <n v="740000"/>
    <n v="0"/>
    <n v="370000"/>
    <n v="0"/>
    <n v="0"/>
    <n v="370000"/>
    <n v="0"/>
    <n v="0"/>
    <n v="0"/>
    <n v="370000"/>
    <n v="0"/>
    <n v="0"/>
    <n v="370000"/>
    <n v="370000"/>
    <n v="0"/>
    <n v="0"/>
    <n v="0"/>
    <n v="0"/>
    <n v="0"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74000"/>
    <n v="0"/>
    <n v="0"/>
    <n v="74000"/>
  </r>
  <r>
    <n v="409"/>
    <s v="亚世欧-KH477"/>
    <s v="一般客户"/>
    <s v="深圳市亚世欧实业有限公司"/>
    <s v="Tom"/>
    <m/>
    <x v="139"/>
    <x v="158"/>
    <m/>
    <x v="0"/>
    <s v="散热风扇"/>
    <m/>
    <s v="批量"/>
    <m/>
    <m/>
    <m/>
    <n v="0.18"/>
    <n v="0"/>
    <m/>
    <n v="0"/>
    <n v="70000"/>
    <n v="0"/>
    <n v="0"/>
    <m/>
    <m/>
    <m/>
    <m/>
    <m/>
    <m/>
    <m/>
    <m/>
    <m/>
    <n v="0"/>
    <m/>
    <n v="0"/>
    <n v="0"/>
    <n v="0"/>
    <m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  <n v="0"/>
    <n v="0"/>
  </r>
  <r>
    <n v="410"/>
    <s v="亚世欧-KH276"/>
    <s v="一般客户"/>
    <s v="深圳市亚世欧实业有限公司"/>
    <s v="Tom"/>
    <m/>
    <x v="140"/>
    <x v="159"/>
    <m/>
    <x v="0"/>
    <s v="散热风扇"/>
    <m/>
    <s v="批量"/>
    <m/>
    <m/>
    <m/>
    <n v="0.13"/>
    <n v="416000"/>
    <m/>
    <n v="3200000"/>
    <n v="0"/>
    <n v="400000"/>
    <n v="800000"/>
    <n v="400000"/>
    <n v="800000"/>
    <n v="800000"/>
    <n v="800000"/>
    <n v="800000"/>
    <n v="800000"/>
    <n v="400000"/>
    <n v="400000"/>
    <n v="800000"/>
    <n v="800000"/>
    <m/>
    <n v="0"/>
    <m/>
    <m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104000"/>
    <n v="104000"/>
    <n v="104000"/>
    <n v="104000"/>
    <n v="104000"/>
    <n v="52000"/>
    <n v="52000"/>
    <n v="104000"/>
  </r>
  <r>
    <n v="411"/>
    <s v="亚世欧-KH211"/>
    <s v="一般客户"/>
    <s v="深圳市亚世欧实业有限公司"/>
    <s v="Tom"/>
    <m/>
    <x v="141"/>
    <x v="160"/>
    <m/>
    <x v="0"/>
    <s v="散热风扇"/>
    <m/>
    <s v="批量"/>
    <m/>
    <m/>
    <m/>
    <n v="0.14000000000000001"/>
    <n v="252000.00000000003"/>
    <m/>
    <n v="1800000"/>
    <n v="0"/>
    <n v="0"/>
    <n v="0"/>
    <n v="0"/>
    <n v="300000"/>
    <n v="600000"/>
    <n v="400000"/>
    <n v="400000"/>
    <n v="600000"/>
    <n v="200000"/>
    <n v="200000"/>
    <n v="400000"/>
    <n v="400000"/>
    <m/>
    <n v="0"/>
    <n v="0"/>
    <n v="0"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42000.000000000007"/>
    <n v="84000.000000000015"/>
    <n v="56000.000000000007"/>
    <n v="56000.000000000007"/>
    <n v="84000.000000000015"/>
    <n v="28000.000000000004"/>
    <n v="28000.000000000004"/>
    <n v="56000.000000000007"/>
  </r>
  <r>
    <n v="412"/>
    <s v="温州嘉迪电器有限公司"/>
    <s v="一般客户"/>
    <s v="上海养盈电子科技有限公司"/>
    <s v="Tom"/>
    <m/>
    <x v="144"/>
    <x v="161"/>
    <m/>
    <x v="0"/>
    <s v="断路器"/>
    <n v="200000"/>
    <s v="小批量"/>
    <m/>
    <s v="LW310B"/>
    <m/>
    <n v="0.35"/>
    <n v="185500"/>
    <m/>
    <n v="530000"/>
    <n v="0"/>
    <n v="0"/>
    <n v="50000"/>
    <n v="50000"/>
    <n v="50000"/>
    <n v="100000"/>
    <n v="50000"/>
    <n v="50000"/>
    <n v="80000"/>
    <n v="100000"/>
    <n v="100000"/>
    <n v="200000"/>
    <n v="2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17500"/>
    <n v="35000"/>
    <n v="17500"/>
    <n v="17500"/>
    <n v="28000"/>
    <n v="35000"/>
    <n v="35000"/>
    <n v="70000"/>
  </r>
  <r>
    <n v="413"/>
    <s v="温州嘉迪电器有限公司"/>
    <s v="一般客户"/>
    <s v="上海养盈电子科技有限公司"/>
    <s v="Tom"/>
    <m/>
    <x v="138"/>
    <x v="151"/>
    <m/>
    <x v="0"/>
    <s v="断路器"/>
    <n v="1000000"/>
    <s v="小批量"/>
    <m/>
    <s v="LW54123A"/>
    <m/>
    <n v="0.17"/>
    <n v="119000.00000000001"/>
    <m/>
    <n v="700000"/>
    <n v="0"/>
    <n v="0"/>
    <n v="50000"/>
    <n v="100000"/>
    <n v="100000"/>
    <n v="50000"/>
    <n v="60000"/>
    <n v="100000"/>
    <n v="100000"/>
    <n v="200000"/>
    <n v="100000"/>
    <n v="200000"/>
    <n v="2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17000"/>
    <n v="8500"/>
    <n v="10200"/>
    <n v="17000"/>
    <n v="17000"/>
    <n v="34000"/>
    <n v="17000"/>
    <n v="34000"/>
  </r>
  <r>
    <n v="414"/>
    <s v="温州诚富电器有限公司"/>
    <s v="一般客户"/>
    <s v="上海养盈电子科技有限公司"/>
    <s v="Tom"/>
    <m/>
    <x v="138"/>
    <x v="151"/>
    <m/>
    <x v="0"/>
    <s v="漏保插头"/>
    <n v="3000000"/>
    <s v="批量"/>
    <m/>
    <s v="M54123"/>
    <m/>
    <n v="0.17"/>
    <n v="289000"/>
    <m/>
    <n v="1700000"/>
    <n v="0"/>
    <n v="0"/>
    <n v="200000"/>
    <n v="200000"/>
    <n v="300000"/>
    <n v="100000"/>
    <n v="100000"/>
    <n v="200000"/>
    <n v="200000"/>
    <n v="300000"/>
    <n v="400000"/>
    <n v="600000"/>
    <n v="6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51000.000000000007"/>
    <n v="17000"/>
    <n v="17000"/>
    <n v="34000"/>
    <n v="34000"/>
    <n v="51000.000000000007"/>
    <n v="68000"/>
    <n v="102000.00000000001"/>
  </r>
  <r>
    <n v="415"/>
    <s v="深圳鑫宝电器科技有限公司"/>
    <s v="一般客户"/>
    <s v="上海养盈电子科技有限公司"/>
    <s v="Tom"/>
    <m/>
    <x v="140"/>
    <x v="153"/>
    <m/>
    <x v="0"/>
    <s v="散热风扇"/>
    <n v="5000000"/>
    <s v="批量"/>
    <m/>
    <s v="N/A"/>
    <m/>
    <n v="0.13"/>
    <n v="312000"/>
    <m/>
    <n v="2400000"/>
    <n v="0"/>
    <n v="200000"/>
    <n v="400000"/>
    <n v="600000"/>
    <n v="400000"/>
    <n v="400000"/>
    <n v="200000"/>
    <n v="400000"/>
    <n v="600000"/>
    <n v="200000"/>
    <n v="400000"/>
    <n v="800000"/>
    <n v="800000"/>
    <n v="0"/>
    <n v="0"/>
    <n v="0"/>
    <n v="0"/>
    <n v="0"/>
    <n v="0"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52000"/>
    <n v="52000"/>
    <n v="26000"/>
    <n v="52000"/>
    <n v="78000"/>
    <n v="26000"/>
    <n v="52000"/>
    <n v="104000"/>
  </r>
  <r>
    <n v="416"/>
    <s v="深圳鑫宝电器科技有限公司"/>
    <s v="一般客户"/>
    <s v="上海养盈电子科技有限公司"/>
    <s v="Tom"/>
    <m/>
    <x v="11"/>
    <x v="11"/>
    <m/>
    <x v="0"/>
    <s v="其他无刷电机"/>
    <n v="3500000"/>
    <s v="批量"/>
    <m/>
    <s v="N/A"/>
    <m/>
    <n v="0.13"/>
    <n v="265200"/>
    <m/>
    <n v="2040000"/>
    <n v="0"/>
    <n v="240000"/>
    <n v="480000"/>
    <n v="240000"/>
    <n v="240000"/>
    <n v="240000"/>
    <n v="480000"/>
    <n v="600000"/>
    <n v="480000"/>
    <n v="240000"/>
    <n v="240000"/>
    <n v="480000"/>
    <n v="480000"/>
    <m/>
    <m/>
    <m/>
    <n v="0"/>
    <m/>
    <m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31200"/>
    <n v="31200"/>
    <n v="62400"/>
    <n v="78000"/>
    <n v="62400"/>
    <n v="31200"/>
    <n v="31200"/>
    <n v="62400"/>
  </r>
  <r>
    <n v="417"/>
    <s v="深圳鑫宝电器科技有限公司"/>
    <s v="一般客户"/>
    <s v="上海养盈电子科技有限公司"/>
    <s v="Tom"/>
    <m/>
    <x v="13"/>
    <x v="162"/>
    <n v="177"/>
    <x v="0"/>
    <s v="其他无刷电机"/>
    <n v="3200000"/>
    <s v="批量"/>
    <m/>
    <s v="N/A"/>
    <m/>
    <n v="0.13"/>
    <n v="182000"/>
    <m/>
    <n v="1400000"/>
    <n v="0"/>
    <n v="0"/>
    <n v="0"/>
    <n v="400000"/>
    <n v="0"/>
    <n v="400000"/>
    <n v="0"/>
    <n v="400000"/>
    <n v="0"/>
    <n v="600000"/>
    <n v="0"/>
    <n v="400000"/>
    <n v="400000"/>
    <n v="0"/>
    <n v="0"/>
    <m/>
    <m/>
    <n v="0"/>
    <n v="0"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0"/>
    <n v="52000"/>
    <n v="0"/>
    <n v="52000"/>
    <n v="0"/>
    <n v="78000"/>
    <n v="0"/>
    <n v="52000"/>
  </r>
  <r>
    <n v="418"/>
    <s v="深圳鑫宝电器科技有限公司"/>
    <s v="一般客户"/>
    <s v="上海养盈电子科技有限公司"/>
    <s v="Tom"/>
    <m/>
    <x v="25"/>
    <x v="26"/>
    <m/>
    <x v="6"/>
    <s v="豆浆机/料理机电机"/>
    <n v="150000"/>
    <s v="批量"/>
    <m/>
    <s v="N/A"/>
    <m/>
    <n v="0.11"/>
    <n v="5610"/>
    <m/>
    <n v="51000"/>
    <n v="0"/>
    <n v="0"/>
    <n v="30000"/>
    <n v="30000"/>
    <n v="0"/>
    <n v="30000"/>
    <n v="0"/>
    <n v="12000"/>
    <n v="0"/>
    <n v="18000"/>
    <n v="0"/>
    <n v="21000"/>
    <n v="21000"/>
    <n v="0"/>
    <n v="0"/>
    <n v="0"/>
    <n v="0"/>
    <n v="0"/>
    <n v="0"/>
    <n v="0"/>
    <m/>
    <m/>
    <m/>
    <m/>
    <m/>
    <s v="Tom"/>
    <s v="3部"/>
    <s v="磁性位置传感器"/>
    <s v="智能家居"/>
    <s v="小型家电"/>
    <s v="豆浆机/咖啡机"/>
    <m/>
    <m/>
    <m/>
    <m/>
    <m/>
    <m/>
    <m/>
    <m/>
    <m/>
    <m/>
    <m/>
    <m/>
    <m/>
    <n v="0"/>
    <n v="3300"/>
    <n v="0"/>
    <n v="1320"/>
    <n v="0"/>
    <n v="1980"/>
    <n v="0"/>
    <n v="2310"/>
  </r>
  <r>
    <n v="419"/>
    <s v="深圳市粤科源兴科技有限公司"/>
    <s v="一般客户"/>
    <s v="上海养盈电子科技有限公司"/>
    <s v="Tom"/>
    <m/>
    <x v="36"/>
    <x v="163"/>
    <s v="17CA"/>
    <x v="0"/>
    <s v="凸轮轴传感器"/>
    <n v="2000000"/>
    <s v="批量"/>
    <m/>
    <s v="N/A"/>
    <m/>
    <n v="0.8"/>
    <n v="400000"/>
    <m/>
    <n v="500000"/>
    <n v="0"/>
    <n v="0"/>
    <n v="100000"/>
    <n v="200000"/>
    <n v="200000"/>
    <n v="200000"/>
    <n v="200000"/>
    <n v="100000"/>
    <n v="100000"/>
    <n v="100000"/>
    <n v="100000"/>
    <n v="100000"/>
    <n v="100000"/>
    <n v="0"/>
    <n v="0"/>
    <n v="0"/>
    <m/>
    <m/>
    <n v="0"/>
    <n v="0"/>
    <m/>
    <m/>
    <m/>
    <m/>
    <m/>
    <s v="Tom"/>
    <s v="3部"/>
    <s v="速度传感器"/>
    <s v="汽车电子"/>
    <s v="动力总成"/>
    <s v="发动机"/>
    <m/>
    <m/>
    <m/>
    <m/>
    <m/>
    <m/>
    <m/>
    <m/>
    <m/>
    <m/>
    <m/>
    <m/>
    <m/>
    <n v="160000"/>
    <n v="160000"/>
    <n v="160000"/>
    <n v="80000"/>
    <n v="80000"/>
    <n v="80000"/>
    <n v="80000"/>
    <n v="80000"/>
  </r>
  <r>
    <n v="420"/>
    <s v="深圳市航嘉驰源电气股份有限公司"/>
    <s v="战略客户"/>
    <s v="深圳市亚世欧实业有限公司"/>
    <s v="Tom"/>
    <m/>
    <x v="62"/>
    <x v="72"/>
    <m/>
    <x v="0"/>
    <s v="H项目"/>
    <m/>
    <s v="批量"/>
    <m/>
    <s v="N/A"/>
    <m/>
    <n v="0.33"/>
    <n v="1353000"/>
    <m/>
    <n v="4100000"/>
    <n v="400000"/>
    <n v="700000"/>
    <n v="700000"/>
    <n v="700000"/>
    <n v="700000"/>
    <n v="2000000"/>
    <n v="2000000"/>
    <n v="600000"/>
    <n v="600000"/>
    <n v="700000"/>
    <n v="1000000"/>
    <n v="1200000"/>
    <n v="1200000"/>
    <m/>
    <m/>
    <m/>
    <m/>
    <m/>
    <m/>
    <n v="0"/>
    <m/>
    <m/>
    <m/>
    <m/>
    <m/>
    <s v="Harry"/>
    <s v="3部"/>
    <s v="磁性位置传感器"/>
    <s v="工业和机器人"/>
    <s v="工业电机"/>
    <s v="工业电机电控"/>
    <s v="散热风扇"/>
    <m/>
    <m/>
    <m/>
    <m/>
    <m/>
    <m/>
    <m/>
    <m/>
    <m/>
    <m/>
    <m/>
    <m/>
    <n v="231000"/>
    <n v="660000"/>
    <n v="660000"/>
    <n v="198000"/>
    <n v="198000"/>
    <n v="231000"/>
    <n v="330000"/>
    <n v="396000"/>
  </r>
  <r>
    <n v="421"/>
    <s v="鹏芯-SD276"/>
    <s v="一般客户"/>
    <s v="绍兴鹏芯电子科技有限公司"/>
    <s v="Tom"/>
    <m/>
    <x v="145"/>
    <x v="164"/>
    <m/>
    <x v="0"/>
    <s v="散热风扇"/>
    <m/>
    <s v="批量"/>
    <m/>
    <m/>
    <m/>
    <n v="1099.56"/>
    <n v="422231.03999999998"/>
    <m/>
    <n v="384"/>
    <n v="1680000"/>
    <n v="840000"/>
    <n v="0"/>
    <n v="0"/>
    <n v="96"/>
    <n v="96"/>
    <n v="48"/>
    <n v="48"/>
    <n v="120"/>
    <n v="96"/>
    <n v="96"/>
    <n v="24"/>
    <n v="24"/>
    <m/>
    <m/>
    <n v="0"/>
    <n v="0"/>
    <m/>
    <n v="0"/>
    <n v="48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105557.75999999999"/>
    <n v="105557.75999999999"/>
    <n v="52778.879999999997"/>
    <n v="52778.879999999997"/>
    <n v="131947.19999999998"/>
    <n v="105557.75999999999"/>
    <n v="105557.75999999999"/>
    <n v="26389.439999999999"/>
  </r>
  <r>
    <n v="422"/>
    <s v="鹏芯-SC2063"/>
    <s v="一般客户"/>
    <s v="绍兴鹏芯电子科技有限公司"/>
    <s v="Tom"/>
    <m/>
    <x v="146"/>
    <x v="165"/>
    <m/>
    <x v="0"/>
    <s v="电源开关"/>
    <m/>
    <s v="批量"/>
    <m/>
    <m/>
    <m/>
    <n v="4500"/>
    <n v="225000"/>
    <m/>
    <n v="50"/>
    <n v="0"/>
    <n v="0"/>
    <n v="25"/>
    <n v="25"/>
    <n v="25"/>
    <n v="25"/>
    <n v="0"/>
    <n v="0"/>
    <n v="25"/>
    <n v="0"/>
    <n v="0"/>
    <n v="25"/>
    <n v="25"/>
    <m/>
    <n v="0"/>
    <m/>
    <m/>
    <n v="0"/>
    <n v="0"/>
    <n v="0"/>
    <m/>
    <m/>
    <m/>
    <m/>
    <m/>
    <s v="Harry"/>
    <s v="3部"/>
    <s v="磁性位置传感器"/>
    <s v="智能家居"/>
    <s v="小型家电"/>
    <s v="豆浆机/咖啡机"/>
    <s v="豆浆机/咖啡机"/>
    <m/>
    <m/>
    <m/>
    <m/>
    <m/>
    <m/>
    <m/>
    <m/>
    <m/>
    <m/>
    <m/>
    <m/>
    <n v="112500"/>
    <n v="112500"/>
    <n v="0"/>
    <n v="0"/>
    <n v="112500"/>
    <n v="0"/>
    <n v="0"/>
    <n v="112500"/>
  </r>
  <r>
    <n v="423"/>
    <s v="宁波市欣新电器科技有限公司"/>
    <s v="一般客户"/>
    <s v="上海养盈电子科技有限公司"/>
    <s v="Tom"/>
    <m/>
    <x v="16"/>
    <x v="17"/>
    <m/>
    <x v="0"/>
    <s v="天窗电机"/>
    <n v="2000000"/>
    <s v="小批量"/>
    <m/>
    <m/>
    <m/>
    <n v="0.38"/>
    <n v="387600"/>
    <m/>
    <n v="1020000"/>
    <n v="200000"/>
    <n v="120000"/>
    <n v="240000"/>
    <n v="120000"/>
    <n v="120000"/>
    <n v="120000"/>
    <n v="120000"/>
    <n v="120000"/>
    <n v="180000"/>
    <n v="240000"/>
    <n v="240000"/>
    <n v="240000"/>
    <n v="240000"/>
    <n v="0"/>
    <n v="0"/>
    <n v="0"/>
    <n v="0"/>
    <n v="0"/>
    <n v="0"/>
    <n v="0"/>
    <m/>
    <m/>
    <m/>
    <m/>
    <m/>
    <s v="Tom"/>
    <s v="3部"/>
    <s v="磁性位置传感器"/>
    <s v="汽车电子"/>
    <s v="车身电子"/>
    <s v="天窗系统"/>
    <s v="天窗电机"/>
    <m/>
    <m/>
    <m/>
    <m/>
    <m/>
    <m/>
    <m/>
    <m/>
    <m/>
    <m/>
    <m/>
    <m/>
    <n v="45600"/>
    <n v="45600"/>
    <n v="45600"/>
    <n v="45600"/>
    <n v="68400"/>
    <n v="91200"/>
    <n v="91200"/>
    <n v="91200"/>
  </r>
  <r>
    <n v="424"/>
    <s v="宁波市北仑拓立模具技术有限公司"/>
    <s v="一般客户"/>
    <s v="上海养盈电子科技有限公司"/>
    <s v="Tom"/>
    <m/>
    <x v="147"/>
    <x v="166"/>
    <m/>
    <x v="0"/>
    <m/>
    <m/>
    <s v="批量"/>
    <m/>
    <m/>
    <m/>
    <n v="5.3"/>
    <n v="265000"/>
    <m/>
    <n v="50000"/>
    <n v="10000"/>
    <n v="5000"/>
    <n v="10000"/>
    <n v="10000"/>
    <n v="10000"/>
    <n v="10000"/>
    <n v="20000"/>
    <n v="10000"/>
    <n v="10000"/>
    <n v="10000"/>
    <n v="10000"/>
    <n v="10000"/>
    <n v="10000"/>
    <m/>
    <n v="0"/>
    <m/>
    <n v="0"/>
    <m/>
    <m/>
    <n v="0"/>
    <m/>
    <m/>
    <m/>
    <m/>
    <m/>
    <s v="Tom"/>
    <s v="3部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5"/>
    <s v="宁波市北仑拓立模具技术有限公司"/>
    <s v="一般客户"/>
    <s v="上海养盈电子科技有限公司"/>
    <s v="Tom"/>
    <m/>
    <x v="147"/>
    <x v="166"/>
    <m/>
    <x v="0"/>
    <m/>
    <m/>
    <s v="批量"/>
    <m/>
    <m/>
    <m/>
    <n v="5.3"/>
    <n v="265000"/>
    <m/>
    <n v="50000"/>
    <n v="10000"/>
    <n v="5000"/>
    <n v="10000"/>
    <n v="10000"/>
    <n v="10000"/>
    <n v="10000"/>
    <n v="20000"/>
    <n v="10000"/>
    <n v="10000"/>
    <n v="10000"/>
    <n v="10000"/>
    <n v="10000"/>
    <n v="10000"/>
    <m/>
    <n v="0"/>
    <m/>
    <n v="0"/>
    <m/>
    <m/>
    <n v="0"/>
    <m/>
    <m/>
    <m/>
    <m/>
    <m/>
    <s v="Tom"/>
    <s v="3部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6"/>
    <s v="宁波北仑拓立摸具技术有限公司"/>
    <s v="一般客户"/>
    <s v="上海养盈电子科技有限公司"/>
    <s v="Tom"/>
    <m/>
    <x v="34"/>
    <x v="36"/>
    <m/>
    <x v="0"/>
    <m/>
    <m/>
    <s v="小批量"/>
    <m/>
    <m/>
    <m/>
    <n v="2"/>
    <n v="100000"/>
    <m/>
    <n v="50000"/>
    <n v="10000"/>
    <n v="5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3部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27"/>
    <s v="宁波精成车业电机有限公司"/>
    <s v="一般客户"/>
    <s v="上海养盈电子科技有限公司"/>
    <s v="Tom"/>
    <m/>
    <x v="148"/>
    <x v="31"/>
    <m/>
    <x v="0"/>
    <s v="车窗电机"/>
    <m/>
    <s v="评估"/>
    <s v="寻找跟进关键人"/>
    <s v="N/A"/>
    <m/>
    <n v="0.42"/>
    <n v="176400"/>
    <m/>
    <n v="420000"/>
    <n v="0"/>
    <n v="0"/>
    <n v="0"/>
    <m/>
    <n v="30000"/>
    <n v="30000"/>
    <n v="30000"/>
    <n v="60000"/>
    <n v="60000"/>
    <n v="60000"/>
    <n v="120000"/>
    <n v="120000"/>
    <n v="120000"/>
    <m/>
    <m/>
    <m/>
    <m/>
    <m/>
    <m/>
    <m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12600"/>
    <n v="12600"/>
    <n v="12600"/>
    <n v="25200"/>
    <n v="25200"/>
    <n v="25200"/>
    <n v="50400"/>
    <n v="50400"/>
  </r>
  <r>
    <n v="428"/>
    <s v="宁波恒特汽车零部件有限公司"/>
    <s v="战略客户"/>
    <s v="上海养盈电子科技有限公司"/>
    <s v="Tom"/>
    <m/>
    <x v="16"/>
    <x v="17"/>
    <m/>
    <x v="0"/>
    <s v="天窗电机"/>
    <m/>
    <s v="批量"/>
    <s v="加强客情关系"/>
    <s v="N/A"/>
    <m/>
    <n v="0.38"/>
    <n v="1482000"/>
    <m/>
    <n v="3900000"/>
    <n v="459000"/>
    <n v="300000"/>
    <n v="600000"/>
    <n v="600000"/>
    <n v="600000"/>
    <n v="600000"/>
    <n v="600000"/>
    <n v="600000"/>
    <n v="600000"/>
    <n v="700000"/>
    <n v="1000000"/>
    <n v="1000000"/>
    <n v="1000000"/>
    <m/>
    <m/>
    <m/>
    <n v="0"/>
    <m/>
    <m/>
    <n v="0"/>
    <m/>
    <m/>
    <m/>
    <m/>
    <m/>
    <s v="Tom"/>
    <s v="3部"/>
    <s v="磁性位置传感器"/>
    <s v="汽车电子"/>
    <s v="车身电子"/>
    <s v="天窗系统"/>
    <s v="天窗电机"/>
    <m/>
    <m/>
    <m/>
    <m/>
    <m/>
    <m/>
    <m/>
    <m/>
    <m/>
    <m/>
    <m/>
    <m/>
    <n v="228000"/>
    <n v="228000"/>
    <n v="228000"/>
    <n v="228000"/>
    <n v="228000"/>
    <n v="266000"/>
    <n v="380000"/>
    <n v="380000"/>
  </r>
  <r>
    <n v="429"/>
    <s v="宁波恒特汽车零部件有限公司"/>
    <s v="战略客户"/>
    <s v="上海养盈电子科技有限公司"/>
    <s v="Tom"/>
    <m/>
    <x v="62"/>
    <x v="65"/>
    <m/>
    <x v="0"/>
    <s v="车窗电机"/>
    <m/>
    <s v="批量"/>
    <s v="加强客情关系"/>
    <s v="N/A"/>
    <m/>
    <n v="0.25"/>
    <n v="300000"/>
    <m/>
    <n v="1200000"/>
    <n v="0"/>
    <n v="200000"/>
    <n v="200000"/>
    <n v="200000"/>
    <n v="240000"/>
    <n v="240000"/>
    <n v="120000"/>
    <n v="240000"/>
    <n v="240000"/>
    <n v="240000"/>
    <n v="240000"/>
    <n v="240000"/>
    <n v="240000"/>
    <n v="0"/>
    <n v="0"/>
    <m/>
    <m/>
    <m/>
    <n v="0"/>
    <n v="0"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60000"/>
    <n v="30000"/>
    <n v="60000"/>
    <n v="60000"/>
    <n v="60000"/>
    <n v="60000"/>
    <n v="60000"/>
  </r>
  <r>
    <n v="430"/>
    <s v="宁波恒特汽车零部件有限公司"/>
    <s v="战略客户"/>
    <s v="上海养盈电子科技有限公司"/>
    <s v="Tom"/>
    <m/>
    <x v="90"/>
    <x v="99"/>
    <m/>
    <x v="0"/>
    <s v="车窗电机"/>
    <m/>
    <s v="批量"/>
    <s v="加强客情关系"/>
    <s v="N/A"/>
    <m/>
    <n v="0.25"/>
    <n v="270000"/>
    <m/>
    <n v="1080000"/>
    <n v="6000"/>
    <n v="0"/>
    <n v="10000"/>
    <n v="0"/>
    <n v="240000"/>
    <n v="120000"/>
    <n v="120000"/>
    <n v="120000"/>
    <n v="240000"/>
    <n v="240000"/>
    <n v="240000"/>
    <n v="240000"/>
    <n v="240000"/>
    <m/>
    <n v="0"/>
    <n v="0"/>
    <m/>
    <n v="0"/>
    <n v="0"/>
    <n v="0"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30000"/>
    <n v="30000"/>
    <n v="30000"/>
    <n v="60000"/>
    <n v="60000"/>
    <n v="60000"/>
    <n v="60000"/>
  </r>
  <r>
    <n v="431"/>
    <s v="宁波恒帅股份有限公司"/>
    <s v="战略客户"/>
    <s v="上海养盈电子科技有限公司"/>
    <s v="Tom"/>
    <m/>
    <x v="6"/>
    <x v="6"/>
    <m/>
    <x v="0"/>
    <s v="尾门电机"/>
    <m/>
    <s v="送样"/>
    <s v="跟进样品测试"/>
    <s v="A1220/1210"/>
    <m/>
    <n v="0.42"/>
    <n v="75600"/>
    <m/>
    <n v="180000"/>
    <n v="21000"/>
    <n v="0"/>
    <n v="21000"/>
    <n v="0"/>
    <n v="0"/>
    <n v="0"/>
    <n v="60000"/>
    <n v="0"/>
    <n v="60000"/>
    <n v="0"/>
    <n v="0"/>
    <n v="120000"/>
    <n v="120000"/>
    <n v="0"/>
    <n v="0"/>
    <n v="0"/>
    <n v="0"/>
    <n v="0"/>
    <n v="0"/>
    <n v="0"/>
    <m/>
    <m/>
    <m/>
    <m/>
    <m/>
    <s v="Tom"/>
    <s v="3部"/>
    <s v="磁性位置传感器"/>
    <s v="汽车电子"/>
    <s v="车身电子"/>
    <s v="尾门系统"/>
    <s v="尾门电机"/>
    <m/>
    <m/>
    <m/>
    <m/>
    <m/>
    <m/>
    <m/>
    <m/>
    <m/>
    <m/>
    <m/>
    <m/>
    <n v="0"/>
    <n v="0"/>
    <n v="25200"/>
    <n v="0"/>
    <n v="25200"/>
    <n v="0"/>
    <n v="0"/>
    <n v="50400"/>
  </r>
  <r>
    <n v="432"/>
    <s v="惠州市卓邦电子有限公司"/>
    <s v="一般客户"/>
    <s v="深圳市亚世欧实业有限公司"/>
    <s v="Tom"/>
    <m/>
    <x v="141"/>
    <x v="160"/>
    <m/>
    <x v="0"/>
    <s v="散热风扇"/>
    <m/>
    <s v="批量"/>
    <m/>
    <s v="SDC211"/>
    <m/>
    <n v="0.14000000000000001"/>
    <n v="238000.00000000003"/>
    <m/>
    <n v="1700000"/>
    <n v="0"/>
    <n v="0"/>
    <n v="0"/>
    <n v="0"/>
    <n v="300000"/>
    <n v="400000"/>
    <n v="200000"/>
    <n v="200000"/>
    <n v="400000"/>
    <n v="300000"/>
    <n v="400000"/>
    <n v="400000"/>
    <n v="400000"/>
    <m/>
    <n v="0"/>
    <m/>
    <n v="0"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42000.000000000007"/>
    <n v="56000.000000000007"/>
    <n v="28000.000000000004"/>
    <n v="28000.000000000004"/>
    <n v="56000.000000000007"/>
    <n v="42000.000000000007"/>
    <n v="56000.000000000007"/>
    <n v="56000.000000000007"/>
  </r>
  <r>
    <n v="433"/>
    <s v="杭州小飞电器科技有限公司"/>
    <s v="一般客户"/>
    <s v="上海养盈电子科技有限公司"/>
    <s v="Tom"/>
    <m/>
    <x v="149"/>
    <x v="167"/>
    <s v="44E"/>
    <x v="0"/>
    <s v="其他无刷电机"/>
    <n v="2800000"/>
    <s v="批量"/>
    <m/>
    <s v="N/A"/>
    <m/>
    <n v="0.14000000000000001"/>
    <n v="168000.00000000003"/>
    <m/>
    <n v="1200000"/>
    <n v="0"/>
    <n v="600000"/>
    <n v="0"/>
    <n v="0"/>
    <n v="600000"/>
    <n v="0"/>
    <n v="600000"/>
    <n v="600000"/>
    <n v="0"/>
    <n v="0"/>
    <n v="600000"/>
    <m/>
    <n v="0"/>
    <n v="0"/>
    <m/>
    <m/>
    <n v="0"/>
    <n v="0"/>
    <m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84000.000000000015"/>
    <n v="0"/>
    <n v="84000.000000000015"/>
    <n v="84000.000000000015"/>
    <n v="0"/>
    <n v="0"/>
    <n v="84000.000000000015"/>
    <n v="0"/>
  </r>
  <r>
    <n v="434"/>
    <s v="无锡迪士科技"/>
    <s v="一般客户"/>
    <s v="上海养盈电子科技有限公司"/>
    <s v="Tom"/>
    <m/>
    <x v="103"/>
    <x v="112"/>
    <m/>
    <x v="0"/>
    <s v="防爆开关"/>
    <m/>
    <s v="送样"/>
    <m/>
    <m/>
    <m/>
    <n v="0.16"/>
    <n v="192000"/>
    <m/>
    <n v="1200000"/>
    <n v="0"/>
    <n v="0"/>
    <n v="0"/>
    <n v="0"/>
    <n v="240000"/>
    <n v="240000"/>
    <n v="240000"/>
    <n v="240000"/>
    <n v="240000"/>
    <n v="240000"/>
    <n v="240000"/>
    <n v="240000"/>
    <n v="240000"/>
    <n v="0"/>
    <n v="0"/>
    <n v="0"/>
    <n v="0"/>
    <n v="0"/>
    <n v="0"/>
    <n v="0"/>
    <m/>
    <m/>
    <m/>
    <m/>
    <m/>
    <s v="Harry"/>
    <s v="3部"/>
    <s v="磁性位置传感器"/>
    <s v="工业和机器人"/>
    <s v="工业其他"/>
    <s v="其他"/>
    <s v="其他"/>
    <m/>
    <m/>
    <m/>
    <m/>
    <m/>
    <m/>
    <m/>
    <m/>
    <m/>
    <m/>
    <m/>
    <m/>
    <n v="38400"/>
    <n v="38400"/>
    <n v="38400"/>
    <n v="38400"/>
    <n v="38400"/>
    <n v="38400"/>
    <n v="38400"/>
    <n v="38400"/>
  </r>
  <r>
    <n v="435"/>
    <s v="深圳市旭益达无刷电机有限公司"/>
    <s v="一般客户"/>
    <s v="上海养盈电子科技有限公司"/>
    <s v="Tom"/>
    <m/>
    <x v="13"/>
    <x v="13"/>
    <n v="177"/>
    <x v="0"/>
    <s v="其他无刷电机"/>
    <n v="3200000"/>
    <s v="批量"/>
    <m/>
    <s v="N/A"/>
    <m/>
    <n v="0.13"/>
    <n v="130000"/>
    <m/>
    <n v="1000000"/>
    <n v="0"/>
    <n v="0"/>
    <n v="0"/>
    <m/>
    <n v="500000"/>
    <m/>
    <n v="500000"/>
    <m/>
    <n v="500000"/>
    <m/>
    <n v="500000"/>
    <m/>
    <n v="0"/>
    <n v="0"/>
    <n v="0"/>
    <m/>
    <m/>
    <n v="0"/>
    <n v="0"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65000"/>
    <n v="0"/>
    <n v="65000"/>
    <n v="0"/>
    <n v="65000"/>
    <n v="0"/>
    <n v="65000"/>
    <n v="0"/>
  </r>
  <r>
    <n v="436"/>
    <s v="东莞市巨搏悦科技有限公司"/>
    <s v="一般客户"/>
    <s v="深圳市亚世欧实业有限公司"/>
    <s v="Tom"/>
    <m/>
    <x v="13"/>
    <x v="13"/>
    <m/>
    <x v="0"/>
    <s v="散热风扇"/>
    <m/>
    <s v="批量"/>
    <m/>
    <s v="N/A"/>
    <m/>
    <n v="0.15"/>
    <n v="300000"/>
    <m/>
    <n v="2000000"/>
    <n v="300000"/>
    <n v="400000"/>
    <n v="400000"/>
    <n v="400000"/>
    <n v="400000"/>
    <n v="400000"/>
    <n v="400000"/>
    <n v="400000"/>
    <n v="400000"/>
    <n v="400000"/>
    <n v="400000"/>
    <n v="400000"/>
    <n v="400000"/>
    <m/>
    <n v="0"/>
    <n v="0"/>
    <n v="0"/>
    <n v="0"/>
    <n v="0"/>
    <n v="0"/>
    <m/>
    <m/>
    <m/>
    <m/>
    <m/>
    <s v="Tom"/>
    <s v="3部"/>
    <s v="磁性位置传感器"/>
    <s v="工业和机器人"/>
    <s v="电动工具"/>
    <s v="电机电控"/>
    <s v="电机"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437"/>
    <s v="宁波明芯智能科技有限公司"/>
    <s v="一般客户"/>
    <s v="上海养盈电子科技有限公司"/>
    <s v="Tom"/>
    <m/>
    <x v="8"/>
    <x v="8"/>
    <m/>
    <x v="0"/>
    <s v="其他电机电机控制板"/>
    <n v="1000000"/>
    <s v="送样"/>
    <m/>
    <m/>
    <m/>
    <n v="0.55000000000000004"/>
    <n v="127600.00000000001"/>
    <m/>
    <n v="232000"/>
    <m/>
    <n v="3000"/>
    <n v="3000"/>
    <n v="10000"/>
    <n v="10000"/>
    <n v="12000"/>
    <n v="12000"/>
    <n v="12000"/>
    <n v="20000"/>
    <n v="20000"/>
    <n v="60000"/>
    <n v="120000"/>
    <n v="120000"/>
    <m/>
    <m/>
    <m/>
    <m/>
    <m/>
    <m/>
    <m/>
    <m/>
    <m/>
    <m/>
    <m/>
    <m/>
    <s v="Harry"/>
    <s v="3部"/>
    <s v="电机驱动"/>
    <s v="新能源"/>
    <s v="太阳能"/>
    <s v="逆变器"/>
    <s v="逆变器电流传感器"/>
    <m/>
    <m/>
    <m/>
    <m/>
    <m/>
    <m/>
    <m/>
    <m/>
    <m/>
    <m/>
    <m/>
    <m/>
    <n v="5500"/>
    <n v="6600.0000000000009"/>
    <n v="6600.0000000000009"/>
    <n v="6600.0000000000009"/>
    <n v="11000"/>
    <n v="11000"/>
    <n v="33000"/>
    <n v="66000"/>
  </r>
  <r>
    <n v="438"/>
    <s v="宁波瀚朗智能驱动科技股份有限公司"/>
    <s v="一般客户"/>
    <s v="上海养盈电子科技有限公司"/>
    <s v="Tom"/>
    <m/>
    <x v="8"/>
    <x v="8"/>
    <m/>
    <x v="0"/>
    <s v="其他无刷电机"/>
    <n v="1000000"/>
    <s v="评估"/>
    <m/>
    <m/>
    <m/>
    <n v="0.5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Harry"/>
    <s v="3部"/>
    <s v="电机驱动"/>
    <s v="工业和机器人"/>
    <s v="工业电机"/>
    <s v="电机电控"/>
    <s v="电机"/>
    <m/>
    <m/>
    <m/>
    <m/>
    <m/>
    <m/>
    <m/>
    <m/>
    <m/>
    <m/>
    <m/>
    <m/>
    <n v="0"/>
    <n v="0"/>
    <n v="0"/>
    <n v="0"/>
    <n v="0"/>
    <n v="0"/>
    <n v="0"/>
    <n v="0"/>
  </r>
  <r>
    <n v="439"/>
    <s v="宁波晴控智能有限公司"/>
    <s v="一般客户"/>
    <s v="上海养盈电子科技有限公司"/>
    <s v="Tom"/>
    <m/>
    <x v="32"/>
    <x v="34"/>
    <m/>
    <x v="0"/>
    <s v="其他无刷电机"/>
    <n v="150000"/>
    <s v="批量"/>
    <m/>
    <m/>
    <m/>
    <n v="2.5499999999999998"/>
    <n v="153000"/>
    <m/>
    <n v="60000"/>
    <n v="5000"/>
    <n v="5000"/>
    <n v="10000"/>
    <n v="10000"/>
    <n v="10000"/>
    <n v="10000"/>
    <n v="10000"/>
    <n v="10000"/>
    <n v="10000"/>
    <n v="10000"/>
    <n v="10000"/>
    <n v="20000"/>
    <n v="20000"/>
    <n v="0"/>
    <n v="0"/>
    <n v="0"/>
    <n v="0"/>
    <n v="0"/>
    <n v="0"/>
    <n v="0"/>
    <m/>
    <m/>
    <m/>
    <m/>
    <m/>
    <s v="Tom"/>
    <s v="3部"/>
    <s v="角度传感器"/>
    <s v="消费电子"/>
    <s v="个人护理"/>
    <s v="筋膜枪"/>
    <s v="筋膜枪电机"/>
    <m/>
    <m/>
    <m/>
    <m/>
    <m/>
    <m/>
    <m/>
    <m/>
    <m/>
    <m/>
    <m/>
    <m/>
    <n v="25500"/>
    <n v="25500"/>
    <n v="25500"/>
    <n v="25500"/>
    <n v="25500"/>
    <n v="25500"/>
    <n v="25500"/>
    <n v="51000"/>
  </r>
  <r>
    <n v="440"/>
    <s v="宁波瑞利特电子科技有限公司"/>
    <s v="一般客户"/>
    <s v="上海养盈电子科技有限公司"/>
    <s v="Tom"/>
    <m/>
    <x v="17"/>
    <x v="18"/>
    <m/>
    <x v="0"/>
    <s v="水位计"/>
    <m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3部"/>
    <s v="磁性位置传感器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  <n v="0"/>
    <n v="0"/>
  </r>
  <r>
    <n v="441"/>
    <s v="东莞市鸿飞科技有限公司"/>
    <s v="一般客户"/>
    <s v="深圳市亚世欧实业有限公司"/>
    <s v="Tom"/>
    <m/>
    <x v="11"/>
    <x v="84"/>
    <m/>
    <x v="0"/>
    <s v="筋膜枪"/>
    <n v="1200000"/>
    <s v="批量"/>
    <m/>
    <s v="SDC177"/>
    <m/>
    <n v="0.15"/>
    <n v="90000"/>
    <m/>
    <n v="600000"/>
    <n v="120000"/>
    <n v="120000"/>
    <n v="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Harry"/>
    <s v="3部"/>
    <s v="磁性位置传感器"/>
    <s v="消费电子"/>
    <s v="个人护理"/>
    <s v="筋膜枪"/>
    <s v="筋膜枪电机"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42"/>
    <s v="宁波恒特汽车零部件有限公司"/>
    <s v="战略客户"/>
    <s v="上海养盈电子科技有限公司"/>
    <s v="Tom"/>
    <m/>
    <x v="6"/>
    <x v="6"/>
    <m/>
    <x v="0"/>
    <s v="天窗电机"/>
    <n v="50000"/>
    <s v="小批量"/>
    <m/>
    <m/>
    <m/>
    <n v="0.42"/>
    <n v="176400"/>
    <m/>
    <n v="420000"/>
    <m/>
    <n v="9000"/>
    <n v="12000"/>
    <m/>
    <n v="9000"/>
    <m/>
    <n v="30000"/>
    <n v="0"/>
    <n v="90000"/>
    <n v="90000"/>
    <n v="120000"/>
    <n v="120000"/>
    <n v="120000"/>
    <n v="0"/>
    <n v="0"/>
    <n v="0"/>
    <n v="0"/>
    <n v="9000"/>
    <n v="0"/>
    <n v="0"/>
    <m/>
    <m/>
    <m/>
    <m/>
    <m/>
    <s v="Tom"/>
    <s v="3部"/>
    <s v="磁性位置传感器"/>
    <s v="汽车电子"/>
    <s v="车身电子"/>
    <s v="天窗系统"/>
    <s v="天窗电机"/>
    <s v="长安"/>
    <m/>
    <m/>
    <m/>
    <m/>
    <m/>
    <m/>
    <m/>
    <m/>
    <m/>
    <m/>
    <m/>
    <n v="3780"/>
    <n v="0"/>
    <n v="12600"/>
    <n v="0"/>
    <n v="37800"/>
    <n v="37800"/>
    <n v="50400"/>
    <n v="50400"/>
  </r>
  <r>
    <n v="443"/>
    <s v="南京艾驰电子科技有限公司"/>
    <s v="一般客户"/>
    <s v="上海养盈电子科技有限公司"/>
    <s v="Tom"/>
    <m/>
    <x v="18"/>
    <x v="19"/>
    <m/>
    <x v="0"/>
    <s v="其他电机控制板"/>
    <n v="2000000"/>
    <s v="批量"/>
    <m/>
    <m/>
    <m/>
    <n v="0.28000000000000003"/>
    <n v="168000.00000000003"/>
    <m/>
    <n v="600000"/>
    <n v="120000"/>
    <n v="120000"/>
    <n v="12000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Tom"/>
    <s v="3部"/>
    <s v="磁性位置传感器"/>
    <s v="工业和机器人"/>
    <s v="工业其他"/>
    <s v="其他"/>
    <s v="其他"/>
    <m/>
    <m/>
    <m/>
    <m/>
    <m/>
    <m/>
    <m/>
    <m/>
    <m/>
    <m/>
    <m/>
    <m/>
    <n v="33600"/>
    <n v="33600"/>
    <n v="33600"/>
    <n v="33600"/>
    <n v="33600"/>
    <n v="33600"/>
    <n v="33600"/>
    <n v="33600"/>
  </r>
  <r>
    <n v="444"/>
    <s v="宁波铭瑞传感器有限公司"/>
    <s v="一般客户"/>
    <s v="上海养盈电子科技有限公司"/>
    <s v="Tom"/>
    <m/>
    <x v="18"/>
    <x v="19"/>
    <m/>
    <x v="0"/>
    <s v="其他电机控制板"/>
    <n v="900000"/>
    <s v="小批量"/>
    <m/>
    <m/>
    <m/>
    <n v="0.28000000000000003"/>
    <n v="42000.000000000007"/>
    <m/>
    <n v="150000"/>
    <n v="12000"/>
    <m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Tom"/>
    <s v="3部"/>
    <s v="磁性位置传感器"/>
    <s v="工业和机器人"/>
    <s v="工业其他"/>
    <s v="工业接近开关"/>
    <s v="接近开关"/>
    <m/>
    <m/>
    <m/>
    <m/>
    <m/>
    <m/>
    <m/>
    <m/>
    <m/>
    <m/>
    <m/>
    <m/>
    <n v="8400"/>
    <n v="8400"/>
    <n v="8400"/>
    <n v="8400"/>
    <n v="8400"/>
    <n v="8400"/>
    <n v="8400"/>
    <n v="8400"/>
  </r>
  <r>
    <n v="445"/>
    <s v="深圳鑫宝电器科技有限公司"/>
    <s v="一般客户"/>
    <s v="上海养盈电子科技有限公司"/>
    <s v="Tom"/>
    <m/>
    <x v="13"/>
    <x v="134"/>
    <s v="U18"/>
    <x v="0"/>
    <s v="手柄摇杆"/>
    <m/>
    <s v="评估"/>
    <m/>
    <m/>
    <m/>
    <n v="0.13"/>
    <n v="260000"/>
    <m/>
    <n v="2000000"/>
    <n v="1000000"/>
    <m/>
    <n v="1000000"/>
    <m/>
    <n v="1000000"/>
    <m/>
    <m/>
    <n v="1000000"/>
    <m/>
    <m/>
    <n v="1000000"/>
    <m/>
    <n v="0"/>
    <m/>
    <m/>
    <m/>
    <m/>
    <m/>
    <m/>
    <m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130000"/>
    <n v="0"/>
    <n v="0"/>
    <n v="130000"/>
    <n v="0"/>
    <n v="0"/>
    <n v="130000"/>
    <n v="0"/>
  </r>
  <r>
    <n v="446"/>
    <s v="玉环普天单向器科技有限公司"/>
    <s v="一般客户"/>
    <s v="上海养盈电子科技有限公司"/>
    <s v="Tom"/>
    <m/>
    <x v="62"/>
    <x v="65"/>
    <m/>
    <x v="0"/>
    <s v="尾门电机"/>
    <m/>
    <s v="小批量"/>
    <s v="跟踪客户产线调试"/>
    <m/>
    <m/>
    <n v="0.25"/>
    <n v="45000"/>
    <m/>
    <n v="180000"/>
    <m/>
    <m/>
    <n v="51000"/>
    <m/>
    <n v="51000"/>
    <m/>
    <n v="51000"/>
    <m/>
    <m/>
    <n v="60000"/>
    <n v="60000"/>
    <n v="60000"/>
    <n v="60000"/>
    <m/>
    <m/>
    <m/>
    <m/>
    <m/>
    <m/>
    <m/>
    <m/>
    <m/>
    <m/>
    <m/>
    <m/>
    <s v="Tom"/>
    <s v="3部"/>
    <s v="磁性位置传感器"/>
    <s v="汽车电子"/>
    <s v="车身电子"/>
    <s v="尾门系统"/>
    <s v="尾门电机"/>
    <m/>
    <m/>
    <m/>
    <m/>
    <m/>
    <m/>
    <m/>
    <m/>
    <m/>
    <m/>
    <m/>
    <m/>
    <n v="12750"/>
    <n v="0"/>
    <n v="12750"/>
    <n v="0"/>
    <n v="0"/>
    <n v="15000"/>
    <n v="15000"/>
    <n v="15000"/>
  </r>
  <r>
    <n v="447"/>
    <s v="宁波纳福电子"/>
    <s v="一般客户"/>
    <s v="上海养盈电子科技有限公司"/>
    <s v="Tom"/>
    <m/>
    <x v="6"/>
    <x v="6"/>
    <m/>
    <x v="0"/>
    <s v="尾门电机"/>
    <n v="300000"/>
    <s v="小批量"/>
    <m/>
    <m/>
    <m/>
    <n v="0.42"/>
    <n v="189000"/>
    <m/>
    <n v="450000"/>
    <n v="9000"/>
    <m/>
    <n v="12000"/>
    <n v="60000"/>
    <n v="60000"/>
    <n v="60000"/>
    <n v="60000"/>
    <n v="90000"/>
    <n v="90000"/>
    <n v="60000"/>
    <n v="90000"/>
    <n v="120000"/>
    <n v="120000"/>
    <m/>
    <m/>
    <m/>
    <m/>
    <m/>
    <m/>
    <m/>
    <m/>
    <m/>
    <m/>
    <m/>
    <m/>
    <s v="Pedro"/>
    <s v="3部"/>
    <s v="磁性位置传感器"/>
    <s v="工业和机器人"/>
    <s v="工业电机"/>
    <s v="工业电机电控"/>
    <s v="纺织电机"/>
    <m/>
    <m/>
    <m/>
    <m/>
    <m/>
    <m/>
    <m/>
    <m/>
    <m/>
    <m/>
    <m/>
    <m/>
    <n v="25200"/>
    <n v="25200"/>
    <n v="25200"/>
    <n v="37800"/>
    <n v="37800"/>
    <n v="25200"/>
    <n v="37800"/>
    <n v="50400"/>
  </r>
  <r>
    <n v="448"/>
    <s v="深圳霍芯电子科技有限公司"/>
    <s v="一般客户"/>
    <s v="上海养盈电子科技有限公司"/>
    <s v="Tom"/>
    <m/>
    <x v="30"/>
    <x v="32"/>
    <m/>
    <x v="0"/>
    <m/>
    <m/>
    <m/>
    <m/>
    <m/>
    <m/>
    <n v="0.14000000000000001"/>
    <n v="96600.000000000015"/>
    <m/>
    <n v="690000"/>
    <m/>
    <m/>
    <m/>
    <m/>
    <m/>
    <m/>
    <n v="690000"/>
    <m/>
    <m/>
    <n v="690000"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96600.000000000015"/>
    <n v="0"/>
    <n v="0"/>
    <n v="96600.000000000015"/>
    <n v="0"/>
    <n v="0"/>
  </r>
  <r>
    <n v="449"/>
    <s v="嘉兴礼海电气科技有限公司"/>
    <s v="一般客户"/>
    <s v="上海养盈电子科技有限公司"/>
    <s v="Tom"/>
    <m/>
    <x v="150"/>
    <x v="31"/>
    <m/>
    <x v="0"/>
    <s v="其他无刷电机"/>
    <m/>
    <s v="评估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0"/>
    <s v="嘉兴礼海电气科技有限公司"/>
    <s v="一般客户"/>
    <s v="上海养盈电子科技有限公司"/>
    <s v="Tom"/>
    <m/>
    <x v="150"/>
    <x v="31"/>
    <m/>
    <x v="0"/>
    <s v="其他电机电机控制板"/>
    <m/>
    <s v="评估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1"/>
    <s v="深圳旭意达"/>
    <s v="重要客户"/>
    <s v="上海养盈电子科技有限公司"/>
    <s v="Tom"/>
    <m/>
    <x v="11"/>
    <x v="11"/>
    <m/>
    <x v="0"/>
    <m/>
    <m/>
    <m/>
    <m/>
    <m/>
    <m/>
    <n v="0.13"/>
    <n v="1950000"/>
    <m/>
    <n v="15000000"/>
    <m/>
    <m/>
    <m/>
    <m/>
    <n v="3000000"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390000"/>
    <n v="390000"/>
    <n v="390000"/>
    <n v="390000"/>
    <n v="390000"/>
    <n v="390000"/>
    <n v="390000"/>
    <n v="390000"/>
  </r>
  <r>
    <n v="452"/>
    <s v="宁波铭瑞传感器有限公司"/>
    <s v="一般客户"/>
    <s v="上海养盈电子科技有限公司"/>
    <s v="Tom"/>
    <m/>
    <x v="113"/>
    <x v="119"/>
    <m/>
    <x v="0"/>
    <s v="水流量传感器"/>
    <m/>
    <s v="送样"/>
    <m/>
    <m/>
    <m/>
    <n v="0.38"/>
    <n v="57000"/>
    <m/>
    <n v="150000"/>
    <m/>
    <m/>
    <n v="10000"/>
    <m/>
    <n v="10000"/>
    <m/>
    <m/>
    <n v="30000"/>
    <m/>
    <m/>
    <n v="60000"/>
    <n v="60000"/>
    <n v="60000"/>
    <m/>
    <m/>
    <m/>
    <m/>
    <m/>
    <m/>
    <m/>
    <m/>
    <m/>
    <m/>
    <m/>
    <m/>
    <s v="Tom"/>
    <s v="3部"/>
    <s v="磁性位置传感器"/>
    <s v="智能家居"/>
    <s v="大型家电"/>
    <s v="大型家电其他"/>
    <s v="热水器"/>
    <m/>
    <m/>
    <m/>
    <m/>
    <m/>
    <m/>
    <m/>
    <m/>
    <m/>
    <m/>
    <m/>
    <m/>
    <n v="3800"/>
    <n v="0"/>
    <n v="0"/>
    <n v="11400"/>
    <n v="0"/>
    <n v="0"/>
    <n v="22800"/>
    <n v="22800"/>
  </r>
  <r>
    <n v="453"/>
    <s v="芜湖莫森泰克汽车科技股份有限公司"/>
    <s v="战略客户"/>
    <s v="合肥贝森特电子科技有限公司"/>
    <s v="Pedro"/>
    <s v="徐彬"/>
    <x v="7"/>
    <x v="7"/>
    <m/>
    <x v="0"/>
    <s v="天窗"/>
    <n v="2400000"/>
    <s v="批量"/>
    <s v="250228：及时确认客户交货情况"/>
    <s v="MLX92212LSE-AAA-000-R"/>
    <m/>
    <n v="0.36899999999999999"/>
    <n v="199260"/>
    <n v="0"/>
    <n v="540000"/>
    <n v="200000"/>
    <n v="200000"/>
    <n v="200000"/>
    <n v="201000"/>
    <n v="201000"/>
    <n v="201000"/>
    <n v="0"/>
    <n v="0"/>
    <n v="0"/>
    <n v="180000"/>
    <n v="180000"/>
    <n v="180000"/>
    <n v="18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74169"/>
    <n v="0"/>
    <n v="0"/>
    <n v="0"/>
    <n v="66420"/>
    <n v="66420"/>
    <n v="66420"/>
  </r>
  <r>
    <n v="454"/>
    <s v="芜湖莫森泰克汽车科技股份有限公司"/>
    <s v="战略客户"/>
    <s v="合肥贝森特电子科技有限公司"/>
    <s v="Pedro"/>
    <s v="徐彬"/>
    <x v="131"/>
    <x v="31"/>
    <m/>
    <x v="0"/>
    <s v="天窗"/>
    <m/>
    <s v="送样"/>
    <s v="250228：送样"/>
    <s v="N/A"/>
    <m/>
    <n v="0.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电源管理"/>
    <s v="汽车电子"/>
    <s v="车身电子"/>
    <s v="天窗总成"/>
    <s v="天窗电机控制器"/>
    <s v="奇瑞"/>
    <m/>
    <m/>
    <n v="3"/>
    <m/>
    <m/>
    <m/>
    <m/>
    <m/>
    <m/>
    <m/>
    <m/>
    <n v="0"/>
    <n v="0"/>
    <n v="0"/>
    <n v="0"/>
    <n v="0"/>
    <n v="0"/>
    <n v="0"/>
    <n v="0"/>
  </r>
  <r>
    <n v="455"/>
    <s v="芜湖莫森泰克汽车科技股份有限公司"/>
    <s v="战略客户"/>
    <s v="合肥贝森特电子科技有限公司"/>
    <s v="Pedro"/>
    <s v="徐彬"/>
    <x v="151"/>
    <x v="168"/>
    <m/>
    <x v="0"/>
    <s v="车窗"/>
    <n v="4000000"/>
    <s v="送样"/>
    <s v="250427：跳过小批，直接批量比亚迪汉项目，预计3周左右时间。_x000a_250422：已确认本月会上车3K_x000a_250228：待新项目上车，争取三月底完成"/>
    <s v="TLE4966-3G"/>
    <m/>
    <n v="0.66"/>
    <n v="132000"/>
    <n v="0"/>
    <n v="200000"/>
    <n v="0"/>
    <n v="0"/>
    <n v="0"/>
    <n v="0"/>
    <n v="30000"/>
    <n v="0"/>
    <n v="50000"/>
    <n v="0"/>
    <n v="0"/>
    <n v="50000"/>
    <n v="5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s v="奇瑞"/>
    <m/>
    <m/>
    <n v="1"/>
    <m/>
    <m/>
    <m/>
    <m/>
    <m/>
    <m/>
    <m/>
    <m/>
    <n v="19800"/>
    <n v="0"/>
    <n v="33000"/>
    <n v="0"/>
    <n v="0"/>
    <n v="33000"/>
    <n v="33000"/>
    <n v="66000"/>
  </r>
  <r>
    <n v="456"/>
    <s v="芜湖莫森泰克汽车科技股份有限公司"/>
    <s v="战略客户"/>
    <s v="合肥贝森特电子科技有限公司"/>
    <s v="Pedro"/>
    <s v="徐彬"/>
    <x v="152"/>
    <x v="31"/>
    <m/>
    <x v="0"/>
    <s v="东洋车窗"/>
    <m/>
    <s v="送样"/>
    <s v="250228：测试中"/>
    <s v="N/A"/>
    <m/>
    <n v="0.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总成"/>
    <s v="天窗电机控制器"/>
    <s v="奇瑞"/>
    <m/>
    <m/>
    <n v="1"/>
    <m/>
    <m/>
    <m/>
    <m/>
    <m/>
    <m/>
    <m/>
    <m/>
    <n v="0"/>
    <n v="0"/>
    <n v="0"/>
    <n v="0"/>
    <n v="0"/>
    <n v="0"/>
    <n v="0"/>
    <n v="0"/>
  </r>
  <r>
    <n v="457"/>
    <s v="上海依工塑料五金有限公司"/>
    <s v="战略客户"/>
    <s v="苏州台信达电子有限公司"/>
    <s v="Pedro"/>
    <s v="杨帆"/>
    <x v="28"/>
    <x v="29"/>
    <m/>
    <x v="0"/>
    <s v="隐藏式门把手"/>
    <n v="6000000"/>
    <s v="批量"/>
    <s v="250506：信和达交付一个最小包装_x000a_2504009：本月确定商流_x000a_250328：依工在德昌指定赛卓物料，需要做供应链保护_x000a_250228：持续增量中"/>
    <s v="MLX92211"/>
    <m/>
    <n v="0.4"/>
    <n v="240000"/>
    <n v="0"/>
    <n v="600000"/>
    <n v="140000"/>
    <n v="140000"/>
    <n v="150000"/>
    <n v="16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48000"/>
    <n v="48000"/>
    <n v="48000"/>
    <n v="48000"/>
  </r>
  <r>
    <n v="458"/>
    <s v="上海依工塑料五金有限公司"/>
    <s v="战略客户"/>
    <s v="苏州台信达电子有限公司"/>
    <s v="Pedro"/>
    <s v="杨帆"/>
    <x v="153"/>
    <x v="169"/>
    <m/>
    <x v="0"/>
    <s v="充电口盖板开关"/>
    <n v="400000"/>
    <s v="批量"/>
    <s v="250228：配合客户改进编程器，当前每天有10多例需要多次标定的。"/>
    <s v="N/A"/>
    <m/>
    <n v="0.4"/>
    <n v="40000"/>
    <n v="0"/>
    <n v="100000"/>
    <n v="40000"/>
    <n v="40000"/>
    <n v="40000"/>
    <n v="40000"/>
    <n v="40000"/>
    <n v="20000"/>
    <n v="20000"/>
    <n v="20000"/>
    <n v="20000"/>
    <n v="20000"/>
    <n v="20000"/>
    <n v="20000"/>
    <n v="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充电口"/>
    <s v="充电口盖板"/>
    <s v="理想"/>
    <m/>
    <s v="L9/8/7"/>
    <n v="1"/>
    <m/>
    <m/>
    <m/>
    <m/>
    <m/>
    <m/>
    <m/>
    <m/>
    <n v="16000"/>
    <n v="8000"/>
    <n v="8000"/>
    <n v="8000"/>
    <n v="8000"/>
    <n v="8000"/>
    <n v="8000"/>
    <n v="8000"/>
  </r>
  <r>
    <n v="459"/>
    <s v="上海依工塑料五金有限公司"/>
    <s v="战略客户"/>
    <s v="苏州台信达电子有限公司"/>
    <s v="Pedro"/>
    <s v="杨帆"/>
    <x v="70"/>
    <x v="92"/>
    <m/>
    <x v="0"/>
    <s v="充电口执行器"/>
    <n v="1000000"/>
    <s v="批量"/>
    <s v="250409：引导客户切换SC2493_x000a_250228：平台产品，需要我司内部完成车规"/>
    <s v="N/A"/>
    <m/>
    <n v="0.4"/>
    <n v="120000"/>
    <n v="0"/>
    <n v="300000"/>
    <n v="0"/>
    <n v="0"/>
    <n v="0"/>
    <n v="0"/>
    <n v="54000"/>
    <n v="0"/>
    <n v="0"/>
    <n v="6000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1600"/>
    <n v="0"/>
    <n v="0"/>
    <n v="24000"/>
    <n v="24000"/>
    <n v="24000"/>
    <n v="24000"/>
    <n v="24000"/>
  </r>
  <r>
    <n v="460"/>
    <s v="苏州烨炜上品电气有限公司"/>
    <s v="一般客户"/>
    <s v="苏州台信达电子有限公司"/>
    <s v="Pedro"/>
    <s v="杨帆"/>
    <x v="154"/>
    <x v="31"/>
    <m/>
    <x v="0"/>
    <s v="电梯电源和控制板电流传感器"/>
    <n v="20000"/>
    <s v="送样"/>
    <s v="250512：送样"/>
    <m/>
    <m/>
    <n v="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Wenjie"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61"/>
    <s v="浙江天成航空科技有限公司"/>
    <s v="重要客户"/>
    <s v="苏州柏达电子有限公司"/>
    <s v="Pedro"/>
    <s v="王俊佳"/>
    <x v="6"/>
    <x v="6"/>
    <m/>
    <x v="0"/>
    <s v="座椅水平电机1*1"/>
    <n v="2000000"/>
    <s v="批量"/>
    <s v="250228：推动上量"/>
    <s v="N/A"/>
    <m/>
    <n v="0.57999999999999996"/>
    <n v="243599.99999999997"/>
    <n v="0"/>
    <n v="420000"/>
    <n v="60000"/>
    <n v="0"/>
    <n v="0"/>
    <n v="0"/>
    <n v="0"/>
    <n v="60000"/>
    <n v="0"/>
    <n v="60000"/>
    <n v="60000"/>
    <n v="10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智能座舱"/>
    <s v="座椅总成"/>
    <s v="座椅水平电机"/>
    <s v="比亚迪，广汽，东风，上汽"/>
    <m/>
    <m/>
    <n v="1"/>
    <m/>
    <m/>
    <m/>
    <m/>
    <m/>
    <m/>
    <m/>
    <m/>
    <n v="0"/>
    <n v="34800"/>
    <n v="0"/>
    <n v="34800"/>
    <n v="34800"/>
    <n v="57999.999999999993"/>
    <n v="57999.999999999993"/>
    <n v="57999.999999999993"/>
  </r>
  <r>
    <n v="462"/>
    <s v="浙江天成航空科技有限公司"/>
    <s v="重要客户"/>
    <s v="苏州柏达电子有限公司"/>
    <s v="Pedro"/>
    <s v="王俊佳"/>
    <x v="6"/>
    <x v="6"/>
    <m/>
    <x v="0"/>
    <s v="调角电机1*1"/>
    <n v="0"/>
    <s v="小批量"/>
    <s v="250228：跟进客户产线建设情况"/>
    <s v="N/A"/>
    <m/>
    <n v="0.57999999999999996"/>
    <n v="5800"/>
    <n v="0"/>
    <n v="10000"/>
    <n v="0"/>
    <n v="0"/>
    <n v="0"/>
    <n v="0"/>
    <n v="0"/>
    <n v="0"/>
    <n v="0"/>
    <n v="0"/>
    <n v="0"/>
    <n v="0"/>
    <n v="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智能座舱"/>
    <s v="座椅总成"/>
    <s v="座椅调角电机"/>
    <s v="比亚迪，广汽，东风，上汽"/>
    <m/>
    <m/>
    <n v="1"/>
    <m/>
    <m/>
    <m/>
    <m/>
    <m/>
    <m/>
    <m/>
    <m/>
    <n v="0"/>
    <n v="0"/>
    <n v="0"/>
    <n v="0"/>
    <n v="0"/>
    <n v="0"/>
    <n v="0"/>
    <n v="5800"/>
  </r>
  <r>
    <n v="463"/>
    <s v="山东凯欧电机科技有限公司"/>
    <s v="一般客户"/>
    <s v="山东凯欧电机科技有限公司"/>
    <s v="Pedro"/>
    <s v="杨小鸿"/>
    <x v="100"/>
    <x v="109"/>
    <m/>
    <x v="0"/>
    <s v="农机位置传感器"/>
    <n v="6000000"/>
    <s v="批量"/>
    <s v="25410：464t批次再PWM供电下异常，准备换货_x000a_拓尔微报价0.2， 凯欧小老板在主持测试工作"/>
    <s v="N/A"/>
    <m/>
    <n v="0.26"/>
    <n v="0"/>
    <n v="0"/>
    <n v="0"/>
    <n v="0"/>
    <n v="0"/>
    <n v="390000"/>
    <n v="0"/>
    <n v="300000"/>
    <n v="69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78000"/>
    <n v="179400"/>
    <n v="0"/>
    <n v="0"/>
    <n v="0"/>
    <n v="0"/>
    <n v="0"/>
    <n v="0"/>
  </r>
  <r>
    <n v="464"/>
    <s v="湖北金镶银科技有限公司"/>
    <s v="一般客户"/>
    <s v="合肥贝森特电子科技有限公司"/>
    <s v="Pedro"/>
    <s v="徐彬"/>
    <x v="155"/>
    <x v="170"/>
    <m/>
    <x v="0"/>
    <s v="奇瑞凸轮轴， 刚开始做，芜湖力诺工程师"/>
    <m/>
    <s v="小批量"/>
    <s v="250513：已经可以批产状态，终端还没有订单过来"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5"/>
    <s v="湖北金镶银科技有限公司"/>
    <s v="一般客户"/>
    <s v="合肥贝森特电子科技有限公司"/>
    <s v="Pedro"/>
    <s v="徐彬"/>
    <x v="32"/>
    <x v="34"/>
    <m/>
    <x v="0"/>
    <s v="液位传感器"/>
    <m/>
    <s v="评估"/>
    <s v="250228：推广在线编程凸轮轴和ABS摩托车传感器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角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6"/>
    <s v="湖北金镶银科技有限公司"/>
    <s v="一般客户"/>
    <s v="合肥贝森特电子科技有限公司"/>
    <s v="Pedro"/>
    <s v="徐彬"/>
    <x v="60"/>
    <x v="64"/>
    <m/>
    <x v="0"/>
    <s v="摩托车ABS传感器"/>
    <m/>
    <s v="评估"/>
    <s v="250513：需要确认ABS摩托车传感器状态，客户还开发？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7"/>
    <s v="上海六盛电机有限公司"/>
    <s v="重要客户"/>
    <s v="上海创滦电子科技有限公司"/>
    <s v="Pedro"/>
    <s v="闵洁"/>
    <x v="11"/>
    <x v="11"/>
    <m/>
    <x v="0"/>
    <s v="直流无刷冰箱电机风扇1*1"/>
    <n v="2500000"/>
    <s v="批量"/>
    <s v="250228：待PM与客户的驱动拜访结果"/>
    <s v="N/A"/>
    <m/>
    <n v="0.23699999999999999"/>
    <n v="341280"/>
    <n v="0"/>
    <n v="1440000"/>
    <n v="900000"/>
    <n v="0"/>
    <n v="0"/>
    <n v="0"/>
    <n v="0"/>
    <n v="0"/>
    <n v="0"/>
    <n v="0"/>
    <n v="480000"/>
    <n v="0"/>
    <n v="480000"/>
    <n v="480000"/>
    <n v="480000"/>
    <n v="0"/>
    <n v="0"/>
    <n v="0"/>
    <n v="0"/>
    <n v="0"/>
    <n v="0"/>
    <n v="0"/>
    <n v="0"/>
    <n v="0"/>
    <n v="0"/>
    <n v="0"/>
    <n v="0"/>
    <s v="Harry"/>
    <s v="1部"/>
    <s v="磁性位置传感器"/>
    <s v="智能家居"/>
    <s v="大家电"/>
    <s v="冰箱"/>
    <s v="冰箱电机风扇"/>
    <m/>
    <m/>
    <m/>
    <m/>
    <m/>
    <m/>
    <m/>
    <m/>
    <m/>
    <m/>
    <m/>
    <m/>
    <n v="0"/>
    <n v="0"/>
    <n v="0"/>
    <n v="0"/>
    <n v="113760"/>
    <n v="0"/>
    <n v="113760"/>
    <n v="113760"/>
  </r>
  <r>
    <n v="468"/>
    <s v="卧龙电气驱动集团股份有限公司"/>
    <s v="重要客户"/>
    <s v="上海创滦电子科技有限公司"/>
    <s v="Pedro"/>
    <s v="闵洁"/>
    <x v="78"/>
    <x v="83"/>
    <m/>
    <x v="0"/>
    <s v="空调压缩机电机1*3"/>
    <n v="1500000"/>
    <s v="批量"/>
    <s v="250228：挖掘更多业务机会点"/>
    <s v="N/A"/>
    <m/>
    <n v="0.48"/>
    <n v="192000"/>
    <n v="0"/>
    <n v="400000"/>
    <n v="0"/>
    <n v="0"/>
    <n v="120000"/>
    <n v="0"/>
    <n v="120000"/>
    <n v="0"/>
    <n v="0"/>
    <n v="80000"/>
    <n v="80000"/>
    <n v="80000"/>
    <n v="80000"/>
    <n v="80000"/>
    <n v="80000"/>
    <n v="0"/>
    <n v="0"/>
    <n v="0"/>
    <n v="0"/>
    <n v="0"/>
    <n v="0"/>
    <n v="0"/>
    <n v="0"/>
    <n v="0"/>
    <n v="0"/>
    <n v="0"/>
    <n v="0"/>
    <s v="Harry"/>
    <s v="1部"/>
    <s v="磁性位置传感器"/>
    <s v="智能家居"/>
    <s v="大家电"/>
    <s v="空调"/>
    <s v="空调压缩机电机"/>
    <m/>
    <m/>
    <m/>
    <m/>
    <m/>
    <m/>
    <m/>
    <m/>
    <m/>
    <m/>
    <m/>
    <m/>
    <n v="57600"/>
    <n v="0"/>
    <n v="0"/>
    <n v="38400"/>
    <n v="38400"/>
    <n v="38400"/>
    <n v="38400"/>
    <n v="38400"/>
  </r>
  <r>
    <n v="469"/>
    <s v="上海嘉辀电子科技有限公司"/>
    <s v="一般客户"/>
    <s v="苏州柏达电子有限公司"/>
    <s v="Pedro"/>
    <s v="王俊佳"/>
    <x v="28"/>
    <x v="29"/>
    <m/>
    <x v="0"/>
    <s v="奇瑞门把手"/>
    <n v="500000"/>
    <s v="小批量"/>
    <s v="约拓绅拜访"/>
    <m/>
    <m/>
    <n v="0.52"/>
    <n v="15600"/>
    <n v="0"/>
    <n v="30000"/>
    <n v="0"/>
    <n v="0"/>
    <n v="0"/>
    <n v="0"/>
    <n v="0"/>
    <n v="0"/>
    <n v="0"/>
    <n v="0"/>
    <n v="0"/>
    <n v="0"/>
    <n v="10000"/>
    <n v="20000"/>
    <n v="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  <n v="5200"/>
    <n v="10400"/>
  </r>
  <r>
    <n v="470"/>
    <s v="江苏一东航空机械有限公司"/>
    <s v="重要客户"/>
    <s v="苏州柏达电子有限公司"/>
    <s v="Pedro"/>
    <s v="王俊佳"/>
    <x v="5"/>
    <x v="5"/>
    <m/>
    <x v="0"/>
    <s v="小米昆仑，车窗电机1*2，平行感应方式"/>
    <n v="2500000"/>
    <s v="送样"/>
    <s v="250228: 测试中， 跟进测试结果"/>
    <m/>
    <m/>
    <n v="0.72"/>
    <n v="180000"/>
    <n v="0"/>
    <n v="250000"/>
    <n v="0"/>
    <n v="0"/>
    <n v="0"/>
    <n v="0"/>
    <n v="0"/>
    <n v="0"/>
    <n v="0"/>
    <n v="0"/>
    <n v="0"/>
    <n v="5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36000"/>
    <n v="72000"/>
    <n v="72000"/>
  </r>
  <r>
    <n v="471"/>
    <s v="江苏一东航空机械有限公司"/>
    <s v="重要客户"/>
    <s v="苏州柏达电子有限公司"/>
    <s v="Pedro"/>
    <s v="王俊佳"/>
    <x v="5"/>
    <x v="5"/>
    <m/>
    <x v="0"/>
    <s v="华为尚界汽车，一东供电机给上实，车窗电机1*2，平行感应方式，预计月3万车，25年9月批量。"/>
    <n v="2500000"/>
    <s v="送样"/>
    <s v="250228: 测试中， 跟进测试结果"/>
    <m/>
    <m/>
    <n v="0.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0"/>
  </r>
  <r>
    <n v="472"/>
    <s v="江苏一东航空机械有限公司"/>
    <s v="重要客户"/>
    <s v="苏州柏达电子有限公司"/>
    <s v="Pedro"/>
    <s v="王俊佳"/>
    <x v="156"/>
    <x v="171"/>
    <m/>
    <x v="0"/>
    <s v="平台件"/>
    <m/>
    <s v="评估"/>
    <s v="250512: 磁环位置评估中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3"/>
    <s v="芜湖联诺电器有限公司"/>
    <s v="一般客户"/>
    <s v="合肥贝森特电子科技有限公司"/>
    <s v="Pedro"/>
    <s v="汪送华"/>
    <x v="157"/>
    <x v="172"/>
    <m/>
    <x v="0"/>
    <s v="车用环境亮度传感器"/>
    <m/>
    <s v="送样"/>
    <s v="250314：角度传感器需要确认断线检测是否满足功能_x000a_250228：3月中前确认批量时间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s v="1部"/>
    <s v="电源管理"/>
    <s v="汽车电子"/>
    <s v="车身电子"/>
    <s v="车身其他"/>
    <m/>
    <m/>
    <m/>
    <m/>
    <m/>
    <m/>
    <m/>
    <m/>
    <m/>
    <m/>
    <m/>
    <m/>
    <m/>
    <n v="0"/>
    <n v="0"/>
    <n v="0"/>
    <n v="0"/>
    <n v="0"/>
    <n v="0"/>
    <n v="0"/>
    <n v="0"/>
  </r>
  <r>
    <n v="474"/>
    <s v="芜湖联诺电器有限公司"/>
    <s v="一般客户"/>
    <s v="合肥贝森特电子科技有限公司"/>
    <s v="Pedro"/>
    <s v="汪送华"/>
    <x v="158"/>
    <x v="31"/>
    <m/>
    <x v="0"/>
    <s v="车用环境亮度传感器"/>
    <m/>
    <s v="评估"/>
    <s v="250512：PCB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s v="1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5"/>
    <s v="芜湖联诺电器有限公司"/>
    <s v="一般客户"/>
    <s v="合肥贝森特电子科技有限公司"/>
    <s v="Pedro"/>
    <s v="汪送华"/>
    <x v="36"/>
    <x v="61"/>
    <m/>
    <x v="0"/>
    <s v="凸轮轴传感器"/>
    <m/>
    <s v="评估"/>
    <s v="250512：选型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6"/>
    <s v="芜湖联诺电器有限公司"/>
    <s v="一般客户"/>
    <s v="合肥贝森特电子科技有限公司"/>
    <s v="Pedro"/>
    <s v="汪送华"/>
    <x v="159"/>
    <x v="31"/>
    <m/>
    <x v="0"/>
    <s v="制动灯开关接近开关"/>
    <m/>
    <s v="送样"/>
    <s v="250513：样件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  <n v="0"/>
    <n v="0"/>
  </r>
  <r>
    <n v="477"/>
    <s v="长春富晟汽车电子有限公司"/>
    <s v="一般客户"/>
    <s v="苏州柏达电子有限公司"/>
    <s v="Pedro"/>
    <s v="王俊佳"/>
    <x v="28"/>
    <x v="29"/>
    <m/>
    <x v="0"/>
    <s v="P301项目，SC2443SO 红旗HS5天窗项目，25年量产，到2030年，年100K， 单机1*1"/>
    <n v="100000"/>
    <s v="小批量"/>
    <s v="250228：争取更多业务机会"/>
    <m/>
    <m/>
    <n v="0.52"/>
    <n v="18720"/>
    <n v="0"/>
    <n v="36000"/>
    <n v="0"/>
    <n v="0"/>
    <n v="0"/>
    <n v="0"/>
    <n v="4000"/>
    <n v="4000"/>
    <n v="4000"/>
    <n v="4000"/>
    <n v="8000"/>
    <n v="8000"/>
    <n v="8000"/>
    <n v="8000"/>
    <n v="8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系统"/>
    <s v="天窗电机"/>
    <m/>
    <m/>
    <m/>
    <m/>
    <m/>
    <m/>
    <m/>
    <m/>
    <m/>
    <m/>
    <m/>
    <m/>
    <n v="2080"/>
    <n v="2080"/>
    <n v="2080"/>
    <n v="2080"/>
    <n v="4160"/>
    <n v="4160"/>
    <n v="4160"/>
    <n v="4160"/>
  </r>
  <r>
    <n v="478"/>
    <s v="青岛蚂蚁机器人有限责任公司"/>
    <s v="一般客户"/>
    <s v="苏州柏达电子有限公司"/>
    <s v="Pedro"/>
    <s v="王俊佳"/>
    <x v="160"/>
    <x v="173"/>
    <m/>
    <x v="0"/>
    <s v="机器人导航，同立镖，单板64颗粒"/>
    <n v="320000"/>
    <s v="批量"/>
    <s v="250214：客户批量28K_x000a_250228：3月落实订单"/>
    <m/>
    <m/>
    <n v="0.749"/>
    <n v="44940"/>
    <n v="0"/>
    <n v="60000"/>
    <n v="4000"/>
    <n v="0"/>
    <n v="20000"/>
    <n v="0"/>
    <n v="0"/>
    <n v="20000"/>
    <n v="0"/>
    <n v="0"/>
    <n v="0"/>
    <n v="20000"/>
    <n v="20000"/>
    <n v="20000"/>
    <n v="2000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14980"/>
    <n v="0"/>
    <n v="0"/>
    <n v="0"/>
    <n v="14980"/>
    <n v="14980"/>
    <n v="14980"/>
  </r>
  <r>
    <n v="479"/>
    <s v="追觅科技（苏州）有限公司"/>
    <s v="重要客户"/>
    <s v="苏州柏达电子有限公司"/>
    <s v="Pedro"/>
    <s v="王俊佳"/>
    <x v="160"/>
    <x v="173"/>
    <m/>
    <x v="0"/>
    <s v="磁导航机器人，单机64，3月开始DV， 预计6月开始批量上升使用，25年预计4000-6000套，送样测试， 隔离电压模块， 电机外购，代工带采的形式。"/>
    <m/>
    <s v="小批量"/>
    <s v="250422：小批3K_x000a_25410：测试OK，近期会有小批订单。_x000a_250228：加深客情关系"/>
    <m/>
    <m/>
    <n v="0.75"/>
    <n v="0"/>
    <n v="0"/>
    <n v="0"/>
    <n v="0"/>
    <n v="0"/>
    <n v="0"/>
    <n v="500"/>
    <n v="0"/>
    <n v="500"/>
    <n v="6000"/>
    <m/>
    <m/>
    <m/>
    <m/>
    <m/>
    <n v="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375"/>
    <n v="4500"/>
    <n v="0"/>
    <n v="0"/>
    <n v="0"/>
    <n v="0"/>
    <n v="0"/>
  </r>
  <r>
    <n v="480"/>
    <s v="重庆讯华实业（集团）有限公司"/>
    <s v="一般客户"/>
    <s v="苏州柏达电子有限公司"/>
    <s v="Pedro"/>
    <s v="王俊佳"/>
    <x v="41"/>
    <x v="43"/>
    <m/>
    <x v="0"/>
    <s v="遮阳板开关1*1"/>
    <n v="100000"/>
    <s v="送样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1"/>
    <s v="苏州承逸电子有限公司"/>
    <s v="一般客户"/>
    <s v="苏州柏达电子有限公司"/>
    <s v="Pedro"/>
    <s v="谢国平"/>
    <x v="53"/>
    <x v="55"/>
    <m/>
    <x v="0"/>
    <s v="后装凸轮轴传感器"/>
    <n v="200000"/>
    <s v="小批量"/>
    <s v="250427：订单需要PM安排人员做编程交付。_x000a_250228：落实3月订单DW"/>
    <s v="TLE4986"/>
    <m/>
    <n v="4.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2"/>
    <s v="浙江奥正机电有限公司 "/>
    <s v="一般客户"/>
    <s v="苏州柏达电子有限公司"/>
    <s v="Pedro"/>
    <s v="王俊佳"/>
    <x v="114"/>
    <x v="120"/>
    <m/>
    <x v="0"/>
    <s v="电机控制板"/>
    <m/>
    <s v="送样"/>
    <s v="250512：样品设计中"/>
    <m/>
    <m/>
    <n v="0.3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3"/>
    <s v="浙江华诺康科技有限公司"/>
    <s v="一般客户"/>
    <s v="苏州柏达电子有限公司"/>
    <s v="Pedro"/>
    <s v="王俊佳"/>
    <x v="9"/>
    <x v="9"/>
    <m/>
    <x v="0"/>
    <s v="电子医疗内窥镜，接近开关"/>
    <m/>
    <s v="送样"/>
    <s v="250512：验证OK， 客户系统物料号建号。"/>
    <m/>
    <m/>
    <n v="0.5500000000000000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4"/>
    <s v="浙江中力机械股份有限公司"/>
    <s v="一般客户"/>
    <s v="星瀚微（上海）电子科技有限公司"/>
    <s v="Pedro"/>
    <s v="葛庆庆"/>
    <x v="4"/>
    <x v="4"/>
    <m/>
    <x v="0"/>
    <s v="应用在 中力 牌 叉车的角度上"/>
    <n v="200000"/>
    <s v="批量"/>
    <s v="250409：MLX90315库存消耗中，月需求大概4K"/>
    <s v="MLX90365"/>
    <m/>
    <n v="3.8"/>
    <n v="45600"/>
    <n v="0"/>
    <n v="12000"/>
    <n v="0"/>
    <n v="0"/>
    <n v="4000"/>
    <n v="0"/>
    <n v="4000"/>
    <n v="0"/>
    <n v="0"/>
    <n v="0"/>
    <n v="4000"/>
    <n v="0"/>
    <n v="4000"/>
    <n v="4000"/>
    <n v="4000"/>
    <n v="0"/>
    <n v="0"/>
    <n v="0"/>
    <n v="0"/>
    <n v="0"/>
    <n v="0"/>
    <n v="0"/>
    <n v="0"/>
    <n v="0"/>
    <n v="0"/>
    <n v="0"/>
    <n v="0"/>
    <s v="Serge"/>
    <s v="1部"/>
    <s v="角度传感器"/>
    <s v="工业与机器人"/>
    <s v="工程机械"/>
    <s v="叉车"/>
    <s v="电子油门踏板"/>
    <s v="中力"/>
    <m/>
    <m/>
    <n v="1"/>
    <m/>
    <m/>
    <m/>
    <m/>
    <m/>
    <m/>
    <m/>
    <m/>
    <n v="15200"/>
    <n v="0"/>
    <n v="0"/>
    <n v="0"/>
    <n v="15200"/>
    <n v="0"/>
    <n v="15200"/>
    <n v="15200"/>
  </r>
  <r>
    <n v="485"/>
    <s v="浙江中力机械股份有限公司"/>
    <s v="一般客户"/>
    <s v="星瀚微（上海）电子科技有限公司"/>
    <s v="Pedro"/>
    <s v="葛庆庆"/>
    <x v="32"/>
    <x v="34"/>
    <m/>
    <x v="0"/>
    <s v="叉车油门踏板"/>
    <n v="150000"/>
    <s v="批量"/>
    <s v="250416：需要紧急供货16K，月12K的需求"/>
    <s v="HAL888"/>
    <m/>
    <n v="2.73"/>
    <n v="152880"/>
    <n v="0"/>
    <n v="56000"/>
    <n v="0"/>
    <n v="0"/>
    <n v="2950"/>
    <n v="16000"/>
    <n v="28000"/>
    <n v="20000"/>
    <n v="0"/>
    <n v="8000"/>
    <n v="12000"/>
    <n v="12000"/>
    <n v="12000"/>
    <n v="12000"/>
    <n v="12000"/>
    <n v="0"/>
    <n v="0"/>
    <n v="0"/>
    <n v="0"/>
    <n v="0"/>
    <n v="0"/>
    <n v="0"/>
    <n v="0"/>
    <n v="0"/>
    <n v="0"/>
    <n v="0"/>
    <n v="0"/>
    <s v="Alex"/>
    <s v="1部"/>
    <s v="角度传感器"/>
    <s v="工业与机器人"/>
    <s v="工程机械"/>
    <s v="叉车"/>
    <s v="电子油门踏板"/>
    <s v="中力"/>
    <m/>
    <m/>
    <n v="1"/>
    <m/>
    <m/>
    <m/>
    <m/>
    <m/>
    <m/>
    <m/>
    <m/>
    <n v="76440"/>
    <n v="54600"/>
    <n v="0"/>
    <n v="21840"/>
    <n v="32760"/>
    <n v="32760"/>
    <n v="32760"/>
    <n v="32760"/>
  </r>
  <r>
    <n v="486"/>
    <s v="浙江中力机械股份有限公司"/>
    <s v="一般客户"/>
    <s v="星瀚微（上海）电子科技有限公司"/>
    <s v="Pedro"/>
    <s v="葛庆庆"/>
    <x v="156"/>
    <x v="171"/>
    <m/>
    <x v="0"/>
    <s v="叉车转向电机编码器"/>
    <n v="150000"/>
    <s v="送样"/>
    <s v="250416：送样，做好客户Din支持"/>
    <s v="A123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  <n v="0"/>
    <n v="0"/>
  </r>
  <r>
    <n v="487"/>
    <s v="浙江立镖机器人有限公司"/>
    <s v="一般客户"/>
    <s v="星瀚微（上海）电子科技有限公司"/>
    <s v="Pedro"/>
    <s v="葛庆庆"/>
    <x v="160"/>
    <x v="173"/>
    <m/>
    <x v="0"/>
    <s v="用在 立镖 柔性分拣机器人上 用于导航功能使用"/>
    <n v="800000"/>
    <s v="批量"/>
    <s v="250416：客户预计5月会提货150K， 后续需求在5月才能更新。"/>
    <s v="N/A"/>
    <m/>
    <n v="0.69499999999999995"/>
    <n v="55599.999999999993"/>
    <n v="0"/>
    <n v="80000"/>
    <n v="0"/>
    <n v="128000"/>
    <n v="0"/>
    <n v="80000"/>
    <n v="100000"/>
    <n v="80000"/>
    <n v="80000"/>
    <n v="0"/>
    <n v="0"/>
    <n v="0"/>
    <n v="0"/>
    <n v="80000"/>
    <n v="8000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n v="1"/>
    <m/>
    <m/>
    <m/>
    <m/>
    <m/>
    <m/>
    <m/>
    <m/>
    <n v="69500"/>
    <n v="55599.999999999993"/>
    <n v="55599.999999999993"/>
    <n v="0"/>
    <n v="0"/>
    <n v="0"/>
    <n v="0"/>
    <n v="55599.999999999993"/>
  </r>
  <r>
    <n v="488"/>
    <s v="宁波高悦电机技术有限公司"/>
    <s v="重要客户"/>
    <s v="星瀚微（上海）电子科技有限公司"/>
    <s v="Pedro"/>
    <s v="葛庆庆"/>
    <x v="90"/>
    <x v="99"/>
    <m/>
    <x v="0"/>
    <s v="吉利的EDS 电机和康明斯第一版尿素泵上"/>
    <n v="800000"/>
    <s v="批量"/>
    <s v="250416：SC2442UA变更封装尺寸， 急需提供样品给客户验证"/>
    <s v="MLX92211"/>
    <m/>
    <n v="0.45"/>
    <n v="126000"/>
    <n v="0"/>
    <n v="280000"/>
    <n v="0"/>
    <n v="0"/>
    <n v="40000"/>
    <n v="40000"/>
    <n v="40000"/>
    <n v="40000"/>
    <n v="40000"/>
    <n v="4000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燃油箱"/>
    <s v="尿素泵"/>
    <m/>
    <m/>
    <m/>
    <n v="1"/>
    <m/>
    <m/>
    <m/>
    <m/>
    <m/>
    <m/>
    <m/>
    <m/>
    <n v="18000"/>
    <n v="18000"/>
    <n v="18000"/>
    <n v="18000"/>
    <n v="27000"/>
    <n v="27000"/>
    <n v="27000"/>
    <n v="27000"/>
  </r>
  <r>
    <n v="489"/>
    <s v="宁波高悦电机技术有限公司"/>
    <s v="重要客户"/>
    <s v="星瀚微（上海）电子科技有限公司"/>
    <s v="Pedro"/>
    <s v="葛庆庆"/>
    <x v="7"/>
    <x v="7"/>
    <m/>
    <x v="0"/>
    <s v="康明斯第二版尿素泵上"/>
    <n v="2000000"/>
    <s v="批量"/>
    <s v="250416：正常批量"/>
    <s v="MLX92211"/>
    <m/>
    <n v="0.45"/>
    <n v="225000"/>
    <n v="0"/>
    <n v="500000"/>
    <n v="0"/>
    <n v="0"/>
    <n v="60000"/>
    <n v="60000"/>
    <n v="40000"/>
    <n v="40000"/>
    <n v="40000"/>
    <n v="100000"/>
    <n v="100000"/>
    <n v="10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燃油箱"/>
    <s v="尿素泵"/>
    <s v="东风汽车"/>
    <m/>
    <s v="S73"/>
    <n v="1"/>
    <m/>
    <m/>
    <m/>
    <m/>
    <m/>
    <m/>
    <m/>
    <m/>
    <n v="18000"/>
    <n v="18000"/>
    <n v="18000"/>
    <n v="45000"/>
    <n v="45000"/>
    <n v="45000"/>
    <n v="45000"/>
    <n v="45000"/>
  </r>
  <r>
    <n v="490"/>
    <s v="宁波高悦电机技术有限公司"/>
    <s v="重要客户"/>
    <s v="星瀚微（上海）电子科技有限公司"/>
    <s v="Pedro"/>
    <s v="葛庆庆"/>
    <x v="7"/>
    <x v="7"/>
    <m/>
    <x v="0"/>
    <s v="美国Rivian的电子油泵项目上"/>
    <n v="700000"/>
    <s v="批量"/>
    <s v="250408：正常批量"/>
    <s v="MT6511"/>
    <m/>
    <n v="0.69499999999999995"/>
    <n v="31274.999999999996"/>
    <n v="0"/>
    <n v="45000"/>
    <n v="0"/>
    <n v="0"/>
    <n v="0"/>
    <n v="9000"/>
    <n v="9000"/>
    <n v="9000"/>
    <n v="9000"/>
    <n v="9000"/>
    <n v="9000"/>
    <n v="9000"/>
    <n v="9000"/>
    <n v="9000"/>
    <n v="9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  <n v="6255"/>
    <n v="6255"/>
  </r>
  <r>
    <n v="491"/>
    <s v="宁波高悦电机技术有限公司"/>
    <s v="重要客户"/>
    <s v="星瀚微（上海）电子科技有限公司"/>
    <s v="Pedro"/>
    <s v="葛庆庆"/>
    <x v="161"/>
    <x v="174"/>
    <m/>
    <x v="0"/>
    <s v="侧滑门电机无刷控制器"/>
    <n v="400000"/>
    <s v="送样"/>
    <s v="250408：送样，做好客户Din支持"/>
    <m/>
    <m/>
    <n v="0.69499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2"/>
    <s v="宁波拓普电器有限公司"/>
    <s v="重要客户"/>
    <s v="星瀚微（上海）电子科技有限公司"/>
    <s v="Pedro"/>
    <s v="葛庆庆"/>
    <x v="54"/>
    <x v="56"/>
    <m/>
    <x v="0"/>
    <s v="轮速传感器国产化项目"/>
    <n v="400000"/>
    <s v="送样"/>
    <s v="250416: EC测试已OK，五菱试点，需要做客户拜访。_x000a_250408：了解客户项目时间节点"/>
    <s v="TLE4942"/>
    <m/>
    <n v="2.2000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3"/>
    <s v="杭州智源电子有限公司"/>
    <s v="一般客户"/>
    <s v="星瀚微（上海）电子科技有限公司"/>
    <s v="Pedro"/>
    <s v="葛庆庆"/>
    <x v="27"/>
    <x v="81"/>
    <m/>
    <x v="0"/>
    <s v="用于宁波新思创的电磁阀项目上"/>
    <n v="700000"/>
    <s v="小批量"/>
    <s v="250416：客户在争取项目中"/>
    <s v="N/A"/>
    <m/>
    <n v="0.45"/>
    <n v="4500"/>
    <n v="0"/>
    <n v="10000"/>
    <n v="0"/>
    <n v="0"/>
    <n v="0"/>
    <n v="0"/>
    <n v="0"/>
    <n v="0"/>
    <n v="0"/>
    <n v="0"/>
    <n v="0"/>
    <n v="0"/>
    <n v="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0"/>
    <n v="0"/>
    <n v="0"/>
    <n v="0"/>
    <n v="4500"/>
  </r>
  <r>
    <n v="494"/>
    <s v="常州市富盛星特电子有限公司"/>
    <s v="一般客户"/>
    <s v="上海创滦电子科技有限公司"/>
    <s v="Pedro"/>
    <s v="闵洁"/>
    <x v="11"/>
    <x v="84"/>
    <m/>
    <x v="0"/>
    <s v="直流无刷冰箱电机风扇1*1"/>
    <m/>
    <s v="送样"/>
    <s v="250626：送样，终端价格0.19内，替换灿瑞OCH40161TOAE"/>
    <m/>
    <m/>
    <n v="0.17"/>
    <n v="20400"/>
    <n v="40800"/>
    <n v="120000"/>
    <m/>
    <m/>
    <n v="0"/>
    <n v="0"/>
    <n v="0"/>
    <n v="0"/>
    <n v="0"/>
    <n v="0"/>
    <n v="0"/>
    <n v="0"/>
    <m/>
    <n v="120000"/>
    <n v="1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20400"/>
  </r>
  <r>
    <n v="495"/>
    <s v="北京经纬恒润科技股份有限公司"/>
    <s v="一般客户"/>
    <s v="赛卓电子科技（上海）股份有限公司"/>
    <s v="Pedro"/>
    <m/>
    <x v="56"/>
    <x v="58"/>
    <m/>
    <x v="0"/>
    <s v="麦格纳Xin1-奇瑞项目，三相电采样，多合一。"/>
    <n v="50000"/>
    <s v="送样"/>
    <s v="250506：设计中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6"/>
    <s v="北京经纬恒润科技股份有限公司"/>
    <s v="一般客户"/>
    <s v="赛卓电子科技（上海）股份有限公司"/>
    <s v="Pedro"/>
    <m/>
    <x v="56"/>
    <x v="58"/>
    <m/>
    <x v="0"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n v="0"/>
    <m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s v="Wenjie"/>
    <s v="1部"/>
    <s v="电流传感器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  <n v="0"/>
    <n v="0"/>
  </r>
  <r>
    <n v="497"/>
    <s v="珠海英搏尔电气股份有限公司"/>
    <s v="一般客户"/>
    <s v="赛卓电子科技（上海）股份有限公司"/>
    <s v="Pedro"/>
    <m/>
    <x v="56"/>
    <x v="58"/>
    <m/>
    <x v="0"/>
    <m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8"/>
    <s v="二轮车电机"/>
    <s v="一般客户"/>
    <s v="上海养盈电子科技有限公司"/>
    <s v="Tom"/>
    <m/>
    <x v="117"/>
    <x v="175"/>
    <m/>
    <x v="0"/>
    <m/>
    <m/>
    <m/>
    <m/>
    <m/>
    <m/>
    <n v="0.21"/>
    <n v="210000"/>
    <m/>
    <n v="1000000"/>
    <m/>
    <m/>
    <m/>
    <m/>
    <m/>
    <m/>
    <n v="500000"/>
    <m/>
    <n v="500000"/>
    <m/>
    <n v="500000"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105000"/>
    <n v="0"/>
    <n v="105000"/>
    <n v="0"/>
    <n v="105000"/>
    <n v="0"/>
  </r>
  <r>
    <n v="499"/>
    <s v="二轮车电机"/>
    <s v="一般客户"/>
    <s v="上海养盈电子科技有限公司"/>
    <s v="Tom"/>
    <m/>
    <x v="117"/>
    <x v="176"/>
    <m/>
    <x v="0"/>
    <m/>
    <m/>
    <m/>
    <m/>
    <m/>
    <m/>
    <n v="0.21"/>
    <n v="1260000"/>
    <m/>
    <n v="6000000"/>
    <m/>
    <m/>
    <m/>
    <m/>
    <m/>
    <n v="1000000"/>
    <n v="1000000"/>
    <n v="2000000"/>
    <n v="1000000"/>
    <n v="1000000"/>
    <n v="1000000"/>
    <n v="1000000"/>
    <n v="1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210000"/>
    <n v="210000"/>
    <n v="420000"/>
    <n v="210000"/>
    <n v="210000"/>
    <n v="210000"/>
    <n v="210000"/>
  </r>
  <r>
    <n v="500"/>
    <s v="二轮车电机"/>
    <s v="一般客户"/>
    <s v="上海养盈电子科技有限公司"/>
    <s v="Tom"/>
    <m/>
    <x v="118"/>
    <x v="177"/>
    <m/>
    <x v="0"/>
    <m/>
    <m/>
    <m/>
    <m/>
    <m/>
    <m/>
    <n v="0.21"/>
    <n v="367500"/>
    <m/>
    <n v="1750000"/>
    <m/>
    <m/>
    <m/>
    <m/>
    <m/>
    <n v="250000"/>
    <n v="250000"/>
    <n v="750000"/>
    <n v="250000"/>
    <n v="250000"/>
    <n v="250000"/>
    <n v="250000"/>
    <n v="25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52500"/>
    <n v="52500"/>
    <n v="157500"/>
    <n v="52500"/>
    <n v="52500"/>
    <n v="52500"/>
    <n v="52500"/>
  </r>
  <r>
    <n v="501"/>
    <s v="二轮车电机"/>
    <s v="一般客户"/>
    <s v="上海养盈电子科技有限公司"/>
    <s v="Tom"/>
    <m/>
    <x v="162"/>
    <x v="178"/>
    <m/>
    <x v="0"/>
    <m/>
    <m/>
    <m/>
    <m/>
    <m/>
    <m/>
    <n v="0.21"/>
    <n v="52500"/>
    <m/>
    <n v="250000"/>
    <m/>
    <m/>
    <m/>
    <m/>
    <m/>
    <m/>
    <m/>
    <n v="25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52500"/>
    <n v="0"/>
    <n v="0"/>
    <n v="0"/>
    <n v="0"/>
  </r>
  <r>
    <n v="502"/>
    <s v="二轮车电机"/>
    <s v="一般客户"/>
    <s v="上海养盈电子科技有限公司"/>
    <s v="Tom"/>
    <m/>
    <x v="163"/>
    <x v="179"/>
    <m/>
    <x v="0"/>
    <m/>
    <m/>
    <m/>
    <m/>
    <m/>
    <m/>
    <n v="0.21"/>
    <n v="315000"/>
    <m/>
    <n v="1500000"/>
    <m/>
    <m/>
    <m/>
    <m/>
    <m/>
    <n v="250000"/>
    <n v="250000"/>
    <n v="500000"/>
    <n v="250000"/>
    <n v="250000"/>
    <n v="250000"/>
    <n v="250000"/>
    <n v="25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52500"/>
    <n v="52500"/>
    <n v="105000"/>
    <n v="52500"/>
    <n v="52500"/>
    <n v="52500"/>
    <n v="52500"/>
  </r>
  <r>
    <n v="503"/>
    <s v="苏州扬信德汽车零部件有限公司"/>
    <s v="一般客户"/>
    <s v="上海亚特联科技有限公司"/>
    <s v="Elon"/>
    <s v="朱晓贤"/>
    <x v="25"/>
    <x v="26"/>
    <m/>
    <x v="0"/>
    <s v="电子怀档"/>
    <n v="60000"/>
    <s v="小批量"/>
    <m/>
    <s v="NA"/>
    <m/>
    <n v="0.52"/>
    <n v="10920"/>
    <n v="0"/>
    <n v="21000"/>
    <m/>
    <m/>
    <m/>
    <m/>
    <n v="3000"/>
    <n v="3000"/>
    <n v="3000"/>
    <n v="3000"/>
    <n v="3000"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底盘电子"/>
    <s v="换挡系统"/>
    <s v="换挡传感器"/>
    <s v="重汽"/>
    <s v="T7"/>
    <m/>
    <n v="3"/>
    <n v="45736"/>
    <d v="2024-05-20T00:00:00"/>
    <d v="2024-06-20T00:00:00"/>
    <d v="2024-07-20T00:00:00"/>
    <d v="2024-10-20T00:00:00"/>
    <d v="2024-12-20T00:00:00"/>
    <n v="1"/>
    <n v="5"/>
    <n v="1560"/>
    <n v="1560"/>
    <n v="1560"/>
    <n v="1560"/>
    <n v="1560"/>
    <n v="2600"/>
    <n v="2600"/>
    <n v="2600"/>
  </r>
  <r>
    <n v="504"/>
    <s v="苏州扬信德汽车零部件有限公司"/>
    <s v="一般客户"/>
    <s v="上海亚特联科技有限公司"/>
    <s v="Elon"/>
    <s v="朱晓贤"/>
    <x v="43"/>
    <x v="45"/>
    <m/>
    <x v="0"/>
    <s v="电子怀档"/>
    <n v="200000"/>
    <s v="送样"/>
    <m/>
    <s v="NA"/>
    <m/>
    <n v="0.52"/>
    <n v="6760"/>
    <n v="0"/>
    <n v="13000"/>
    <m/>
    <m/>
    <m/>
    <m/>
    <m/>
    <m/>
    <m/>
    <m/>
    <m/>
    <m/>
    <n v="5000"/>
    <n v="8000"/>
    <n v="8000"/>
    <m/>
    <m/>
    <m/>
    <m/>
    <m/>
    <m/>
    <m/>
    <m/>
    <m/>
    <m/>
    <m/>
    <m/>
    <s v="Harry"/>
    <s v="1部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0"/>
    <n v="2600"/>
    <n v="4160"/>
  </r>
  <r>
    <n v="505"/>
    <s v="苏州扬信德汽车零部件有限公司"/>
    <s v="一般客户"/>
    <s v="上海亚特联科技有限公司"/>
    <s v="Elon"/>
    <s v="朱晓贤"/>
    <x v="45"/>
    <x v="47"/>
    <m/>
    <x v="0"/>
    <s v="仪表开关组合"/>
    <n v="200000"/>
    <s v="送样"/>
    <m/>
    <s v="NA"/>
    <m/>
    <n v="3.7"/>
    <n v="111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Serge"/>
    <s v="1部"/>
    <s v="角度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6"/>
    <s v="浙江万超电器有限公司"/>
    <s v="一般客户"/>
    <s v="上海亚特联科技有限公司"/>
    <s v="Elon"/>
    <s v="朱晓贤"/>
    <x v="43"/>
    <x v="45"/>
    <m/>
    <x v="0"/>
    <s v="电子怀档"/>
    <n v="120000"/>
    <s v="送样"/>
    <m/>
    <s v="NA"/>
    <m/>
    <n v="3.7"/>
    <n v="111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7"/>
    <s v="浙江长江汽车电子有限公司"/>
    <s v="战略客户"/>
    <s v="上海亚特联科技有限公司"/>
    <s v="Elon"/>
    <s v="朱晓贤"/>
    <x v="4"/>
    <x v="4"/>
    <m/>
    <x v="0"/>
    <s v="组合开关"/>
    <n v="500000"/>
    <s v="送样"/>
    <m/>
    <s v="MT6511CT"/>
    <m/>
    <n v="3.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Serge"/>
    <s v="1部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8"/>
    <s v="浙江长江汽车电子有限公司"/>
    <s v="战略客户"/>
    <s v="上海亚特联科技有限公司"/>
    <s v="Elon"/>
    <s v="朱晓贤"/>
    <x v="75"/>
    <x v="79"/>
    <m/>
    <x v="0"/>
    <s v="组合开关"/>
    <n v="500000"/>
    <s v="送样"/>
    <m/>
    <s v="MT6501GT"/>
    <m/>
    <n v="5.099999999999999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Serge"/>
    <s v="1部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9"/>
    <s v="宁波精华电子科技股份有限公司"/>
    <s v="一般客户"/>
    <s v="上海亚特联科技有限公司"/>
    <s v="Elon"/>
    <s v="周鑫"/>
    <x v="7"/>
    <x v="7"/>
    <m/>
    <x v="0"/>
    <s v="尾门电机"/>
    <n v="500000"/>
    <s v="小批量"/>
    <m/>
    <s v="MLX922llSE"/>
    <m/>
    <n v="0.5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0"/>
    <n v="0"/>
  </r>
  <r>
    <n v="510"/>
    <s v="宁波精华电子科技股份有限公司"/>
    <s v="一般客户"/>
    <s v="上海亚特联科技有限公司"/>
    <s v="Elon"/>
    <s v="周鑫"/>
    <x v="41"/>
    <x v="43"/>
    <m/>
    <x v="0"/>
    <s v="扶手箱位置检测"/>
    <n v="500000"/>
    <s v="小批量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11"/>
    <s v="宁波精华电子科技股份有限公司"/>
    <s v="一般客户"/>
    <s v="上海亚特联科技有限公司"/>
    <s v="Elon"/>
    <m/>
    <x v="164"/>
    <x v="180"/>
    <m/>
    <x v="0"/>
    <m/>
    <m/>
    <m/>
    <m/>
    <m/>
    <m/>
    <n v="0.5"/>
    <n v="7500"/>
    <m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0"/>
    <n v="0"/>
    <n v="0"/>
    <n v="0"/>
    <n v="2500"/>
    <n v="2500"/>
    <n v="2500"/>
  </r>
  <r>
    <n v="512"/>
    <s v="嘉兴市尚瑞电子科技有限公司"/>
    <s v="一般客户"/>
    <s v="上海亚特联科技有限公司"/>
    <s v="Elon"/>
    <s v="朱晓贤"/>
    <x v="42"/>
    <x v="44"/>
    <m/>
    <x v="0"/>
    <s v="扶手箱开合"/>
    <n v="100000"/>
    <s v="小批量"/>
    <m/>
    <s v="NA"/>
    <m/>
    <n v="0.52"/>
    <n v="17680"/>
    <n v="0"/>
    <n v="34000"/>
    <m/>
    <m/>
    <m/>
    <m/>
    <m/>
    <n v="5000"/>
    <n v="5000"/>
    <n v="5000"/>
    <n v="5000"/>
    <n v="8000"/>
    <n v="8000"/>
    <n v="8000"/>
    <n v="8000"/>
    <m/>
    <m/>
    <m/>
    <m/>
    <m/>
    <m/>
    <m/>
    <m/>
    <m/>
    <m/>
    <m/>
    <m/>
    <s v="1部"/>
    <s v="1部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2600"/>
    <n v="2600"/>
    <n v="2600"/>
    <n v="2600"/>
    <n v="4160"/>
    <n v="4160"/>
    <n v="4160"/>
  </r>
  <r>
    <n v="513"/>
    <s v="嘉兴市尚瑞电子科技有限公司"/>
    <s v="一般客户"/>
    <s v="上海亚特联科技有限公司"/>
    <s v="Elon"/>
    <s v="朱晓贤"/>
    <x v="41"/>
    <x v="43"/>
    <m/>
    <x v="0"/>
    <s v="车载冰箱抽屉"/>
    <n v="100000"/>
    <s v="评估"/>
    <m/>
    <s v="NA"/>
    <m/>
    <n v="0.52"/>
    <n v="7800"/>
    <n v="0"/>
    <n v="15000"/>
    <m/>
    <m/>
    <m/>
    <m/>
    <m/>
    <m/>
    <m/>
    <m/>
    <m/>
    <m/>
    <n v="5000"/>
    <n v="10000"/>
    <n v="10000"/>
    <m/>
    <m/>
    <m/>
    <m/>
    <m/>
    <m/>
    <m/>
    <m/>
    <m/>
    <m/>
    <m/>
    <m/>
    <s v="1部"/>
    <s v="1部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0"/>
    <n v="0"/>
    <n v="0"/>
    <n v="0"/>
    <n v="0"/>
    <n v="2600"/>
    <n v="5200"/>
  </r>
  <r>
    <n v="514"/>
    <s v="浙江泰康电子有限公司"/>
    <s v="重要客户"/>
    <s v="上海亚特联科技有限公司"/>
    <s v="Elon"/>
    <s v="周鑫"/>
    <x v="165"/>
    <x v="181"/>
    <m/>
    <x v="0"/>
    <s v="安全带卡扣"/>
    <n v="300000"/>
    <s v="评估"/>
    <m/>
    <s v="MLX92241CUA"/>
    <m/>
    <n v="0.81"/>
    <n v="4860"/>
    <n v="0"/>
    <n v="6000"/>
    <m/>
    <m/>
    <m/>
    <m/>
    <m/>
    <m/>
    <m/>
    <m/>
    <m/>
    <m/>
    <n v="3000"/>
    <n v="3000"/>
    <n v="3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n v="1"/>
    <n v="46162"/>
    <d v="2024-03-20T00:00:00"/>
    <d v="2024-05-20T00:00:00"/>
    <d v="2024-10-20T00:00:00"/>
    <d v="2025-09-30T00:00:00"/>
    <d v="2026-02-20T00:00:00"/>
    <n v="1"/>
    <n v="5"/>
    <n v="0"/>
    <n v="0"/>
    <n v="0"/>
    <n v="0"/>
    <n v="0"/>
    <n v="0"/>
    <n v="2430"/>
    <n v="2430"/>
  </r>
  <r>
    <n v="13"/>
    <s v="浙江泰康电子有限公司"/>
    <s v="重要客户"/>
    <s v="上海亚特联科技有限公司"/>
    <s v="Elon"/>
    <s v="周鑫"/>
    <x v="166"/>
    <x v="182"/>
    <m/>
    <x v="0"/>
    <s v="安全带卡扣"/>
    <n v="300000"/>
    <s v="评估"/>
    <m/>
    <s v="MLX92241CUA"/>
    <m/>
    <n v="0.81"/>
    <n v="14580.000000000002"/>
    <n v="0"/>
    <n v="18000"/>
    <m/>
    <m/>
    <m/>
    <m/>
    <m/>
    <m/>
    <m/>
    <m/>
    <n v="3000"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2430"/>
    <n v="4050.0000000000005"/>
    <n v="4050.0000000000005"/>
    <n v="4050.0000000000005"/>
  </r>
  <r>
    <n v="516"/>
    <s v="浙江泰康电子有限公司"/>
    <s v="重要客户"/>
    <s v="上海亚特联科技有限公司"/>
    <s v="Elon"/>
    <s v="周鑫"/>
    <x v="167"/>
    <x v="183"/>
    <m/>
    <x v="0"/>
    <s v="中控PAD支架"/>
    <n v="200000"/>
    <s v="批量"/>
    <m/>
    <s v="NA"/>
    <m/>
    <n v="0.52"/>
    <n v="67600"/>
    <n v="0"/>
    <n v="130000"/>
    <n v="3000"/>
    <n v="30000"/>
    <m/>
    <n v="5000"/>
    <n v="20000"/>
    <n v="20000"/>
    <n v="20000"/>
    <n v="20000"/>
    <n v="20000"/>
    <n v="30000"/>
    <n v="30000"/>
    <n v="30000"/>
    <n v="30000"/>
    <m/>
    <m/>
    <m/>
    <m/>
    <m/>
    <m/>
    <m/>
    <m/>
    <m/>
    <m/>
    <m/>
    <m/>
    <s v="Harry"/>
    <s v="1部"/>
    <s v="磁性位置传感器"/>
    <s v="汽车电子"/>
    <s v="车身电子"/>
    <s v="PAD伸缩支架"/>
    <s v="PAD伸缩支架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10400"/>
    <n v="10400"/>
    <n v="10400"/>
    <n v="10400"/>
    <n v="10400"/>
    <n v="15600"/>
    <n v="15600"/>
    <n v="15600"/>
  </r>
  <r>
    <n v="517"/>
    <s v="浙江泰康电子有限公司"/>
    <s v="重要客户"/>
    <s v="上海亚特联科技有限公司"/>
    <s v="Elon"/>
    <s v="周鑫"/>
    <x v="168"/>
    <x v="31"/>
    <m/>
    <x v="0"/>
    <s v="扶手箱位置检测"/>
    <n v="100000"/>
    <s v="评估"/>
    <m/>
    <s v="NA"/>
    <m/>
    <n v="0.5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1部"/>
    <m/>
    <s v="汽车电子"/>
    <s v="车身电子"/>
    <s v="中控系统"/>
    <s v="扶手箱开合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0"/>
    <n v="0"/>
    <n v="0"/>
    <n v="0"/>
    <n v="0"/>
    <n v="0"/>
    <n v="0"/>
    <n v="0"/>
  </r>
  <r>
    <n v="518"/>
    <s v="浙江泰康电子有限公司"/>
    <s v="重要客户"/>
    <s v="上海亚特联科技有限公司"/>
    <s v="Elon"/>
    <s v="周鑫"/>
    <x v="167"/>
    <x v="183"/>
    <m/>
    <x v="0"/>
    <m/>
    <m/>
    <m/>
    <m/>
    <m/>
    <m/>
    <n v="0.51980000000000004"/>
    <n v="7797.0000000000009"/>
    <m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0"/>
    <n v="0"/>
    <n v="0"/>
    <n v="0"/>
    <n v="2599"/>
    <n v="2599"/>
    <n v="2599"/>
  </r>
  <r>
    <n v="519"/>
    <s v="浙江泰康电子有限公司"/>
    <s v="重要客户"/>
    <s v="上海亚特联科技有限公司"/>
    <s v="Elon"/>
    <s v="周鑫"/>
    <x v="42"/>
    <x v="44"/>
    <m/>
    <x v="0"/>
    <s v="小桌板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20"/>
    <s v="浙江泰康电子有限公司"/>
    <s v="重要客户"/>
    <s v="上海亚特联科技有限公司"/>
    <s v="Elon"/>
    <s v="周鑫"/>
    <x v="42"/>
    <x v="44"/>
    <m/>
    <x v="0"/>
    <s v="充电口盖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21"/>
    <s v="浙江泰康电子有限公司"/>
    <s v="重要客户"/>
    <s v="上海亚特联科技有限公司"/>
    <s v="Elon"/>
    <s v="周鑫"/>
    <x v="169"/>
    <x v="184"/>
    <m/>
    <x v="0"/>
    <s v="方向盘开关板子"/>
    <n v="500000"/>
    <s v="送样"/>
    <m/>
    <s v="NA"/>
    <m/>
    <n v="0.57999999999999996"/>
    <n v="14499.999999999998"/>
    <n v="0"/>
    <n v="25000"/>
    <m/>
    <m/>
    <m/>
    <m/>
    <m/>
    <m/>
    <m/>
    <m/>
    <m/>
    <n v="5000"/>
    <n v="10000"/>
    <n v="10000"/>
    <n v="10000"/>
    <m/>
    <m/>
    <m/>
    <m/>
    <m/>
    <m/>
    <m/>
    <m/>
    <m/>
    <m/>
    <m/>
    <m/>
    <s v="Harry"/>
    <s v="1部"/>
    <s v="电源管理"/>
    <s v="汽车电子"/>
    <s v="智能座舱"/>
    <s v="中控系统"/>
    <s v="组合开关方向盘滚轮"/>
    <m/>
    <m/>
    <m/>
    <m/>
    <m/>
    <m/>
    <m/>
    <m/>
    <m/>
    <m/>
    <m/>
    <m/>
    <n v="0"/>
    <n v="0"/>
    <n v="0"/>
    <n v="0"/>
    <n v="0"/>
    <n v="2900"/>
    <n v="5800"/>
    <n v="5800"/>
  </r>
  <r>
    <n v="522"/>
    <s v="浙江卡巴尔电气有限公司"/>
    <s v="一般客户"/>
    <s v="上海亚特联科技有限公司"/>
    <s v="Elon"/>
    <s v="周鑫"/>
    <x v="170"/>
    <x v="31"/>
    <m/>
    <x v="0"/>
    <s v="工程机械遥控设备"/>
    <n v="50000"/>
    <s v="小批量"/>
    <m/>
    <s v="NA"/>
    <m/>
    <n v="2.4"/>
    <n v="0"/>
    <n v="0"/>
    <n v="0"/>
    <n v="500"/>
    <m/>
    <m/>
    <m/>
    <n v="3000"/>
    <n v="3000"/>
    <n v="5000"/>
    <m/>
    <m/>
    <m/>
    <m/>
    <m/>
    <n v="0"/>
    <m/>
    <m/>
    <m/>
    <m/>
    <m/>
    <m/>
    <m/>
    <m/>
    <m/>
    <m/>
    <m/>
    <m/>
    <s v="1部"/>
    <s v="1部"/>
    <s v="电流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7200"/>
    <n v="7200"/>
    <n v="12000"/>
    <n v="0"/>
    <n v="0"/>
    <n v="0"/>
    <n v="0"/>
    <n v="0"/>
  </r>
  <r>
    <n v="523"/>
    <s v="上海奥众汽车部件制造有限公司"/>
    <s v="重要客户"/>
    <s v="上海亚特联科技有限公司"/>
    <s v="Elon"/>
    <s v="周鑫"/>
    <x v="4"/>
    <x v="4"/>
    <m/>
    <x v="0"/>
    <s v="节气门"/>
    <n v="200000"/>
    <s v="送样"/>
    <m/>
    <s v="MT6511"/>
    <m/>
    <n v="3.6"/>
    <n v="54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Serge"/>
    <s v="1部"/>
    <s v="角度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0"/>
    <n v="0"/>
    <n v="0"/>
    <n v="0"/>
    <n v="0"/>
    <n v="18000"/>
    <n v="18000"/>
    <n v="18000"/>
  </r>
  <r>
    <n v="524"/>
    <s v="上海奥众汽车部件制造有限公司"/>
    <s v="重要客户"/>
    <s v="上海亚特联科技有限公司"/>
    <s v="Elon"/>
    <s v="周鑫"/>
    <x v="45"/>
    <x v="47"/>
    <m/>
    <x v="0"/>
    <s v="节气门"/>
    <n v="200000"/>
    <s v="送样"/>
    <m/>
    <s v="·"/>
    <m/>
    <n v="3.6"/>
    <n v="54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Serge"/>
    <s v="1部"/>
    <s v="角度传感器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18000"/>
    <n v="18000"/>
    <n v="18000"/>
  </r>
  <r>
    <n v="525"/>
    <s v="芜湖美达科技有限公司"/>
    <s v="一般客户"/>
    <s v="上海亚特联科技有限公司"/>
    <s v="Elon"/>
    <s v="朱晓贤"/>
    <x v="171"/>
    <x v="185"/>
    <m/>
    <x v="0"/>
    <s v="方向盘滚轮"/>
    <n v="500000"/>
    <s v="评估"/>
    <m/>
    <s v="NA"/>
    <m/>
    <n v="3.8"/>
    <n v="57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0"/>
    <n v="0"/>
    <n v="0"/>
    <n v="0"/>
    <n v="19000"/>
    <n v="19000"/>
    <n v="19000"/>
  </r>
  <r>
    <n v="526"/>
    <s v="江苏启达机电有限公司"/>
    <s v="一般客户"/>
    <s v="上海亿韧电子有限公司"/>
    <s v="Elon"/>
    <s v="穆博伟"/>
    <x v="90"/>
    <x v="99"/>
    <m/>
    <x v="0"/>
    <s v="天窗电机"/>
    <n v="100000"/>
    <s v="批量"/>
    <m/>
    <s v="NA"/>
    <m/>
    <n v="0.55000000000000004"/>
    <n v="8250"/>
    <n v="0"/>
    <n v="15000"/>
    <m/>
    <m/>
    <m/>
    <n v="5000"/>
    <n v="5000"/>
    <n v="5000"/>
    <n v="5000"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工业和机器人"/>
    <s v="工业其他"/>
    <m/>
    <m/>
    <m/>
    <m/>
    <m/>
    <n v="2"/>
    <n v="45555"/>
    <d v="2024-04-20T00:00:00"/>
    <d v="2024-05-20T00:00:00"/>
    <d v="2024-06-20T00:00:00"/>
    <d v="2024-07-20T00:00:00"/>
    <d v="2024-08-20T00:00:00"/>
    <n v="1"/>
    <n v="5"/>
    <n v="2750"/>
    <n v="2750"/>
    <n v="2750"/>
    <n v="0"/>
    <n v="0"/>
    <n v="2750"/>
    <n v="2750"/>
    <n v="2750"/>
  </r>
  <r>
    <n v="527"/>
    <s v="湖北开特汽车电子有限公司"/>
    <s v="一般客户"/>
    <s v="上海亿韧电子有限公司"/>
    <s v="Elon"/>
    <s v="穆博伟"/>
    <x v="45"/>
    <x v="47"/>
    <m/>
    <x v="0"/>
    <s v="电子水阀"/>
    <n v="96000"/>
    <s v="小批量"/>
    <m/>
    <s v="MT6511"/>
    <m/>
    <n v="3.8"/>
    <n v="57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Serge"/>
    <s v="1部"/>
    <s v="角度传感器"/>
    <s v="汽车电子"/>
    <s v="热管理系统"/>
    <s v="泵"/>
    <s v="电子水泵"/>
    <s v="斯丹德，松枝"/>
    <m/>
    <m/>
    <n v="1"/>
    <n v="45708"/>
    <d v="2024-09-20T00:00:00"/>
    <d v="2024-10-30T00:00:00"/>
    <d v="2024-11-20T00:00:00"/>
    <d v="2024-12-20T00:00:00"/>
    <d v="2025-01-20T00:00:00"/>
    <n v="1"/>
    <n v="5"/>
    <n v="0"/>
    <n v="0"/>
    <n v="0"/>
    <n v="0"/>
    <n v="0"/>
    <n v="19000"/>
    <n v="19000"/>
    <n v="19000"/>
  </r>
  <r>
    <n v="528"/>
    <s v="湖北开特汽车电子有限公司"/>
    <s v="一般客户"/>
    <s v="上海亿韧电子有限公司"/>
    <s v="Elon"/>
    <s v="穆博伟"/>
    <x v="40"/>
    <x v="42"/>
    <m/>
    <x v="0"/>
    <s v="凸轮轴传感器"/>
    <n v="180000"/>
    <s v="送样"/>
    <m/>
    <s v="ATS675"/>
    <m/>
    <n v="7.35"/>
    <n v="1102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Josh"/>
    <s v="1部"/>
    <s v="速度传感器"/>
    <s v="汽车电子"/>
    <s v="动力总成"/>
    <s v="发动机"/>
    <s v="凸轮轴传感器"/>
    <s v="福田"/>
    <m/>
    <m/>
    <n v="1"/>
    <n v="45797"/>
    <d v="2024-09-20T00:00:00"/>
    <d v="2024-10-30T00:00:00"/>
    <d v="2024-11-04T00:00:00"/>
    <d v="2024-12-20T00:00:00"/>
    <d v="2025-02-20T00:00:00"/>
    <n v="1"/>
    <n v="5"/>
    <n v="0"/>
    <n v="0"/>
    <n v="0"/>
    <n v="0"/>
    <n v="0"/>
    <n v="36750"/>
    <n v="36750"/>
    <n v="36750"/>
  </r>
  <r>
    <n v="529"/>
    <s v="湖北开特汽车电子有限公司"/>
    <s v="一般客户"/>
    <s v="上海亿韧电子有限公司"/>
    <s v="Elon"/>
    <s v="穆博伟"/>
    <x v="54"/>
    <x v="56"/>
    <m/>
    <x v="0"/>
    <s v="ABS轮速传感器"/>
    <n v="120000"/>
    <s v="送样"/>
    <m/>
    <s v="TLE4942"/>
    <m/>
    <n v="2.42"/>
    <n v="36300"/>
    <n v="0"/>
    <n v="15000"/>
    <m/>
    <m/>
    <m/>
    <m/>
    <n v="2000"/>
    <n v="2000"/>
    <n v="3000"/>
    <m/>
    <m/>
    <n v="5000"/>
    <n v="5000"/>
    <n v="5000"/>
    <n v="5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s v="福特"/>
    <m/>
    <m/>
    <n v="1"/>
    <n v="45828"/>
    <d v="2024-09-20T00:00:00"/>
    <d v="2024-10-30T00:00:00"/>
    <d v="2024-11-04T00:00:00"/>
    <d v="2025-01-20T00:00:00"/>
    <d v="2025-02-20T00:00:00"/>
    <n v="1"/>
    <n v="5"/>
    <n v="4840"/>
    <n v="4840"/>
    <n v="7260"/>
    <n v="0"/>
    <n v="0"/>
    <n v="12100"/>
    <n v="12100"/>
    <n v="12100"/>
  </r>
  <r>
    <n v="530"/>
    <s v="湖北开特汽车电子有限公司"/>
    <s v="一般客户"/>
    <s v="上海亿韧电子有限公司"/>
    <s v="Elon"/>
    <s v="穆博伟"/>
    <x v="28"/>
    <x v="29"/>
    <m/>
    <x v="0"/>
    <s v="隐藏式门把手"/>
    <n v="400000"/>
    <s v="送样"/>
    <m/>
    <s v="MLX92211LSE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车身电子"/>
    <s v="车门系统"/>
    <s v="隐藏式门把手"/>
    <s v="BYD"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2600"/>
    <n v="2600"/>
  </r>
  <r>
    <n v="531"/>
    <s v="上海沃巴弗电子科技有限公司"/>
    <s v="一般客户"/>
    <s v="上海亿韧电子有限公司"/>
    <s v="Elon"/>
    <s v="穆博伟"/>
    <x v="4"/>
    <x v="4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2"/>
    <s v="上海沃巴弗电子科技有限公司"/>
    <s v="一般客户"/>
    <s v="上海亿韧电子有限公司"/>
    <s v="Elon"/>
    <s v="穆博伟"/>
    <x v="75"/>
    <x v="79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3"/>
    <s v="江苏安智欣电子科技有限公司"/>
    <s v="一般客户"/>
    <s v="上海亿韧电子有限公司"/>
    <s v="Elon"/>
    <s v="穆博伟"/>
    <x v="157"/>
    <x v="172"/>
    <m/>
    <x v="0"/>
    <s v="蓝牙控制器"/>
    <n v="150000"/>
    <s v="送样"/>
    <m/>
    <s v="NA"/>
    <m/>
    <n v="0.57999999999999996"/>
    <n v="174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电源管理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5800"/>
    <n v="5800"/>
    <n v="5800"/>
  </r>
  <r>
    <n v="534"/>
    <s v="广东麦格纳汽车镜像有限公司"/>
    <s v="重要客户"/>
    <s v="杭州港德电子有限公司"/>
    <s v="Elon"/>
    <s v="闫总"/>
    <x v="28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5"/>
    <s v="伟速达（中国）汽车安全系统有限公司"/>
    <s v="一般客户"/>
    <s v="杭州港德电子有限公司"/>
    <s v="Elon"/>
    <s v="闫总"/>
    <x v="28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6"/>
    <s v="英纳法汽车天窗系统（上海）有限公司"/>
    <s v="战略客户"/>
    <s v="_x0009_孚津利（上海）电子科技有限公司"/>
    <s v="Elon"/>
    <s v="王伟"/>
    <x v="28"/>
    <x v="29"/>
    <m/>
    <x v="0"/>
    <s v="天窗控制器"/>
    <n v="1000000"/>
    <s v="批量"/>
    <m/>
    <s v="MLX92211LSE"/>
    <m/>
    <n v="0.52"/>
    <n v="239200"/>
    <n v="0"/>
    <n v="460000"/>
    <n v="102000"/>
    <n v="66000"/>
    <n v="80000"/>
    <n v="80000"/>
    <n v="80000"/>
    <n v="80000"/>
    <n v="80000"/>
    <n v="80000"/>
    <n v="80000"/>
    <n v="100000"/>
    <n v="100000"/>
    <n v="100000"/>
    <n v="10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s v="平台"/>
    <m/>
    <m/>
    <n v="2"/>
    <n v="45646"/>
    <d v="2024-01-20T00:00:00"/>
    <d v="2024-02-20T00:00:00"/>
    <d v="2024-03-20T00:00:00"/>
    <d v="2024-08-20T00:00:00"/>
    <d v="2024-11-20T00:00:00"/>
    <n v="1"/>
    <n v="5"/>
    <n v="41600"/>
    <n v="41600"/>
    <n v="41600"/>
    <n v="41600"/>
    <n v="41600"/>
    <n v="52000"/>
    <n v="52000"/>
    <n v="52000"/>
  </r>
  <r>
    <n v="537"/>
    <s v="英纳法汽车天窗系统（上海）有限公司"/>
    <s v="战略客户"/>
    <s v="_x0009_孚津利（上海）电子科技有限公司"/>
    <s v="Elon"/>
    <s v="王伟"/>
    <x v="172"/>
    <x v="186"/>
    <m/>
    <x v="0"/>
    <s v="尾门控制器"/>
    <n v="200000"/>
    <s v="送样"/>
    <m/>
    <s v="NA"/>
    <m/>
    <n v="0.85"/>
    <n v="29750"/>
    <n v="0"/>
    <n v="35000"/>
    <m/>
    <m/>
    <m/>
    <m/>
    <m/>
    <m/>
    <m/>
    <m/>
    <m/>
    <n v="10000"/>
    <n v="10000"/>
    <n v="15000"/>
    <n v="15000"/>
    <m/>
    <m/>
    <m/>
    <m/>
    <m/>
    <m/>
    <m/>
    <m/>
    <m/>
    <m/>
    <m/>
    <m/>
    <s v="Torres"/>
    <s v="1部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8500"/>
    <n v="8500"/>
    <n v="12750"/>
  </r>
  <r>
    <n v="538"/>
    <s v="英纳法智联科技（北京）有限公司"/>
    <s v="战略客户"/>
    <s v="_x0009_孚津利（上海）电子科技有限公司"/>
    <s v="Elon"/>
    <s v="王伟"/>
    <x v="28"/>
    <x v="29"/>
    <m/>
    <x v="0"/>
    <s v="天窗控制器"/>
    <n v="1000000"/>
    <s v="送样"/>
    <m/>
    <m/>
    <m/>
    <n v="0.52"/>
    <n v="57200"/>
    <m/>
    <n v="110000"/>
    <m/>
    <m/>
    <m/>
    <m/>
    <m/>
    <m/>
    <m/>
    <m/>
    <n v="10000"/>
    <n v="30000"/>
    <n v="30000"/>
    <n v="40000"/>
    <n v="4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m/>
    <m/>
    <m/>
    <m/>
    <m/>
    <m/>
    <m/>
    <m/>
    <m/>
    <m/>
    <m/>
    <m/>
    <n v="0"/>
    <n v="0"/>
    <n v="0"/>
    <n v="0"/>
    <n v="5200"/>
    <n v="15600"/>
    <n v="15600"/>
    <n v="20800"/>
  </r>
  <r>
    <n v="539"/>
    <s v="英纳法汽车天窗系统（上海）有限公司"/>
    <s v="战略客户"/>
    <s v="_x0009_孚津利（上海）电子科技有限公司"/>
    <s v="Elon"/>
    <s v="王伟"/>
    <x v="172"/>
    <x v="186"/>
    <m/>
    <x v="0"/>
    <s v="天窗氛围灯"/>
    <n v="200000"/>
    <s v="评估"/>
    <m/>
    <s v="NA"/>
    <m/>
    <n v="0.85"/>
    <n v="127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4250"/>
    <n v="4250"/>
    <n v="4250"/>
  </r>
  <r>
    <n v="540"/>
    <s v="_x0009_宁波恒佑电机有限公司"/>
    <s v="一般客户"/>
    <s v="_x0009_孚津利（上海）电子科技有限公司"/>
    <s v="Elon"/>
    <s v="王伟"/>
    <x v="98"/>
    <x v="107"/>
    <m/>
    <x v="0"/>
    <s v="跑步机电机位置检测"/>
    <n v="120000"/>
    <s v="批量"/>
    <m/>
    <s v="NA"/>
    <m/>
    <n v="0.33"/>
    <n v="16500"/>
    <n v="0"/>
    <n v="50000"/>
    <n v="17000"/>
    <n v="11000"/>
    <n v="15000"/>
    <n v="15000"/>
    <n v="15000"/>
    <n v="15000"/>
    <n v="15000"/>
    <n v="10000"/>
    <n v="10000"/>
    <n v="10000"/>
    <n v="10000"/>
    <n v="10000"/>
    <n v="10000"/>
    <m/>
    <m/>
    <m/>
    <m/>
    <m/>
    <m/>
    <m/>
    <m/>
    <m/>
    <m/>
    <m/>
    <m/>
    <s v="1部"/>
    <s v="1部"/>
    <s v="磁性位置传感器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4950"/>
    <n v="4950"/>
    <n v="4950"/>
    <n v="3300"/>
    <n v="3300"/>
    <n v="3300"/>
    <n v="3300"/>
    <n v="3300"/>
  </r>
  <r>
    <n v="541"/>
    <s v="_x0009_上海拓殷电子科技技术有限公司"/>
    <s v="重要客户"/>
    <s v="_x0009_孚津利（上海）电子科技有限公司"/>
    <s v="Elon"/>
    <s v="王伟"/>
    <x v="151"/>
    <x v="168"/>
    <m/>
    <x v="0"/>
    <s v="天窗控制器"/>
    <n v="1000000"/>
    <s v="送样"/>
    <m/>
    <s v="NA"/>
    <m/>
    <n v="0.81"/>
    <n v="40500"/>
    <n v="0"/>
    <n v="50000"/>
    <m/>
    <m/>
    <m/>
    <m/>
    <n v="500"/>
    <n v="3000"/>
    <n v="3000"/>
    <n v="0"/>
    <n v="0"/>
    <n v="10000"/>
    <n v="20000"/>
    <n v="20000"/>
    <n v="2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405"/>
    <n v="2430"/>
    <n v="2430"/>
    <n v="0"/>
    <n v="0"/>
    <n v="8100.0000000000009"/>
    <n v="16200.000000000002"/>
    <n v="16200.000000000002"/>
  </r>
  <r>
    <n v="542"/>
    <s v="常州普芝机电有限公司"/>
    <s v="一般客户"/>
    <s v="_x0009_孚津利（上海）电子科技有限公司"/>
    <s v="Elon"/>
    <s v="王伟"/>
    <x v="98"/>
    <x v="107"/>
    <m/>
    <x v="0"/>
    <s v="工业电机"/>
    <n v="200000"/>
    <s v="批量"/>
    <m/>
    <s v="NA"/>
    <m/>
    <n v="0.34"/>
    <n v="5100"/>
    <n v="0"/>
    <n v="15000"/>
    <m/>
    <m/>
    <m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1部"/>
    <s v="1部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.0000000000001"/>
    <n v="1020.0000000000001"/>
    <n v="1020.0000000000001"/>
    <n v="1020.0000000000001"/>
    <n v="1020.0000000000001"/>
    <n v="1020.0000000000001"/>
    <n v="1020.0000000000001"/>
    <n v="1020.0000000000001"/>
  </r>
  <r>
    <n v="543"/>
    <s v="上海继峰座椅有限公司"/>
    <s v="一般客户"/>
    <s v="_x0009_孚津利（上海）电子科技有限公司"/>
    <s v="Elon"/>
    <s v="王伟"/>
    <x v="4"/>
    <x v="4"/>
    <m/>
    <x v="0"/>
    <s v="隐藏式扶手"/>
    <n v="120000"/>
    <s v="送样"/>
    <m/>
    <s v="NA"/>
    <m/>
    <n v="3.8"/>
    <n v="19000"/>
    <n v="0"/>
    <n v="5000"/>
    <m/>
    <m/>
    <m/>
    <m/>
    <m/>
    <m/>
    <m/>
    <m/>
    <m/>
    <m/>
    <m/>
    <n v="5000"/>
    <n v="5000"/>
    <m/>
    <m/>
    <m/>
    <m/>
    <m/>
    <m/>
    <m/>
    <m/>
    <m/>
    <m/>
    <m/>
    <m/>
    <s v="1部"/>
    <s v="1部"/>
    <s v="角度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0"/>
    <n v="0"/>
    <n v="0"/>
    <n v="0"/>
    <n v="0"/>
    <n v="0"/>
    <n v="0"/>
    <n v="19000"/>
  </r>
  <r>
    <n v="544"/>
    <s v="苏州锐璟科技有限公司"/>
    <s v="一般客户"/>
    <s v="_x0009_孚津利（上海）电子科技有限公司"/>
    <s v="Elon"/>
    <s v="王伟"/>
    <x v="41"/>
    <x v="43"/>
    <m/>
    <x v="0"/>
    <s v="扶手箱移动"/>
    <n v="120000"/>
    <s v="批量"/>
    <m/>
    <s v="NA"/>
    <m/>
    <n v="0.52"/>
    <n v="39000"/>
    <n v="0"/>
    <n v="75000"/>
    <m/>
    <n v="12000"/>
    <m/>
    <n v="12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3部"/>
    <s v="1部"/>
    <s v="磁性位置传感器"/>
    <s v="汽车电子"/>
    <s v="智能座舱"/>
    <s v="智能座椅"/>
    <s v="座椅扶手位置"/>
    <m/>
    <m/>
    <m/>
    <m/>
    <n v="45432"/>
    <d v="2024-01-20T00:00:00"/>
    <d v="2024-02-20T00:00:00"/>
    <d v="2024-03-20T00:00:00"/>
    <d v="2024-04-20T00:00:00"/>
    <d v="2024-04-20T00:00:00"/>
    <n v="1"/>
    <n v="5"/>
    <n v="7800"/>
    <n v="7800"/>
    <n v="7800"/>
    <n v="7800"/>
    <n v="7800"/>
    <n v="7800"/>
    <n v="7800"/>
    <n v="7800"/>
  </r>
  <r>
    <n v="545"/>
    <s v="广州爱者科技有限公司"/>
    <s v="一般客户"/>
    <s v="深圳诺信微科技有限公司"/>
    <s v="Elon"/>
    <s v="黎海峰"/>
    <x v="62"/>
    <x v="65"/>
    <m/>
    <x v="0"/>
    <s v="车窗电机"/>
    <n v="200000"/>
    <s v="小批量"/>
    <m/>
    <s v="NA"/>
    <m/>
    <n v="0.52"/>
    <n v="6240"/>
    <n v="0"/>
    <n v="12000"/>
    <m/>
    <m/>
    <m/>
    <n v="8000"/>
    <n v="8000"/>
    <n v="8000"/>
    <n v="10000"/>
    <m/>
    <m/>
    <m/>
    <m/>
    <n v="12000"/>
    <n v="12000"/>
    <m/>
    <m/>
    <m/>
    <m/>
    <m/>
    <m/>
    <m/>
    <m/>
    <m/>
    <m/>
    <m/>
    <m/>
    <s v="1部"/>
    <s v="1部"/>
    <s v="磁性位置传感器"/>
    <s v="汽车电子"/>
    <s v="车身电子"/>
    <s v="车门系统"/>
    <s v="车门电机"/>
    <s v="吉利"/>
    <m/>
    <m/>
    <m/>
    <n v="45493"/>
    <d v="2024-03-20T00:00:00"/>
    <d v="2024-04-20T00:00:00"/>
    <d v="2024-05-20T00:00:00"/>
    <d v="2024-06-20T00:00:00"/>
    <d v="2024-06-20T00:00:00"/>
    <n v="1"/>
    <n v="5"/>
    <n v="4160"/>
    <n v="4160"/>
    <n v="5200"/>
    <n v="0"/>
    <n v="0"/>
    <n v="0"/>
    <n v="0"/>
    <n v="6240"/>
  </r>
  <r>
    <n v="546"/>
    <s v="柳州五达汽车部件有限公司"/>
    <s v="重要客户"/>
    <s v="深圳诺信微科技有限公司"/>
    <s v="Elon"/>
    <s v="黎海峰"/>
    <x v="43"/>
    <x v="45"/>
    <m/>
    <x v="1"/>
    <s v="电子换挡器"/>
    <n v="300000"/>
    <s v="小批量"/>
    <m/>
    <s v="NA"/>
    <m/>
    <n v="0.42"/>
    <n v="10500"/>
    <n v="0"/>
    <n v="25000"/>
    <m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100"/>
    <n v="2100"/>
    <n v="2100"/>
    <n v="2100"/>
    <n v="2100"/>
    <n v="2100"/>
    <n v="2100"/>
  </r>
  <r>
    <n v="547"/>
    <s v="柳州五达汽车部件有限公司"/>
    <s v="重要客户"/>
    <s v="深圳诺信微科技有限公司"/>
    <s v="Elon"/>
    <s v="黎海峰"/>
    <x v="46"/>
    <x v="48"/>
    <m/>
    <x v="0"/>
    <s v="电子换挡器"/>
    <n v="300000"/>
    <s v="小批量"/>
    <m/>
    <s v="NA"/>
    <m/>
    <n v="0.52"/>
    <n v="13000"/>
    <n v="0"/>
    <n v="25000"/>
    <m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600"/>
    <n v="2600"/>
    <n v="2600"/>
    <n v="2600"/>
    <n v="2600"/>
    <n v="2600"/>
    <n v="2600"/>
  </r>
  <r>
    <n v="548"/>
    <s v="_x0009_天津英创汇智汽车技术有限公司"/>
    <s v="重要客户"/>
    <s v="深圳诺信微科技有限公司"/>
    <s v="Elon"/>
    <s v="王帅"/>
    <x v="66"/>
    <x v="69"/>
    <m/>
    <x v="0"/>
    <s v="ABS轮速传感器"/>
    <n v="400000"/>
    <s v="小批量"/>
    <m/>
    <s v="NA"/>
    <m/>
    <n v="2.5"/>
    <n v="125000"/>
    <n v="0"/>
    <n v="50000"/>
    <m/>
    <m/>
    <m/>
    <n v="10000"/>
    <n v="20000"/>
    <n v="30000"/>
    <n v="30000"/>
    <n v="10000"/>
    <n v="10000"/>
    <n v="10000"/>
    <n v="10000"/>
    <n v="10000"/>
    <n v="10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m/>
    <m/>
    <m/>
    <m/>
    <n v="45585"/>
    <d v="2023-09-20T00:00:00"/>
    <d v="2023-10-20T00:00:00"/>
    <d v="2023-12-20T00:00:00"/>
    <d v="2024-05-20T00:00:00"/>
    <d v="2024-07-20T00:00:00"/>
    <n v="1"/>
    <n v="5"/>
    <n v="50000"/>
    <n v="75000"/>
    <n v="75000"/>
    <n v="25000"/>
    <n v="25000"/>
    <n v="25000"/>
    <n v="25000"/>
    <n v="25000"/>
  </r>
  <r>
    <n v="549"/>
    <s v="_x0009_天津英创汇智汽车技术有限公司"/>
    <s v="重要客户"/>
    <s v="深圳诺信微科技有限公司"/>
    <s v="Elon"/>
    <s v="王帅"/>
    <x v="54"/>
    <x v="56"/>
    <m/>
    <x v="0"/>
    <s v="ABS轮速传感器"/>
    <n v="400000"/>
    <s v="批量"/>
    <m/>
    <s v="NA"/>
    <m/>
    <n v="2.5"/>
    <n v="125000"/>
    <n v="0"/>
    <n v="50000"/>
    <m/>
    <m/>
    <m/>
    <n v="10000"/>
    <n v="15000"/>
    <n v="20000"/>
    <n v="20000"/>
    <n v="10000"/>
    <n v="10000"/>
    <n v="10000"/>
    <n v="10000"/>
    <n v="10000"/>
    <n v="10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m/>
    <m/>
    <m/>
    <m/>
    <n v="45646"/>
    <d v="2023-09-20T00:00:00"/>
    <d v="2023-10-20T00:00:00"/>
    <d v="2023-12-20T00:00:00"/>
    <d v="2024-05-20T00:00:00"/>
    <d v="2024-07-20T00:00:00"/>
    <n v="1"/>
    <n v="5"/>
    <n v="37500"/>
    <n v="50000"/>
    <n v="50000"/>
    <n v="25000"/>
    <n v="25000"/>
    <n v="25000"/>
    <n v="25000"/>
    <n v="25000"/>
  </r>
  <r>
    <n v="550"/>
    <s v="上海泰崇电气有限公司"/>
    <s v="一般客户"/>
    <s v="深圳诺信微科技有限公司"/>
    <s v="Elon"/>
    <s v="赵凯"/>
    <x v="11"/>
    <x v="84"/>
    <m/>
    <x v="0"/>
    <s v="家居电机"/>
    <n v="800000"/>
    <s v="送样"/>
    <m/>
    <s v="NA"/>
    <m/>
    <n v="0.32"/>
    <n v="8000"/>
    <n v="0"/>
    <n v="25000"/>
    <m/>
    <m/>
    <m/>
    <n v="2000"/>
    <n v="2000"/>
    <n v="2000"/>
    <n v="5000"/>
    <n v="5000"/>
    <n v="5000"/>
    <n v="5000"/>
    <n v="5000"/>
    <n v="5000"/>
    <n v="5000"/>
    <m/>
    <m/>
    <m/>
    <m/>
    <m/>
    <m/>
    <m/>
    <m/>
    <m/>
    <m/>
    <m/>
    <m/>
    <s v="3部"/>
    <s v="1部"/>
    <s v="磁性位置传感器"/>
    <s v="智能家居"/>
    <s v="电动家具"/>
    <s v="电动桌椅"/>
    <s v="升降桌电机"/>
    <m/>
    <m/>
    <m/>
    <m/>
    <n v="45767"/>
    <d v="2024-09-20T00:00:00"/>
    <d v="2024-10-20T00:00:00"/>
    <d v="2024-11-20T00:00:00"/>
    <d v="2024-12-20T00:00:00"/>
    <d v="2025-01-20T00:00:00"/>
    <n v="1"/>
    <n v="5"/>
    <n v="640"/>
    <n v="640"/>
    <n v="1600"/>
    <n v="1600"/>
    <n v="1600"/>
    <n v="1600"/>
    <n v="1600"/>
    <n v="1600"/>
  </r>
  <r>
    <n v="551"/>
    <s v="上海泰崇电气有限公司"/>
    <s v="一般客户"/>
    <s v="深圳诺信微科技有限公司"/>
    <s v="Elon"/>
    <s v="赵凯"/>
    <x v="29"/>
    <x v="30"/>
    <m/>
    <x v="0"/>
    <s v="家居电机"/>
    <n v="600000"/>
    <s v="批量"/>
    <m/>
    <s v="NA"/>
    <m/>
    <n v="0.32"/>
    <n v="32000"/>
    <n v="0"/>
    <n v="100000"/>
    <n v="6000"/>
    <m/>
    <m/>
    <n v="12000"/>
    <n v="50000"/>
    <n v="50000"/>
    <n v="50000"/>
    <n v="20000"/>
    <n v="20000"/>
    <n v="20000"/>
    <n v="20000"/>
    <n v="20000"/>
    <n v="20000"/>
    <m/>
    <m/>
    <m/>
    <m/>
    <m/>
    <m/>
    <m/>
    <m/>
    <m/>
    <m/>
    <m/>
    <m/>
    <s v="3部"/>
    <s v="1部"/>
    <s v="磁性位置传感器"/>
    <s v="智能家居"/>
    <s v="电动家具"/>
    <s v="电动桌椅"/>
    <s v="升降桌电机"/>
    <m/>
    <m/>
    <m/>
    <m/>
    <n v="45524"/>
    <d v="2024-03-20T00:00:00"/>
    <d v="2024-04-20T00:00:00"/>
    <d v="2024-05-20T00:00:00"/>
    <d v="2024-06-20T00:00:00"/>
    <d v="2024-07-20T00:00:00"/>
    <n v="1"/>
    <n v="5"/>
    <n v="16000"/>
    <n v="16000"/>
    <n v="16000"/>
    <n v="6400"/>
    <n v="6400"/>
    <n v="6400"/>
    <n v="6400"/>
    <n v="6400"/>
  </r>
  <r>
    <n v="552"/>
    <s v="上海泰崇电气有限公司"/>
    <s v="一般客户"/>
    <s v="深圳诺信微科技有限公司"/>
    <s v="Elon"/>
    <s v="赵凯"/>
    <x v="164"/>
    <x v="180"/>
    <m/>
    <x v="0"/>
    <s v="侧移门检测"/>
    <n v="100000"/>
    <s v="送样"/>
    <m/>
    <s v="NA"/>
    <m/>
    <n v="0.52"/>
    <n v="10920"/>
    <n v="0"/>
    <n v="21000"/>
    <m/>
    <m/>
    <m/>
    <m/>
    <m/>
    <m/>
    <m/>
    <m/>
    <m/>
    <n v="5000"/>
    <n v="8000"/>
    <n v="8000"/>
    <n v="8000"/>
    <m/>
    <m/>
    <m/>
    <m/>
    <m/>
    <m/>
    <m/>
    <m/>
    <m/>
    <m/>
    <m/>
    <m/>
    <s v="3部"/>
    <s v="1部"/>
    <s v="磁性位置传感器"/>
    <s v="汽车电子"/>
    <s v="车身电子"/>
    <s v="车门系统"/>
    <s v="车门电机"/>
    <m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4160"/>
    <n v="4160"/>
  </r>
  <r>
    <n v="553"/>
    <s v="上海英汇科技发展有限公司"/>
    <s v="一般客户"/>
    <s v="深圳诺信微科技有限公司"/>
    <s v="Elon"/>
    <s v="赵凯"/>
    <x v="69"/>
    <x v="73"/>
    <m/>
    <x v="0"/>
    <s v="车门踏板"/>
    <n v="100000"/>
    <s v="小批量"/>
    <m/>
    <s v="NA"/>
    <m/>
    <n v="0.52"/>
    <n v="15600"/>
    <n v="0"/>
    <n v="30000"/>
    <m/>
    <m/>
    <m/>
    <n v="5000"/>
    <n v="5000"/>
    <n v="5000"/>
    <n v="5000"/>
    <m/>
    <m/>
    <n v="10000"/>
    <n v="10000"/>
    <n v="10000"/>
    <n v="10000"/>
    <m/>
    <m/>
    <m/>
    <m/>
    <m/>
    <m/>
    <m/>
    <m/>
    <m/>
    <m/>
    <m/>
    <m/>
    <s v="1部"/>
    <s v="1部"/>
    <s v="磁性位置传感器"/>
    <s v="汽车电子"/>
    <s v="车身电子"/>
    <s v="车身其他"/>
    <s v="车门踏板电机"/>
    <m/>
    <m/>
    <m/>
    <m/>
    <n v="45585"/>
    <d v="2024-02-20T00:00:00"/>
    <d v="2024-03-20T00:00:00"/>
    <d v="2024-04-20T00:00:00"/>
    <d v="2024-05-20T00:00:00"/>
    <d v="2024-07-20T00:00:00"/>
    <n v="1"/>
    <n v="5"/>
    <n v="2600"/>
    <n v="2600"/>
    <n v="2600"/>
    <n v="0"/>
    <n v="0"/>
    <n v="5200"/>
    <n v="5200"/>
    <n v="5200"/>
  </r>
  <r>
    <n v="554"/>
    <s v="浙江宏发精密科技有限公司"/>
    <s v="重要客户"/>
    <s v="深圳市首显电子设计有限公司"/>
    <s v="Elon"/>
    <s v="Vivi"/>
    <x v="173"/>
    <x v="187"/>
    <m/>
    <x v="0"/>
    <s v="光伏电流传感器"/>
    <n v="300000"/>
    <s v="小批量"/>
    <m/>
    <s v="NA"/>
    <m/>
    <n v="2.8"/>
    <n v="224000"/>
    <n v="0"/>
    <n v="80000"/>
    <m/>
    <m/>
    <m/>
    <m/>
    <n v="5000"/>
    <n v="5000"/>
    <n v="10000"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28000"/>
    <n v="56000"/>
    <n v="56000"/>
    <n v="56000"/>
  </r>
  <r>
    <n v="555"/>
    <s v="浙江宏发精密科技有限公司"/>
    <s v="重要客户"/>
    <s v="深圳市首显电子设计有限公司"/>
    <s v="Elon"/>
    <s v="Vivi"/>
    <x v="0"/>
    <x v="0"/>
    <m/>
    <x v="0"/>
    <s v="储能电流传感器"/>
    <n v="300000"/>
    <s v="小批量"/>
    <m/>
    <s v="NA"/>
    <m/>
    <n v="2.8"/>
    <n v="224000"/>
    <n v="0"/>
    <n v="80000"/>
    <m/>
    <m/>
    <m/>
    <m/>
    <n v="5000"/>
    <n v="5000"/>
    <n v="10000"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28000"/>
    <n v="56000"/>
    <n v="56000"/>
    <n v="56000"/>
  </r>
  <r>
    <n v="556"/>
    <s v="浙江宏发精密科技有限公司"/>
    <s v="重要客户"/>
    <s v="深圳市首显电子设计有限公司"/>
    <s v="Elon"/>
    <s v="Vivi"/>
    <x v="0"/>
    <x v="0"/>
    <m/>
    <x v="0"/>
    <s v="电摩电流传感器"/>
    <n v="300000"/>
    <s v="小批量"/>
    <m/>
    <s v="NA"/>
    <m/>
    <n v="2.8"/>
    <n v="224000"/>
    <n v="0"/>
    <n v="80000"/>
    <m/>
    <m/>
    <m/>
    <m/>
    <m/>
    <n v="10000"/>
    <n v="10000"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28000"/>
    <n v="28000"/>
    <n v="28000"/>
    <n v="28000"/>
    <n v="56000"/>
    <n v="56000"/>
    <n v="56000"/>
  </r>
  <r>
    <n v="557"/>
    <s v="浙江宏发精密科技有限公司"/>
    <s v="重要客户"/>
    <s v="深圳市首显电子设计有限公司"/>
    <s v="Elon"/>
    <s v="Vivi"/>
    <x v="63"/>
    <x v="188"/>
    <m/>
    <x v="0"/>
    <s v="电摩电流传感器"/>
    <n v="200000"/>
    <s v="送样"/>
    <m/>
    <s v="NA"/>
    <m/>
    <n v="2.8"/>
    <n v="224000"/>
    <n v="0"/>
    <n v="80000"/>
    <m/>
    <m/>
    <m/>
    <m/>
    <m/>
    <m/>
    <m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28000"/>
    <n v="28000"/>
    <n v="56000"/>
    <n v="56000"/>
    <n v="56000"/>
  </r>
  <r>
    <n v="558"/>
    <s v="厦门宏发电力电器有限公司"/>
    <s v="重要客户"/>
    <s v="深圳市首显电子设计有限公司"/>
    <s v="Elon"/>
    <s v="Vivi"/>
    <x v="174"/>
    <x v="189"/>
    <m/>
    <x v="0"/>
    <s v="高压直流继电器"/>
    <n v="500000"/>
    <s v="送样"/>
    <m/>
    <s v="NA"/>
    <m/>
    <n v="2.8"/>
    <n v="14000"/>
    <n v="0"/>
    <n v="5000"/>
    <m/>
    <m/>
    <m/>
    <m/>
    <m/>
    <m/>
    <m/>
    <m/>
    <m/>
    <m/>
    <m/>
    <n v="5000"/>
    <n v="5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0"/>
    <n v="0"/>
    <n v="0"/>
    <n v="0"/>
    <n v="14000"/>
  </r>
  <r>
    <n v="559"/>
    <s v="奥托立夫（上海）汽车安全系统研发有限公司"/>
    <s v="战略客户"/>
    <s v="武汉艾捷芯汽车科技有限公司"/>
    <s v="Elon"/>
    <s v="陈颖"/>
    <x v="175"/>
    <x v="190"/>
    <m/>
    <x v="0"/>
    <s v="安全带插锁"/>
    <n v="2000000"/>
    <s v="小批量"/>
    <m/>
    <s v="MLX92241LSE"/>
    <m/>
    <n v="0.55000000000000004"/>
    <n v="41250"/>
    <n v="0"/>
    <n v="75000"/>
    <m/>
    <m/>
    <m/>
    <m/>
    <n v="20000"/>
    <n v="10000"/>
    <n v="20000"/>
    <n v="5000"/>
    <n v="10000"/>
    <n v="20000"/>
    <n v="20000"/>
    <n v="20000"/>
    <n v="20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n v="1"/>
    <n v="45828"/>
    <d v="2023-01-20T00:00:00"/>
    <d v="2024-01-20T00:00:00"/>
    <d v="2024-03-20T00:00:00"/>
    <d v="2024-06-20T00:00:00"/>
    <d v="2024-07-20T00:00:00"/>
    <n v="1"/>
    <n v="5"/>
    <n v="11000"/>
    <n v="5500"/>
    <n v="11000"/>
    <n v="2750"/>
    <n v="5500"/>
    <n v="11000"/>
    <n v="11000"/>
    <n v="11000"/>
  </r>
  <r>
    <n v="560"/>
    <s v="奥托立夫（上海）汽车安全系统研发有限公司"/>
    <s v="战略客户"/>
    <s v="武汉艾捷芯汽车科技有限公司"/>
    <s v="Elon"/>
    <s v="陈颖"/>
    <x v="176"/>
    <x v="191"/>
    <m/>
    <x v="0"/>
    <s v="安全带插锁"/>
    <n v="500000"/>
    <s v="送样"/>
    <m/>
    <s v="MLX92242LUA"/>
    <m/>
    <n v="0.75"/>
    <n v="112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m/>
    <n v="45828"/>
    <d v="2024-01-20T00:00:00"/>
    <d v="2024-06-20T00:00:00"/>
    <d v="2024-08-20T00:00:00"/>
    <d v="2024-11-20T00:00:00"/>
    <d v="2024-12-20T00:00:00"/>
    <n v="0.2"/>
    <n v="5"/>
    <n v="0"/>
    <n v="0"/>
    <n v="0"/>
    <n v="0"/>
    <n v="0"/>
    <n v="3750"/>
    <n v="3750"/>
    <n v="3750"/>
  </r>
  <r>
    <n v="561"/>
    <s v="奥托立夫（上海）汽车安全系统研发有限公司"/>
    <s v="战略客户"/>
    <s v="武汉艾捷芯汽车科技有限公司"/>
    <s v="Elon"/>
    <s v="陈颖"/>
    <x v="7"/>
    <x v="7"/>
    <m/>
    <x v="0"/>
    <s v="安全带卷收器"/>
    <n v="200000"/>
    <s v="小批量"/>
    <m/>
    <s v="TLE4963-1M"/>
    <m/>
    <n v="0.45"/>
    <n v="17100"/>
    <n v="0"/>
    <n v="38000"/>
    <m/>
    <m/>
    <m/>
    <m/>
    <m/>
    <m/>
    <m/>
    <n v="5000"/>
    <n v="5000"/>
    <n v="10000"/>
    <n v="10000"/>
    <n v="8000"/>
    <n v="8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卷收器"/>
    <s v="大众"/>
    <m/>
    <m/>
    <n v="2"/>
    <n v="45736"/>
    <d v="2024-01-20T00:00:00"/>
    <d v="2024-02-20T00:00:00"/>
    <d v="2024-03-20T00:00:00"/>
    <d v="2024-05-20T00:00:00"/>
    <d v="2024-07-20T00:00:00"/>
    <n v="1"/>
    <n v="5"/>
    <n v="0"/>
    <n v="0"/>
    <n v="0"/>
    <n v="2250"/>
    <n v="2250"/>
    <n v="4500"/>
    <n v="4500"/>
    <n v="3600"/>
  </r>
  <r>
    <n v="562"/>
    <s v="奥托立夫（上海）汽车安全系统研发有限公司"/>
    <s v="战略客户"/>
    <s v="武汉艾捷芯汽车科技有限公司"/>
    <s v="Elon"/>
    <s v="陈颖"/>
    <x v="32"/>
    <x v="34"/>
    <m/>
    <x v="0"/>
    <s v="安全带支架"/>
    <n v="200000"/>
    <s v="送样"/>
    <m/>
    <s v="HAL835A"/>
    <m/>
    <n v="2.8"/>
    <n v="42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Axel"/>
    <s v="1部"/>
    <s v="角度传感器"/>
    <s v="汽车电子"/>
    <s v="车身电子"/>
    <s v="安全带系统"/>
    <s v="安全带BTS"/>
    <m/>
    <m/>
    <m/>
    <m/>
    <n v="45736"/>
    <d v="2023-01-20T00:00:00"/>
    <d v="2024-01-20T00:00:00"/>
    <d v="2024-03-20T00:00:00"/>
    <d v="2024-06-20T00:00:00"/>
    <d v="2024-07-20T00:00:00"/>
    <n v="1"/>
    <n v="5"/>
    <n v="0"/>
    <n v="0"/>
    <n v="0"/>
    <n v="0"/>
    <n v="0"/>
    <n v="14000"/>
    <n v="14000"/>
    <n v="14000"/>
  </r>
  <r>
    <n v="563"/>
    <s v="卡奥斯创智物联科技有限公司"/>
    <s v="一般客户"/>
    <s v="帕太国际贸易（上海）有限公司"/>
    <s v="Elon"/>
    <s v="王金"/>
    <x v="30"/>
    <x v="32"/>
    <m/>
    <x v="0"/>
    <s v="洗衣机排水泵"/>
    <n v="700000"/>
    <s v="批量"/>
    <m/>
    <s v="NA"/>
    <m/>
    <n v="0.23499999999999999"/>
    <n v="23500"/>
    <n v="0"/>
    <n v="100000"/>
    <m/>
    <m/>
    <m/>
    <n v="18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3部"/>
    <s v="1部"/>
    <s v="磁性位置传感器"/>
    <s v="智能家居"/>
    <s v="大型家电"/>
    <s v="洗衣机"/>
    <m/>
    <s v="海尔"/>
    <m/>
    <m/>
    <n v="2"/>
    <n v="45646"/>
    <d v="2024-04-20T00:00:00"/>
    <d v="2024-05-20T00:00:00"/>
    <d v="2024-06-20T00:00:00"/>
    <d v="2024-07-20T00:00:00"/>
    <d v="2024-08-20T00:00:00"/>
    <n v="1"/>
    <n v="5"/>
    <n v="4700"/>
    <n v="4700"/>
    <n v="4700"/>
    <n v="4700"/>
    <n v="4700"/>
    <n v="4700"/>
    <n v="4700"/>
    <n v="4700"/>
  </r>
  <r>
    <n v="564"/>
    <s v="卡奥斯创智物联科技有限公司"/>
    <s v="一般客户"/>
    <s v="帕太国际贸易（上海）有限公司"/>
    <s v="Elon"/>
    <s v="王金"/>
    <x v="170"/>
    <x v="31"/>
    <m/>
    <x v="0"/>
    <s v="工业风机"/>
    <n v="120000"/>
    <s v="批量"/>
    <m/>
    <s v="CC6904"/>
    <m/>
    <n v="2.2999999999999998"/>
    <n v="0"/>
    <n v="0"/>
    <n v="0"/>
    <m/>
    <m/>
    <m/>
    <m/>
    <m/>
    <n v="500"/>
    <n v="500"/>
    <m/>
    <m/>
    <m/>
    <m/>
    <m/>
    <n v="0"/>
    <m/>
    <m/>
    <m/>
    <m/>
    <m/>
    <m/>
    <m/>
    <m/>
    <m/>
    <m/>
    <m/>
    <m/>
    <s v="2部"/>
    <s v="1部"/>
    <s v="电流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1150"/>
    <n v="1150"/>
    <n v="0"/>
    <n v="0"/>
    <n v="0"/>
    <n v="0"/>
    <n v="0"/>
  </r>
  <r>
    <n v="565"/>
    <s v="卡奥斯创智物联科技有限公司"/>
    <s v="一般客户"/>
    <s v="帕太国际贸易（上海）有限公司"/>
    <s v="Elon"/>
    <s v="王金"/>
    <x v="177"/>
    <x v="31"/>
    <m/>
    <x v="0"/>
    <s v="冰箱门检测"/>
    <n v="10000000"/>
    <s v="评估"/>
    <m/>
    <s v="BD7411G"/>
    <m/>
    <n v="0.68"/>
    <n v="102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2部"/>
    <s v="1部"/>
    <s v="磁性位置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0"/>
    <n v="0"/>
    <n v="0"/>
    <n v="0"/>
    <n v="3400.0000000000005"/>
    <n v="3400.0000000000005"/>
    <n v="3400.0000000000005"/>
  </r>
  <r>
    <n v="566"/>
    <s v="深圳华美和控制系统有限公司"/>
    <s v="重要客户"/>
    <s v="上海致馨电子科技有限公司"/>
    <s v="Elon"/>
    <s v="童建东"/>
    <x v="66"/>
    <x v="69"/>
    <m/>
    <x v="0"/>
    <s v="摩托车ABS轮速传感器"/>
    <n v="300000"/>
    <s v="批量"/>
    <m/>
    <s v="TLE4941"/>
    <m/>
    <n v="2.2000000000000002"/>
    <n v="528000"/>
    <n v="0"/>
    <n v="240000"/>
    <m/>
    <m/>
    <n v="47000"/>
    <n v="20000"/>
    <n v="30000"/>
    <n v="30000"/>
    <n v="40000"/>
    <n v="40000"/>
    <n v="50000"/>
    <n v="50000"/>
    <n v="50000"/>
    <n v="50000"/>
    <n v="50000"/>
    <m/>
    <m/>
    <m/>
    <m/>
    <m/>
    <m/>
    <m/>
    <m/>
    <m/>
    <m/>
    <m/>
    <m/>
    <s v="1部"/>
    <s v="1部"/>
    <s v="速度传感器"/>
    <s v="替代交通"/>
    <s v="电动二轮/三轮"/>
    <m/>
    <m/>
    <m/>
    <m/>
    <m/>
    <m/>
    <n v="45493"/>
    <d v="2024-03-20T00:00:00"/>
    <d v="2024-04-20T00:00:00"/>
    <d v="2024-05-20T00:00:00"/>
    <d v="2024-06-20T00:00:00"/>
    <d v="2024-06-20T00:00:00"/>
    <n v="1"/>
    <n v="5"/>
    <n v="66000"/>
    <n v="66000"/>
    <n v="88000"/>
    <n v="88000"/>
    <n v="110000.00000000001"/>
    <n v="110000.00000000001"/>
    <n v="110000.00000000001"/>
    <n v="110000.00000000001"/>
  </r>
  <r>
    <n v="567"/>
    <s v="八方电气（苏州）股份有限公司"/>
    <s v="重要客户"/>
    <s v="无锡友创电子有限公司"/>
    <s v="Elon"/>
    <s v="曹友生"/>
    <x v="58"/>
    <x v="60"/>
    <m/>
    <x v="0"/>
    <s v="Ebike中置电机速度检测"/>
    <n v="300000"/>
    <s v="送样"/>
    <m/>
    <s v="NA"/>
    <m/>
    <n v="2.52"/>
    <n v="57960"/>
    <n v="0"/>
    <n v="23000"/>
    <m/>
    <m/>
    <m/>
    <m/>
    <n v="1000"/>
    <n v="3000"/>
    <n v="3000"/>
    <n v="0"/>
    <n v="5000"/>
    <n v="5000"/>
    <n v="5000"/>
    <n v="8000"/>
    <n v="8000"/>
    <m/>
    <m/>
    <m/>
    <m/>
    <m/>
    <m/>
    <m/>
    <m/>
    <m/>
    <m/>
    <m/>
    <m/>
    <s v="1部"/>
    <s v="1部"/>
    <s v="速度传感器"/>
    <s v="替代交通"/>
    <s v="电动二轮/三轮"/>
    <m/>
    <m/>
    <m/>
    <m/>
    <m/>
    <m/>
    <n v="45828"/>
    <d v="2025-08-20T00:00:00"/>
    <d v="2025-08-20T00:00:00"/>
    <d v="2024-10-20T00:00:00"/>
    <d v="2024-12-20T00:00:00"/>
    <d v="2025-02-20T00:00:00"/>
    <n v="1"/>
    <n v="5"/>
    <n v="2520"/>
    <n v="7560"/>
    <n v="7560"/>
    <n v="0"/>
    <n v="12600"/>
    <n v="12600"/>
    <n v="12600"/>
    <n v="20160"/>
  </r>
  <r>
    <n v="568"/>
    <s v="逸航汽车零部件（嘉善）有限公司"/>
    <s v="重要客户"/>
    <s v="_x0009_孚津利（上海）电子科技有限公司"/>
    <s v="Elon"/>
    <s v="待定"/>
    <x v="28"/>
    <x v="29"/>
    <m/>
    <x v="0"/>
    <s v="尾门电撑杆"/>
    <n v="4000000"/>
    <s v="送样"/>
    <m/>
    <s v="MLX92211LSE"/>
    <m/>
    <n v="0.45200000000000001"/>
    <n v="29380"/>
    <n v="0"/>
    <n v="65000"/>
    <m/>
    <m/>
    <m/>
    <m/>
    <m/>
    <m/>
    <n v="5000"/>
    <n v="5000"/>
    <n v="10000"/>
    <n v="10000"/>
    <n v="20000"/>
    <n v="20000"/>
    <n v="20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260"/>
    <n v="2260"/>
    <n v="4520"/>
    <n v="4520"/>
    <n v="9040"/>
    <n v="9040"/>
  </r>
  <r>
    <n v="569"/>
    <s v="逸航汽车零部件（嘉善）有限公司"/>
    <s v="重要客户"/>
    <s v="_x0009_孚津利（上海）电子科技有限公司"/>
    <s v="Elon"/>
    <s v="待定"/>
    <x v="43"/>
    <x v="45"/>
    <m/>
    <x v="0"/>
    <s v="座椅位置检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70"/>
    <s v="逸航汽车零部件（嘉善）有限公司"/>
    <s v="重要客户"/>
    <s v="_x0009_孚津利（上海）电子科技有限公司"/>
    <s v="Elon"/>
    <s v="待定"/>
    <x v="178"/>
    <x v="192"/>
    <m/>
    <x v="0"/>
    <s v="转向角度检测"/>
    <n v="500000"/>
    <s v="评估"/>
    <m/>
    <s v="TLE4906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71"/>
    <s v="重庆伟时光电科技有限公司"/>
    <s v="重要客户"/>
    <s v="_x0009_孚津利（上海）电子科技有限公司"/>
    <s v="Elon"/>
    <s v="待定"/>
    <x v="28"/>
    <x v="29"/>
    <m/>
    <x v="0"/>
    <s v="尾门电撑杆"/>
    <n v="1000000"/>
    <s v="评估"/>
    <m/>
    <s v="MLX92211LSE"/>
    <m/>
    <n v="0.52"/>
    <n v="33800"/>
    <n v="0"/>
    <n v="65000"/>
    <m/>
    <m/>
    <m/>
    <m/>
    <m/>
    <m/>
    <n v="5000"/>
    <n v="5000"/>
    <n v="10000"/>
    <n v="10000"/>
    <n v="20000"/>
    <n v="20000"/>
    <n v="20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600"/>
    <n v="2600"/>
    <n v="5200"/>
    <n v="5200"/>
    <n v="10400"/>
    <n v="10400"/>
  </r>
  <r>
    <n v="572"/>
    <s v="东芝家用电器制造（南海）有限公司"/>
    <s v="重要客户"/>
    <s v="鉴微信息科技（上海）有限公司"/>
    <s v="Elon"/>
    <s v="王军"/>
    <x v="179"/>
    <x v="193"/>
    <m/>
    <x v="0"/>
    <s v="冰箱门开合检测"/>
    <n v="4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74"/>
    <s v="东芝家用电器制造（南海）有限公司"/>
    <s v="重要客户"/>
    <s v="鉴微信息科技（上海）有限公司"/>
    <s v="Elon"/>
    <s v="王军"/>
    <x v="180"/>
    <x v="194"/>
    <m/>
    <x v="0"/>
    <s v="制冰机开合检测"/>
    <n v="200000"/>
    <s v="送样"/>
    <m/>
    <s v="S-5716ANSL1-M3T1U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大型家电"/>
    <m/>
    <m/>
    <m/>
    <m/>
    <m/>
    <m/>
    <m/>
    <m/>
    <m/>
    <m/>
    <m/>
    <m/>
    <m/>
    <m/>
    <m/>
    <m/>
    <m/>
    <m/>
    <n v="0"/>
    <n v="0"/>
    <n v="2600"/>
    <n v="2600"/>
    <n v="2600"/>
  </r>
  <r>
    <n v="574"/>
    <s v="东芝家用电器制造（南海）有限公司"/>
    <s v="重要客户"/>
    <s v="鉴微信息科技（上海）有限公司"/>
    <s v="Elon"/>
    <s v="王军"/>
    <x v="171"/>
    <x v="185"/>
    <m/>
    <x v="0"/>
    <s v="制冰机开合检测"/>
    <n v="2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75"/>
    <s v="合肥美的电冰箱有限公司"/>
    <s v="重要客户"/>
    <s v="鉴微信息科技（上海）有限公司"/>
    <s v="Elon"/>
    <s v="王军"/>
    <x v="103"/>
    <x v="112"/>
    <m/>
    <x v="0"/>
    <s v="冰箱门角度检测"/>
    <n v="2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76"/>
    <s v="合肥美的电冰箱有限公司"/>
    <s v="重要客户"/>
    <s v="鉴微信息科技（上海）有限公司"/>
    <s v="Elon"/>
    <s v="王军"/>
    <x v="171"/>
    <x v="185"/>
    <m/>
    <x v="0"/>
    <s v="冰箱升降搁架"/>
    <n v="200000"/>
    <s v="送样"/>
    <m/>
    <s v="NA"/>
    <m/>
    <n v="0.52"/>
    <n v="13000"/>
    <n v="0"/>
    <n v="25000"/>
    <m/>
    <m/>
    <m/>
    <m/>
    <m/>
    <n v="5000"/>
    <n v="5000"/>
    <m/>
    <m/>
    <m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0"/>
    <n v="0"/>
    <n v="2600"/>
    <n v="10400"/>
  </r>
  <r>
    <n v="577"/>
    <s v="合肥美的电冰箱有限公司"/>
    <s v="重要客户"/>
    <s v="鉴微信息科技（上海）有限公司"/>
    <s v="Elon"/>
    <s v="王军"/>
    <x v="179"/>
    <x v="193"/>
    <m/>
    <x v="0"/>
    <s v="冰箱门开合检测"/>
    <n v="300000"/>
    <s v="小批量"/>
    <m/>
    <s v="NA"/>
    <m/>
    <n v="0.52"/>
    <n v="20800"/>
    <n v="0"/>
    <n v="40000"/>
    <m/>
    <n v="3000"/>
    <m/>
    <m/>
    <n v="3000"/>
    <n v="5000"/>
    <n v="5000"/>
    <n v="5000"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m/>
    <m/>
    <m/>
    <m/>
    <m/>
    <m/>
    <m/>
    <m/>
    <n v="1560"/>
    <n v="2600"/>
    <n v="2600"/>
    <n v="2600"/>
    <n v="2600"/>
    <n v="2600"/>
    <n v="2600"/>
    <n v="10400"/>
  </r>
  <r>
    <n v="578"/>
    <s v="宁波华德汽车零部件有限公司"/>
    <s v="重要客户"/>
    <s v="南京富聚科技有限公司"/>
    <s v="Elon"/>
    <s v="陆建明"/>
    <x v="42"/>
    <x v="44"/>
    <m/>
    <x v="0"/>
    <s v="隐藏式门锁"/>
    <n v="1000000"/>
    <s v="送样"/>
    <m/>
    <s v="MT8315ET"/>
    <m/>
    <n v="0.52"/>
    <n v="130000"/>
    <n v="0"/>
    <n v="250000"/>
    <m/>
    <m/>
    <m/>
    <m/>
    <m/>
    <m/>
    <n v="30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156000"/>
    <n v="26000"/>
    <n v="26000"/>
    <n v="26000"/>
    <n v="26000"/>
    <n v="26000"/>
  </r>
  <r>
    <n v="579"/>
    <s v="宁波华德汽车零部件有限公司"/>
    <s v="重要客户"/>
    <s v="南京富聚科技有限公司"/>
    <s v="Elon"/>
    <s v="陆建明"/>
    <x v="43"/>
    <x v="45"/>
    <m/>
    <x v="0"/>
    <m/>
    <m/>
    <m/>
    <m/>
    <m/>
    <m/>
    <n v="0.4"/>
    <n v="100000"/>
    <m/>
    <n v="250000"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20000"/>
    <n v="20000"/>
    <n v="20000"/>
    <n v="20000"/>
    <n v="20000"/>
    <n v="20000"/>
  </r>
  <r>
    <n v="580"/>
    <s v="宁波华德汽车零部件有限公司"/>
    <s v="重要客户"/>
    <s v="南京富聚科技有限公司"/>
    <s v="Elon"/>
    <s v="陆建明"/>
    <x v="181"/>
    <x v="31"/>
    <m/>
    <x v="0"/>
    <m/>
    <m/>
    <m/>
    <m/>
    <m/>
    <m/>
    <n v="0.51980000000000004"/>
    <n v="129950.00000000001"/>
    <m/>
    <n v="250000"/>
    <m/>
    <m/>
    <m/>
    <m/>
    <m/>
    <m/>
    <n v="1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77970"/>
    <n v="25990.000000000004"/>
    <n v="25990.000000000004"/>
    <n v="25990.000000000004"/>
    <n v="25990.000000000004"/>
    <n v="25990.000000000004"/>
  </r>
  <r>
    <n v="581"/>
    <s v="宁波华德汽车零部件有限公司"/>
    <s v="重要客户"/>
    <s v="南京富聚科技有限公司"/>
    <s v="Elon"/>
    <s v="陆建明"/>
    <x v="151"/>
    <x v="168"/>
    <m/>
    <x v="0"/>
    <m/>
    <m/>
    <m/>
    <m/>
    <m/>
    <m/>
    <n v="0.66"/>
    <n v="165000"/>
    <m/>
    <n v="250000"/>
    <m/>
    <m/>
    <m/>
    <m/>
    <m/>
    <m/>
    <n v="3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19800"/>
    <n v="33000"/>
    <n v="33000"/>
    <n v="33000"/>
    <n v="33000"/>
    <n v="33000"/>
  </r>
  <r>
    <n v="582"/>
    <s v="泛亚汽车技术中心有限公司"/>
    <s v="一般客户"/>
    <s v="_x0009_孚津利（上海）电子科技有限公司"/>
    <s v="Elon"/>
    <s v="王伟"/>
    <x v="182"/>
    <x v="31"/>
    <m/>
    <x v="0"/>
    <s v="隐藏式门把手"/>
    <n v="500000"/>
    <s v="评估"/>
    <m/>
    <s v="待确认"/>
    <m/>
    <n v="0.78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1部"/>
    <s v="1部"/>
    <s v="磁性位置传感器"/>
    <s v="汽车电子"/>
    <s v="汽车电子"/>
    <s v="车身电子"/>
    <s v="车门系统"/>
    <m/>
    <m/>
    <m/>
    <m/>
    <m/>
    <m/>
    <m/>
    <m/>
    <m/>
    <m/>
    <m/>
    <m/>
    <n v="0"/>
    <n v="0"/>
    <n v="0"/>
    <n v="0"/>
    <n v="0"/>
    <n v="0"/>
    <n v="0"/>
    <n v="0"/>
  </r>
  <r>
    <n v="583"/>
    <s v="合肥巨一动力系统有限公司"/>
    <s v="重要客户"/>
    <s v="上海亿韧电子有限公司"/>
    <s v="Elon"/>
    <s v="麻龙龙"/>
    <x v="0"/>
    <x v="0"/>
    <m/>
    <x v="0"/>
    <s v="电控电流传感器"/>
    <n v="300000"/>
    <s v="评估"/>
    <m/>
    <s v="MLX91209"/>
    <m/>
    <n v="2.8"/>
    <n v="84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电流传感器"/>
    <s v="汽车电子"/>
    <s v="三电系统"/>
    <s v="三电电驱控制"/>
    <s v="电控电流传感器"/>
    <m/>
    <m/>
    <m/>
    <m/>
    <m/>
    <m/>
    <m/>
    <m/>
    <m/>
    <m/>
    <m/>
    <m/>
    <n v="0"/>
    <n v="0"/>
    <n v="0"/>
    <n v="0"/>
    <n v="0"/>
    <n v="28000"/>
    <n v="28000"/>
    <n v="28000"/>
  </r>
  <r>
    <n v="584"/>
    <s v="杰必机电（中国）有限公司"/>
    <s v="重要客户"/>
    <s v="上海聚臣电子科技有限公司"/>
    <s v="Elon"/>
    <s v="王伟"/>
    <x v="164"/>
    <x v="180"/>
    <m/>
    <x v="0"/>
    <s v="智能后视镜"/>
    <n v="1000000"/>
    <s v="评估"/>
    <m/>
    <s v="NA"/>
    <m/>
    <n v="0.52"/>
    <n v="2600"/>
    <n v="0"/>
    <n v="5000"/>
    <m/>
    <m/>
    <m/>
    <m/>
    <m/>
    <m/>
    <m/>
    <m/>
    <m/>
    <m/>
    <m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后视镜"/>
    <s v="尾门撑杆电机"/>
    <m/>
    <m/>
    <m/>
    <m/>
    <m/>
    <m/>
    <m/>
    <m/>
    <m/>
    <m/>
    <m/>
    <m/>
    <n v="0"/>
    <n v="0"/>
    <n v="0"/>
    <n v="0"/>
    <n v="0"/>
    <n v="0"/>
    <n v="0"/>
    <n v="2600"/>
  </r>
  <r>
    <n v="585"/>
    <s v="微进电子科技（上海）有限公司"/>
    <s v="战略客户"/>
    <s v="上海碧讯实业有限公司"/>
    <s v="Leo"/>
    <s v="吕斐"/>
    <x v="7"/>
    <x v="7"/>
    <m/>
    <x v="0"/>
    <s v="老项目-电动尾门控制器"/>
    <m/>
    <s v="批量"/>
    <s v="250704：正常拉动_x000a_250606：代理商库存已经消耗完毕，6月开始下单拉动；大客户PPT完成编写。后续按拓展策略执行。"/>
    <m/>
    <m/>
    <n v="0.37"/>
    <n v="11100"/>
    <m/>
    <n v="30000"/>
    <m/>
    <m/>
    <m/>
    <m/>
    <m/>
    <n v="8000"/>
    <n v="8000"/>
    <n v="6000"/>
    <n v="6000"/>
    <n v="6000"/>
    <n v="6000"/>
    <n v="6000"/>
    <n v="6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2960"/>
    <n v="2960"/>
    <n v="2220"/>
    <n v="2220"/>
    <n v="2220"/>
    <n v="2220"/>
    <n v="2220"/>
  </r>
  <r>
    <n v="586"/>
    <s v="上海保隆汽车科技（安徽）有限公司"/>
    <s v="一般客户"/>
    <s v="上海君芷电子科技有限公司"/>
    <s v="Stephen"/>
    <s v="王健"/>
    <x v="7"/>
    <x v="7"/>
    <m/>
    <x v="0"/>
    <s v="空气悬架压缩机控制器"/>
    <m/>
    <m/>
    <m/>
    <m/>
    <m/>
    <n v="0.36"/>
    <n v="57060"/>
    <m/>
    <n v="158500"/>
    <m/>
    <m/>
    <m/>
    <m/>
    <m/>
    <n v="18000"/>
    <n v="16400"/>
    <n v="18000"/>
    <n v="86500"/>
    <n v="18000"/>
    <n v="18000"/>
    <n v="18000"/>
    <n v="18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6480"/>
    <n v="5904"/>
    <n v="6480"/>
    <n v="31140"/>
    <n v="6480"/>
    <n v="6480"/>
    <n v="6480"/>
  </r>
  <r>
    <n v="587"/>
    <s v="浙江科丰传感器股份有限公司"/>
    <s v="重要客户"/>
    <s v="上海霍通电子有限公司"/>
    <s v="Stephen"/>
    <s v="张翼鹏"/>
    <x v="147"/>
    <x v="166"/>
    <m/>
    <x v="0"/>
    <m/>
    <m/>
    <m/>
    <m/>
    <m/>
    <m/>
    <n v="6.5"/>
    <n v="65000"/>
    <m/>
    <n v="10000"/>
    <m/>
    <m/>
    <m/>
    <m/>
    <m/>
    <n v="10000"/>
    <m/>
    <n v="10000"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65000"/>
    <n v="0"/>
    <n v="65000"/>
    <n v="0"/>
    <n v="0"/>
    <n v="0"/>
    <n v="0"/>
  </r>
  <r>
    <n v="588"/>
    <s v="杭州神林电子有限公司"/>
    <s v="一般客户"/>
    <s v="鸿赛芯（上海）科技有限公司"/>
    <s v="Stephen"/>
    <s v="袁海峰"/>
    <x v="179"/>
    <x v="193"/>
    <m/>
    <x v="0"/>
    <m/>
    <m/>
    <m/>
    <m/>
    <m/>
    <m/>
    <n v="0.27"/>
    <n v="0"/>
    <m/>
    <n v="0"/>
    <m/>
    <m/>
    <m/>
    <m/>
    <m/>
    <n v="30000"/>
    <n v="12000"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8100.0000000000009"/>
    <n v="3240"/>
    <n v="0"/>
    <n v="0"/>
    <n v="0"/>
    <n v="0"/>
    <n v="0"/>
  </r>
  <r>
    <n v="589"/>
    <s v="瑞安东辰汽车部件有限公司"/>
    <s v="一般客户"/>
    <s v="上海葳脉电子科技有限公司"/>
    <s v="Stephen"/>
    <s v="Y"/>
    <x v="34"/>
    <x v="36"/>
    <m/>
    <x v="0"/>
    <s v="曲轴位置传感器"/>
    <m/>
    <m/>
    <m/>
    <m/>
    <m/>
    <n v="1.6"/>
    <n v="16000"/>
    <m/>
    <n v="10000"/>
    <m/>
    <m/>
    <m/>
    <m/>
    <m/>
    <m/>
    <m/>
    <n v="10000"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0"/>
    <n v="0"/>
    <n v="16000"/>
    <n v="0"/>
    <n v="0"/>
    <n v="0"/>
    <n v="0"/>
  </r>
  <r>
    <n v="590"/>
    <s v="浙江汉博汽车传感器有限公司"/>
    <s v="一般客户"/>
    <s v="鸿赛芯（上海）科技有限公司"/>
    <s v="Stephen"/>
    <s v="袁海峰"/>
    <x v="58"/>
    <x v="60"/>
    <m/>
    <x v="0"/>
    <s v="ABS轮速传感器"/>
    <m/>
    <m/>
    <m/>
    <m/>
    <m/>
    <n v="1.88"/>
    <n v="188000"/>
    <m/>
    <n v="100000"/>
    <m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91"/>
    <s v="温州伟力汽车部件有限公司"/>
    <s v="一般客户"/>
    <s v="鸿赛芯（上海）科技有限公司"/>
    <s v="Stephen"/>
    <s v="袁海峰"/>
    <x v="58"/>
    <x v="60"/>
    <m/>
    <x v="0"/>
    <s v="ABS轮速传感器"/>
    <m/>
    <m/>
    <m/>
    <m/>
    <m/>
    <n v="1.88"/>
    <n v="206800"/>
    <m/>
    <n v="110000"/>
    <m/>
    <m/>
    <m/>
    <m/>
    <m/>
    <n v="20000"/>
    <n v="20000"/>
    <n v="20000"/>
    <n v="20000"/>
    <n v="30000"/>
    <n v="20000"/>
    <n v="20000"/>
    <n v="20000"/>
    <n v="2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37600"/>
    <n v="37600"/>
    <n v="37600"/>
    <n v="37600"/>
    <n v="56400"/>
    <n v="37600"/>
    <n v="37600"/>
  </r>
  <r>
    <n v="592"/>
    <s v="浙江汉博汽车传感器有限公司"/>
    <s v="一般客户"/>
    <s v="鸿赛芯（上海）科技有限公司"/>
    <s v="Stephen"/>
    <s v="袁海峰"/>
    <x v="37"/>
    <x v="40"/>
    <m/>
    <x v="0"/>
    <s v="曲轴位置传感器"/>
    <m/>
    <m/>
    <m/>
    <m/>
    <m/>
    <n v="1.61"/>
    <n v="0"/>
    <m/>
    <n v="0"/>
    <m/>
    <m/>
    <m/>
    <m/>
    <m/>
    <n v="15000"/>
    <n v="15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24150"/>
    <n v="24150"/>
    <n v="0"/>
    <n v="0"/>
    <n v="0"/>
    <n v="0"/>
    <n v="0"/>
  </r>
  <r>
    <n v="593"/>
    <s v="温州伟力汽车部件有限公司"/>
    <s v="一般客户"/>
    <s v="鸿赛芯（上海）科技有限公司"/>
    <s v="Stephen"/>
    <s v="袁海峰"/>
    <x v="36"/>
    <x v="61"/>
    <m/>
    <x v="0"/>
    <m/>
    <m/>
    <m/>
    <m/>
    <m/>
    <m/>
    <n v="0.98"/>
    <n v="147000"/>
    <m/>
    <n v="150000"/>
    <m/>
    <m/>
    <m/>
    <m/>
    <m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29400"/>
    <n v="29400"/>
    <n v="29400"/>
    <n v="29400"/>
    <n v="29400"/>
    <n v="29400"/>
    <n v="29400"/>
  </r>
  <r>
    <n v="594"/>
    <s v="苏州柯尔特测控技术有限公司"/>
    <s v="战略客户"/>
    <s v="苏州柯尔特测控技术有限公司"/>
    <s v="Ricky"/>
    <m/>
    <x v="88"/>
    <x v="97"/>
    <m/>
    <x v="0"/>
    <m/>
    <m/>
    <s v="评估"/>
    <m/>
    <m/>
    <m/>
    <n v="1"/>
    <n v="700000"/>
    <m/>
    <n v="700000"/>
    <m/>
    <m/>
    <m/>
    <m/>
    <m/>
    <m/>
    <m/>
    <m/>
    <m/>
    <n v="200000"/>
    <n v="250000"/>
    <n v="250000"/>
    <n v="25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m/>
    <n v="0"/>
    <n v="0"/>
    <n v="0"/>
    <n v="0"/>
    <n v="200000"/>
    <n v="250000"/>
    <n v="250000"/>
  </r>
  <r>
    <n v="595"/>
    <s v="温州市精一智能料技有限公司"/>
    <s v="一般客户"/>
    <s v="天津越尔兴电子科技有限公司"/>
    <s v="Sales"/>
    <m/>
    <x v="26"/>
    <x v="95"/>
    <m/>
    <x v="0"/>
    <m/>
    <m/>
    <m/>
    <m/>
    <m/>
    <m/>
    <n v="0.2"/>
    <n v="200000"/>
    <m/>
    <n v="1000000"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40000"/>
    <n v="40000"/>
    <n v="40000"/>
    <n v="40000"/>
    <n v="40000"/>
    <n v="40000"/>
  </r>
  <r>
    <n v="596"/>
    <s v="仪征三科智电子有限公司"/>
    <s v="一般客户"/>
    <s v="天津越尔兴电子科技有限公司"/>
    <s v="Sales"/>
    <m/>
    <x v="17"/>
    <x v="18"/>
    <m/>
    <x v="0"/>
    <m/>
    <m/>
    <m/>
    <m/>
    <m/>
    <m/>
    <n v="0.121"/>
    <n v="23595"/>
    <m/>
    <n v="195000"/>
    <m/>
    <m/>
    <m/>
    <m/>
    <m/>
    <m/>
    <n v="39000"/>
    <n v="39000"/>
    <n v="39000"/>
    <n v="39000"/>
    <n v="39000"/>
    <n v="39000"/>
    <n v="39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4719"/>
    <n v="4719"/>
    <n v="4719"/>
    <n v="4719"/>
    <n v="4719"/>
    <n v="4719"/>
  </r>
  <r>
    <n v="597"/>
    <s v="中山市利兴诚德电子有限公司"/>
    <s v="一般客户"/>
    <s v="天津越尔兴电子科技有限公司"/>
    <s v="Sales"/>
    <m/>
    <x v="12"/>
    <x v="12"/>
    <m/>
    <x v="0"/>
    <m/>
    <m/>
    <m/>
    <m/>
    <m/>
    <m/>
    <n v="0.10199999999999999"/>
    <n v="16830"/>
    <m/>
    <n v="165000"/>
    <m/>
    <m/>
    <m/>
    <m/>
    <m/>
    <m/>
    <n v="33000"/>
    <n v="33000"/>
    <n v="33000"/>
    <n v="33000"/>
    <n v="33000"/>
    <n v="33000"/>
    <n v="33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3366"/>
    <n v="3366"/>
    <n v="3366"/>
    <n v="3366"/>
    <n v="3366"/>
    <n v="3366"/>
  </r>
  <r>
    <n v="598"/>
    <s v="华夏磁电子技术(河南)有限公司"/>
    <s v="一般客户"/>
    <s v="华夏磁电子技术(河南)有限公司"/>
    <s v="Sales"/>
    <m/>
    <x v="147"/>
    <x v="166"/>
    <m/>
    <x v="0"/>
    <m/>
    <m/>
    <m/>
    <m/>
    <m/>
    <m/>
    <n v="5.15"/>
    <n v="2060000.0000000002"/>
    <m/>
    <n v="400000"/>
    <m/>
    <m/>
    <m/>
    <m/>
    <m/>
    <n v="80000"/>
    <n v="80000"/>
    <n v="80000"/>
    <n v="80000"/>
    <n v="80000"/>
    <n v="80000"/>
    <n v="80000"/>
    <n v="80000"/>
    <m/>
    <m/>
    <m/>
    <m/>
    <m/>
    <m/>
    <m/>
    <m/>
    <m/>
    <m/>
    <m/>
    <m/>
    <m/>
    <s v="其他"/>
    <s v="速度传感器"/>
    <m/>
    <m/>
    <m/>
    <m/>
    <m/>
    <m/>
    <m/>
    <m/>
    <m/>
    <m/>
    <m/>
    <m/>
    <m/>
    <m/>
    <m/>
    <m/>
    <m/>
    <n v="412000"/>
    <n v="412000"/>
    <n v="412000"/>
    <n v="412000"/>
    <n v="412000"/>
    <n v="412000"/>
    <n v="412000"/>
  </r>
  <r>
    <n v="599"/>
    <s v="华夏磁电子技术(河南)有限公司"/>
    <s v="一般客户"/>
    <s v="华夏磁电子技术(河南)有限公司"/>
    <s v="Sales"/>
    <m/>
    <x v="183"/>
    <x v="195"/>
    <m/>
    <x v="0"/>
    <m/>
    <m/>
    <m/>
    <m/>
    <m/>
    <m/>
    <n v="5.15"/>
    <n v="309000"/>
    <m/>
    <n v="60000"/>
    <n v="20000"/>
    <n v="20000"/>
    <n v="20000"/>
    <n v="20000"/>
    <n v="20000"/>
    <n v="20000"/>
    <m/>
    <m/>
    <m/>
    <n v="20000"/>
    <n v="20000"/>
    <n v="20000"/>
    <n v="20000"/>
    <m/>
    <m/>
    <m/>
    <m/>
    <m/>
    <m/>
    <m/>
    <m/>
    <m/>
    <m/>
    <m/>
    <m/>
    <m/>
    <s v="其他"/>
    <s v="速度传感器"/>
    <m/>
    <m/>
    <m/>
    <m/>
    <m/>
    <m/>
    <m/>
    <m/>
    <m/>
    <m/>
    <m/>
    <m/>
    <m/>
    <m/>
    <m/>
    <m/>
    <m/>
    <n v="103000"/>
    <n v="0"/>
    <n v="0"/>
    <n v="0"/>
    <n v="103000"/>
    <n v="103000"/>
    <n v="103000"/>
  </r>
  <r>
    <n v="600"/>
    <m/>
    <s v="一般客户"/>
    <s v="上海茂晶电子科技有限公司"/>
    <s v="Sales"/>
    <m/>
    <x v="184"/>
    <x v="196"/>
    <m/>
    <x v="0"/>
    <m/>
    <m/>
    <m/>
    <m/>
    <m/>
    <m/>
    <n v="3"/>
    <n v="450000"/>
    <m/>
    <n v="150000"/>
    <m/>
    <m/>
    <m/>
    <m/>
    <m/>
    <m/>
    <n v="10000"/>
    <n v="30000"/>
    <n v="30000"/>
    <n v="30000"/>
    <n v="30000"/>
    <n v="30000"/>
    <n v="3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30000"/>
    <n v="90000"/>
    <n v="90000"/>
    <n v="90000"/>
    <n v="90000"/>
    <n v="90000"/>
  </r>
  <r>
    <n v="601"/>
    <m/>
    <s v="一般客户"/>
    <s v="上海茂晶电子科技有限公司"/>
    <s v="Sales"/>
    <m/>
    <x v="86"/>
    <x v="93"/>
    <m/>
    <x v="0"/>
    <m/>
    <m/>
    <m/>
    <m/>
    <m/>
    <m/>
    <n v="3"/>
    <n v="2250000"/>
    <m/>
    <n v="750000"/>
    <m/>
    <m/>
    <m/>
    <m/>
    <m/>
    <m/>
    <n v="130000"/>
    <n v="150000"/>
    <n v="150000"/>
    <n v="150000"/>
    <n v="150000"/>
    <n v="150000"/>
    <n v="15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390000"/>
    <n v="450000"/>
    <n v="450000"/>
    <n v="450000"/>
    <n v="450000"/>
    <n v="450000"/>
  </r>
  <r>
    <n v="602"/>
    <m/>
    <s v="一般客户"/>
    <s v="上海茂晶电子科技有限公司"/>
    <s v="Sales"/>
    <m/>
    <x v="116"/>
    <x v="123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n v="3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603"/>
    <m/>
    <s v="一般客户"/>
    <s v="上海茂晶电子科技有限公司"/>
    <s v="Sales"/>
    <m/>
    <x v="116"/>
    <x v="197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n v="3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604"/>
    <m/>
    <s v="一般客户"/>
    <s v="上海茂晶电子科技有限公司"/>
    <s v="Sales"/>
    <m/>
    <x v="32"/>
    <x v="34"/>
    <m/>
    <x v="0"/>
    <m/>
    <m/>
    <m/>
    <m/>
    <m/>
    <m/>
    <n v="2.4"/>
    <n v="720000"/>
    <m/>
    <n v="300000"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s v="其他"/>
    <s v="角度传感器"/>
    <m/>
    <m/>
    <m/>
    <m/>
    <m/>
    <m/>
    <m/>
    <m/>
    <m/>
    <m/>
    <m/>
    <m/>
    <m/>
    <m/>
    <m/>
    <m/>
    <m/>
    <n v="0"/>
    <n v="144000"/>
    <n v="144000"/>
    <n v="144000"/>
    <n v="144000"/>
    <n v="144000"/>
    <n v="144000"/>
  </r>
  <r>
    <n v="605"/>
    <m/>
    <s v="一般客户"/>
    <s v="上海茂晶电子科技有限公司"/>
    <s v="Sales"/>
    <m/>
    <x v="50"/>
    <x v="52"/>
    <m/>
    <x v="0"/>
    <m/>
    <m/>
    <m/>
    <m/>
    <m/>
    <m/>
    <n v="2.4"/>
    <n v="120000"/>
    <m/>
    <n v="50000"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s v="其他"/>
    <s v="角度传感器"/>
    <m/>
    <m/>
    <m/>
    <m/>
    <m/>
    <m/>
    <m/>
    <m/>
    <m/>
    <m/>
    <m/>
    <m/>
    <m/>
    <m/>
    <m/>
    <m/>
    <m/>
    <n v="0"/>
    <n v="24000"/>
    <n v="24000"/>
    <n v="24000"/>
    <n v="24000"/>
    <n v="24000"/>
    <n v="24000"/>
  </r>
  <r>
    <n v="606"/>
    <s v="_x0009_宁波帅特龙汽车系统股份有限公司"/>
    <s v="一般客户"/>
    <s v="上海亚特联科技有限公司"/>
    <s v="Elon"/>
    <s v="周鑫"/>
    <x v="151"/>
    <x v="168"/>
    <m/>
    <x v="0"/>
    <s v="天窗带遮阳帘控制器"/>
    <n v="120000"/>
    <s v="送样"/>
    <m/>
    <s v="NA"/>
    <m/>
    <n v="0.85"/>
    <n v="127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4250"/>
    <n v="4250"/>
    <n v="4250"/>
  </r>
  <r>
    <n v="607"/>
    <s v="俄罗斯客户（Keaz）"/>
    <s v="一般客户"/>
    <s v="上海亿韧电子有限公司"/>
    <s v="Elon"/>
    <s v="穆博伟"/>
    <x v="40"/>
    <x v="42"/>
    <m/>
    <x v="0"/>
    <s v="凸轮轴传感器"/>
    <n v="150000"/>
    <s v="送样"/>
    <m/>
    <s v="NA"/>
    <m/>
    <n v="6.73"/>
    <n v="201900"/>
    <n v="0"/>
    <n v="30000"/>
    <m/>
    <m/>
    <m/>
    <m/>
    <m/>
    <n v="5000"/>
    <m/>
    <m/>
    <m/>
    <n v="10000"/>
    <n v="10000"/>
    <n v="10000"/>
    <n v="1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0"/>
    <n v="67300"/>
    <n v="67300"/>
    <n v="67300"/>
  </r>
  <r>
    <n v="608"/>
    <s v="东莞市铱鑫电子科技有限公司"/>
    <s v="一般客户"/>
    <s v="上海霍通电子有限公司"/>
    <s v="Stephen"/>
    <s v="张翼鹏"/>
    <x v="185"/>
    <x v="198"/>
    <n v="2642"/>
    <x v="0"/>
    <s v="水流量传感器"/>
    <m/>
    <m/>
    <m/>
    <m/>
    <m/>
    <n v="0.32"/>
    <n v="80000"/>
    <n v="0"/>
    <n v="250000"/>
    <m/>
    <m/>
    <m/>
    <m/>
    <m/>
    <m/>
    <m/>
    <n v="50000"/>
    <n v="50000"/>
    <n v="50000"/>
    <n v="50000"/>
    <n v="50000"/>
    <n v="5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16000"/>
    <n v="16000"/>
    <n v="16000"/>
    <n v="16000"/>
    <n v="16000"/>
  </r>
  <r>
    <n v="609"/>
    <s v="浙江汉博汽车传感器有限公司"/>
    <s v="一般客户"/>
    <s v="鸿赛芯（上海）科技有限公司"/>
    <s v="Stephen"/>
    <s v="袁海峰"/>
    <x v="77"/>
    <x v="82"/>
    <m/>
    <x v="0"/>
    <s v="ABS轮速传感器"/>
    <m/>
    <m/>
    <m/>
    <m/>
    <m/>
    <n v="2.0499999999999998"/>
    <n v="418199.99999999994"/>
    <m/>
    <n v="204000"/>
    <m/>
    <m/>
    <m/>
    <m/>
    <m/>
    <m/>
    <m/>
    <n v="40000"/>
    <n v="41000"/>
    <n v="41000"/>
    <n v="41000"/>
    <n v="41000"/>
    <n v="41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82000"/>
    <n v="84049.999999999985"/>
    <n v="84049.999999999985"/>
    <n v="84049.999999999985"/>
    <n v="84049.999999999985"/>
  </r>
  <r>
    <n v="610"/>
    <s v="山东康泰智能科技股份有限公司"/>
    <s v="一般客户"/>
    <s v="上海霍通电子有限公司"/>
    <s v="张若阳"/>
    <m/>
    <x v="26"/>
    <x v="27"/>
    <m/>
    <x v="0"/>
    <s v="按摩椅"/>
    <m/>
    <m/>
    <m/>
    <m/>
    <m/>
    <n v="0.32"/>
    <n v="12800"/>
    <m/>
    <n v="40000"/>
    <m/>
    <m/>
    <m/>
    <m/>
    <m/>
    <m/>
    <m/>
    <n v="4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12800"/>
    <n v="0"/>
    <n v="0"/>
    <n v="0"/>
    <n v="0"/>
  </r>
  <r>
    <n v="611"/>
    <s v="上海帝奇自动化设备有限公司"/>
    <s v="一般客户"/>
    <s v="上海霍通电子有限公司"/>
    <s v="张若阳"/>
    <m/>
    <x v="26"/>
    <x v="27"/>
    <m/>
    <x v="0"/>
    <s v="接近开关"/>
    <m/>
    <m/>
    <m/>
    <m/>
    <m/>
    <n v="0.32"/>
    <n v="9600"/>
    <m/>
    <n v="30000"/>
    <m/>
    <m/>
    <m/>
    <m/>
    <m/>
    <m/>
    <m/>
    <n v="3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9600"/>
    <n v="0"/>
    <n v="0"/>
    <n v="0"/>
    <n v="0"/>
  </r>
  <r>
    <n v="612"/>
    <s v="温州江和汽车零部件制造有限公司"/>
    <s v="一般客户"/>
    <s v="上海葳脉电子科技有限公司"/>
    <s v="Stephen"/>
    <m/>
    <x v="57"/>
    <x v="199"/>
    <m/>
    <x v="0"/>
    <s v="ABS轮速传感器"/>
    <m/>
    <m/>
    <m/>
    <m/>
    <m/>
    <n v="1.6"/>
    <n v="400000"/>
    <m/>
    <n v="250000"/>
    <m/>
    <m/>
    <m/>
    <m/>
    <m/>
    <m/>
    <m/>
    <n v="50000"/>
    <n v="50000"/>
    <n v="50000"/>
    <n v="50000"/>
    <n v="50000"/>
    <n v="5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80000"/>
    <n v="80000"/>
    <n v="80000"/>
    <n v="80000"/>
    <n v="80000"/>
  </r>
  <r>
    <n v="613"/>
    <s v="温州江和汽车零部件制造有限公司"/>
    <s v="一般客户"/>
    <s v="上海葳脉电子科技有限公司"/>
    <s v="Stephen"/>
    <m/>
    <x v="74"/>
    <x v="77"/>
    <m/>
    <x v="0"/>
    <s v="ABS轮速传感器"/>
    <m/>
    <m/>
    <m/>
    <m/>
    <m/>
    <n v="1.2010000000000001"/>
    <n v="1008840"/>
    <m/>
    <n v="840000"/>
    <m/>
    <m/>
    <m/>
    <m/>
    <m/>
    <m/>
    <m/>
    <n v="300000"/>
    <n v="300000"/>
    <n v="80000"/>
    <n v="80000"/>
    <n v="80000"/>
    <n v="8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360300"/>
    <n v="360300"/>
    <n v="96080"/>
    <n v="96080"/>
    <n v="96080"/>
  </r>
  <r>
    <n v="614"/>
    <s v="温州江和汽车零部件制造有限公司"/>
    <s v="一般客户"/>
    <s v="上海葳脉电子科技有限公司"/>
    <s v="Stephen"/>
    <m/>
    <x v="77"/>
    <x v="82"/>
    <m/>
    <x v="0"/>
    <s v="ABS轮速传感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5"/>
    <s v="温州江和汽车零部件制造有限公司"/>
    <s v="一般客户"/>
    <s v="上海葳脉电子科技有限公司"/>
    <s v="Stephen"/>
    <m/>
    <x v="66"/>
    <x v="69"/>
    <m/>
    <x v="0"/>
    <s v="ABS轮速传感器"/>
    <m/>
    <m/>
    <m/>
    <m/>
    <m/>
    <n v="1.8"/>
    <n v="270000"/>
    <m/>
    <n v="150000"/>
    <m/>
    <m/>
    <m/>
    <m/>
    <m/>
    <m/>
    <m/>
    <n v="3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54000"/>
    <n v="54000"/>
    <n v="54000"/>
    <n v="54000"/>
    <n v="54000"/>
  </r>
  <r>
    <n v="616"/>
    <s v="温州江和汽车零部件制造有限公司"/>
    <s v="一般客户"/>
    <s v="上海葳脉电子科技有限公司"/>
    <s v="Stephen"/>
    <m/>
    <x v="78"/>
    <x v="83"/>
    <m/>
    <x v="0"/>
    <s v="进气歧管执行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7"/>
    <s v="温州江和汽车零部件制造有限公司"/>
    <s v="一般客户"/>
    <s v="上海葳脉电子科技有限公司"/>
    <s v="Stephen"/>
    <m/>
    <x v="31"/>
    <x v="33"/>
    <m/>
    <x v="0"/>
    <s v="车速传感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8"/>
    <s v="温州江和汽车零部件制造有限公司"/>
    <s v="一般客户"/>
    <s v="上海葳脉电子科技有限公司"/>
    <s v="Stephen"/>
    <m/>
    <x v="93"/>
    <x v="102"/>
    <m/>
    <x v="0"/>
    <s v="电子换挡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9"/>
    <s v="微进电子科技（上海）有限公司"/>
    <s v="战略客户"/>
    <s v="上海碧讯实业有限公司"/>
    <s v="Leo"/>
    <s v="吕斐"/>
    <x v="7"/>
    <x v="7"/>
    <m/>
    <x v="0"/>
    <s v="老项目-电动尾门控制器"/>
    <m/>
    <s v="小批量"/>
    <s v="250704：等待量产_x000a_250613：普天，电机霍尔控制板，300K/年，定点赛卓，2025年9月预计正式量产"/>
    <m/>
    <m/>
    <n v="0.37"/>
    <n v="11100"/>
    <m/>
    <n v="30000"/>
    <m/>
    <m/>
    <m/>
    <m/>
    <m/>
    <n v="8000"/>
    <n v="8000"/>
    <n v="6000"/>
    <n v="6000"/>
    <n v="6000"/>
    <n v="6000"/>
    <n v="6000"/>
    <n v="6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2960"/>
    <n v="2960"/>
    <n v="2220"/>
    <n v="2220"/>
    <n v="2220"/>
    <n v="2220"/>
    <n v="2220"/>
  </r>
  <r>
    <n v="620"/>
    <s v="立讯精密工业(昆山)有限公司"/>
    <s v="一般客户"/>
    <s v="上海全一通讯技术有限公司"/>
    <s v="Leo"/>
    <s v="赵光远"/>
    <x v="7"/>
    <x v="7"/>
    <m/>
    <x v="0"/>
    <s v="传动机构"/>
    <n v="90000"/>
    <s v="批量"/>
    <s v="250704：正常供货，近期开始加量。_x000a_250606：又开始提货了"/>
    <m/>
    <m/>
    <n v="0.6"/>
    <n v="0"/>
    <n v="23400"/>
    <n v="0"/>
    <n v="0"/>
    <n v="0"/>
    <n v="0"/>
    <n v="0"/>
    <n v="0"/>
    <n v="39000"/>
    <n v="30000"/>
    <n v="0"/>
    <n v="0"/>
    <n v="0"/>
    <n v="0"/>
    <n v="0"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21"/>
    <s v="深圳市英泰康科技有限公司"/>
    <s v="一般客户"/>
    <s v="深圳市光耀发展实业有限公司"/>
    <s v="Bill"/>
    <m/>
    <x v="12"/>
    <x v="12"/>
    <m/>
    <x v="0"/>
    <s v="加湿器"/>
    <n v="600000"/>
    <s v="小批量"/>
    <m/>
    <m/>
    <m/>
    <n v="0.22"/>
    <n v="110000"/>
    <m/>
    <n v="500000"/>
    <m/>
    <m/>
    <m/>
    <m/>
    <m/>
    <m/>
    <n v="18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m/>
    <m/>
    <m/>
    <m/>
    <m/>
    <m/>
    <m/>
    <m/>
    <m/>
    <m/>
    <m/>
    <m/>
    <m/>
    <m/>
    <m/>
    <m/>
    <m/>
    <m/>
    <m/>
    <n v="22000"/>
    <n v="22000"/>
    <n v="22000"/>
    <n v="22000"/>
    <n v="22000"/>
  </r>
  <r>
    <n v="622"/>
    <s v="常州迈莱芯电子有限公司"/>
    <s v="一般客户"/>
    <s v="宁波华宇电子有限公司"/>
    <s v="Alex"/>
    <m/>
    <x v="32"/>
    <x v="34"/>
    <m/>
    <x v="0"/>
    <m/>
    <m/>
    <m/>
    <m/>
    <m/>
    <m/>
    <n v="2.4"/>
    <n v="1200000"/>
    <m/>
    <n v="500000"/>
    <m/>
    <m/>
    <m/>
    <m/>
    <m/>
    <m/>
    <m/>
    <n v="100000"/>
    <n v="100000"/>
    <n v="100000"/>
    <n v="100000"/>
    <n v="100000"/>
    <n v="10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240000"/>
    <n v="240000"/>
    <n v="240000"/>
    <n v="240000"/>
    <n v="240000"/>
  </r>
  <r>
    <n v="623"/>
    <s v="河北赫尔电子科技有限公司"/>
    <s v="一般客户"/>
    <s v="常州迈莱芯电子有限公司"/>
    <s v="Alex"/>
    <m/>
    <x v="50"/>
    <x v="52"/>
    <m/>
    <x v="0"/>
    <m/>
    <m/>
    <m/>
    <m/>
    <m/>
    <m/>
    <n v="2.4"/>
    <n v="720000"/>
    <m/>
    <n v="300000"/>
    <m/>
    <m/>
    <m/>
    <m/>
    <m/>
    <m/>
    <m/>
    <n v="60000"/>
    <n v="60000"/>
    <n v="60000"/>
    <n v="60000"/>
    <n v="60000"/>
    <n v="6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144000"/>
    <n v="144000"/>
    <n v="144000"/>
    <n v="144000"/>
    <n v="144000"/>
  </r>
  <r>
    <n v="624"/>
    <s v="盐城思瑀智能控制系统有限公司"/>
    <s v="一般客户"/>
    <s v="常州迈莱芯电子有限公司"/>
    <s v="Alex"/>
    <m/>
    <x v="50"/>
    <x v="52"/>
    <m/>
    <x v="0"/>
    <m/>
    <m/>
    <m/>
    <m/>
    <m/>
    <m/>
    <n v="2.4"/>
    <n v="720000"/>
    <m/>
    <n v="300000"/>
    <m/>
    <m/>
    <m/>
    <m/>
    <m/>
    <m/>
    <m/>
    <n v="60000"/>
    <n v="60000"/>
    <n v="60000"/>
    <n v="60000"/>
    <n v="60000"/>
    <n v="6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144000"/>
    <n v="144000"/>
    <n v="144000"/>
    <n v="144000"/>
    <n v="144000"/>
  </r>
  <r>
    <n v="625"/>
    <s v="西安泰德汽车技术有限公司"/>
    <s v="一般客户"/>
    <s v="常州迈莱芯电子有限公司"/>
    <s v="Alex"/>
    <m/>
    <x v="50"/>
    <x v="52"/>
    <m/>
    <x v="0"/>
    <m/>
    <m/>
    <m/>
    <m/>
    <m/>
    <m/>
    <n v="2.4"/>
    <n v="1200000"/>
    <m/>
    <n v="500000"/>
    <m/>
    <m/>
    <m/>
    <m/>
    <m/>
    <m/>
    <m/>
    <n v="100000"/>
    <n v="100000"/>
    <n v="100000"/>
    <n v="100000"/>
    <n v="100000"/>
    <n v="10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240000"/>
    <n v="240000"/>
    <n v="240000"/>
    <n v="240000"/>
    <n v="240000"/>
  </r>
  <r>
    <n v="626"/>
    <s v="浙江捷昌线性驱动科技股份有限公司"/>
    <s v="一般客户"/>
    <s v="上海朗大光电科技有限公司"/>
    <s v="Sales"/>
    <m/>
    <x v="114"/>
    <x v="120"/>
    <m/>
    <x v="0"/>
    <m/>
    <m/>
    <m/>
    <m/>
    <m/>
    <m/>
    <n v="0.25"/>
    <n v="500000"/>
    <m/>
    <n v="2000000"/>
    <m/>
    <m/>
    <m/>
    <m/>
    <m/>
    <m/>
    <n v="400000"/>
    <n v="400000"/>
    <n v="400000"/>
    <n v="400000"/>
    <n v="400000"/>
    <n v="400000"/>
    <n v="400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100000"/>
    <n v="100000"/>
    <n v="100000"/>
    <n v="100000"/>
    <n v="1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4C4579-D8F5-4067-87E6-9C61CC1460CB}" name="数据透视表8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I237" firstHeaderRow="0" firstDataRow="1" firstDataCol="3"/>
  <pivotFields count="7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6">
        <item x="145"/>
        <item x="146"/>
        <item x="125"/>
        <item x="124"/>
        <item x="94"/>
        <item x="143"/>
        <item x="93"/>
        <item x="24"/>
        <item x="43"/>
        <item x="26"/>
        <item x="25"/>
        <item x="114"/>
        <item x="29"/>
        <item x="98"/>
        <item x="117"/>
        <item x="118"/>
        <item x="122"/>
        <item x="123"/>
        <item x="121"/>
        <item x="120"/>
        <item x="163"/>
        <item x="162"/>
        <item x="119"/>
        <item x="180"/>
        <item x="17"/>
        <item x="142"/>
        <item x="12"/>
        <item x="95"/>
        <item x="70"/>
        <item x="113"/>
        <item x="185"/>
        <item x="11"/>
        <item x="13"/>
        <item x="149"/>
        <item x="23"/>
        <item x="167"/>
        <item x="179"/>
        <item x="42"/>
        <item x="129"/>
        <item x="159"/>
        <item x="10"/>
        <item x="171"/>
        <item x="133"/>
        <item x="44"/>
        <item x="126"/>
        <item x="9"/>
        <item x="46"/>
        <item x="99"/>
        <item x="153"/>
        <item x="71"/>
        <item x="31"/>
        <item x="62"/>
        <item x="78"/>
        <item x="7"/>
        <item x="27"/>
        <item x="90"/>
        <item x="28"/>
        <item x="69"/>
        <item x="16"/>
        <item x="20"/>
        <item x="178"/>
        <item x="132"/>
        <item x="18"/>
        <item x="41"/>
        <item x="87"/>
        <item x="100"/>
        <item x="22"/>
        <item x="177"/>
        <item x="15"/>
        <item x="6"/>
        <item x="5"/>
        <item x="19"/>
        <item x="152"/>
        <item x="156"/>
        <item x="151"/>
        <item x="115"/>
        <item x="182"/>
        <item x="176"/>
        <item x="175"/>
        <item x="165"/>
        <item x="166"/>
        <item x="148"/>
        <item x="164"/>
        <item x="127"/>
        <item x="181"/>
        <item x="128"/>
        <item x="173"/>
        <item x="30"/>
        <item x="160"/>
        <item x="96"/>
        <item x="102"/>
        <item x="136"/>
        <item x="85"/>
        <item x="97"/>
        <item x="103"/>
        <item x="110"/>
        <item x="111"/>
        <item x="47"/>
        <item x="106"/>
        <item x="101"/>
        <item x="92"/>
        <item x="104"/>
        <item x="88"/>
        <item x="108"/>
        <item x="130"/>
        <item x="2"/>
        <item x="170"/>
        <item x="154"/>
        <item x="63"/>
        <item x="64"/>
        <item x="65"/>
        <item x="0"/>
        <item x="1"/>
        <item x="49"/>
        <item x="56"/>
        <item x="48"/>
        <item x="14"/>
        <item x="33"/>
        <item x="174"/>
        <item x="135"/>
        <item x="32"/>
        <item x="50"/>
        <item x="73"/>
        <item x="84"/>
        <item x="109"/>
        <item x="107"/>
        <item x="184"/>
        <item x="89"/>
        <item x="91"/>
        <item x="137"/>
        <item x="86"/>
        <item x="116"/>
        <item x="134"/>
        <item x="45"/>
        <item x="76"/>
        <item x="4"/>
        <item x="55"/>
        <item x="80"/>
        <item x="75"/>
        <item x="161"/>
        <item x="36"/>
        <item x="51"/>
        <item x="34"/>
        <item x="37"/>
        <item x="52"/>
        <item x="147"/>
        <item x="183"/>
        <item x="66"/>
        <item x="57"/>
        <item x="60"/>
        <item x="68"/>
        <item x="54"/>
        <item x="58"/>
        <item x="67"/>
        <item x="74"/>
        <item x="38"/>
        <item x="39"/>
        <item x="79"/>
        <item x="155"/>
        <item x="40"/>
        <item x="35"/>
        <item x="53"/>
        <item x="72"/>
        <item x="77"/>
        <item x="59"/>
        <item x="141"/>
        <item x="140"/>
        <item x="139"/>
        <item x="144"/>
        <item x="138"/>
        <item x="3"/>
        <item x="112"/>
        <item x="172"/>
        <item x="169"/>
        <item x="131"/>
        <item x="157"/>
        <item x="61"/>
        <item x="158"/>
        <item x="83"/>
        <item x="82"/>
        <item x="105"/>
        <item x="150"/>
        <item x="8"/>
        <item x="21"/>
        <item x="168"/>
        <item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0">
        <item x="164"/>
        <item x="93"/>
        <item x="106"/>
        <item x="196"/>
        <item x="165"/>
        <item x="132"/>
        <item x="131"/>
        <item x="103"/>
        <item x="157"/>
        <item x="102"/>
        <item x="25"/>
        <item x="45"/>
        <item x="27"/>
        <item x="133"/>
        <item x="95"/>
        <item x="94"/>
        <item x="26"/>
        <item x="120"/>
        <item x="30"/>
        <item x="107"/>
        <item x="175"/>
        <item x="124"/>
        <item x="176"/>
        <item x="125"/>
        <item x="177"/>
        <item x="129"/>
        <item x="130"/>
        <item x="127"/>
        <item x="128"/>
        <item x="179"/>
        <item x="178"/>
        <item x="126"/>
        <item x="194"/>
        <item x="18"/>
        <item x="156"/>
        <item x="12"/>
        <item x="104"/>
        <item x="92"/>
        <item x="74"/>
        <item x="119"/>
        <item x="198"/>
        <item x="11"/>
        <item x="135"/>
        <item x="84"/>
        <item x="13"/>
        <item x="162"/>
        <item x="136"/>
        <item x="90"/>
        <item x="134"/>
        <item x="167"/>
        <item x="193"/>
        <item x="24"/>
        <item x="183"/>
        <item x="44"/>
        <item x="140"/>
        <item x="185"/>
        <item x="10"/>
        <item x="46"/>
        <item x="137"/>
        <item x="9"/>
        <item x="48"/>
        <item x="108"/>
        <item x="169"/>
        <item x="83"/>
        <item x="33"/>
        <item x="72"/>
        <item x="147"/>
        <item x="65"/>
        <item x="7"/>
        <item x="81"/>
        <item x="28"/>
        <item x="99"/>
        <item x="29"/>
        <item x="73"/>
        <item x="17"/>
        <item x="21"/>
        <item x="192"/>
        <item x="144"/>
        <item x="19"/>
        <item x="43"/>
        <item x="96"/>
        <item x="141"/>
        <item x="109"/>
        <item x="23"/>
        <item x="16"/>
        <item x="6"/>
        <item x="5"/>
        <item x="20"/>
        <item x="171"/>
        <item x="168"/>
        <item x="121"/>
        <item x="191"/>
        <item x="190"/>
        <item x="181"/>
        <item x="182"/>
        <item x="180"/>
        <item x="138"/>
        <item x="139"/>
        <item x="187"/>
        <item x="32"/>
        <item x="173"/>
        <item x="105"/>
        <item x="111"/>
        <item x="155"/>
        <item x="149"/>
        <item x="91"/>
        <item x="112"/>
        <item x="116"/>
        <item x="117"/>
        <item x="122"/>
        <item x="49"/>
        <item x="110"/>
        <item x="101"/>
        <item x="97"/>
        <item x="114"/>
        <item x="142"/>
        <item x="2"/>
        <item x="67"/>
        <item x="188"/>
        <item x="66"/>
        <item x="68"/>
        <item x="1"/>
        <item x="51"/>
        <item x="58"/>
        <item x="0"/>
        <item x="14"/>
        <item x="15"/>
        <item x="50"/>
        <item x="35"/>
        <item x="189"/>
        <item x="148"/>
        <item x="34"/>
        <item x="52"/>
        <item x="145"/>
        <item x="76"/>
        <item x="89"/>
        <item x="115"/>
        <item x="113"/>
        <item x="98"/>
        <item x="100"/>
        <item x="150"/>
        <item x="123"/>
        <item x="197"/>
        <item x="146"/>
        <item x="80"/>
        <item x="4"/>
        <item x="47"/>
        <item x="86"/>
        <item x="79"/>
        <item x="57"/>
        <item x="174"/>
        <item x="163"/>
        <item x="39"/>
        <item x="38"/>
        <item x="61"/>
        <item x="53"/>
        <item x="36"/>
        <item x="40"/>
        <item x="54"/>
        <item x="166"/>
        <item x="195"/>
        <item x="78"/>
        <item x="59"/>
        <item x="199"/>
        <item x="69"/>
        <item x="64"/>
        <item x="71"/>
        <item x="63"/>
        <item x="56"/>
        <item x="60"/>
        <item x="70"/>
        <item x="77"/>
        <item x="41"/>
        <item x="85"/>
        <item x="170"/>
        <item x="42"/>
        <item x="37"/>
        <item x="55"/>
        <item x="75"/>
        <item x="82"/>
        <item x="62"/>
        <item x="154"/>
        <item x="160"/>
        <item x="153"/>
        <item x="159"/>
        <item x="152"/>
        <item x="158"/>
        <item x="161"/>
        <item x="151"/>
        <item x="3"/>
        <item x="118"/>
        <item x="186"/>
        <item x="184"/>
        <item x="143"/>
        <item x="172"/>
        <item x="88"/>
        <item x="87"/>
        <item x="8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1"/>
        <item x="6"/>
        <item x="8"/>
        <item x="7"/>
        <item x="4"/>
        <item x="3"/>
        <item x="5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7"/>
    <field x="9"/>
  </rowFields>
  <rowItems count="234">
    <i>
      <x/>
      <x/>
      <x v="8"/>
    </i>
    <i>
      <x v="1"/>
      <x v="4"/>
      <x v="8"/>
    </i>
    <i>
      <x v="2"/>
      <x v="5"/>
      <x v="8"/>
    </i>
    <i>
      <x v="3"/>
      <x v="6"/>
      <x v="8"/>
    </i>
    <i>
      <x v="4"/>
      <x v="7"/>
      <x v="8"/>
    </i>
    <i>
      <x v="5"/>
      <x v="8"/>
      <x v="8"/>
    </i>
    <i>
      <x v="6"/>
      <x v="9"/>
      <x v="8"/>
    </i>
    <i>
      <x v="7"/>
      <x v="10"/>
      <x v="8"/>
    </i>
    <i>
      <x v="8"/>
      <x v="11"/>
      <x/>
    </i>
    <i r="2">
      <x v="1"/>
    </i>
    <i r="2">
      <x v="8"/>
    </i>
    <i>
      <x v="9"/>
      <x v="2"/>
      <x v="8"/>
    </i>
    <i r="1">
      <x v="12"/>
      <x v="8"/>
    </i>
    <i r="1">
      <x v="13"/>
      <x v="1"/>
    </i>
    <i r="1">
      <x v="14"/>
      <x v="8"/>
    </i>
    <i r="1">
      <x v="15"/>
      <x v="8"/>
    </i>
    <i>
      <x v="10"/>
      <x v="16"/>
      <x/>
    </i>
    <i r="2">
      <x v="1"/>
    </i>
    <i r="2">
      <x v="8"/>
    </i>
    <i>
      <x v="11"/>
      <x v="17"/>
      <x v="8"/>
    </i>
    <i>
      <x v="12"/>
      <x v="18"/>
      <x v="8"/>
    </i>
    <i>
      <x v="13"/>
      <x v="19"/>
      <x v="8"/>
    </i>
    <i>
      <x v="14"/>
      <x v="20"/>
      <x v="8"/>
    </i>
    <i r="1">
      <x v="21"/>
      <x v="8"/>
    </i>
    <i r="1">
      <x v="22"/>
      <x v="8"/>
    </i>
    <i>
      <x v="15"/>
      <x v="23"/>
      <x v="8"/>
    </i>
    <i r="1">
      <x v="24"/>
      <x v="8"/>
    </i>
    <i>
      <x v="16"/>
      <x v="199"/>
      <x v="8"/>
    </i>
    <i>
      <x v="17"/>
      <x v="199"/>
      <x v="8"/>
    </i>
    <i>
      <x v="18"/>
      <x v="25"/>
      <x v="8"/>
    </i>
    <i r="1">
      <x v="26"/>
      <x v="8"/>
    </i>
    <i>
      <x v="19"/>
      <x v="27"/>
      <x v="8"/>
    </i>
    <i r="1">
      <x v="28"/>
      <x v="8"/>
    </i>
    <i>
      <x v="20"/>
      <x v="29"/>
      <x v="8"/>
    </i>
    <i>
      <x v="21"/>
      <x v="30"/>
      <x v="8"/>
    </i>
    <i>
      <x v="22"/>
      <x v="31"/>
      <x v="8"/>
    </i>
    <i>
      <x v="23"/>
      <x v="32"/>
      <x v="8"/>
    </i>
    <i>
      <x v="24"/>
      <x v="33"/>
      <x v="8"/>
    </i>
    <i>
      <x v="25"/>
      <x v="34"/>
      <x v="8"/>
    </i>
    <i>
      <x v="26"/>
      <x v="35"/>
      <x v="8"/>
    </i>
    <i>
      <x v="27"/>
      <x v="36"/>
      <x v="8"/>
    </i>
    <i>
      <x v="28"/>
      <x v="37"/>
      <x v="8"/>
    </i>
    <i r="1">
      <x v="38"/>
      <x v="8"/>
    </i>
    <i>
      <x v="29"/>
      <x v="39"/>
      <x v="8"/>
    </i>
    <i>
      <x v="30"/>
      <x v="40"/>
      <x v="8"/>
    </i>
    <i>
      <x v="31"/>
      <x v="41"/>
      <x v="6"/>
    </i>
    <i r="2">
      <x v="8"/>
    </i>
    <i r="1">
      <x v="42"/>
      <x v="2"/>
    </i>
    <i r="1">
      <x v="43"/>
      <x v="4"/>
    </i>
    <i r="2">
      <x v="8"/>
    </i>
    <i r="1">
      <x v="199"/>
      <x v="3"/>
    </i>
    <i>
      <x v="32"/>
      <x v="44"/>
      <x v="8"/>
    </i>
    <i r="1">
      <x v="45"/>
      <x v="8"/>
    </i>
    <i r="1">
      <x v="46"/>
      <x v="3"/>
    </i>
    <i r="1">
      <x v="47"/>
      <x v="8"/>
    </i>
    <i r="1">
      <x v="48"/>
      <x v="3"/>
    </i>
    <i r="2">
      <x v="8"/>
    </i>
    <i>
      <x v="33"/>
      <x v="49"/>
      <x v="8"/>
    </i>
    <i>
      <x v="34"/>
      <x v="51"/>
      <x v="8"/>
    </i>
    <i>
      <x v="35"/>
      <x v="52"/>
      <x v="8"/>
    </i>
    <i>
      <x v="36"/>
      <x v="50"/>
      <x v="8"/>
    </i>
    <i>
      <x v="37"/>
      <x v="53"/>
      <x v="8"/>
    </i>
    <i>
      <x v="38"/>
      <x v="54"/>
      <x v="8"/>
    </i>
    <i>
      <x v="39"/>
      <x v="199"/>
      <x v="8"/>
    </i>
    <i>
      <x v="40"/>
      <x v="56"/>
      <x v="8"/>
    </i>
    <i>
      <x v="41"/>
      <x v="55"/>
      <x v="8"/>
    </i>
    <i>
      <x v="42"/>
      <x v="57"/>
      <x v="8"/>
    </i>
    <i>
      <x v="43"/>
      <x v="57"/>
      <x v="8"/>
    </i>
    <i>
      <x v="44"/>
      <x v="58"/>
      <x v="8"/>
    </i>
    <i>
      <x v="45"/>
      <x v="59"/>
      <x v="8"/>
    </i>
    <i>
      <x v="46"/>
      <x v="60"/>
      <x v="8"/>
    </i>
    <i>
      <x v="47"/>
      <x v="61"/>
      <x v="8"/>
    </i>
    <i>
      <x v="48"/>
      <x v="62"/>
      <x v="8"/>
    </i>
    <i>
      <x v="49"/>
      <x v="199"/>
      <x v="8"/>
    </i>
    <i>
      <x v="50"/>
      <x v="64"/>
      <x v="8"/>
    </i>
    <i>
      <x v="51"/>
      <x v="65"/>
      <x v="8"/>
    </i>
    <i r="1">
      <x v="66"/>
      <x v="8"/>
    </i>
    <i r="1">
      <x v="67"/>
      <x v="8"/>
    </i>
    <i>
      <x v="52"/>
      <x v="63"/>
      <x v="8"/>
    </i>
    <i>
      <x v="53"/>
      <x v="68"/>
      <x v="8"/>
    </i>
    <i>
      <x v="54"/>
      <x v="69"/>
      <x v="8"/>
    </i>
    <i r="1">
      <x v="70"/>
      <x v="8"/>
    </i>
    <i>
      <x v="55"/>
      <x v="71"/>
      <x v="8"/>
    </i>
    <i>
      <x v="56"/>
      <x v="72"/>
      <x v="8"/>
    </i>
    <i>
      <x v="57"/>
      <x v="73"/>
      <x v="8"/>
    </i>
    <i>
      <x v="58"/>
      <x v="74"/>
      <x v="8"/>
    </i>
    <i>
      <x v="59"/>
      <x v="75"/>
      <x v="8"/>
    </i>
    <i>
      <x v="60"/>
      <x v="76"/>
      <x v="8"/>
    </i>
    <i>
      <x v="61"/>
      <x v="77"/>
      <x v="8"/>
    </i>
    <i>
      <x v="62"/>
      <x v="78"/>
      <x v="8"/>
    </i>
    <i>
      <x v="63"/>
      <x v="79"/>
      <x v="8"/>
    </i>
    <i>
      <x v="64"/>
      <x v="80"/>
      <x v="8"/>
    </i>
    <i r="1">
      <x v="81"/>
      <x v="8"/>
    </i>
    <i>
      <x v="65"/>
      <x v="82"/>
      <x v="8"/>
    </i>
    <i>
      <x v="66"/>
      <x v="83"/>
      <x v="8"/>
    </i>
    <i r="1">
      <x v="199"/>
      <x v="8"/>
    </i>
    <i>
      <x v="67"/>
      <x v="199"/>
      <x v="8"/>
    </i>
    <i>
      <x v="68"/>
      <x v="84"/>
      <x v="8"/>
    </i>
    <i>
      <x v="69"/>
      <x v="85"/>
      <x v="8"/>
    </i>
    <i>
      <x v="70"/>
      <x v="86"/>
      <x v="8"/>
    </i>
    <i>
      <x v="71"/>
      <x v="87"/>
      <x v="8"/>
    </i>
    <i>
      <x v="72"/>
      <x v="199"/>
      <x v="8"/>
    </i>
    <i>
      <x v="73"/>
      <x v="88"/>
      <x v="8"/>
    </i>
    <i>
      <x v="74"/>
      <x v="89"/>
      <x v="8"/>
    </i>
    <i>
      <x v="75"/>
      <x v="90"/>
      <x v="8"/>
    </i>
    <i>
      <x v="76"/>
      <x v="199"/>
      <x v="8"/>
    </i>
    <i>
      <x v="77"/>
      <x v="91"/>
      <x v="8"/>
    </i>
    <i>
      <x v="78"/>
      <x v="92"/>
      <x v="8"/>
    </i>
    <i>
      <x v="79"/>
      <x v="93"/>
      <x v="8"/>
    </i>
    <i>
      <x v="80"/>
      <x v="94"/>
      <x v="8"/>
    </i>
    <i>
      <x v="81"/>
      <x v="199"/>
      <x v="8"/>
    </i>
    <i>
      <x v="82"/>
      <x v="95"/>
      <x v="8"/>
    </i>
    <i>
      <x v="83"/>
      <x v="96"/>
      <x v="8"/>
    </i>
    <i>
      <x v="84"/>
      <x v="199"/>
      <x v="8"/>
    </i>
    <i>
      <x v="85"/>
      <x v="97"/>
      <x v="8"/>
    </i>
    <i>
      <x v="86"/>
      <x v="98"/>
      <x v="8"/>
    </i>
    <i>
      <x v="87"/>
      <x v="99"/>
      <x v="8"/>
    </i>
    <i>
      <x v="88"/>
      <x v="100"/>
      <x v="8"/>
    </i>
    <i>
      <x v="89"/>
      <x v="101"/>
      <x v="8"/>
    </i>
    <i>
      <x v="90"/>
      <x v="102"/>
      <x v="8"/>
    </i>
    <i>
      <x v="91"/>
      <x v="103"/>
      <x v="8"/>
    </i>
    <i r="1">
      <x v="104"/>
      <x v="8"/>
    </i>
    <i>
      <x v="92"/>
      <x v="105"/>
      <x v="8"/>
    </i>
    <i>
      <x v="93"/>
      <x v="199"/>
      <x v="8"/>
    </i>
    <i>
      <x v="94"/>
      <x v="106"/>
      <x v="5"/>
    </i>
    <i r="2">
      <x v="8"/>
    </i>
    <i>
      <x v="95"/>
      <x v="107"/>
      <x v="8"/>
    </i>
    <i>
      <x v="96"/>
      <x v="108"/>
      <x v="5"/>
    </i>
    <i r="1">
      <x v="109"/>
      <x v="8"/>
    </i>
    <i>
      <x v="97"/>
      <x v="110"/>
      <x v="8"/>
    </i>
    <i>
      <x v="98"/>
      <x v="199"/>
      <x v="8"/>
    </i>
    <i>
      <x v="99"/>
      <x v="111"/>
      <x v="8"/>
    </i>
    <i>
      <x v="100"/>
      <x v="112"/>
      <x v="8"/>
    </i>
    <i>
      <x v="101"/>
      <x v="199"/>
      <x v="8"/>
    </i>
    <i>
      <x v="102"/>
      <x v="113"/>
      <x v="8"/>
    </i>
    <i>
      <x v="103"/>
      <x v="114"/>
      <x v="7"/>
    </i>
    <i>
      <x v="104"/>
      <x v="115"/>
      <x v="8"/>
    </i>
    <i>
      <x v="105"/>
      <x v="116"/>
      <x v="8"/>
    </i>
    <i>
      <x v="106"/>
      <x v="199"/>
      <x v="8"/>
    </i>
    <i>
      <x v="107"/>
      <x v="199"/>
      <x v="8"/>
    </i>
    <i>
      <x v="108"/>
      <x v="118"/>
      <x v="8"/>
    </i>
    <i r="1">
      <x v="119"/>
      <x v="8"/>
    </i>
    <i>
      <x v="109"/>
      <x v="117"/>
      <x v="8"/>
    </i>
    <i>
      <x v="110"/>
      <x v="120"/>
      <x v="8"/>
    </i>
    <i>
      <x v="111"/>
      <x v="124"/>
      <x v="8"/>
    </i>
    <i r="1">
      <x v="125"/>
      <x v="8"/>
    </i>
    <i>
      <x v="112"/>
      <x v="121"/>
      <x v="8"/>
    </i>
    <i>
      <x v="113"/>
      <x v="122"/>
      <x v="8"/>
    </i>
    <i>
      <x v="114"/>
      <x v="123"/>
      <x v="8"/>
    </i>
    <i>
      <x v="115"/>
      <x v="127"/>
      <x v="8"/>
    </i>
    <i>
      <x v="116"/>
      <x v="126"/>
      <x v="8"/>
    </i>
    <i>
      <x v="117"/>
      <x v="128"/>
      <x v="8"/>
    </i>
    <i>
      <x v="118"/>
      <x v="129"/>
      <x v="8"/>
    </i>
    <i>
      <x v="119"/>
      <x v="130"/>
      <x v="8"/>
    </i>
    <i>
      <x v="120"/>
      <x v="131"/>
      <x v="8"/>
    </i>
    <i>
      <x v="121"/>
      <x v="132"/>
      <x v="8"/>
    </i>
    <i r="1">
      <x v="133"/>
      <x v="8"/>
    </i>
    <i>
      <x v="122"/>
      <x v="134"/>
      <x v="8"/>
    </i>
    <i>
      <x v="123"/>
      <x v="135"/>
      <x v="8"/>
    </i>
    <i>
      <x v="124"/>
      <x v="136"/>
      <x v="8"/>
    </i>
    <i>
      <x v="125"/>
      <x v="137"/>
      <x v="7"/>
    </i>
    <i r="2">
      <x v="8"/>
    </i>
    <i>
      <x v="126"/>
      <x v="3"/>
      <x v="8"/>
    </i>
    <i>
      <x v="127"/>
      <x v="138"/>
      <x v="8"/>
    </i>
    <i>
      <x v="128"/>
      <x v="139"/>
      <x v="8"/>
    </i>
    <i>
      <x v="129"/>
      <x v="140"/>
      <x v="8"/>
    </i>
    <i>
      <x v="130"/>
      <x v="1"/>
      <x v="8"/>
    </i>
    <i>
      <x v="131"/>
      <x v="141"/>
      <x v="8"/>
    </i>
    <i r="1">
      <x v="142"/>
      <x v="8"/>
    </i>
    <i>
      <x v="132"/>
      <x v="143"/>
      <x v="8"/>
    </i>
    <i>
      <x v="133"/>
      <x v="146"/>
      <x v="8"/>
    </i>
    <i>
      <x v="134"/>
      <x v="144"/>
      <x v="8"/>
    </i>
    <i>
      <x v="135"/>
      <x v="145"/>
      <x v="8"/>
    </i>
    <i>
      <x v="136"/>
      <x v="149"/>
      <x v="8"/>
    </i>
    <i>
      <x v="137"/>
      <x v="147"/>
      <x v="8"/>
    </i>
    <i>
      <x v="138"/>
      <x v="148"/>
      <x v="8"/>
    </i>
    <i>
      <x v="139"/>
      <x v="150"/>
      <x v="8"/>
    </i>
    <i>
      <x v="140"/>
      <x v="151"/>
      <x v="8"/>
    </i>
    <i r="1">
      <x v="152"/>
      <x v="8"/>
    </i>
    <i r="1">
      <x v="153"/>
      <x v="8"/>
    </i>
    <i r="1">
      <x v="154"/>
      <x v="8"/>
    </i>
    <i>
      <x v="141"/>
      <x v="155"/>
      <x v="8"/>
    </i>
    <i>
      <x v="142"/>
      <x v="156"/>
      <x v="8"/>
    </i>
    <i>
      <x v="143"/>
      <x v="157"/>
      <x v="8"/>
    </i>
    <i>
      <x v="144"/>
      <x v="158"/>
      <x v="8"/>
    </i>
    <i>
      <x v="145"/>
      <x v="159"/>
      <x v="8"/>
    </i>
    <i>
      <x v="146"/>
      <x v="160"/>
      <x v="8"/>
    </i>
    <i>
      <x v="147"/>
      <x v="164"/>
      <x v="8"/>
    </i>
    <i>
      <x v="148"/>
      <x v="162"/>
      <x v="8"/>
    </i>
    <i r="1">
      <x v="163"/>
      <x v="8"/>
    </i>
    <i>
      <x v="149"/>
      <x v="165"/>
      <x v="8"/>
    </i>
    <i>
      <x v="150"/>
      <x v="161"/>
      <x v="8"/>
    </i>
    <i r="1">
      <x v="166"/>
      <x v="8"/>
    </i>
    <i>
      <x v="151"/>
      <x v="168"/>
      <x v="8"/>
    </i>
    <i>
      <x v="152"/>
      <x v="167"/>
      <x v="8"/>
    </i>
    <i r="1">
      <x v="169"/>
      <x v="8"/>
    </i>
    <i>
      <x v="153"/>
      <x v="170"/>
      <x v="8"/>
    </i>
    <i>
      <x v="154"/>
      <x v="171"/>
      <x v="8"/>
    </i>
    <i>
      <x v="155"/>
      <x v="199"/>
      <x v="8"/>
    </i>
    <i>
      <x v="156"/>
      <x v="172"/>
      <x v="8"/>
    </i>
    <i>
      <x v="157"/>
      <x v="173"/>
      <x v="8"/>
    </i>
    <i>
      <x v="158"/>
      <x v="174"/>
      <x v="8"/>
    </i>
    <i>
      <x v="159"/>
      <x v="175"/>
      <x v="8"/>
    </i>
    <i>
      <x v="160"/>
      <x v="176"/>
      <x v="8"/>
    </i>
    <i>
      <x v="161"/>
      <x v="177"/>
      <x v="8"/>
    </i>
    <i>
      <x v="162"/>
      <x v="178"/>
      <x v="8"/>
    </i>
    <i>
      <x v="163"/>
      <x v="179"/>
      <x v="8"/>
    </i>
    <i>
      <x v="164"/>
      <x v="180"/>
      <x v="8"/>
    </i>
    <i>
      <x v="165"/>
      <x v="181"/>
      <x v="8"/>
    </i>
    <i r="1">
      <x v="182"/>
      <x v="8"/>
    </i>
    <i>
      <x v="166"/>
      <x v="183"/>
      <x v="8"/>
    </i>
    <i r="1">
      <x v="184"/>
      <x v="8"/>
    </i>
    <i>
      <x v="167"/>
      <x v="185"/>
      <x v="8"/>
    </i>
    <i r="1">
      <x v="186"/>
      <x v="8"/>
    </i>
    <i>
      <x v="168"/>
      <x v="187"/>
      <x v="8"/>
    </i>
    <i>
      <x v="169"/>
      <x v="188"/>
      <x v="8"/>
    </i>
    <i>
      <x v="170"/>
      <x v="189"/>
      <x v="8"/>
    </i>
    <i>
      <x v="171"/>
      <x v="190"/>
      <x v="8"/>
    </i>
    <i>
      <x v="172"/>
      <x v="191"/>
      <x v="8"/>
    </i>
    <i>
      <x v="173"/>
      <x v="192"/>
      <x v="8"/>
    </i>
    <i>
      <x v="174"/>
      <x v="193"/>
      <x v="8"/>
    </i>
    <i r="1">
      <x v="199"/>
      <x v="8"/>
    </i>
    <i>
      <x v="175"/>
      <x v="194"/>
      <x v="8"/>
    </i>
    <i>
      <x v="176"/>
      <x v="199"/>
      <x v="8"/>
    </i>
    <i>
      <x v="177"/>
      <x v="199"/>
      <x v="8"/>
    </i>
    <i>
      <x v="178"/>
      <x v="195"/>
      <x v="8"/>
    </i>
    <i>
      <x v="179"/>
      <x v="196"/>
      <x v="8"/>
    </i>
    <i>
      <x v="180"/>
      <x v="199"/>
      <x v="8"/>
    </i>
    <i>
      <x v="181"/>
      <x v="199"/>
      <x v="8"/>
    </i>
    <i>
      <x v="182"/>
      <x v="197"/>
      <x v="8"/>
    </i>
    <i>
      <x v="183"/>
      <x v="198"/>
      <x v="8"/>
    </i>
    <i>
      <x v="184"/>
      <x v="199"/>
      <x v="8"/>
    </i>
    <i>
      <x v="185"/>
      <x v="199"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8月预测" fld="27" baseField="0" baseItem="0"/>
    <dataField name="求和项:9月预测" fld="28" baseField="0" baseItem="0"/>
    <dataField name="求和项:10月预测" fld="29" baseField="0" baseItem="0"/>
    <dataField name="求和项:11月预测" fld="30" baseField="0" baseItem="0"/>
    <dataField name="求和项:12月预测" fld="31" baseField="0" baseItem="0"/>
    <dataField name="求和项:1月预测2" fld="3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69E2D-0223-4464-9B6E-DA730736084C}">
  <dimension ref="A3:I237"/>
  <sheetViews>
    <sheetView workbookViewId="0">
      <selection activeCell="A7" sqref="A3:I237"/>
    </sheetView>
  </sheetViews>
  <sheetFormatPr defaultRowHeight="13.8" x14ac:dyDescent="0.25"/>
  <cols>
    <col min="1" max="1" width="47.6640625" bestFit="1" customWidth="1"/>
    <col min="2" max="2" width="15.5546875" bestFit="1" customWidth="1"/>
    <col min="3" max="3" width="7.77734375" bestFit="1" customWidth="1"/>
    <col min="4" max="5" width="15.5546875" bestFit="1" customWidth="1"/>
    <col min="6" max="9" width="16.77734375" bestFit="1" customWidth="1"/>
  </cols>
  <sheetData>
    <row r="3" spans="1:9" x14ac:dyDescent="0.25">
      <c r="A3" s="80" t="s">
        <v>4</v>
      </c>
      <c r="B3" s="80" t="s">
        <v>2065</v>
      </c>
      <c r="C3" s="80" t="s">
        <v>2066</v>
      </c>
      <c r="D3" t="s">
        <v>1846</v>
      </c>
      <c r="E3" t="s">
        <v>1847</v>
      </c>
      <c r="F3" t="s">
        <v>1848</v>
      </c>
      <c r="G3" t="s">
        <v>1849</v>
      </c>
      <c r="H3" t="s">
        <v>1850</v>
      </c>
      <c r="I3" t="s">
        <v>1851</v>
      </c>
    </row>
    <row r="4" spans="1:9" x14ac:dyDescent="0.25">
      <c r="A4" t="s">
        <v>1824</v>
      </c>
      <c r="B4" t="s">
        <v>1824</v>
      </c>
      <c r="C4" t="s">
        <v>1844</v>
      </c>
      <c r="D4">
        <v>48</v>
      </c>
      <c r="E4">
        <v>120</v>
      </c>
      <c r="F4">
        <v>96</v>
      </c>
      <c r="G4">
        <v>96</v>
      </c>
      <c r="H4">
        <v>24</v>
      </c>
      <c r="I4">
        <v>24</v>
      </c>
    </row>
    <row r="5" spans="1:9" x14ac:dyDescent="0.25">
      <c r="A5" t="s">
        <v>978</v>
      </c>
      <c r="B5" t="s">
        <v>978</v>
      </c>
      <c r="C5" t="s">
        <v>1844</v>
      </c>
      <c r="D5">
        <v>0</v>
      </c>
      <c r="E5">
        <v>25</v>
      </c>
      <c r="F5">
        <v>0</v>
      </c>
      <c r="G5">
        <v>0</v>
      </c>
      <c r="H5">
        <v>25</v>
      </c>
      <c r="I5">
        <v>25</v>
      </c>
    </row>
    <row r="6" spans="1:9" x14ac:dyDescent="0.25">
      <c r="A6" t="s">
        <v>1852</v>
      </c>
      <c r="B6" t="s">
        <v>1060</v>
      </c>
      <c r="C6" t="s">
        <v>1844</v>
      </c>
      <c r="I6">
        <v>0</v>
      </c>
    </row>
    <row r="7" spans="1:9" x14ac:dyDescent="0.25">
      <c r="A7" t="s">
        <v>1853</v>
      </c>
      <c r="B7" t="s">
        <v>2002</v>
      </c>
      <c r="C7" t="s">
        <v>1844</v>
      </c>
      <c r="I7">
        <v>0</v>
      </c>
    </row>
    <row r="8" spans="1:9" x14ac:dyDescent="0.25">
      <c r="A8" t="s">
        <v>1854</v>
      </c>
      <c r="B8" t="s">
        <v>1054</v>
      </c>
      <c r="C8" t="s">
        <v>1844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1855</v>
      </c>
      <c r="B9" t="s">
        <v>2003</v>
      </c>
      <c r="C9" t="s">
        <v>1844</v>
      </c>
      <c r="D9">
        <v>0</v>
      </c>
      <c r="E9">
        <v>370000</v>
      </c>
      <c r="F9">
        <v>0</v>
      </c>
      <c r="G9">
        <v>0</v>
      </c>
      <c r="H9">
        <v>370000</v>
      </c>
      <c r="I9">
        <v>370000</v>
      </c>
    </row>
    <row r="10" spans="1:9" x14ac:dyDescent="0.25">
      <c r="A10" t="s">
        <v>1856</v>
      </c>
      <c r="B10" t="s">
        <v>1813</v>
      </c>
      <c r="C10" t="s">
        <v>1844</v>
      </c>
      <c r="D10">
        <v>50000</v>
      </c>
      <c r="E10">
        <v>50000</v>
      </c>
      <c r="F10">
        <v>50000</v>
      </c>
      <c r="G10">
        <v>50000</v>
      </c>
      <c r="H10">
        <v>50000</v>
      </c>
      <c r="I10">
        <v>50000</v>
      </c>
    </row>
    <row r="11" spans="1:9" x14ac:dyDescent="0.25">
      <c r="A11" t="s">
        <v>1857</v>
      </c>
      <c r="B11" t="s">
        <v>226</v>
      </c>
      <c r="C11" t="s">
        <v>1844</v>
      </c>
      <c r="D11">
        <v>572150</v>
      </c>
      <c r="E11">
        <v>567150</v>
      </c>
      <c r="F11">
        <v>572150</v>
      </c>
      <c r="G11">
        <v>632150</v>
      </c>
      <c r="H11">
        <v>627150</v>
      </c>
      <c r="I11">
        <v>627150</v>
      </c>
    </row>
    <row r="12" spans="1:9" x14ac:dyDescent="0.25">
      <c r="A12" t="s">
        <v>1858</v>
      </c>
      <c r="B12" t="s">
        <v>346</v>
      </c>
      <c r="C12" t="s">
        <v>2058</v>
      </c>
      <c r="D12">
        <v>130000</v>
      </c>
      <c r="E12">
        <v>130000</v>
      </c>
      <c r="F12">
        <v>130000</v>
      </c>
      <c r="G12">
        <v>130000</v>
      </c>
      <c r="H12">
        <v>130000</v>
      </c>
      <c r="I12">
        <v>130000</v>
      </c>
    </row>
    <row r="13" spans="1:9" x14ac:dyDescent="0.25">
      <c r="A13" t="s">
        <v>1858</v>
      </c>
      <c r="B13" t="s">
        <v>346</v>
      </c>
      <c r="C13" t="s">
        <v>2059</v>
      </c>
      <c r="D13">
        <v>50000</v>
      </c>
      <c r="E13">
        <v>50000</v>
      </c>
      <c r="F13">
        <v>50000</v>
      </c>
      <c r="G13">
        <v>50000</v>
      </c>
      <c r="H13">
        <v>50000</v>
      </c>
      <c r="I13">
        <v>50000</v>
      </c>
    </row>
    <row r="14" spans="1:9" x14ac:dyDescent="0.25">
      <c r="A14" t="s">
        <v>1858</v>
      </c>
      <c r="B14" t="s">
        <v>346</v>
      </c>
      <c r="C14" t="s">
        <v>1844</v>
      </c>
      <c r="D14">
        <v>65000</v>
      </c>
      <c r="E14">
        <v>65000</v>
      </c>
      <c r="F14">
        <v>135000</v>
      </c>
      <c r="G14">
        <v>85000</v>
      </c>
      <c r="H14">
        <v>118000</v>
      </c>
      <c r="I14">
        <v>118000</v>
      </c>
    </row>
    <row r="15" spans="1:9" x14ac:dyDescent="0.25">
      <c r="A15" t="s">
        <v>234</v>
      </c>
      <c r="B15" t="s">
        <v>1047</v>
      </c>
      <c r="C15" t="s">
        <v>1844</v>
      </c>
      <c r="I15">
        <v>0</v>
      </c>
    </row>
    <row r="16" spans="1:9" x14ac:dyDescent="0.25">
      <c r="A16" t="s">
        <v>234</v>
      </c>
      <c r="B16" t="s">
        <v>235</v>
      </c>
      <c r="C16" t="s">
        <v>1844</v>
      </c>
      <c r="D16">
        <v>240000</v>
      </c>
      <c r="E16">
        <v>120000</v>
      </c>
      <c r="F16">
        <v>120000</v>
      </c>
      <c r="G16">
        <v>120000</v>
      </c>
      <c r="H16">
        <v>120000</v>
      </c>
      <c r="I16">
        <v>120000</v>
      </c>
    </row>
    <row r="17" spans="1:9" x14ac:dyDescent="0.25">
      <c r="A17" t="s">
        <v>234</v>
      </c>
      <c r="B17" t="s">
        <v>868</v>
      </c>
      <c r="C17" t="s">
        <v>2059</v>
      </c>
      <c r="D17">
        <v>380000</v>
      </c>
      <c r="E17">
        <v>380000</v>
      </c>
      <c r="I17">
        <v>0</v>
      </c>
    </row>
    <row r="18" spans="1:9" x14ac:dyDescent="0.25">
      <c r="A18" t="s">
        <v>234</v>
      </c>
      <c r="B18" t="s">
        <v>1843</v>
      </c>
      <c r="C18" t="s">
        <v>1844</v>
      </c>
      <c r="D18">
        <v>320000</v>
      </c>
      <c r="E18">
        <v>320000</v>
      </c>
      <c r="F18">
        <v>320000</v>
      </c>
      <c r="G18">
        <v>320000</v>
      </c>
      <c r="H18">
        <v>320000</v>
      </c>
      <c r="I18">
        <v>320000</v>
      </c>
    </row>
    <row r="19" spans="1:9" x14ac:dyDescent="0.25">
      <c r="A19" t="s">
        <v>234</v>
      </c>
      <c r="B19" t="s">
        <v>1842</v>
      </c>
      <c r="C19" t="s">
        <v>1844</v>
      </c>
      <c r="D19">
        <v>100000</v>
      </c>
      <c r="E19">
        <v>100000</v>
      </c>
      <c r="F19">
        <v>100000</v>
      </c>
      <c r="G19">
        <v>100000</v>
      </c>
      <c r="H19">
        <v>100000</v>
      </c>
      <c r="I19">
        <v>100000</v>
      </c>
    </row>
    <row r="20" spans="1:9" x14ac:dyDescent="0.25">
      <c r="A20" t="s">
        <v>227</v>
      </c>
      <c r="B20" t="s">
        <v>228</v>
      </c>
      <c r="C20" t="s">
        <v>2058</v>
      </c>
      <c r="D20">
        <v>3000</v>
      </c>
      <c r="E20">
        <v>3000</v>
      </c>
      <c r="F20">
        <v>3000</v>
      </c>
      <c r="G20">
        <v>3000</v>
      </c>
      <c r="H20">
        <v>3000</v>
      </c>
      <c r="I20">
        <v>3000</v>
      </c>
    </row>
    <row r="21" spans="1:9" x14ac:dyDescent="0.25">
      <c r="A21" t="s">
        <v>227</v>
      </c>
      <c r="B21" t="s">
        <v>228</v>
      </c>
      <c r="C21" t="s">
        <v>2059</v>
      </c>
      <c r="D21">
        <v>212000</v>
      </c>
      <c r="E21">
        <v>200000</v>
      </c>
      <c r="F21">
        <v>218000</v>
      </c>
      <c r="G21">
        <v>200000</v>
      </c>
      <c r="H21">
        <v>221000</v>
      </c>
      <c r="I21">
        <v>221000</v>
      </c>
    </row>
    <row r="22" spans="1:9" x14ac:dyDescent="0.25">
      <c r="A22" t="s">
        <v>227</v>
      </c>
      <c r="B22" t="s">
        <v>228</v>
      </c>
      <c r="C22" t="s">
        <v>1844</v>
      </c>
      <c r="D22">
        <v>33000</v>
      </c>
      <c r="E22">
        <v>33000</v>
      </c>
      <c r="F22">
        <v>35000</v>
      </c>
      <c r="G22">
        <v>35000</v>
      </c>
      <c r="H22">
        <v>35000</v>
      </c>
      <c r="I22">
        <v>35000</v>
      </c>
    </row>
    <row r="23" spans="1:9" x14ac:dyDescent="0.25">
      <c r="A23" t="s">
        <v>1859</v>
      </c>
      <c r="B23" t="s">
        <v>847</v>
      </c>
      <c r="C23" t="s">
        <v>1844</v>
      </c>
      <c r="D23">
        <v>400000</v>
      </c>
      <c r="E23">
        <v>400000</v>
      </c>
      <c r="F23">
        <v>400000</v>
      </c>
      <c r="G23">
        <v>400000</v>
      </c>
      <c r="H23">
        <v>400000</v>
      </c>
      <c r="I23">
        <v>400000</v>
      </c>
    </row>
    <row r="24" spans="1:9" x14ac:dyDescent="0.25">
      <c r="A24" t="s">
        <v>1860</v>
      </c>
      <c r="B24" t="s">
        <v>268</v>
      </c>
      <c r="C24" t="s">
        <v>1844</v>
      </c>
      <c r="D24">
        <v>395000</v>
      </c>
      <c r="E24">
        <v>235000</v>
      </c>
      <c r="F24">
        <v>235000</v>
      </c>
      <c r="G24">
        <v>235000</v>
      </c>
      <c r="H24">
        <v>235000</v>
      </c>
      <c r="I24">
        <v>235000</v>
      </c>
    </row>
    <row r="25" spans="1:9" x14ac:dyDescent="0.25">
      <c r="A25" t="s">
        <v>1861</v>
      </c>
      <c r="B25" t="s">
        <v>1057</v>
      </c>
      <c r="C25" t="s">
        <v>1844</v>
      </c>
      <c r="D25">
        <v>19000</v>
      </c>
      <c r="E25">
        <v>19000</v>
      </c>
      <c r="F25">
        <v>19000</v>
      </c>
      <c r="G25">
        <v>19000</v>
      </c>
      <c r="H25">
        <v>19000</v>
      </c>
      <c r="I25">
        <v>19000</v>
      </c>
    </row>
    <row r="26" spans="1:9" x14ac:dyDescent="0.25">
      <c r="A26" t="s">
        <v>1862</v>
      </c>
      <c r="B26" t="s">
        <v>2004</v>
      </c>
      <c r="C26" t="s">
        <v>1844</v>
      </c>
      <c r="E26">
        <v>500000</v>
      </c>
      <c r="G26">
        <v>500000</v>
      </c>
      <c r="I26">
        <v>0</v>
      </c>
    </row>
    <row r="27" spans="1:9" x14ac:dyDescent="0.25">
      <c r="A27" t="s">
        <v>1862</v>
      </c>
      <c r="B27" t="s">
        <v>2005</v>
      </c>
      <c r="C27" t="s">
        <v>1844</v>
      </c>
      <c r="D27">
        <v>3500000</v>
      </c>
      <c r="E27">
        <v>3500000</v>
      </c>
      <c r="F27">
        <v>3500000</v>
      </c>
      <c r="G27">
        <v>3500000</v>
      </c>
      <c r="H27">
        <v>3500000</v>
      </c>
      <c r="I27">
        <v>3500000</v>
      </c>
    </row>
    <row r="28" spans="1:9" x14ac:dyDescent="0.25">
      <c r="A28" t="s">
        <v>1862</v>
      </c>
      <c r="B28" t="s">
        <v>2006</v>
      </c>
      <c r="C28" t="s">
        <v>1844</v>
      </c>
      <c r="D28">
        <v>2000000</v>
      </c>
      <c r="E28">
        <v>1000000</v>
      </c>
      <c r="F28">
        <v>1000000</v>
      </c>
      <c r="G28">
        <v>1000000</v>
      </c>
      <c r="H28">
        <v>1000000</v>
      </c>
      <c r="I28">
        <v>1000000</v>
      </c>
    </row>
    <row r="29" spans="1:9" x14ac:dyDescent="0.25">
      <c r="A29" t="s">
        <v>1863</v>
      </c>
      <c r="B29" t="s">
        <v>1811</v>
      </c>
      <c r="C29" t="s">
        <v>1844</v>
      </c>
      <c r="D29">
        <v>3000000</v>
      </c>
      <c r="E29">
        <v>3000000</v>
      </c>
      <c r="F29">
        <v>3000000</v>
      </c>
      <c r="G29">
        <v>3000000</v>
      </c>
      <c r="H29">
        <v>3000000</v>
      </c>
      <c r="I29">
        <v>3000000</v>
      </c>
    </row>
    <row r="30" spans="1:9" x14ac:dyDescent="0.25">
      <c r="A30" t="s">
        <v>1863</v>
      </c>
      <c r="B30" t="s">
        <v>1812</v>
      </c>
      <c r="C30" t="s">
        <v>1844</v>
      </c>
      <c r="D30">
        <v>750000</v>
      </c>
      <c r="E30">
        <v>250000</v>
      </c>
      <c r="F30">
        <v>250000</v>
      </c>
      <c r="G30">
        <v>250000</v>
      </c>
      <c r="H30">
        <v>250000</v>
      </c>
      <c r="I30">
        <v>250000</v>
      </c>
    </row>
    <row r="31" spans="1:9" x14ac:dyDescent="0.25">
      <c r="A31" t="s">
        <v>1864</v>
      </c>
      <c r="B31" t="s">
        <v>1844</v>
      </c>
      <c r="C31" t="s">
        <v>1844</v>
      </c>
      <c r="I31">
        <v>0</v>
      </c>
    </row>
    <row r="32" spans="1:9" x14ac:dyDescent="0.25">
      <c r="A32" t="s">
        <v>1865</v>
      </c>
      <c r="B32" t="s">
        <v>1844</v>
      </c>
      <c r="C32" t="s">
        <v>1844</v>
      </c>
      <c r="I32">
        <v>0</v>
      </c>
    </row>
    <row r="33" spans="1:9" x14ac:dyDescent="0.25">
      <c r="A33" t="s">
        <v>1866</v>
      </c>
      <c r="B33" t="s">
        <v>2007</v>
      </c>
      <c r="C33" t="s">
        <v>1844</v>
      </c>
      <c r="I33">
        <v>0</v>
      </c>
    </row>
    <row r="34" spans="1:9" x14ac:dyDescent="0.25">
      <c r="A34" t="s">
        <v>1866</v>
      </c>
      <c r="B34" t="s">
        <v>864</v>
      </c>
      <c r="C34" t="s">
        <v>1844</v>
      </c>
      <c r="I34">
        <v>0</v>
      </c>
    </row>
    <row r="35" spans="1:9" x14ac:dyDescent="0.25">
      <c r="A35" t="s">
        <v>1867</v>
      </c>
      <c r="B35" t="s">
        <v>2008</v>
      </c>
      <c r="C35" t="s">
        <v>1844</v>
      </c>
      <c r="I35">
        <v>0</v>
      </c>
    </row>
    <row r="36" spans="1:9" x14ac:dyDescent="0.25">
      <c r="A36" t="s">
        <v>1867</v>
      </c>
      <c r="B36" t="s">
        <v>861</v>
      </c>
      <c r="C36" t="s">
        <v>1844</v>
      </c>
      <c r="D36">
        <v>2500000</v>
      </c>
      <c r="E36">
        <v>2500000</v>
      </c>
      <c r="I36">
        <v>0</v>
      </c>
    </row>
    <row r="37" spans="1:9" x14ac:dyDescent="0.25">
      <c r="A37" t="s">
        <v>1868</v>
      </c>
      <c r="B37" t="s">
        <v>2009</v>
      </c>
      <c r="C37" t="s">
        <v>1844</v>
      </c>
      <c r="D37">
        <v>500000</v>
      </c>
      <c r="E37">
        <v>250000</v>
      </c>
      <c r="F37">
        <v>250000</v>
      </c>
      <c r="G37">
        <v>250000</v>
      </c>
      <c r="H37">
        <v>250000</v>
      </c>
      <c r="I37">
        <v>250000</v>
      </c>
    </row>
    <row r="38" spans="1:9" x14ac:dyDescent="0.25">
      <c r="A38" t="s">
        <v>1869</v>
      </c>
      <c r="B38" t="s">
        <v>2010</v>
      </c>
      <c r="C38" t="s">
        <v>1844</v>
      </c>
      <c r="D38">
        <v>250000</v>
      </c>
      <c r="I38">
        <v>0</v>
      </c>
    </row>
    <row r="39" spans="1:9" x14ac:dyDescent="0.25">
      <c r="A39" t="s">
        <v>1870</v>
      </c>
      <c r="B39" t="s">
        <v>2011</v>
      </c>
      <c r="C39" t="s">
        <v>1844</v>
      </c>
      <c r="D39">
        <v>1500000</v>
      </c>
      <c r="I39">
        <v>0</v>
      </c>
    </row>
    <row r="40" spans="1:9" x14ac:dyDescent="0.25">
      <c r="A40" t="s">
        <v>1871</v>
      </c>
      <c r="B40" t="s">
        <v>2012</v>
      </c>
      <c r="C40" t="s">
        <v>1844</v>
      </c>
      <c r="F40">
        <v>5000</v>
      </c>
      <c r="G40">
        <v>5000</v>
      </c>
      <c r="H40">
        <v>5000</v>
      </c>
      <c r="I40">
        <v>5000</v>
      </c>
    </row>
    <row r="41" spans="1:9" x14ac:dyDescent="0.25">
      <c r="A41" t="s">
        <v>1872</v>
      </c>
      <c r="B41" t="s">
        <v>178</v>
      </c>
      <c r="C41" t="s">
        <v>1844</v>
      </c>
      <c r="D41">
        <v>239000</v>
      </c>
      <c r="E41">
        <v>1239000</v>
      </c>
      <c r="F41">
        <v>239000</v>
      </c>
      <c r="G41">
        <v>240000</v>
      </c>
      <c r="H41">
        <v>240000</v>
      </c>
      <c r="I41">
        <v>240000</v>
      </c>
    </row>
    <row r="42" spans="1:9" x14ac:dyDescent="0.25">
      <c r="A42" t="s">
        <v>1873</v>
      </c>
      <c r="B42" t="s">
        <v>1067</v>
      </c>
      <c r="C42" t="s">
        <v>1844</v>
      </c>
      <c r="D42">
        <v>0</v>
      </c>
      <c r="E42">
        <v>30000</v>
      </c>
      <c r="F42">
        <v>0</v>
      </c>
      <c r="G42">
        <v>30000</v>
      </c>
      <c r="H42">
        <v>30000</v>
      </c>
      <c r="I42">
        <v>30000</v>
      </c>
    </row>
    <row r="43" spans="1:9" x14ac:dyDescent="0.25">
      <c r="A43" t="s">
        <v>1874</v>
      </c>
      <c r="B43" t="s">
        <v>153</v>
      </c>
      <c r="C43" t="s">
        <v>1844</v>
      </c>
      <c r="D43">
        <v>139000</v>
      </c>
      <c r="E43">
        <v>139000</v>
      </c>
      <c r="F43">
        <v>139000</v>
      </c>
      <c r="G43">
        <v>139000</v>
      </c>
      <c r="H43">
        <v>139000</v>
      </c>
      <c r="I43">
        <v>139000</v>
      </c>
    </row>
    <row r="44" spans="1:9" x14ac:dyDescent="0.25">
      <c r="A44" t="s">
        <v>1875</v>
      </c>
      <c r="B44" t="s">
        <v>1055</v>
      </c>
      <c r="C44" t="s">
        <v>1844</v>
      </c>
      <c r="D44">
        <v>80000</v>
      </c>
      <c r="E44">
        <v>80000</v>
      </c>
      <c r="F44">
        <v>80000</v>
      </c>
      <c r="G44">
        <v>80000</v>
      </c>
      <c r="H44">
        <v>80000</v>
      </c>
      <c r="I44">
        <v>80000</v>
      </c>
    </row>
    <row r="45" spans="1:9" x14ac:dyDescent="0.25">
      <c r="A45" t="s">
        <v>1876</v>
      </c>
      <c r="B45" t="s">
        <v>857</v>
      </c>
      <c r="C45" t="s">
        <v>1844</v>
      </c>
      <c r="D45">
        <v>510000</v>
      </c>
      <c r="E45">
        <v>510000</v>
      </c>
      <c r="F45">
        <v>510000</v>
      </c>
      <c r="G45">
        <v>510000</v>
      </c>
      <c r="H45">
        <v>510000</v>
      </c>
      <c r="I45">
        <v>510000</v>
      </c>
    </row>
    <row r="46" spans="1:9" x14ac:dyDescent="0.25">
      <c r="A46" t="s">
        <v>1876</v>
      </c>
      <c r="B46" t="s">
        <v>498</v>
      </c>
      <c r="C46" t="s">
        <v>1844</v>
      </c>
      <c r="D46">
        <v>381000</v>
      </c>
      <c r="I46">
        <v>0</v>
      </c>
    </row>
    <row r="47" spans="1:9" x14ac:dyDescent="0.25">
      <c r="A47" t="s">
        <v>1877</v>
      </c>
      <c r="B47" t="s">
        <v>845</v>
      </c>
      <c r="C47" t="s">
        <v>1844</v>
      </c>
      <c r="D47">
        <v>40000</v>
      </c>
      <c r="E47">
        <v>10000</v>
      </c>
      <c r="F47">
        <v>10000</v>
      </c>
      <c r="G47">
        <v>70000</v>
      </c>
      <c r="H47">
        <v>70000</v>
      </c>
      <c r="I47">
        <v>70000</v>
      </c>
    </row>
    <row r="48" spans="1:9" x14ac:dyDescent="0.25">
      <c r="A48" t="s">
        <v>1878</v>
      </c>
      <c r="B48" t="s">
        <v>1051</v>
      </c>
      <c r="C48" t="s">
        <v>1844</v>
      </c>
      <c r="D48">
        <v>50000</v>
      </c>
      <c r="E48">
        <v>50000</v>
      </c>
      <c r="F48">
        <v>50000</v>
      </c>
      <c r="G48">
        <v>50000</v>
      </c>
      <c r="H48">
        <v>50000</v>
      </c>
      <c r="I48">
        <v>50000</v>
      </c>
    </row>
    <row r="49" spans="1:9" x14ac:dyDescent="0.25">
      <c r="A49" t="s">
        <v>1879</v>
      </c>
      <c r="B49" t="s">
        <v>1809</v>
      </c>
      <c r="C49" t="s">
        <v>2060</v>
      </c>
      <c r="I49">
        <v>0</v>
      </c>
    </row>
    <row r="50" spans="1:9" x14ac:dyDescent="0.25">
      <c r="A50" t="s">
        <v>1879</v>
      </c>
      <c r="B50" t="s">
        <v>1809</v>
      </c>
      <c r="C50" t="s">
        <v>1844</v>
      </c>
      <c r="D50">
        <v>3910000</v>
      </c>
      <c r="E50">
        <v>4335000</v>
      </c>
      <c r="F50">
        <v>3615000</v>
      </c>
      <c r="G50">
        <v>4095000</v>
      </c>
      <c r="H50">
        <v>4335000</v>
      </c>
      <c r="I50">
        <v>4335000</v>
      </c>
    </row>
    <row r="51" spans="1:9" x14ac:dyDescent="0.25">
      <c r="A51" t="s">
        <v>1879</v>
      </c>
      <c r="B51" t="s">
        <v>1810</v>
      </c>
      <c r="C51" t="s">
        <v>2061</v>
      </c>
      <c r="I51">
        <v>0</v>
      </c>
    </row>
    <row r="52" spans="1:9" x14ac:dyDescent="0.25">
      <c r="A52" t="s">
        <v>1879</v>
      </c>
      <c r="B52" t="s">
        <v>545</v>
      </c>
      <c r="C52" t="s">
        <v>2062</v>
      </c>
      <c r="I52">
        <v>0</v>
      </c>
    </row>
    <row r="53" spans="1:9" x14ac:dyDescent="0.25">
      <c r="A53" t="s">
        <v>1879</v>
      </c>
      <c r="B53" t="s">
        <v>545</v>
      </c>
      <c r="C53" t="s">
        <v>1844</v>
      </c>
      <c r="D53">
        <v>2167000</v>
      </c>
      <c r="E53">
        <v>2167000</v>
      </c>
      <c r="F53">
        <v>2167000</v>
      </c>
      <c r="G53">
        <v>2167000</v>
      </c>
      <c r="H53">
        <v>2287000</v>
      </c>
      <c r="I53">
        <v>2287000</v>
      </c>
    </row>
    <row r="54" spans="1:9" x14ac:dyDescent="0.25">
      <c r="A54" t="s">
        <v>1879</v>
      </c>
      <c r="B54" t="s">
        <v>1844</v>
      </c>
      <c r="C54" t="s">
        <v>2063</v>
      </c>
      <c r="I54">
        <v>0</v>
      </c>
    </row>
    <row r="55" spans="1:9" x14ac:dyDescent="0.25">
      <c r="A55" t="s">
        <v>1880</v>
      </c>
      <c r="B55" t="s">
        <v>1079</v>
      </c>
      <c r="C55" t="s">
        <v>1844</v>
      </c>
      <c r="D55">
        <v>500000</v>
      </c>
      <c r="E55">
        <v>1100000</v>
      </c>
      <c r="F55">
        <v>600000</v>
      </c>
      <c r="G55">
        <v>1100000</v>
      </c>
      <c r="H55">
        <v>600000</v>
      </c>
      <c r="I55">
        <v>600000</v>
      </c>
    </row>
    <row r="56" spans="1:9" x14ac:dyDescent="0.25">
      <c r="A56" t="s">
        <v>1880</v>
      </c>
      <c r="B56" t="s">
        <v>1073</v>
      </c>
      <c r="C56" t="s">
        <v>1844</v>
      </c>
      <c r="D56">
        <v>400000</v>
      </c>
      <c r="E56">
        <v>0</v>
      </c>
      <c r="F56">
        <v>600000</v>
      </c>
      <c r="G56">
        <v>0</v>
      </c>
      <c r="H56">
        <v>400000</v>
      </c>
      <c r="I56">
        <v>400000</v>
      </c>
    </row>
    <row r="57" spans="1:9" x14ac:dyDescent="0.25">
      <c r="A57" t="s">
        <v>1880</v>
      </c>
      <c r="B57" t="s">
        <v>2013</v>
      </c>
      <c r="C57" t="s">
        <v>2063</v>
      </c>
      <c r="D57">
        <v>1000000</v>
      </c>
      <c r="I57">
        <v>0</v>
      </c>
    </row>
    <row r="58" spans="1:9" x14ac:dyDescent="0.25">
      <c r="A58" t="s">
        <v>1880</v>
      </c>
      <c r="B58" t="s">
        <v>1046</v>
      </c>
      <c r="C58" t="s">
        <v>1844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25">
      <c r="A59" t="s">
        <v>1880</v>
      </c>
      <c r="B59" t="s">
        <v>871</v>
      </c>
      <c r="C59" t="s">
        <v>2063</v>
      </c>
      <c r="I59">
        <v>0</v>
      </c>
    </row>
    <row r="60" spans="1:9" x14ac:dyDescent="0.25">
      <c r="A60" t="s">
        <v>1880</v>
      </c>
      <c r="B60" t="s">
        <v>871</v>
      </c>
      <c r="C60" t="s">
        <v>1844</v>
      </c>
      <c r="D60">
        <v>1000000</v>
      </c>
      <c r="G60">
        <v>1000000</v>
      </c>
      <c r="I60">
        <v>0</v>
      </c>
    </row>
    <row r="61" spans="1:9" x14ac:dyDescent="0.25">
      <c r="A61" t="s">
        <v>1881</v>
      </c>
      <c r="B61" t="s">
        <v>1076</v>
      </c>
      <c r="C61" t="s">
        <v>1844</v>
      </c>
      <c r="D61">
        <v>600000</v>
      </c>
      <c r="E61">
        <v>0</v>
      </c>
      <c r="F61">
        <v>0</v>
      </c>
      <c r="G61">
        <v>600000</v>
      </c>
      <c r="I61">
        <v>0</v>
      </c>
    </row>
    <row r="62" spans="1:9" x14ac:dyDescent="0.25">
      <c r="A62" t="s">
        <v>1882</v>
      </c>
      <c r="B62" t="s">
        <v>224</v>
      </c>
      <c r="C62" t="s">
        <v>1844</v>
      </c>
      <c r="D62">
        <v>140000</v>
      </c>
      <c r="E62">
        <v>140000</v>
      </c>
      <c r="F62">
        <v>140000</v>
      </c>
      <c r="G62">
        <v>140000</v>
      </c>
      <c r="H62">
        <v>140000</v>
      </c>
      <c r="I62">
        <v>140000</v>
      </c>
    </row>
    <row r="63" spans="1:9" x14ac:dyDescent="0.25">
      <c r="A63" t="s">
        <v>1883</v>
      </c>
      <c r="B63" t="s">
        <v>2014</v>
      </c>
      <c r="C63" t="s">
        <v>1844</v>
      </c>
      <c r="D63">
        <v>20000</v>
      </c>
      <c r="E63">
        <v>20000</v>
      </c>
      <c r="F63">
        <v>35000</v>
      </c>
      <c r="G63">
        <v>35000</v>
      </c>
      <c r="H63">
        <v>35000</v>
      </c>
      <c r="I63">
        <v>35000</v>
      </c>
    </row>
    <row r="64" spans="1:9" x14ac:dyDescent="0.25">
      <c r="A64" t="s">
        <v>1884</v>
      </c>
      <c r="B64" t="s">
        <v>2015</v>
      </c>
      <c r="C64" t="s">
        <v>1844</v>
      </c>
      <c r="D64">
        <v>5000</v>
      </c>
      <c r="E64">
        <v>10000</v>
      </c>
      <c r="F64">
        <v>10000</v>
      </c>
      <c r="G64">
        <v>10000</v>
      </c>
      <c r="H64">
        <v>40000</v>
      </c>
      <c r="I64">
        <v>40000</v>
      </c>
    </row>
    <row r="65" spans="1:9" x14ac:dyDescent="0.25">
      <c r="A65" t="s">
        <v>340</v>
      </c>
      <c r="B65" t="s">
        <v>341</v>
      </c>
      <c r="C65" t="s">
        <v>1844</v>
      </c>
      <c r="D65">
        <v>106000</v>
      </c>
      <c r="E65">
        <v>76000</v>
      </c>
      <c r="F65">
        <v>89000</v>
      </c>
      <c r="G65">
        <v>89000</v>
      </c>
      <c r="H65">
        <v>109000</v>
      </c>
      <c r="I65">
        <v>109000</v>
      </c>
    </row>
    <row r="66" spans="1:9" x14ac:dyDescent="0.25">
      <c r="A66" t="s">
        <v>1885</v>
      </c>
      <c r="B66" t="s">
        <v>879</v>
      </c>
      <c r="C66" t="s">
        <v>1844</v>
      </c>
      <c r="I66">
        <v>0</v>
      </c>
    </row>
    <row r="67" spans="1:9" x14ac:dyDescent="0.25">
      <c r="A67" t="s">
        <v>1886</v>
      </c>
      <c r="B67" t="s">
        <v>1844</v>
      </c>
      <c r="C67" t="s">
        <v>1844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1887</v>
      </c>
      <c r="B68" t="s">
        <v>137</v>
      </c>
      <c r="C68" t="s">
        <v>1844</v>
      </c>
      <c r="D68">
        <v>430000</v>
      </c>
      <c r="E68">
        <v>430000</v>
      </c>
      <c r="F68">
        <v>430000</v>
      </c>
      <c r="G68">
        <v>430000</v>
      </c>
      <c r="H68">
        <v>430000</v>
      </c>
      <c r="I68">
        <v>430000</v>
      </c>
    </row>
    <row r="69" spans="1:9" x14ac:dyDescent="0.25">
      <c r="A69" t="s">
        <v>1888</v>
      </c>
      <c r="B69" t="s">
        <v>2016</v>
      </c>
      <c r="C69" t="s">
        <v>1844</v>
      </c>
      <c r="E69">
        <v>5000</v>
      </c>
      <c r="F69">
        <v>10000</v>
      </c>
      <c r="G69">
        <v>15000</v>
      </c>
      <c r="H69">
        <v>45000</v>
      </c>
      <c r="I69">
        <v>45000</v>
      </c>
    </row>
    <row r="70" spans="1:9" x14ac:dyDescent="0.25">
      <c r="A70" t="s">
        <v>1889</v>
      </c>
      <c r="B70" t="s">
        <v>349</v>
      </c>
      <c r="C70" t="s">
        <v>1844</v>
      </c>
      <c r="D70">
        <v>30000</v>
      </c>
      <c r="E70">
        <v>30000</v>
      </c>
      <c r="F70">
        <v>30000</v>
      </c>
      <c r="G70">
        <v>30000</v>
      </c>
      <c r="H70">
        <v>30000</v>
      </c>
      <c r="I70">
        <v>30000</v>
      </c>
    </row>
    <row r="71" spans="1:9" x14ac:dyDescent="0.25">
      <c r="A71" t="s">
        <v>1890</v>
      </c>
      <c r="B71" t="s">
        <v>349</v>
      </c>
      <c r="C71" t="s">
        <v>1844</v>
      </c>
      <c r="E71">
        <v>12000</v>
      </c>
      <c r="F71">
        <v>6000</v>
      </c>
      <c r="G71">
        <v>15000</v>
      </c>
      <c r="I71">
        <v>0</v>
      </c>
    </row>
    <row r="72" spans="1:9" x14ac:dyDescent="0.25">
      <c r="A72" t="s">
        <v>1891</v>
      </c>
      <c r="B72" t="s">
        <v>875</v>
      </c>
      <c r="C72" t="s">
        <v>1844</v>
      </c>
      <c r="I72">
        <v>0</v>
      </c>
    </row>
    <row r="73" spans="1:9" x14ac:dyDescent="0.25">
      <c r="A73" t="s">
        <v>1892</v>
      </c>
      <c r="B73" t="s">
        <v>132</v>
      </c>
      <c r="C73" t="s">
        <v>1844</v>
      </c>
      <c r="D73">
        <v>30000</v>
      </c>
      <c r="E73">
        <v>18000</v>
      </c>
      <c r="F73">
        <v>3000</v>
      </c>
      <c r="G73">
        <v>3000</v>
      </c>
      <c r="H73">
        <v>18000</v>
      </c>
      <c r="I73">
        <v>18000</v>
      </c>
    </row>
    <row r="74" spans="1:9" x14ac:dyDescent="0.25">
      <c r="A74" t="s">
        <v>1893</v>
      </c>
      <c r="B74" t="s">
        <v>365</v>
      </c>
      <c r="C74" t="s">
        <v>1844</v>
      </c>
      <c r="D74">
        <v>14000</v>
      </c>
      <c r="E74">
        <v>5000</v>
      </c>
      <c r="F74">
        <v>14000</v>
      </c>
      <c r="G74">
        <v>20000</v>
      </c>
      <c r="H74">
        <v>14000</v>
      </c>
      <c r="I74">
        <v>14000</v>
      </c>
    </row>
    <row r="75" spans="1:9" x14ac:dyDescent="0.25">
      <c r="A75" t="s">
        <v>1894</v>
      </c>
      <c r="B75" t="s">
        <v>1058</v>
      </c>
      <c r="C75" t="s">
        <v>1844</v>
      </c>
      <c r="D75">
        <v>9000</v>
      </c>
      <c r="E75">
        <v>9000</v>
      </c>
      <c r="F75">
        <v>9000</v>
      </c>
      <c r="G75">
        <v>9000</v>
      </c>
      <c r="H75">
        <v>9000</v>
      </c>
      <c r="I75">
        <v>9000</v>
      </c>
    </row>
    <row r="76" spans="1:9" x14ac:dyDescent="0.25">
      <c r="A76" t="s">
        <v>1895</v>
      </c>
      <c r="B76" t="s">
        <v>2017</v>
      </c>
      <c r="C76" t="s">
        <v>1844</v>
      </c>
      <c r="D76">
        <v>20000</v>
      </c>
      <c r="E76">
        <v>20000</v>
      </c>
      <c r="F76">
        <v>20000</v>
      </c>
      <c r="G76">
        <v>20000</v>
      </c>
      <c r="H76">
        <v>20000</v>
      </c>
      <c r="I76">
        <v>20000</v>
      </c>
    </row>
    <row r="77" spans="1:9" x14ac:dyDescent="0.25">
      <c r="A77" t="s">
        <v>1896</v>
      </c>
      <c r="B77" t="s">
        <v>1844</v>
      </c>
      <c r="C77" t="s">
        <v>1844</v>
      </c>
      <c r="I77">
        <v>0</v>
      </c>
    </row>
    <row r="78" spans="1:9" x14ac:dyDescent="0.25">
      <c r="A78" t="s">
        <v>1897</v>
      </c>
      <c r="B78" t="s">
        <v>287</v>
      </c>
      <c r="C78" t="s">
        <v>1844</v>
      </c>
      <c r="D78">
        <v>322000</v>
      </c>
      <c r="E78">
        <v>322000</v>
      </c>
      <c r="F78">
        <v>352000</v>
      </c>
      <c r="G78">
        <v>322000</v>
      </c>
      <c r="H78">
        <v>352000</v>
      </c>
      <c r="I78">
        <v>352000</v>
      </c>
    </row>
    <row r="79" spans="1:9" x14ac:dyDescent="0.25">
      <c r="A79" t="s">
        <v>1898</v>
      </c>
      <c r="B79" t="s">
        <v>2018</v>
      </c>
      <c r="C79" t="s">
        <v>1844</v>
      </c>
      <c r="D79">
        <v>900000</v>
      </c>
      <c r="E79">
        <v>900000</v>
      </c>
      <c r="F79">
        <v>1000000</v>
      </c>
      <c r="G79">
        <v>1300000</v>
      </c>
      <c r="H79">
        <v>1500000</v>
      </c>
      <c r="I79">
        <v>1500000</v>
      </c>
    </row>
    <row r="80" spans="1:9" x14ac:dyDescent="0.25">
      <c r="A80" t="s">
        <v>1898</v>
      </c>
      <c r="B80" t="s">
        <v>945</v>
      </c>
      <c r="C80" t="s">
        <v>1844</v>
      </c>
      <c r="D80">
        <v>212000</v>
      </c>
      <c r="E80">
        <v>212000</v>
      </c>
      <c r="F80">
        <v>242000</v>
      </c>
      <c r="G80">
        <v>212000</v>
      </c>
      <c r="H80">
        <v>242000</v>
      </c>
      <c r="I80">
        <v>242000</v>
      </c>
    </row>
    <row r="81" spans="1:9" x14ac:dyDescent="0.25">
      <c r="A81" t="s">
        <v>1898</v>
      </c>
      <c r="B81" t="s">
        <v>481</v>
      </c>
      <c r="C81" t="s">
        <v>1844</v>
      </c>
      <c r="D81">
        <v>240000</v>
      </c>
      <c r="E81">
        <v>240000</v>
      </c>
      <c r="F81">
        <v>300000</v>
      </c>
      <c r="G81">
        <v>300000</v>
      </c>
      <c r="H81">
        <v>312000</v>
      </c>
      <c r="I81">
        <v>312000</v>
      </c>
    </row>
    <row r="82" spans="1:9" x14ac:dyDescent="0.25">
      <c r="A82" t="s">
        <v>1899</v>
      </c>
      <c r="B82" t="s">
        <v>541</v>
      </c>
      <c r="C82" t="s">
        <v>1844</v>
      </c>
      <c r="D82">
        <v>352000</v>
      </c>
      <c r="E82">
        <v>552000</v>
      </c>
      <c r="F82">
        <v>362000</v>
      </c>
      <c r="G82">
        <v>362000</v>
      </c>
      <c r="H82">
        <v>562000</v>
      </c>
      <c r="I82">
        <v>562000</v>
      </c>
    </row>
    <row r="83" spans="1:9" x14ac:dyDescent="0.25">
      <c r="A83" t="s">
        <v>1900</v>
      </c>
      <c r="B83" t="s">
        <v>117</v>
      </c>
      <c r="C83" t="s">
        <v>1844</v>
      </c>
      <c r="D83">
        <v>854000</v>
      </c>
      <c r="E83">
        <v>1192500</v>
      </c>
      <c r="F83">
        <v>1429000</v>
      </c>
      <c r="G83">
        <v>1529000</v>
      </c>
      <c r="H83">
        <v>1527000</v>
      </c>
      <c r="I83">
        <v>1527000</v>
      </c>
    </row>
    <row r="84" spans="1:9" x14ac:dyDescent="0.25">
      <c r="A84" t="s">
        <v>1901</v>
      </c>
      <c r="B84" t="s">
        <v>598</v>
      </c>
      <c r="C84" t="s">
        <v>1844</v>
      </c>
      <c r="D84">
        <v>322000</v>
      </c>
      <c r="E84">
        <v>272000</v>
      </c>
      <c r="F84">
        <v>282000</v>
      </c>
      <c r="G84">
        <v>282000</v>
      </c>
      <c r="H84">
        <v>292000</v>
      </c>
      <c r="I84">
        <v>292000</v>
      </c>
    </row>
    <row r="85" spans="1:9" x14ac:dyDescent="0.25">
      <c r="A85" t="s">
        <v>1901</v>
      </c>
      <c r="B85" t="s">
        <v>244</v>
      </c>
      <c r="C85" t="s">
        <v>1844</v>
      </c>
      <c r="I85">
        <v>0</v>
      </c>
    </row>
    <row r="86" spans="1:9" x14ac:dyDescent="0.25">
      <c r="A86" t="s">
        <v>1902</v>
      </c>
      <c r="B86" t="s">
        <v>1052</v>
      </c>
      <c r="C86" t="s">
        <v>1844</v>
      </c>
      <c r="D86">
        <v>360000</v>
      </c>
      <c r="E86">
        <v>500000</v>
      </c>
      <c r="F86">
        <v>505000</v>
      </c>
      <c r="G86">
        <v>505000</v>
      </c>
      <c r="H86">
        <v>505000</v>
      </c>
      <c r="I86">
        <v>505000</v>
      </c>
    </row>
    <row r="87" spans="1:9" x14ac:dyDescent="0.25">
      <c r="A87" t="s">
        <v>1903</v>
      </c>
      <c r="B87" t="s">
        <v>2019</v>
      </c>
      <c r="C87" t="s">
        <v>1844</v>
      </c>
      <c r="D87">
        <v>262000</v>
      </c>
      <c r="E87">
        <v>283000</v>
      </c>
      <c r="F87">
        <v>331000</v>
      </c>
      <c r="G87">
        <v>368000</v>
      </c>
      <c r="H87">
        <v>388000</v>
      </c>
      <c r="I87">
        <v>388000</v>
      </c>
    </row>
    <row r="88" spans="1:9" x14ac:dyDescent="0.25">
      <c r="A88" t="s">
        <v>1904</v>
      </c>
      <c r="B88" t="s">
        <v>2020</v>
      </c>
      <c r="C88" t="s">
        <v>1844</v>
      </c>
      <c r="D88">
        <v>830000</v>
      </c>
      <c r="E88">
        <v>830000</v>
      </c>
      <c r="F88">
        <v>840000</v>
      </c>
      <c r="G88">
        <v>840000</v>
      </c>
      <c r="H88">
        <v>840000</v>
      </c>
      <c r="I88">
        <v>840000</v>
      </c>
    </row>
    <row r="89" spans="1:9" x14ac:dyDescent="0.25">
      <c r="A89" t="s">
        <v>169</v>
      </c>
      <c r="B89" t="s">
        <v>1814</v>
      </c>
      <c r="C89" t="s">
        <v>1844</v>
      </c>
      <c r="D89">
        <v>994000</v>
      </c>
      <c r="E89">
        <v>1072000</v>
      </c>
      <c r="F89">
        <v>1226000</v>
      </c>
      <c r="G89">
        <v>1470000</v>
      </c>
      <c r="H89">
        <v>1464000</v>
      </c>
      <c r="I89">
        <v>1460000</v>
      </c>
    </row>
    <row r="90" spans="1:9" x14ac:dyDescent="0.25">
      <c r="A90" t="s">
        <v>1905</v>
      </c>
      <c r="B90" t="s">
        <v>201</v>
      </c>
      <c r="C90" t="s">
        <v>1844</v>
      </c>
      <c r="H90">
        <v>200000</v>
      </c>
      <c r="I90">
        <v>200000</v>
      </c>
    </row>
    <row r="91" spans="1:9" x14ac:dyDescent="0.25">
      <c r="A91" t="s">
        <v>1906</v>
      </c>
      <c r="B91" t="s">
        <v>2021</v>
      </c>
      <c r="C91" t="s">
        <v>1844</v>
      </c>
      <c r="G91">
        <v>5000</v>
      </c>
      <c r="H91">
        <v>5000</v>
      </c>
      <c r="I91">
        <v>5000</v>
      </c>
    </row>
    <row r="92" spans="1:9" x14ac:dyDescent="0.25">
      <c r="A92" t="s">
        <v>1907</v>
      </c>
      <c r="B92" t="s">
        <v>916</v>
      </c>
      <c r="C92" t="s">
        <v>1844</v>
      </c>
      <c r="D92">
        <v>5000</v>
      </c>
      <c r="E92">
        <v>5000</v>
      </c>
      <c r="F92">
        <v>5000</v>
      </c>
      <c r="G92">
        <v>5000</v>
      </c>
      <c r="H92">
        <v>5000</v>
      </c>
      <c r="I92">
        <v>5000</v>
      </c>
    </row>
    <row r="93" spans="1:9" x14ac:dyDescent="0.25">
      <c r="A93" t="s">
        <v>1908</v>
      </c>
      <c r="B93" t="s">
        <v>1082</v>
      </c>
      <c r="C93" t="s">
        <v>1844</v>
      </c>
      <c r="D93">
        <v>150000</v>
      </c>
      <c r="E93">
        <v>150000</v>
      </c>
      <c r="F93">
        <v>150000</v>
      </c>
      <c r="G93">
        <v>151000</v>
      </c>
      <c r="H93">
        <v>151000</v>
      </c>
      <c r="I93">
        <v>151000</v>
      </c>
    </row>
    <row r="94" spans="1:9" x14ac:dyDescent="0.25">
      <c r="A94" t="s">
        <v>336</v>
      </c>
      <c r="B94" t="s">
        <v>337</v>
      </c>
      <c r="C94" t="s">
        <v>1844</v>
      </c>
      <c r="D94">
        <v>128000</v>
      </c>
      <c r="E94">
        <v>130000</v>
      </c>
      <c r="F94">
        <v>133000</v>
      </c>
      <c r="G94">
        <v>145000</v>
      </c>
      <c r="H94">
        <v>150000</v>
      </c>
      <c r="I94">
        <v>150000</v>
      </c>
    </row>
    <row r="95" spans="1:9" x14ac:dyDescent="0.25">
      <c r="A95" t="s">
        <v>1909</v>
      </c>
      <c r="B95" t="s">
        <v>1048</v>
      </c>
      <c r="C95" t="s">
        <v>1844</v>
      </c>
      <c r="D95">
        <v>300000</v>
      </c>
      <c r="E95">
        <v>300000</v>
      </c>
      <c r="F95">
        <v>300000</v>
      </c>
      <c r="G95">
        <v>300000</v>
      </c>
      <c r="H95">
        <v>300000</v>
      </c>
      <c r="I95">
        <v>300000</v>
      </c>
    </row>
    <row r="96" spans="1:9" x14ac:dyDescent="0.25">
      <c r="A96" t="s">
        <v>1909</v>
      </c>
      <c r="B96" t="s">
        <v>880</v>
      </c>
      <c r="C96" t="s">
        <v>1844</v>
      </c>
      <c r="D96">
        <v>400000</v>
      </c>
      <c r="I96">
        <v>0</v>
      </c>
    </row>
    <row r="97" spans="1:9" x14ac:dyDescent="0.25">
      <c r="A97" t="s">
        <v>1910</v>
      </c>
      <c r="B97" t="s">
        <v>1059</v>
      </c>
      <c r="C97" t="s">
        <v>1844</v>
      </c>
      <c r="D97">
        <v>3000</v>
      </c>
      <c r="E97">
        <v>3000</v>
      </c>
      <c r="F97">
        <v>3000</v>
      </c>
      <c r="G97">
        <v>3000</v>
      </c>
      <c r="H97">
        <v>3000</v>
      </c>
      <c r="I97">
        <v>3000</v>
      </c>
    </row>
    <row r="98" spans="1:9" x14ac:dyDescent="0.25">
      <c r="A98" t="s">
        <v>210</v>
      </c>
      <c r="B98" t="s">
        <v>211</v>
      </c>
      <c r="C98" t="s">
        <v>1844</v>
      </c>
      <c r="E98">
        <v>200000</v>
      </c>
      <c r="F98">
        <v>215000</v>
      </c>
      <c r="G98">
        <v>150000</v>
      </c>
      <c r="H98">
        <v>215000</v>
      </c>
      <c r="I98">
        <v>215000</v>
      </c>
    </row>
    <row r="99" spans="1:9" x14ac:dyDescent="0.25">
      <c r="A99" t="s">
        <v>210</v>
      </c>
      <c r="B99" t="s">
        <v>1844</v>
      </c>
      <c r="C99" t="s">
        <v>1844</v>
      </c>
      <c r="I99">
        <v>0</v>
      </c>
    </row>
    <row r="100" spans="1:9" x14ac:dyDescent="0.25">
      <c r="A100" t="s">
        <v>1911</v>
      </c>
      <c r="B100" t="s">
        <v>1844</v>
      </c>
      <c r="C100" t="s">
        <v>1844</v>
      </c>
      <c r="F100">
        <v>5000</v>
      </c>
      <c r="G100">
        <v>5000</v>
      </c>
      <c r="H100">
        <v>5000</v>
      </c>
      <c r="I100">
        <v>5000</v>
      </c>
    </row>
    <row r="101" spans="1:9" x14ac:dyDescent="0.25">
      <c r="A101" t="s">
        <v>1912</v>
      </c>
      <c r="B101" t="s">
        <v>168</v>
      </c>
      <c r="C101" t="s">
        <v>1844</v>
      </c>
      <c r="D101">
        <v>1200000</v>
      </c>
      <c r="E101">
        <v>1200000</v>
      </c>
      <c r="F101">
        <v>1200000</v>
      </c>
      <c r="G101">
        <v>1200000</v>
      </c>
      <c r="H101">
        <v>1200000</v>
      </c>
      <c r="I101">
        <v>1200000</v>
      </c>
    </row>
    <row r="102" spans="1:9" x14ac:dyDescent="0.25">
      <c r="A102" t="s">
        <v>170</v>
      </c>
      <c r="B102" t="s">
        <v>106</v>
      </c>
      <c r="C102" t="s">
        <v>1844</v>
      </c>
      <c r="D102">
        <v>1050000</v>
      </c>
      <c r="E102">
        <v>1200000</v>
      </c>
      <c r="F102">
        <v>1110000</v>
      </c>
      <c r="G102">
        <v>1170000</v>
      </c>
      <c r="H102">
        <v>1530000</v>
      </c>
      <c r="I102">
        <v>1530000</v>
      </c>
    </row>
    <row r="103" spans="1:9" x14ac:dyDescent="0.25">
      <c r="A103" t="s">
        <v>1913</v>
      </c>
      <c r="B103" t="s">
        <v>94</v>
      </c>
      <c r="C103" t="s">
        <v>1844</v>
      </c>
      <c r="D103">
        <v>70000</v>
      </c>
      <c r="E103">
        <v>70000</v>
      </c>
      <c r="F103">
        <v>120000</v>
      </c>
      <c r="G103">
        <v>170000</v>
      </c>
      <c r="H103">
        <v>170000</v>
      </c>
      <c r="I103">
        <v>170000</v>
      </c>
    </row>
    <row r="104" spans="1:9" x14ac:dyDescent="0.25">
      <c r="A104" t="s">
        <v>1914</v>
      </c>
      <c r="B104" t="s">
        <v>1050</v>
      </c>
      <c r="C104" t="s">
        <v>1844</v>
      </c>
      <c r="D104">
        <v>95000</v>
      </c>
      <c r="E104">
        <v>95000</v>
      </c>
      <c r="F104">
        <v>95000</v>
      </c>
      <c r="G104">
        <v>95000</v>
      </c>
      <c r="H104">
        <v>95000</v>
      </c>
      <c r="I104">
        <v>95000</v>
      </c>
    </row>
    <row r="105" spans="1:9" x14ac:dyDescent="0.25">
      <c r="A105" t="s">
        <v>1915</v>
      </c>
      <c r="B105" t="s">
        <v>1844</v>
      </c>
      <c r="C105" t="s">
        <v>1844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1916</v>
      </c>
      <c r="B106" t="s">
        <v>2022</v>
      </c>
      <c r="C106" t="s">
        <v>1844</v>
      </c>
      <c r="D106">
        <v>0</v>
      </c>
      <c r="E106">
        <v>0</v>
      </c>
      <c r="F106">
        <v>0</v>
      </c>
      <c r="G106">
        <v>0</v>
      </c>
      <c r="H106">
        <v>10000</v>
      </c>
      <c r="I106">
        <v>10000</v>
      </c>
    </row>
    <row r="107" spans="1:9" x14ac:dyDescent="0.25">
      <c r="A107" t="s">
        <v>1917</v>
      </c>
      <c r="B107" t="s">
        <v>2023</v>
      </c>
      <c r="C107" t="s">
        <v>1844</v>
      </c>
      <c r="D107">
        <v>50000</v>
      </c>
      <c r="E107">
        <v>50000</v>
      </c>
      <c r="F107">
        <v>115000</v>
      </c>
      <c r="G107">
        <v>125000</v>
      </c>
      <c r="H107">
        <v>175000</v>
      </c>
      <c r="I107">
        <v>175000</v>
      </c>
    </row>
    <row r="108" spans="1:9" x14ac:dyDescent="0.25">
      <c r="A108" t="s">
        <v>1918</v>
      </c>
      <c r="B108" t="s">
        <v>849</v>
      </c>
      <c r="C108" t="s">
        <v>1844</v>
      </c>
      <c r="D108">
        <v>5000</v>
      </c>
      <c r="E108">
        <v>5000</v>
      </c>
      <c r="F108">
        <v>5000</v>
      </c>
      <c r="G108">
        <v>5000</v>
      </c>
      <c r="H108">
        <v>5000</v>
      </c>
      <c r="I108">
        <v>5000</v>
      </c>
    </row>
    <row r="109" spans="1:9" x14ac:dyDescent="0.25">
      <c r="A109" t="s">
        <v>1919</v>
      </c>
      <c r="B109" t="s">
        <v>1844</v>
      </c>
      <c r="C109" t="s">
        <v>1844</v>
      </c>
      <c r="I109">
        <v>0</v>
      </c>
    </row>
    <row r="110" spans="1:9" x14ac:dyDescent="0.25">
      <c r="A110" t="s">
        <v>1920</v>
      </c>
      <c r="B110" t="s">
        <v>2024</v>
      </c>
      <c r="C110" t="s">
        <v>1844</v>
      </c>
      <c r="F110">
        <v>5000</v>
      </c>
      <c r="G110">
        <v>5000</v>
      </c>
      <c r="H110">
        <v>5000</v>
      </c>
      <c r="I110">
        <v>5000</v>
      </c>
    </row>
    <row r="111" spans="1:9" x14ac:dyDescent="0.25">
      <c r="A111" t="s">
        <v>1921</v>
      </c>
      <c r="B111" t="s">
        <v>2025</v>
      </c>
      <c r="C111" t="s">
        <v>1844</v>
      </c>
      <c r="D111">
        <v>5000</v>
      </c>
      <c r="E111">
        <v>10000</v>
      </c>
      <c r="F111">
        <v>20000</v>
      </c>
      <c r="G111">
        <v>20000</v>
      </c>
      <c r="H111">
        <v>20000</v>
      </c>
      <c r="I111">
        <v>20000</v>
      </c>
    </row>
    <row r="112" spans="1:9" x14ac:dyDescent="0.25">
      <c r="A112" t="s">
        <v>1922</v>
      </c>
      <c r="B112" t="s">
        <v>2026</v>
      </c>
      <c r="C112" t="s">
        <v>1844</v>
      </c>
      <c r="G112">
        <v>3000</v>
      </c>
      <c r="H112">
        <v>3000</v>
      </c>
      <c r="I112">
        <v>3000</v>
      </c>
    </row>
    <row r="113" spans="1:9" x14ac:dyDescent="0.25">
      <c r="A113" t="s">
        <v>1923</v>
      </c>
      <c r="B113" t="s">
        <v>2027</v>
      </c>
      <c r="C113" t="s">
        <v>1844</v>
      </c>
      <c r="E113">
        <v>3000</v>
      </c>
      <c r="F113">
        <v>5000</v>
      </c>
      <c r="G113">
        <v>5000</v>
      </c>
      <c r="H113">
        <v>5000</v>
      </c>
      <c r="I113">
        <v>5000</v>
      </c>
    </row>
    <row r="114" spans="1:9" x14ac:dyDescent="0.25">
      <c r="A114" t="s">
        <v>1924</v>
      </c>
      <c r="B114" t="s">
        <v>1844</v>
      </c>
      <c r="C114" t="s">
        <v>1844</v>
      </c>
      <c r="D114">
        <v>60000</v>
      </c>
      <c r="E114">
        <v>60000</v>
      </c>
      <c r="F114">
        <v>60000</v>
      </c>
      <c r="G114">
        <v>120000</v>
      </c>
      <c r="H114">
        <v>120000</v>
      </c>
      <c r="I114">
        <v>120000</v>
      </c>
    </row>
    <row r="115" spans="1:9" x14ac:dyDescent="0.25">
      <c r="A115" t="s">
        <v>1210</v>
      </c>
      <c r="B115" t="s">
        <v>2028</v>
      </c>
      <c r="C115" t="s">
        <v>1844</v>
      </c>
      <c r="F115">
        <v>10000</v>
      </c>
      <c r="G115">
        <v>13000</v>
      </c>
      <c r="H115">
        <v>18000</v>
      </c>
      <c r="I115">
        <v>18000</v>
      </c>
    </row>
    <row r="116" spans="1:9" x14ac:dyDescent="0.25">
      <c r="A116" t="s">
        <v>1925</v>
      </c>
      <c r="B116" t="s">
        <v>1061</v>
      </c>
      <c r="C116" t="s">
        <v>1844</v>
      </c>
      <c r="I116">
        <v>0</v>
      </c>
    </row>
    <row r="117" spans="1:9" x14ac:dyDescent="0.25">
      <c r="A117" t="s">
        <v>1926</v>
      </c>
      <c r="B117" t="s">
        <v>1844</v>
      </c>
      <c r="C117" t="s">
        <v>1844</v>
      </c>
      <c r="D117">
        <v>50000</v>
      </c>
      <c r="E117">
        <v>50000</v>
      </c>
      <c r="F117">
        <v>50000</v>
      </c>
      <c r="G117">
        <v>50000</v>
      </c>
      <c r="H117">
        <v>50000</v>
      </c>
      <c r="I117">
        <v>50000</v>
      </c>
    </row>
    <row r="118" spans="1:9" x14ac:dyDescent="0.25">
      <c r="A118" t="s">
        <v>1927</v>
      </c>
      <c r="B118" t="s">
        <v>2029</v>
      </c>
      <c r="C118" t="s">
        <v>1844</v>
      </c>
      <c r="I118">
        <v>0</v>
      </c>
    </row>
    <row r="119" spans="1:9" x14ac:dyDescent="0.25">
      <c r="A119" t="s">
        <v>1928</v>
      </c>
      <c r="B119" t="s">
        <v>2030</v>
      </c>
      <c r="C119" t="s">
        <v>1844</v>
      </c>
      <c r="D119">
        <v>10000</v>
      </c>
      <c r="E119">
        <v>10000</v>
      </c>
      <c r="F119">
        <v>20000</v>
      </c>
      <c r="G119">
        <v>20000</v>
      </c>
      <c r="H119">
        <v>20000</v>
      </c>
      <c r="I119">
        <v>20000</v>
      </c>
    </row>
    <row r="120" spans="1:9" x14ac:dyDescent="0.25">
      <c r="A120" t="s">
        <v>283</v>
      </c>
      <c r="B120" t="s">
        <v>1053</v>
      </c>
      <c r="C120" t="s">
        <v>1844</v>
      </c>
      <c r="D120">
        <v>90000</v>
      </c>
      <c r="E120">
        <v>90000</v>
      </c>
      <c r="F120">
        <v>880000</v>
      </c>
      <c r="G120">
        <v>90000</v>
      </c>
      <c r="H120">
        <v>190000</v>
      </c>
      <c r="I120">
        <v>190000</v>
      </c>
    </row>
    <row r="121" spans="1:9" x14ac:dyDescent="0.25">
      <c r="A121" t="s">
        <v>1929</v>
      </c>
      <c r="B121" t="s">
        <v>2031</v>
      </c>
      <c r="C121" t="s">
        <v>1844</v>
      </c>
      <c r="D121">
        <v>0</v>
      </c>
      <c r="E121">
        <v>0</v>
      </c>
      <c r="F121">
        <v>20000</v>
      </c>
      <c r="G121">
        <v>20000</v>
      </c>
      <c r="H121">
        <v>100000</v>
      </c>
      <c r="I121">
        <v>100000</v>
      </c>
    </row>
    <row r="122" spans="1:9" x14ac:dyDescent="0.25">
      <c r="A122" t="s">
        <v>1930</v>
      </c>
      <c r="B122" t="s">
        <v>2032</v>
      </c>
      <c r="C122" t="s">
        <v>1844</v>
      </c>
      <c r="I122">
        <v>0</v>
      </c>
    </row>
    <row r="123" spans="1:9" x14ac:dyDescent="0.25">
      <c r="A123" t="s">
        <v>1931</v>
      </c>
      <c r="B123" t="s">
        <v>2033</v>
      </c>
      <c r="C123" t="s">
        <v>1844</v>
      </c>
      <c r="I123">
        <v>0</v>
      </c>
    </row>
    <row r="124" spans="1:9" x14ac:dyDescent="0.25">
      <c r="A124" t="s">
        <v>1932</v>
      </c>
      <c r="B124" t="s">
        <v>1066</v>
      </c>
      <c r="C124" t="s">
        <v>1844</v>
      </c>
      <c r="D124">
        <v>50000</v>
      </c>
      <c r="E124">
        <v>50000</v>
      </c>
      <c r="F124">
        <v>50000</v>
      </c>
      <c r="G124">
        <v>50000</v>
      </c>
      <c r="H124">
        <v>50000</v>
      </c>
      <c r="I124">
        <v>50000</v>
      </c>
    </row>
    <row r="125" spans="1:9" x14ac:dyDescent="0.25">
      <c r="A125" t="s">
        <v>1932</v>
      </c>
      <c r="B125" t="s">
        <v>2034</v>
      </c>
      <c r="C125" t="s">
        <v>1844</v>
      </c>
      <c r="D125">
        <v>30000</v>
      </c>
      <c r="E125">
        <v>30000</v>
      </c>
      <c r="F125">
        <v>30000</v>
      </c>
      <c r="G125">
        <v>30000</v>
      </c>
      <c r="H125">
        <v>30000</v>
      </c>
      <c r="I125">
        <v>30000</v>
      </c>
    </row>
    <row r="126" spans="1:9" x14ac:dyDescent="0.25">
      <c r="A126" t="s">
        <v>1933</v>
      </c>
      <c r="B126" t="s">
        <v>2035</v>
      </c>
      <c r="C126" t="s">
        <v>1844</v>
      </c>
      <c r="D126">
        <v>500000</v>
      </c>
      <c r="E126">
        <v>500000</v>
      </c>
      <c r="F126">
        <v>500000</v>
      </c>
      <c r="G126">
        <v>500000</v>
      </c>
      <c r="H126">
        <v>500000</v>
      </c>
      <c r="I126">
        <v>500000</v>
      </c>
    </row>
    <row r="127" spans="1:9" x14ac:dyDescent="0.25">
      <c r="A127" t="s">
        <v>1934</v>
      </c>
      <c r="B127" t="s">
        <v>1844</v>
      </c>
      <c r="C127" t="s">
        <v>1844</v>
      </c>
      <c r="I127">
        <v>0</v>
      </c>
    </row>
    <row r="128" spans="1:9" x14ac:dyDescent="0.25">
      <c r="A128" t="s">
        <v>1935</v>
      </c>
      <c r="B128" t="s">
        <v>858</v>
      </c>
      <c r="C128" t="s">
        <v>2064</v>
      </c>
      <c r="I128">
        <v>0</v>
      </c>
    </row>
    <row r="129" spans="1:9" x14ac:dyDescent="0.25">
      <c r="A129" t="s">
        <v>1935</v>
      </c>
      <c r="B129" t="s">
        <v>858</v>
      </c>
      <c r="C129" t="s">
        <v>1844</v>
      </c>
      <c r="D129">
        <v>240000</v>
      </c>
      <c r="E129">
        <v>245000</v>
      </c>
      <c r="F129">
        <v>245000</v>
      </c>
      <c r="G129">
        <v>245000</v>
      </c>
      <c r="H129">
        <v>260000</v>
      </c>
      <c r="I129">
        <v>260000</v>
      </c>
    </row>
    <row r="130" spans="1:9" x14ac:dyDescent="0.25">
      <c r="A130" t="s">
        <v>1936</v>
      </c>
      <c r="B130" t="s">
        <v>2036</v>
      </c>
      <c r="C130" t="s">
        <v>1844</v>
      </c>
      <c r="D130">
        <v>2000000</v>
      </c>
      <c r="E130">
        <v>2000000</v>
      </c>
      <c r="F130">
        <v>2000000</v>
      </c>
      <c r="G130">
        <v>2000000</v>
      </c>
      <c r="H130">
        <v>2000000</v>
      </c>
      <c r="I130">
        <v>2000000</v>
      </c>
    </row>
    <row r="131" spans="1:9" x14ac:dyDescent="0.25">
      <c r="A131" t="s">
        <v>1937</v>
      </c>
      <c r="B131" t="s">
        <v>838</v>
      </c>
      <c r="C131" t="s">
        <v>2064</v>
      </c>
      <c r="F131">
        <v>5000000</v>
      </c>
      <c r="G131">
        <v>5000000</v>
      </c>
      <c r="H131">
        <v>5000000</v>
      </c>
      <c r="I131">
        <v>5000000</v>
      </c>
    </row>
    <row r="132" spans="1:9" x14ac:dyDescent="0.25">
      <c r="A132" t="s">
        <v>1937</v>
      </c>
      <c r="B132" t="s">
        <v>851</v>
      </c>
      <c r="C132" t="s">
        <v>1844</v>
      </c>
      <c r="I132">
        <v>0</v>
      </c>
    </row>
    <row r="133" spans="1:9" x14ac:dyDescent="0.25">
      <c r="A133" t="s">
        <v>1938</v>
      </c>
      <c r="B133" t="s">
        <v>374</v>
      </c>
      <c r="C133" t="s">
        <v>1844</v>
      </c>
      <c r="D133">
        <v>0</v>
      </c>
      <c r="E133">
        <v>0</v>
      </c>
      <c r="F133">
        <v>200000</v>
      </c>
      <c r="G133">
        <v>200000</v>
      </c>
      <c r="H133">
        <v>200000</v>
      </c>
      <c r="I133">
        <v>200000</v>
      </c>
    </row>
    <row r="134" spans="1:9" x14ac:dyDescent="0.25">
      <c r="A134" t="s">
        <v>1939</v>
      </c>
      <c r="B134" t="s">
        <v>1844</v>
      </c>
      <c r="C134" t="s">
        <v>1844</v>
      </c>
      <c r="I134">
        <v>0</v>
      </c>
    </row>
    <row r="135" spans="1:9" x14ac:dyDescent="0.25">
      <c r="A135" t="s">
        <v>1940</v>
      </c>
      <c r="B135" t="s">
        <v>2037</v>
      </c>
      <c r="C135" t="s">
        <v>1844</v>
      </c>
      <c r="I135">
        <v>0</v>
      </c>
    </row>
    <row r="136" spans="1:9" x14ac:dyDescent="0.25">
      <c r="A136" t="s">
        <v>1941</v>
      </c>
      <c r="B136" t="s">
        <v>2038</v>
      </c>
      <c r="C136" t="s">
        <v>1844</v>
      </c>
      <c r="D136">
        <v>65000</v>
      </c>
      <c r="I136">
        <v>0</v>
      </c>
    </row>
    <row r="137" spans="1:9" x14ac:dyDescent="0.25">
      <c r="A137" t="s">
        <v>1942</v>
      </c>
      <c r="B137" t="s">
        <v>1844</v>
      </c>
      <c r="C137" t="s">
        <v>1844</v>
      </c>
      <c r="I137">
        <v>0</v>
      </c>
    </row>
    <row r="138" spans="1:9" x14ac:dyDescent="0.25">
      <c r="A138" t="s">
        <v>1943</v>
      </c>
      <c r="B138" t="s">
        <v>1049</v>
      </c>
      <c r="C138" t="s">
        <v>1844</v>
      </c>
      <c r="F138">
        <v>200000</v>
      </c>
      <c r="G138">
        <v>250000</v>
      </c>
      <c r="H138">
        <v>250000</v>
      </c>
      <c r="I138">
        <v>250000</v>
      </c>
    </row>
    <row r="139" spans="1:9" x14ac:dyDescent="0.25">
      <c r="A139" t="s">
        <v>1944</v>
      </c>
      <c r="B139" t="s">
        <v>833</v>
      </c>
      <c r="C139" t="s">
        <v>109</v>
      </c>
      <c r="F139">
        <v>2000000</v>
      </c>
      <c r="G139">
        <v>2000000</v>
      </c>
      <c r="H139">
        <v>2000000</v>
      </c>
      <c r="I139">
        <v>2000000</v>
      </c>
    </row>
    <row r="140" spans="1:9" x14ac:dyDescent="0.25">
      <c r="A140" t="s">
        <v>1945</v>
      </c>
      <c r="B140" t="s">
        <v>891</v>
      </c>
      <c r="C140" t="s">
        <v>1844</v>
      </c>
      <c r="D140">
        <v>400000</v>
      </c>
      <c r="E140">
        <v>400000</v>
      </c>
      <c r="F140">
        <v>400000</v>
      </c>
      <c r="G140">
        <v>400000</v>
      </c>
      <c r="H140">
        <v>400000</v>
      </c>
      <c r="I140">
        <v>400000</v>
      </c>
    </row>
    <row r="141" spans="1:9" x14ac:dyDescent="0.25">
      <c r="A141" t="s">
        <v>79</v>
      </c>
      <c r="B141" t="s">
        <v>2039</v>
      </c>
      <c r="C141" t="s">
        <v>1844</v>
      </c>
      <c r="D141">
        <v>20000</v>
      </c>
      <c r="E141">
        <v>20000</v>
      </c>
      <c r="F141">
        <v>20000</v>
      </c>
      <c r="G141">
        <v>20000</v>
      </c>
      <c r="H141">
        <v>20000</v>
      </c>
      <c r="I141">
        <v>20000</v>
      </c>
    </row>
    <row r="142" spans="1:9" x14ac:dyDescent="0.25">
      <c r="A142" t="s">
        <v>1946</v>
      </c>
      <c r="B142" t="s">
        <v>1844</v>
      </c>
      <c r="C142" t="s">
        <v>1844</v>
      </c>
      <c r="I142">
        <v>0</v>
      </c>
    </row>
    <row r="143" spans="1:9" x14ac:dyDescent="0.25">
      <c r="A143" t="s">
        <v>1947</v>
      </c>
      <c r="B143" t="s">
        <v>1844</v>
      </c>
      <c r="C143" t="s">
        <v>1844</v>
      </c>
      <c r="I143">
        <v>0</v>
      </c>
    </row>
    <row r="144" spans="1:9" x14ac:dyDescent="0.25">
      <c r="A144" t="s">
        <v>1948</v>
      </c>
      <c r="B144" t="s">
        <v>2040</v>
      </c>
      <c r="C144" t="s">
        <v>1844</v>
      </c>
      <c r="D144">
        <v>10000</v>
      </c>
      <c r="E144">
        <v>10000</v>
      </c>
      <c r="F144">
        <v>20000</v>
      </c>
      <c r="G144">
        <v>20000</v>
      </c>
      <c r="H144">
        <v>20000</v>
      </c>
      <c r="I144">
        <v>20000</v>
      </c>
    </row>
    <row r="145" spans="1:9" x14ac:dyDescent="0.25">
      <c r="A145" t="s">
        <v>1948</v>
      </c>
      <c r="B145" t="s">
        <v>460</v>
      </c>
      <c r="C145" t="s">
        <v>1844</v>
      </c>
      <c r="D145">
        <v>151320</v>
      </c>
      <c r="E145">
        <v>174800</v>
      </c>
      <c r="F145">
        <v>174800</v>
      </c>
      <c r="G145">
        <v>1000000</v>
      </c>
      <c r="H145">
        <v>1000000</v>
      </c>
      <c r="I145">
        <v>1000000</v>
      </c>
    </row>
    <row r="146" spans="1:9" x14ac:dyDescent="0.25">
      <c r="A146" t="s">
        <v>1949</v>
      </c>
      <c r="B146" t="s">
        <v>462</v>
      </c>
      <c r="C146" t="s">
        <v>1844</v>
      </c>
      <c r="D146">
        <v>21150</v>
      </c>
      <c r="E146">
        <v>23500</v>
      </c>
      <c r="F146">
        <v>23500</v>
      </c>
      <c r="G146">
        <v>30000</v>
      </c>
      <c r="H146">
        <v>30000</v>
      </c>
      <c r="I146">
        <v>30000</v>
      </c>
    </row>
    <row r="147" spans="1:9" x14ac:dyDescent="0.25">
      <c r="A147" t="s">
        <v>1950</v>
      </c>
      <c r="B147" t="s">
        <v>463</v>
      </c>
      <c r="C147" t="s">
        <v>1844</v>
      </c>
      <c r="D147">
        <v>4750</v>
      </c>
      <c r="E147">
        <v>3750</v>
      </c>
      <c r="F147">
        <v>3750</v>
      </c>
      <c r="I147">
        <v>0</v>
      </c>
    </row>
    <row r="148" spans="1:9" x14ac:dyDescent="0.25">
      <c r="A148" t="s">
        <v>63</v>
      </c>
      <c r="B148" t="s">
        <v>64</v>
      </c>
      <c r="C148" t="s">
        <v>1844</v>
      </c>
      <c r="D148">
        <v>220000</v>
      </c>
      <c r="E148">
        <v>85000</v>
      </c>
      <c r="F148">
        <v>213000</v>
      </c>
      <c r="G148">
        <v>75000</v>
      </c>
      <c r="H148">
        <v>213000</v>
      </c>
      <c r="I148">
        <v>213000</v>
      </c>
    </row>
    <row r="149" spans="1:9" x14ac:dyDescent="0.25">
      <c r="A149" t="s">
        <v>63</v>
      </c>
      <c r="B149" t="s">
        <v>2041</v>
      </c>
      <c r="C149" t="s">
        <v>1844</v>
      </c>
      <c r="E149">
        <v>250000</v>
      </c>
      <c r="F149">
        <v>250000</v>
      </c>
      <c r="G149">
        <v>250000</v>
      </c>
      <c r="H149">
        <v>250000</v>
      </c>
      <c r="I149">
        <v>250000</v>
      </c>
    </row>
    <row r="150" spans="1:9" x14ac:dyDescent="0.25">
      <c r="A150" t="s">
        <v>1951</v>
      </c>
      <c r="B150" t="s">
        <v>72</v>
      </c>
      <c r="C150" t="s">
        <v>1844</v>
      </c>
      <c r="D150">
        <v>75000</v>
      </c>
      <c r="E150">
        <v>30000</v>
      </c>
      <c r="F150">
        <v>80000</v>
      </c>
      <c r="G150">
        <v>30000</v>
      </c>
      <c r="H150">
        <v>80000</v>
      </c>
      <c r="I150">
        <v>80000</v>
      </c>
    </row>
    <row r="151" spans="1:9" x14ac:dyDescent="0.25">
      <c r="A151" t="s">
        <v>1837</v>
      </c>
      <c r="B151" t="s">
        <v>381</v>
      </c>
      <c r="C151" t="s">
        <v>1844</v>
      </c>
      <c r="D151">
        <v>20000</v>
      </c>
      <c r="E151">
        <v>58400</v>
      </c>
      <c r="F151">
        <v>64400</v>
      </c>
      <c r="G151">
        <v>64400</v>
      </c>
      <c r="H151">
        <v>64400</v>
      </c>
      <c r="I151">
        <v>64400</v>
      </c>
    </row>
    <row r="152" spans="1:9" x14ac:dyDescent="0.25">
      <c r="A152" t="s">
        <v>1104</v>
      </c>
      <c r="B152" t="s">
        <v>430</v>
      </c>
      <c r="C152" t="s">
        <v>1844</v>
      </c>
      <c r="D152">
        <v>2000</v>
      </c>
      <c r="E152">
        <v>2000</v>
      </c>
      <c r="F152">
        <v>2000</v>
      </c>
      <c r="G152">
        <v>2000</v>
      </c>
      <c r="H152">
        <v>2000</v>
      </c>
      <c r="I152">
        <v>2000</v>
      </c>
    </row>
    <row r="153" spans="1:9" x14ac:dyDescent="0.25">
      <c r="A153" t="s">
        <v>1838</v>
      </c>
      <c r="B153" t="s">
        <v>379</v>
      </c>
      <c r="C153" t="s">
        <v>1844</v>
      </c>
      <c r="D153">
        <v>7000</v>
      </c>
      <c r="E153">
        <v>27000</v>
      </c>
      <c r="F153">
        <v>18000</v>
      </c>
      <c r="G153">
        <v>24000</v>
      </c>
      <c r="H153">
        <v>24000</v>
      </c>
      <c r="I153">
        <v>24000</v>
      </c>
    </row>
    <row r="154" spans="1:9" x14ac:dyDescent="0.25">
      <c r="A154" t="s">
        <v>1952</v>
      </c>
      <c r="B154" t="s">
        <v>2042</v>
      </c>
      <c r="C154" t="s">
        <v>1844</v>
      </c>
      <c r="D154">
        <v>400000</v>
      </c>
      <c r="E154">
        <v>750000</v>
      </c>
      <c r="F154">
        <v>750000</v>
      </c>
      <c r="G154">
        <v>750000</v>
      </c>
      <c r="H154">
        <v>750000</v>
      </c>
      <c r="I154">
        <v>750000</v>
      </c>
    </row>
    <row r="155" spans="1:9" x14ac:dyDescent="0.25">
      <c r="A155" t="s">
        <v>311</v>
      </c>
      <c r="B155" t="s">
        <v>312</v>
      </c>
      <c r="C155" t="s">
        <v>1844</v>
      </c>
      <c r="D155">
        <v>50000</v>
      </c>
      <c r="F155">
        <v>50000</v>
      </c>
      <c r="G155">
        <v>50000</v>
      </c>
      <c r="I155">
        <v>0</v>
      </c>
    </row>
    <row r="156" spans="1:9" x14ac:dyDescent="0.25">
      <c r="A156" t="s">
        <v>1953</v>
      </c>
      <c r="B156" t="s">
        <v>2043</v>
      </c>
      <c r="C156" t="s">
        <v>1844</v>
      </c>
      <c r="H156">
        <v>5000</v>
      </c>
      <c r="I156">
        <v>5000</v>
      </c>
    </row>
    <row r="157" spans="1:9" x14ac:dyDescent="0.25">
      <c r="A157" t="s">
        <v>1954</v>
      </c>
      <c r="B157" t="s">
        <v>435</v>
      </c>
      <c r="C157" t="s">
        <v>1844</v>
      </c>
      <c r="D157">
        <v>200000</v>
      </c>
      <c r="E157">
        <v>200000</v>
      </c>
      <c r="F157">
        <v>200000</v>
      </c>
      <c r="G157">
        <v>200000</v>
      </c>
      <c r="H157">
        <v>200000</v>
      </c>
      <c r="I157">
        <v>200000</v>
      </c>
    </row>
    <row r="158" spans="1:9" x14ac:dyDescent="0.25">
      <c r="A158" t="s">
        <v>1955</v>
      </c>
      <c r="B158" t="s">
        <v>301</v>
      </c>
      <c r="C158" t="s">
        <v>1844</v>
      </c>
      <c r="D158">
        <v>210000</v>
      </c>
      <c r="E158">
        <v>214000</v>
      </c>
      <c r="F158">
        <v>219000</v>
      </c>
      <c r="G158">
        <v>219000</v>
      </c>
      <c r="H158">
        <v>229000</v>
      </c>
      <c r="I158">
        <v>229000</v>
      </c>
    </row>
    <row r="159" spans="1:9" x14ac:dyDescent="0.25">
      <c r="A159" t="s">
        <v>1956</v>
      </c>
      <c r="B159" t="s">
        <v>398</v>
      </c>
      <c r="C159" t="s">
        <v>1844</v>
      </c>
      <c r="D159">
        <v>356000</v>
      </c>
      <c r="E159">
        <v>366000</v>
      </c>
      <c r="F159">
        <v>358000</v>
      </c>
      <c r="G159">
        <v>368000</v>
      </c>
      <c r="H159">
        <v>358000</v>
      </c>
      <c r="I159">
        <v>368000</v>
      </c>
    </row>
    <row r="160" spans="1:9" x14ac:dyDescent="0.25">
      <c r="A160" t="s">
        <v>1956</v>
      </c>
      <c r="B160" t="s">
        <v>932</v>
      </c>
      <c r="C160" t="s">
        <v>1844</v>
      </c>
      <c r="D160">
        <v>600000</v>
      </c>
      <c r="E160">
        <v>600000</v>
      </c>
      <c r="F160">
        <v>600000</v>
      </c>
      <c r="G160">
        <v>600000</v>
      </c>
      <c r="H160">
        <v>600000</v>
      </c>
      <c r="I160">
        <v>600000</v>
      </c>
    </row>
    <row r="161" spans="1:9" x14ac:dyDescent="0.25">
      <c r="A161" t="s">
        <v>1957</v>
      </c>
      <c r="B161" t="s">
        <v>512</v>
      </c>
      <c r="C161" t="s">
        <v>1844</v>
      </c>
      <c r="D161">
        <v>262500</v>
      </c>
      <c r="E161">
        <v>312500</v>
      </c>
      <c r="F161">
        <v>315000</v>
      </c>
      <c r="G161">
        <v>315000</v>
      </c>
      <c r="H161">
        <v>315000</v>
      </c>
      <c r="I161">
        <v>315000</v>
      </c>
    </row>
    <row r="162" spans="1:9" x14ac:dyDescent="0.25">
      <c r="A162" t="s">
        <v>1785</v>
      </c>
      <c r="B162" t="s">
        <v>2044</v>
      </c>
      <c r="C162" t="s">
        <v>1844</v>
      </c>
      <c r="D162">
        <v>400000</v>
      </c>
      <c r="E162">
        <v>400000</v>
      </c>
      <c r="F162">
        <v>400000</v>
      </c>
      <c r="G162">
        <v>300000</v>
      </c>
      <c r="H162">
        <v>300000</v>
      </c>
      <c r="I162">
        <v>300000</v>
      </c>
    </row>
    <row r="163" spans="1:9" x14ac:dyDescent="0.25">
      <c r="A163" t="s">
        <v>1958</v>
      </c>
      <c r="B163" t="s">
        <v>835</v>
      </c>
      <c r="C163" t="s">
        <v>1844</v>
      </c>
      <c r="F163">
        <v>10000000</v>
      </c>
      <c r="G163">
        <v>10000000</v>
      </c>
      <c r="H163">
        <v>10000000</v>
      </c>
      <c r="I163">
        <v>10000000</v>
      </c>
    </row>
    <row r="164" spans="1:9" x14ac:dyDescent="0.25">
      <c r="A164" t="s">
        <v>1959</v>
      </c>
      <c r="B164" t="s">
        <v>836</v>
      </c>
      <c r="C164" t="s">
        <v>109</v>
      </c>
      <c r="D164">
        <v>4000000</v>
      </c>
      <c r="E164">
        <v>4000000</v>
      </c>
      <c r="F164">
        <v>4000000</v>
      </c>
      <c r="G164">
        <v>4000000</v>
      </c>
      <c r="H164">
        <v>4000000</v>
      </c>
      <c r="I164">
        <v>4000000</v>
      </c>
    </row>
    <row r="165" spans="1:9" x14ac:dyDescent="0.25">
      <c r="A165" t="s">
        <v>1959</v>
      </c>
      <c r="B165" t="s">
        <v>836</v>
      </c>
      <c r="C165" t="s">
        <v>1844</v>
      </c>
      <c r="F165">
        <v>2000000</v>
      </c>
      <c r="G165">
        <v>2000000</v>
      </c>
      <c r="H165">
        <v>2000000</v>
      </c>
      <c r="I165">
        <v>2000000</v>
      </c>
    </row>
    <row r="166" spans="1:9" x14ac:dyDescent="0.25">
      <c r="A166" t="s">
        <v>1960</v>
      </c>
      <c r="B166" t="s">
        <v>2045</v>
      </c>
      <c r="C166" t="s">
        <v>1844</v>
      </c>
      <c r="D166">
        <v>30000</v>
      </c>
      <c r="E166">
        <v>30000</v>
      </c>
      <c r="F166">
        <v>30000</v>
      </c>
      <c r="G166">
        <v>30000</v>
      </c>
      <c r="H166">
        <v>30000</v>
      </c>
      <c r="I166">
        <v>30000</v>
      </c>
    </row>
    <row r="167" spans="1:9" x14ac:dyDescent="0.25">
      <c r="A167" t="s">
        <v>1961</v>
      </c>
      <c r="B167" t="s">
        <v>1961</v>
      </c>
      <c r="C167" t="s">
        <v>1844</v>
      </c>
      <c r="D167">
        <v>14880</v>
      </c>
      <c r="E167">
        <v>14880</v>
      </c>
      <c r="F167">
        <v>14880</v>
      </c>
      <c r="G167">
        <v>14880</v>
      </c>
      <c r="H167">
        <v>14880</v>
      </c>
      <c r="I167">
        <v>14880</v>
      </c>
    </row>
    <row r="168" spans="1:9" x14ac:dyDescent="0.25">
      <c r="A168" t="s">
        <v>661</v>
      </c>
      <c r="B168" t="s">
        <v>661</v>
      </c>
      <c r="C168" t="s">
        <v>1844</v>
      </c>
      <c r="D168">
        <v>13000</v>
      </c>
      <c r="E168">
        <v>13000</v>
      </c>
      <c r="F168">
        <v>13000</v>
      </c>
      <c r="G168">
        <v>13000</v>
      </c>
      <c r="H168">
        <v>13000</v>
      </c>
      <c r="I168">
        <v>13000</v>
      </c>
    </row>
    <row r="169" spans="1:9" x14ac:dyDescent="0.25">
      <c r="A169" t="s">
        <v>1808</v>
      </c>
      <c r="B169" t="s">
        <v>1808</v>
      </c>
      <c r="C169" t="s">
        <v>1844</v>
      </c>
      <c r="I169">
        <v>0</v>
      </c>
    </row>
    <row r="170" spans="1:9" x14ac:dyDescent="0.25">
      <c r="A170" t="s">
        <v>1962</v>
      </c>
      <c r="B170" t="s">
        <v>2046</v>
      </c>
      <c r="C170" t="s">
        <v>1844</v>
      </c>
      <c r="D170">
        <v>160000</v>
      </c>
      <c r="E170">
        <v>160000</v>
      </c>
      <c r="F170">
        <v>160000</v>
      </c>
      <c r="G170">
        <v>160000</v>
      </c>
      <c r="H170">
        <v>160000</v>
      </c>
      <c r="I170">
        <v>160000</v>
      </c>
    </row>
    <row r="171" spans="1:9" x14ac:dyDescent="0.25">
      <c r="A171" t="s">
        <v>1963</v>
      </c>
      <c r="B171" t="s">
        <v>854</v>
      </c>
      <c r="C171" t="s">
        <v>1844</v>
      </c>
      <c r="D171">
        <v>20000</v>
      </c>
      <c r="E171">
        <v>30000</v>
      </c>
      <c r="F171">
        <v>30000</v>
      </c>
      <c r="G171">
        <v>30000</v>
      </c>
      <c r="H171">
        <v>30000</v>
      </c>
      <c r="I171">
        <v>30000</v>
      </c>
    </row>
    <row r="172" spans="1:9" x14ac:dyDescent="0.25">
      <c r="A172" t="s">
        <v>1963</v>
      </c>
      <c r="B172" t="s">
        <v>1745</v>
      </c>
      <c r="C172" t="s">
        <v>1844</v>
      </c>
      <c r="D172">
        <v>20000</v>
      </c>
      <c r="E172">
        <v>30000</v>
      </c>
      <c r="F172">
        <v>30000</v>
      </c>
      <c r="G172">
        <v>30000</v>
      </c>
      <c r="H172">
        <v>30000</v>
      </c>
      <c r="I172">
        <v>30000</v>
      </c>
    </row>
    <row r="173" spans="1:9" x14ac:dyDescent="0.25">
      <c r="A173" t="s">
        <v>1964</v>
      </c>
      <c r="B173" t="s">
        <v>940</v>
      </c>
      <c r="C173" t="s">
        <v>1844</v>
      </c>
      <c r="D173">
        <v>0</v>
      </c>
      <c r="E173">
        <v>0</v>
      </c>
      <c r="F173">
        <v>0</v>
      </c>
      <c r="G173">
        <v>0</v>
      </c>
      <c r="H173">
        <v>50000</v>
      </c>
      <c r="I173">
        <v>50000</v>
      </c>
    </row>
    <row r="174" spans="1:9" x14ac:dyDescent="0.25">
      <c r="A174" t="s">
        <v>360</v>
      </c>
      <c r="B174" t="s">
        <v>361</v>
      </c>
      <c r="C174" t="s">
        <v>1844</v>
      </c>
      <c r="D174">
        <v>3000</v>
      </c>
      <c r="E174">
        <v>0</v>
      </c>
      <c r="F174">
        <v>23000</v>
      </c>
      <c r="G174">
        <v>20000</v>
      </c>
      <c r="H174">
        <v>23000</v>
      </c>
      <c r="I174">
        <v>23000</v>
      </c>
    </row>
    <row r="175" spans="1:9" x14ac:dyDescent="0.25">
      <c r="A175" t="s">
        <v>1965</v>
      </c>
      <c r="B175" t="s">
        <v>534</v>
      </c>
      <c r="C175" t="s">
        <v>1844</v>
      </c>
      <c r="D175">
        <v>31000</v>
      </c>
      <c r="E175">
        <v>31500</v>
      </c>
      <c r="F175">
        <v>31000</v>
      </c>
      <c r="G175">
        <v>59500</v>
      </c>
      <c r="H175">
        <v>59000</v>
      </c>
      <c r="I175">
        <v>59000</v>
      </c>
    </row>
    <row r="176" spans="1:9" x14ac:dyDescent="0.25">
      <c r="A176" t="s">
        <v>394</v>
      </c>
      <c r="B176" t="s">
        <v>87</v>
      </c>
      <c r="C176" t="s">
        <v>1844</v>
      </c>
      <c r="D176">
        <v>33000</v>
      </c>
      <c r="E176">
        <v>37000</v>
      </c>
      <c r="F176">
        <v>48000</v>
      </c>
      <c r="G176">
        <v>58000</v>
      </c>
      <c r="H176">
        <v>63000</v>
      </c>
      <c r="I176">
        <v>63000</v>
      </c>
    </row>
    <row r="177" spans="1:9" x14ac:dyDescent="0.25">
      <c r="A177" t="s">
        <v>424</v>
      </c>
      <c r="B177" t="s">
        <v>425</v>
      </c>
      <c r="C177" t="s">
        <v>1844</v>
      </c>
      <c r="D177">
        <v>3000</v>
      </c>
      <c r="E177">
        <v>3000</v>
      </c>
      <c r="F177">
        <v>3000</v>
      </c>
      <c r="G177">
        <v>3000</v>
      </c>
      <c r="H177">
        <v>3000</v>
      </c>
      <c r="I177">
        <v>3000</v>
      </c>
    </row>
    <row r="178" spans="1:9" x14ac:dyDescent="0.25">
      <c r="A178" t="s">
        <v>1966</v>
      </c>
      <c r="B178" t="s">
        <v>559</v>
      </c>
      <c r="C178" t="s">
        <v>1844</v>
      </c>
      <c r="D178">
        <v>12000</v>
      </c>
      <c r="E178">
        <v>7000</v>
      </c>
      <c r="F178">
        <v>7000</v>
      </c>
      <c r="G178">
        <v>18000</v>
      </c>
      <c r="H178">
        <v>18000</v>
      </c>
      <c r="I178">
        <v>18000</v>
      </c>
    </row>
    <row r="179" spans="1:9" x14ac:dyDescent="0.25">
      <c r="A179" t="s">
        <v>1967</v>
      </c>
      <c r="B179" t="s">
        <v>529</v>
      </c>
      <c r="C179" t="s">
        <v>1844</v>
      </c>
      <c r="D179">
        <v>51000</v>
      </c>
      <c r="E179">
        <v>56000</v>
      </c>
      <c r="F179">
        <v>71000</v>
      </c>
      <c r="G179">
        <v>91000</v>
      </c>
      <c r="H179">
        <v>91000</v>
      </c>
      <c r="I179">
        <v>91000</v>
      </c>
    </row>
    <row r="180" spans="1:9" x14ac:dyDescent="0.25">
      <c r="A180" t="s">
        <v>1968</v>
      </c>
      <c r="B180" t="s">
        <v>2047</v>
      </c>
      <c r="C180" t="s">
        <v>1844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</row>
    <row r="181" spans="1:9" x14ac:dyDescent="0.25">
      <c r="A181" t="s">
        <v>1969</v>
      </c>
      <c r="B181" t="s">
        <v>1074</v>
      </c>
      <c r="C181" t="s">
        <v>1844</v>
      </c>
      <c r="D181">
        <v>100000</v>
      </c>
      <c r="E181">
        <v>100000</v>
      </c>
      <c r="F181">
        <v>100000</v>
      </c>
      <c r="G181">
        <v>100000</v>
      </c>
      <c r="H181">
        <v>100000</v>
      </c>
      <c r="I181">
        <v>100000</v>
      </c>
    </row>
    <row r="182" spans="1:9" x14ac:dyDescent="0.25">
      <c r="A182" t="s">
        <v>1969</v>
      </c>
      <c r="B182" t="s">
        <v>325</v>
      </c>
      <c r="C182" t="s">
        <v>1844</v>
      </c>
      <c r="D182">
        <v>160000</v>
      </c>
      <c r="E182">
        <v>160000</v>
      </c>
      <c r="F182">
        <v>160000</v>
      </c>
      <c r="G182">
        <v>160000</v>
      </c>
      <c r="H182">
        <v>160000</v>
      </c>
      <c r="I182">
        <v>160000</v>
      </c>
    </row>
    <row r="183" spans="1:9" x14ac:dyDescent="0.25">
      <c r="A183" t="s">
        <v>1969</v>
      </c>
      <c r="B183" t="s">
        <v>1839</v>
      </c>
      <c r="C183" t="s">
        <v>1844</v>
      </c>
      <c r="D183">
        <v>40000</v>
      </c>
      <c r="E183">
        <v>40000</v>
      </c>
      <c r="F183">
        <v>40000</v>
      </c>
      <c r="G183">
        <v>40000</v>
      </c>
      <c r="H183">
        <v>40000</v>
      </c>
      <c r="I183">
        <v>40000</v>
      </c>
    </row>
    <row r="184" spans="1:9" x14ac:dyDescent="0.25">
      <c r="A184" t="s">
        <v>1969</v>
      </c>
      <c r="B184" t="s">
        <v>531</v>
      </c>
      <c r="C184" t="s">
        <v>1844</v>
      </c>
      <c r="D184">
        <v>92000</v>
      </c>
      <c r="E184">
        <v>92000</v>
      </c>
      <c r="F184">
        <v>92000</v>
      </c>
      <c r="G184">
        <v>92000</v>
      </c>
      <c r="H184">
        <v>92000</v>
      </c>
      <c r="I184">
        <v>92000</v>
      </c>
    </row>
    <row r="185" spans="1:9" x14ac:dyDescent="0.25">
      <c r="A185" t="s">
        <v>1970</v>
      </c>
      <c r="B185" t="s">
        <v>409</v>
      </c>
      <c r="C185" t="s">
        <v>1844</v>
      </c>
      <c r="D185">
        <v>1000</v>
      </c>
      <c r="E185">
        <v>1000</v>
      </c>
      <c r="F185">
        <v>1000</v>
      </c>
      <c r="G185">
        <v>1000</v>
      </c>
      <c r="H185">
        <v>1000</v>
      </c>
      <c r="I185">
        <v>1000</v>
      </c>
    </row>
    <row r="186" spans="1:9" x14ac:dyDescent="0.25">
      <c r="A186" t="s">
        <v>314</v>
      </c>
      <c r="B186" t="s">
        <v>315</v>
      </c>
      <c r="C186" t="s">
        <v>1844</v>
      </c>
      <c r="D186">
        <v>47000</v>
      </c>
      <c r="E186">
        <v>37000</v>
      </c>
      <c r="F186">
        <v>42000</v>
      </c>
      <c r="G186">
        <v>42000</v>
      </c>
      <c r="H186">
        <v>42000</v>
      </c>
      <c r="I186">
        <v>42000</v>
      </c>
    </row>
    <row r="187" spans="1:9" x14ac:dyDescent="0.25">
      <c r="A187" t="s">
        <v>404</v>
      </c>
      <c r="B187" t="s">
        <v>405</v>
      </c>
      <c r="C187" t="s">
        <v>1844</v>
      </c>
      <c r="D187">
        <v>404500</v>
      </c>
      <c r="E187">
        <v>284500</v>
      </c>
      <c r="F187">
        <v>294500</v>
      </c>
      <c r="G187">
        <v>294500</v>
      </c>
      <c r="H187">
        <v>294500</v>
      </c>
      <c r="I187">
        <v>294500</v>
      </c>
    </row>
    <row r="188" spans="1:9" x14ac:dyDescent="0.25">
      <c r="A188" t="s">
        <v>326</v>
      </c>
      <c r="B188" t="s">
        <v>327</v>
      </c>
      <c r="C188" t="s">
        <v>1844</v>
      </c>
      <c r="I188">
        <v>0</v>
      </c>
    </row>
    <row r="189" spans="1:9" x14ac:dyDescent="0.25">
      <c r="A189" t="s">
        <v>1971</v>
      </c>
      <c r="B189" t="s">
        <v>1075</v>
      </c>
      <c r="C189" t="s">
        <v>1844</v>
      </c>
      <c r="D189">
        <v>110000</v>
      </c>
      <c r="E189">
        <v>100000</v>
      </c>
      <c r="F189">
        <v>100000</v>
      </c>
      <c r="G189">
        <v>100000</v>
      </c>
      <c r="H189">
        <v>100000</v>
      </c>
      <c r="I189">
        <v>100000</v>
      </c>
    </row>
    <row r="190" spans="1:9" x14ac:dyDescent="0.25">
      <c r="A190" t="s">
        <v>1840</v>
      </c>
      <c r="B190" t="s">
        <v>1841</v>
      </c>
      <c r="C190" t="s">
        <v>1844</v>
      </c>
      <c r="F190">
        <v>20000</v>
      </c>
      <c r="G190">
        <v>20000</v>
      </c>
      <c r="H190">
        <v>20000</v>
      </c>
      <c r="I190">
        <v>20000</v>
      </c>
    </row>
    <row r="191" spans="1:9" x14ac:dyDescent="0.25">
      <c r="A191" t="s">
        <v>1972</v>
      </c>
      <c r="B191" t="s">
        <v>467</v>
      </c>
      <c r="C191" t="s">
        <v>1844</v>
      </c>
      <c r="D191">
        <v>833570</v>
      </c>
      <c r="E191">
        <v>857970</v>
      </c>
      <c r="F191">
        <v>870370</v>
      </c>
      <c r="G191">
        <v>878850</v>
      </c>
      <c r="H191">
        <v>877330</v>
      </c>
      <c r="I191">
        <v>877330</v>
      </c>
    </row>
    <row r="192" spans="1:9" x14ac:dyDescent="0.25">
      <c r="A192" t="s">
        <v>1973</v>
      </c>
      <c r="B192" t="s">
        <v>1815</v>
      </c>
      <c r="C192" t="s">
        <v>1844</v>
      </c>
      <c r="D192">
        <v>506000</v>
      </c>
      <c r="E192">
        <v>506000</v>
      </c>
      <c r="F192">
        <v>406000</v>
      </c>
      <c r="G192">
        <v>506000</v>
      </c>
      <c r="H192">
        <v>506000</v>
      </c>
      <c r="I192">
        <v>506000</v>
      </c>
    </row>
    <row r="193" spans="1:9" x14ac:dyDescent="0.25">
      <c r="A193" t="s">
        <v>1973</v>
      </c>
      <c r="B193" t="s">
        <v>2048</v>
      </c>
      <c r="C193" t="s">
        <v>1844</v>
      </c>
      <c r="D193">
        <v>50000</v>
      </c>
      <c r="E193">
        <v>50000</v>
      </c>
      <c r="F193">
        <v>50000</v>
      </c>
      <c r="G193">
        <v>50000</v>
      </c>
      <c r="H193">
        <v>50000</v>
      </c>
      <c r="I193">
        <v>50000</v>
      </c>
    </row>
    <row r="194" spans="1:9" x14ac:dyDescent="0.25">
      <c r="A194" t="s">
        <v>1974</v>
      </c>
      <c r="B194" t="s">
        <v>2049</v>
      </c>
      <c r="C194" t="s">
        <v>1844</v>
      </c>
      <c r="D194">
        <v>20000</v>
      </c>
      <c r="E194">
        <v>20000</v>
      </c>
      <c r="F194">
        <v>20000</v>
      </c>
      <c r="G194">
        <v>20000</v>
      </c>
      <c r="H194">
        <v>20000</v>
      </c>
      <c r="I194">
        <v>20000</v>
      </c>
    </row>
    <row r="195" spans="1:9" x14ac:dyDescent="0.25">
      <c r="A195" t="s">
        <v>1975</v>
      </c>
      <c r="B195" t="s">
        <v>2050</v>
      </c>
      <c r="C195" t="s">
        <v>1844</v>
      </c>
      <c r="D195">
        <v>100000</v>
      </c>
      <c r="E195">
        <v>100000</v>
      </c>
      <c r="F195">
        <v>100000</v>
      </c>
      <c r="G195">
        <v>100000</v>
      </c>
      <c r="H195">
        <v>100000</v>
      </c>
      <c r="I195">
        <v>100000</v>
      </c>
    </row>
    <row r="196" spans="1:9" x14ac:dyDescent="0.25">
      <c r="A196" t="s">
        <v>1975</v>
      </c>
      <c r="B196" t="s">
        <v>473</v>
      </c>
      <c r="C196" t="s">
        <v>1844</v>
      </c>
      <c r="D196">
        <v>330000</v>
      </c>
      <c r="E196">
        <v>340500</v>
      </c>
      <c r="F196">
        <v>240000</v>
      </c>
      <c r="G196">
        <v>240000</v>
      </c>
      <c r="H196">
        <v>270000</v>
      </c>
      <c r="I196">
        <v>270000</v>
      </c>
    </row>
    <row r="197" spans="1:9" x14ac:dyDescent="0.25">
      <c r="A197" t="s">
        <v>418</v>
      </c>
      <c r="B197" t="s">
        <v>419</v>
      </c>
      <c r="C197" t="s">
        <v>1844</v>
      </c>
      <c r="D197">
        <v>120000</v>
      </c>
      <c r="E197">
        <v>120000</v>
      </c>
      <c r="F197">
        <v>125000</v>
      </c>
      <c r="G197">
        <v>125000</v>
      </c>
      <c r="H197">
        <v>103000</v>
      </c>
      <c r="I197">
        <v>103000</v>
      </c>
    </row>
    <row r="198" spans="1:9" x14ac:dyDescent="0.25">
      <c r="A198" t="s">
        <v>1976</v>
      </c>
      <c r="B198" t="s">
        <v>2051</v>
      </c>
      <c r="C198" t="s">
        <v>1844</v>
      </c>
      <c r="D198">
        <v>90000</v>
      </c>
      <c r="E198">
        <v>90000</v>
      </c>
      <c r="F198">
        <v>90000</v>
      </c>
      <c r="G198">
        <v>90000</v>
      </c>
      <c r="H198">
        <v>90000</v>
      </c>
      <c r="I198">
        <v>90000</v>
      </c>
    </row>
    <row r="199" spans="1:9" x14ac:dyDescent="0.25">
      <c r="A199" t="s">
        <v>1976</v>
      </c>
      <c r="B199" t="s">
        <v>175</v>
      </c>
      <c r="C199" t="s">
        <v>1844</v>
      </c>
      <c r="D199">
        <v>179000</v>
      </c>
      <c r="E199">
        <v>204000</v>
      </c>
      <c r="F199">
        <v>214000</v>
      </c>
      <c r="G199">
        <v>204000</v>
      </c>
      <c r="H199">
        <v>207000</v>
      </c>
      <c r="I199">
        <v>207000</v>
      </c>
    </row>
    <row r="200" spans="1:9" x14ac:dyDescent="0.25">
      <c r="A200" t="s">
        <v>1977</v>
      </c>
      <c r="B200" t="s">
        <v>472</v>
      </c>
      <c r="C200" t="s">
        <v>1844</v>
      </c>
      <c r="I200">
        <v>0</v>
      </c>
    </row>
    <row r="201" spans="1:9" x14ac:dyDescent="0.25">
      <c r="A201" t="s">
        <v>1978</v>
      </c>
      <c r="B201" t="s">
        <v>516</v>
      </c>
      <c r="C201" t="s">
        <v>1844</v>
      </c>
      <c r="D201">
        <v>610000</v>
      </c>
      <c r="E201">
        <v>920000</v>
      </c>
      <c r="F201">
        <v>700000</v>
      </c>
      <c r="G201">
        <v>478000</v>
      </c>
      <c r="H201">
        <v>478000</v>
      </c>
      <c r="I201">
        <v>478000</v>
      </c>
    </row>
    <row r="202" spans="1:9" x14ac:dyDescent="0.25">
      <c r="A202" t="s">
        <v>1979</v>
      </c>
      <c r="B202" t="s">
        <v>1844</v>
      </c>
      <c r="C202" t="s">
        <v>1844</v>
      </c>
      <c r="I202">
        <v>0</v>
      </c>
    </row>
    <row r="203" spans="1:9" x14ac:dyDescent="0.25">
      <c r="A203" t="s">
        <v>330</v>
      </c>
      <c r="B203" t="s">
        <v>331</v>
      </c>
      <c r="C203" t="s">
        <v>1844</v>
      </c>
      <c r="D203">
        <v>2000</v>
      </c>
      <c r="E203">
        <v>2000</v>
      </c>
      <c r="F203">
        <v>2000</v>
      </c>
      <c r="G203">
        <v>5000</v>
      </c>
      <c r="H203">
        <v>5000</v>
      </c>
      <c r="I203">
        <v>5000</v>
      </c>
    </row>
    <row r="204" spans="1:9" x14ac:dyDescent="0.25">
      <c r="A204" t="s">
        <v>1980</v>
      </c>
      <c r="B204" t="s">
        <v>553</v>
      </c>
      <c r="C204" t="s">
        <v>1844</v>
      </c>
      <c r="D204">
        <v>10000</v>
      </c>
      <c r="E204">
        <v>10000</v>
      </c>
      <c r="F204">
        <v>10000</v>
      </c>
      <c r="G204">
        <v>4000</v>
      </c>
      <c r="H204">
        <v>4000</v>
      </c>
      <c r="I204">
        <v>4000</v>
      </c>
    </row>
    <row r="205" spans="1:9" x14ac:dyDescent="0.25">
      <c r="A205" t="s">
        <v>1981</v>
      </c>
      <c r="B205" t="s">
        <v>2052</v>
      </c>
      <c r="C205" t="s">
        <v>1844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1982</v>
      </c>
      <c r="B206" t="s">
        <v>333</v>
      </c>
      <c r="C206" t="s">
        <v>1844</v>
      </c>
      <c r="D206">
        <v>10000</v>
      </c>
      <c r="E206">
        <v>10000</v>
      </c>
      <c r="F206">
        <v>25000</v>
      </c>
      <c r="G206">
        <v>25000</v>
      </c>
      <c r="H206">
        <v>27000</v>
      </c>
      <c r="I206">
        <v>27000</v>
      </c>
    </row>
    <row r="207" spans="1:9" x14ac:dyDescent="0.25">
      <c r="A207" t="s">
        <v>317</v>
      </c>
      <c r="B207" t="s">
        <v>318</v>
      </c>
      <c r="C207" t="s">
        <v>1844</v>
      </c>
      <c r="D207">
        <v>27000</v>
      </c>
      <c r="E207">
        <v>27000</v>
      </c>
      <c r="F207">
        <v>27000</v>
      </c>
      <c r="G207">
        <v>27000</v>
      </c>
      <c r="H207">
        <v>27000</v>
      </c>
      <c r="I207">
        <v>27000</v>
      </c>
    </row>
    <row r="208" spans="1:9" x14ac:dyDescent="0.25">
      <c r="A208" t="s">
        <v>414</v>
      </c>
      <c r="B208" t="s">
        <v>415</v>
      </c>
      <c r="C208" t="s">
        <v>1844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</row>
    <row r="209" spans="1:9" x14ac:dyDescent="0.25">
      <c r="A209" t="s">
        <v>1983</v>
      </c>
      <c r="B209" t="s">
        <v>2053</v>
      </c>
      <c r="C209" t="s">
        <v>1844</v>
      </c>
      <c r="I209">
        <v>0</v>
      </c>
    </row>
    <row r="210" spans="1:9" x14ac:dyDescent="0.25">
      <c r="A210" t="s">
        <v>1984</v>
      </c>
      <c r="B210" t="s">
        <v>538</v>
      </c>
      <c r="C210" t="s">
        <v>1844</v>
      </c>
      <c r="D210">
        <v>40000</v>
      </c>
      <c r="E210">
        <v>41000</v>
      </c>
      <c r="F210">
        <v>41000</v>
      </c>
      <c r="G210">
        <v>41000</v>
      </c>
      <c r="H210">
        <v>41000</v>
      </c>
      <c r="I210">
        <v>41000</v>
      </c>
    </row>
    <row r="211" spans="1:9" x14ac:dyDescent="0.25">
      <c r="A211" t="s">
        <v>1985</v>
      </c>
      <c r="B211" t="s">
        <v>2054</v>
      </c>
      <c r="C211" t="s">
        <v>1844</v>
      </c>
      <c r="I211">
        <v>0</v>
      </c>
    </row>
    <row r="212" spans="1:9" x14ac:dyDescent="0.25">
      <c r="A212" t="s">
        <v>1986</v>
      </c>
      <c r="B212" t="s">
        <v>1065</v>
      </c>
      <c r="C212" t="s">
        <v>1844</v>
      </c>
      <c r="D212">
        <v>1000000</v>
      </c>
      <c r="E212">
        <v>1200000</v>
      </c>
      <c r="F212">
        <v>2000000</v>
      </c>
      <c r="G212">
        <v>1200000</v>
      </c>
      <c r="H212">
        <v>2000000</v>
      </c>
      <c r="I212">
        <v>2000000</v>
      </c>
    </row>
    <row r="213" spans="1:9" x14ac:dyDescent="0.25">
      <c r="A213" t="s">
        <v>1986</v>
      </c>
      <c r="B213" t="s">
        <v>1071</v>
      </c>
      <c r="C213" t="s">
        <v>1844</v>
      </c>
      <c r="D213">
        <v>600000</v>
      </c>
      <c r="E213">
        <v>1000000</v>
      </c>
      <c r="F213">
        <v>500000</v>
      </c>
      <c r="G213">
        <v>600000</v>
      </c>
      <c r="H213">
        <v>800000</v>
      </c>
      <c r="I213">
        <v>800000</v>
      </c>
    </row>
    <row r="214" spans="1:9" x14ac:dyDescent="0.25">
      <c r="A214" t="s">
        <v>1987</v>
      </c>
      <c r="B214" t="s">
        <v>1064</v>
      </c>
      <c r="C214" t="s">
        <v>1844</v>
      </c>
      <c r="D214">
        <v>2400000</v>
      </c>
      <c r="E214">
        <v>3600000</v>
      </c>
      <c r="F214">
        <v>2100000</v>
      </c>
      <c r="G214">
        <v>2400000</v>
      </c>
      <c r="H214">
        <v>3800000</v>
      </c>
      <c r="I214">
        <v>3800000</v>
      </c>
    </row>
    <row r="215" spans="1:9" x14ac:dyDescent="0.25">
      <c r="A215" t="s">
        <v>1987</v>
      </c>
      <c r="B215" t="s">
        <v>1069</v>
      </c>
      <c r="C215" t="s">
        <v>1844</v>
      </c>
      <c r="D215">
        <v>800000</v>
      </c>
      <c r="E215">
        <v>800000</v>
      </c>
      <c r="F215">
        <v>400000</v>
      </c>
      <c r="G215">
        <v>400000</v>
      </c>
      <c r="H215">
        <v>800000</v>
      </c>
      <c r="I215">
        <v>800000</v>
      </c>
    </row>
    <row r="216" spans="1:9" x14ac:dyDescent="0.25">
      <c r="A216" t="s">
        <v>1988</v>
      </c>
      <c r="B216" t="s">
        <v>1063</v>
      </c>
      <c r="C216" t="s">
        <v>1844</v>
      </c>
      <c r="I216">
        <v>0</v>
      </c>
    </row>
    <row r="217" spans="1:9" x14ac:dyDescent="0.25">
      <c r="A217" t="s">
        <v>1988</v>
      </c>
      <c r="B217" t="s">
        <v>1068</v>
      </c>
      <c r="C217" t="s">
        <v>1844</v>
      </c>
      <c r="I217">
        <v>0</v>
      </c>
    </row>
    <row r="218" spans="1:9" x14ac:dyDescent="0.25">
      <c r="A218" t="s">
        <v>1989</v>
      </c>
      <c r="B218" t="s">
        <v>1072</v>
      </c>
      <c r="C218" t="s">
        <v>1844</v>
      </c>
      <c r="D218">
        <v>50000</v>
      </c>
      <c r="E218">
        <v>80000</v>
      </c>
      <c r="F218">
        <v>100000</v>
      </c>
      <c r="G218">
        <v>100000</v>
      </c>
      <c r="H218">
        <v>200000</v>
      </c>
      <c r="I218">
        <v>200000</v>
      </c>
    </row>
    <row r="219" spans="1:9" x14ac:dyDescent="0.25">
      <c r="A219" t="s">
        <v>1990</v>
      </c>
      <c r="B219" t="s">
        <v>1062</v>
      </c>
      <c r="C219" t="s">
        <v>1844</v>
      </c>
      <c r="D219">
        <v>500000</v>
      </c>
      <c r="E219">
        <v>500000</v>
      </c>
      <c r="F219">
        <v>600000</v>
      </c>
      <c r="G219">
        <v>600000</v>
      </c>
      <c r="H219">
        <v>1000000</v>
      </c>
      <c r="I219">
        <v>1000000</v>
      </c>
    </row>
    <row r="220" spans="1:9" x14ac:dyDescent="0.25">
      <c r="A220" t="s">
        <v>83</v>
      </c>
      <c r="B220" t="s">
        <v>84</v>
      </c>
      <c r="C220" t="s">
        <v>1844</v>
      </c>
      <c r="I220">
        <v>0</v>
      </c>
    </row>
    <row r="221" spans="1:9" x14ac:dyDescent="0.25">
      <c r="A221" t="s">
        <v>843</v>
      </c>
      <c r="B221" t="s">
        <v>843</v>
      </c>
      <c r="C221" t="s">
        <v>1844</v>
      </c>
      <c r="D221">
        <v>125</v>
      </c>
      <c r="E221">
        <v>125</v>
      </c>
      <c r="F221">
        <v>125</v>
      </c>
      <c r="G221">
        <v>125</v>
      </c>
      <c r="H221">
        <v>125</v>
      </c>
      <c r="I221">
        <v>125</v>
      </c>
    </row>
    <row r="222" spans="1:9" x14ac:dyDescent="0.25">
      <c r="A222" t="s">
        <v>1991</v>
      </c>
      <c r="B222" t="s">
        <v>2055</v>
      </c>
      <c r="C222" t="s">
        <v>1844</v>
      </c>
      <c r="F222">
        <v>15000</v>
      </c>
      <c r="G222">
        <v>15000</v>
      </c>
      <c r="H222">
        <v>20000</v>
      </c>
      <c r="I222">
        <v>20000</v>
      </c>
    </row>
    <row r="223" spans="1:9" x14ac:dyDescent="0.25">
      <c r="A223" t="s">
        <v>1992</v>
      </c>
      <c r="B223" t="s">
        <v>2056</v>
      </c>
      <c r="C223" t="s">
        <v>1844</v>
      </c>
      <c r="F223">
        <v>5000</v>
      </c>
      <c r="G223">
        <v>10000</v>
      </c>
      <c r="H223">
        <v>10000</v>
      </c>
      <c r="I223">
        <v>10000</v>
      </c>
    </row>
    <row r="224" spans="1:9" x14ac:dyDescent="0.25">
      <c r="A224" t="s">
        <v>1993</v>
      </c>
      <c r="B224" t="s">
        <v>897</v>
      </c>
      <c r="C224" t="s">
        <v>1844</v>
      </c>
      <c r="D224">
        <v>51000</v>
      </c>
      <c r="E224">
        <v>101000</v>
      </c>
      <c r="F224">
        <v>105000</v>
      </c>
      <c r="G224">
        <v>105000</v>
      </c>
      <c r="H224">
        <v>105000</v>
      </c>
      <c r="I224">
        <v>105000</v>
      </c>
    </row>
    <row r="225" spans="1:9" x14ac:dyDescent="0.25">
      <c r="A225" t="s">
        <v>1993</v>
      </c>
      <c r="B225" t="s">
        <v>1844</v>
      </c>
      <c r="C225" t="s">
        <v>1844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1994</v>
      </c>
      <c r="B226" t="s">
        <v>2057</v>
      </c>
      <c r="C226" t="s">
        <v>1844</v>
      </c>
      <c r="D226">
        <v>0</v>
      </c>
      <c r="E226">
        <v>0</v>
      </c>
      <c r="F226">
        <v>10000</v>
      </c>
      <c r="G226">
        <v>10000</v>
      </c>
      <c r="H226">
        <v>10000</v>
      </c>
      <c r="I226">
        <v>10000</v>
      </c>
    </row>
    <row r="227" spans="1:9" x14ac:dyDescent="0.25">
      <c r="A227" t="s">
        <v>1995</v>
      </c>
      <c r="B227" t="s">
        <v>1844</v>
      </c>
      <c r="C227" t="s">
        <v>1844</v>
      </c>
      <c r="D227">
        <v>0</v>
      </c>
      <c r="E227">
        <v>0</v>
      </c>
      <c r="F227">
        <v>0</v>
      </c>
      <c r="G227">
        <v>0</v>
      </c>
      <c r="I227">
        <v>0</v>
      </c>
    </row>
    <row r="228" spans="1:9" x14ac:dyDescent="0.25">
      <c r="A228" t="s">
        <v>1996</v>
      </c>
      <c r="B228" t="s">
        <v>1844</v>
      </c>
      <c r="C228" t="s">
        <v>1844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</row>
    <row r="229" spans="1:9" x14ac:dyDescent="0.25">
      <c r="A229" t="s">
        <v>1997</v>
      </c>
      <c r="B229" t="s">
        <v>613</v>
      </c>
      <c r="C229" t="s">
        <v>1844</v>
      </c>
      <c r="D229">
        <v>27000</v>
      </c>
      <c r="E229">
        <v>56000</v>
      </c>
      <c r="F229">
        <v>105000</v>
      </c>
      <c r="G229">
        <v>105000</v>
      </c>
      <c r="H229">
        <v>105000</v>
      </c>
      <c r="I229">
        <v>105000</v>
      </c>
    </row>
    <row r="230" spans="1:9" x14ac:dyDescent="0.25">
      <c r="A230" t="s">
        <v>1998</v>
      </c>
      <c r="B230" t="s">
        <v>611</v>
      </c>
      <c r="C230" t="s">
        <v>1844</v>
      </c>
      <c r="D230">
        <v>4000</v>
      </c>
      <c r="E230">
        <v>10000</v>
      </c>
      <c r="F230">
        <v>20000</v>
      </c>
      <c r="G230">
        <v>20000</v>
      </c>
      <c r="H230">
        <v>20000</v>
      </c>
      <c r="I230">
        <v>20000</v>
      </c>
    </row>
    <row r="231" spans="1:9" x14ac:dyDescent="0.25">
      <c r="A231" t="s">
        <v>1999</v>
      </c>
      <c r="B231" t="s">
        <v>1844</v>
      </c>
      <c r="C231" t="s">
        <v>1844</v>
      </c>
      <c r="I231">
        <v>0</v>
      </c>
    </row>
    <row r="232" spans="1:9" x14ac:dyDescent="0.25">
      <c r="A232" t="s">
        <v>2000</v>
      </c>
      <c r="B232" t="s">
        <v>1844</v>
      </c>
      <c r="C232" t="s">
        <v>1844</v>
      </c>
      <c r="I232">
        <v>0</v>
      </c>
    </row>
    <row r="233" spans="1:9" x14ac:dyDescent="0.25">
      <c r="A233" t="s">
        <v>122</v>
      </c>
      <c r="B233" t="s">
        <v>122</v>
      </c>
      <c r="C233" t="s">
        <v>1844</v>
      </c>
      <c r="D233">
        <v>12000</v>
      </c>
      <c r="E233">
        <v>20000</v>
      </c>
      <c r="F233">
        <v>20000</v>
      </c>
      <c r="G233">
        <v>60000</v>
      </c>
      <c r="H233">
        <v>120000</v>
      </c>
      <c r="I233">
        <v>120000</v>
      </c>
    </row>
    <row r="234" spans="1:9" x14ac:dyDescent="0.25">
      <c r="A234" t="s">
        <v>203</v>
      </c>
      <c r="B234" t="s">
        <v>203</v>
      </c>
      <c r="C234" t="s">
        <v>1844</v>
      </c>
      <c r="I234">
        <v>0</v>
      </c>
    </row>
    <row r="235" spans="1:9" x14ac:dyDescent="0.25">
      <c r="A235" t="s">
        <v>2001</v>
      </c>
      <c r="B235" t="s">
        <v>1844</v>
      </c>
      <c r="C235" t="s">
        <v>1844</v>
      </c>
      <c r="I235">
        <v>0</v>
      </c>
    </row>
    <row r="236" spans="1:9" x14ac:dyDescent="0.25">
      <c r="A236" t="s">
        <v>1844</v>
      </c>
      <c r="B236" t="s">
        <v>1844</v>
      </c>
      <c r="C236" t="s">
        <v>1844</v>
      </c>
      <c r="I236">
        <v>0</v>
      </c>
    </row>
    <row r="237" spans="1:9" x14ac:dyDescent="0.25">
      <c r="A237" t="s">
        <v>1845</v>
      </c>
      <c r="D237">
        <v>58119993</v>
      </c>
      <c r="E237">
        <v>57128220</v>
      </c>
      <c r="F237">
        <v>71190571</v>
      </c>
      <c r="G237">
        <v>73934501</v>
      </c>
      <c r="H237">
        <v>77548434</v>
      </c>
      <c r="I237">
        <v>77554434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B3025-CBA8-451E-A459-98C176725D65}">
  <sheetPr filterMode="1"/>
  <dimension ref="A1:BT644"/>
  <sheetViews>
    <sheetView tabSelected="1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E650" sqref="E650"/>
    </sheetView>
  </sheetViews>
  <sheetFormatPr defaultRowHeight="13.8" outlineLevelCol="1" x14ac:dyDescent="0.25"/>
  <cols>
    <col min="1" max="1" width="9.5546875" bestFit="1" customWidth="1"/>
    <col min="2" max="2" width="30.5546875" customWidth="1"/>
    <col min="3" max="3" width="9.109375" bestFit="1" customWidth="1"/>
    <col min="4" max="4" width="27.21875" customWidth="1"/>
    <col min="5" max="5" width="9.109375" bestFit="1" customWidth="1"/>
    <col min="6" max="6" width="10.5546875" bestFit="1" customWidth="1"/>
    <col min="7" max="7" width="17.88671875" customWidth="1"/>
    <col min="8" max="8" width="30.77734375" customWidth="1"/>
    <col min="9" max="9" width="8.5546875" bestFit="1" customWidth="1"/>
    <col min="10" max="10" width="6.5546875" bestFit="1" customWidth="1"/>
    <col min="11" max="11" width="26.33203125" customWidth="1" outlineLevel="1"/>
    <col min="12" max="12" width="23" customWidth="1" outlineLevel="1"/>
    <col min="13" max="13" width="13.109375" customWidth="1" outlineLevel="1"/>
    <col min="14" max="14" width="32.6640625" customWidth="1" outlineLevel="1"/>
    <col min="15" max="15" width="16.33203125" customWidth="1" outlineLevel="1"/>
    <col min="16" max="16" width="11.6640625" customWidth="1" outlineLevel="1"/>
    <col min="17" max="17" width="14" style="62" bestFit="1" customWidth="1" outlineLevel="1"/>
    <col min="18" max="18" width="17.109375" customWidth="1" outlineLevel="1"/>
    <col min="19" max="23" width="12.77734375" customWidth="1" outlineLevel="1"/>
    <col min="24" max="25" width="11.6640625" customWidth="1" outlineLevel="1"/>
    <col min="26" max="30" width="12.88671875" bestFit="1" customWidth="1"/>
    <col min="31" max="32" width="13.88671875" bestFit="1" customWidth="1"/>
    <col min="33" max="33" width="12.77734375" customWidth="1"/>
    <col min="34" max="36" width="9.109375" bestFit="1" customWidth="1"/>
    <col min="37" max="37" width="9.6640625" bestFit="1" customWidth="1"/>
    <col min="38" max="38" width="9.109375" bestFit="1" customWidth="1"/>
    <col min="39" max="39" width="9.6640625" bestFit="1" customWidth="1"/>
    <col min="40" max="42" width="9.109375" bestFit="1" customWidth="1"/>
    <col min="43" max="45" width="10.21875" bestFit="1" customWidth="1"/>
    <col min="46" max="46" width="7.5546875" bestFit="1" customWidth="1"/>
    <col min="47" max="47" width="7.88671875" bestFit="1" customWidth="1"/>
    <col min="48" max="48" width="15.21875" bestFit="1" customWidth="1"/>
    <col min="49" max="49" width="13.109375" bestFit="1" customWidth="1"/>
    <col min="50" max="50" width="14.21875" bestFit="1" customWidth="1"/>
    <col min="51" max="51" width="19.33203125" bestFit="1" customWidth="1"/>
    <col min="52" max="52" width="51.6640625" bestFit="1" customWidth="1"/>
    <col min="53" max="53" width="37.21875" bestFit="1" customWidth="1"/>
    <col min="54" max="54" width="5.77734375" bestFit="1" customWidth="1"/>
    <col min="55" max="55" width="33.5546875" bestFit="1" customWidth="1"/>
    <col min="56" max="56" width="10" bestFit="1" customWidth="1"/>
    <col min="57" max="57" width="9.5546875" bestFit="1" customWidth="1"/>
    <col min="58" max="62" width="11.6640625" bestFit="1" customWidth="1"/>
    <col min="63" max="64" width="10" bestFit="1" customWidth="1"/>
    <col min="65" max="66" width="11.77734375" bestFit="1" customWidth="1"/>
    <col min="67" max="69" width="9.6640625" bestFit="1" customWidth="1"/>
    <col min="70" max="72" width="12.77734375" bestFit="1" customWidth="1"/>
  </cols>
  <sheetData>
    <row r="1" spans="1:72" ht="21" customHeight="1" x14ac:dyDescent="0.25">
      <c r="A1" s="63" t="s">
        <v>1728</v>
      </c>
      <c r="B1" s="63" t="s">
        <v>1774</v>
      </c>
      <c r="C1" s="63" t="s">
        <v>0</v>
      </c>
      <c r="D1" s="63" t="s">
        <v>1</v>
      </c>
      <c r="E1" s="63" t="s">
        <v>2</v>
      </c>
      <c r="F1" s="63" t="s">
        <v>3</v>
      </c>
      <c r="G1" s="63" t="s">
        <v>4</v>
      </c>
      <c r="H1" s="63" t="s">
        <v>961</v>
      </c>
      <c r="I1" s="63" t="s">
        <v>962</v>
      </c>
      <c r="J1" s="63" t="s">
        <v>5</v>
      </c>
      <c r="K1" s="63" t="s">
        <v>6</v>
      </c>
      <c r="L1" s="64" t="s">
        <v>7</v>
      </c>
      <c r="M1" s="63" t="s">
        <v>8</v>
      </c>
      <c r="N1" s="63" t="s">
        <v>9</v>
      </c>
      <c r="O1" s="63" t="s">
        <v>10</v>
      </c>
      <c r="P1" s="65" t="s">
        <v>11</v>
      </c>
      <c r="Q1" s="66" t="s">
        <v>12</v>
      </c>
      <c r="R1" s="67" t="s">
        <v>13</v>
      </c>
      <c r="S1" s="68" t="s">
        <v>14</v>
      </c>
      <c r="T1" s="64" t="s">
        <v>15</v>
      </c>
      <c r="U1" s="64" t="s">
        <v>16</v>
      </c>
      <c r="V1" s="64" t="s">
        <v>17</v>
      </c>
      <c r="W1" s="64" t="s">
        <v>18</v>
      </c>
      <c r="X1" s="64" t="s">
        <v>19</v>
      </c>
      <c r="Y1" s="64" t="s">
        <v>20</v>
      </c>
      <c r="Z1" s="64" t="s">
        <v>21</v>
      </c>
      <c r="AA1" s="64" t="s">
        <v>22</v>
      </c>
      <c r="AB1" s="64" t="s">
        <v>23</v>
      </c>
      <c r="AC1" s="64" t="s">
        <v>24</v>
      </c>
      <c r="AD1" s="64" t="s">
        <v>25</v>
      </c>
      <c r="AE1" s="64" t="s">
        <v>26</v>
      </c>
      <c r="AF1" s="64" t="s">
        <v>27</v>
      </c>
      <c r="AG1" s="64" t="s">
        <v>1767</v>
      </c>
      <c r="AH1" s="69" t="s">
        <v>28</v>
      </c>
      <c r="AI1" s="69" t="s">
        <v>29</v>
      </c>
      <c r="AJ1" s="69" t="s">
        <v>30</v>
      </c>
      <c r="AK1" s="69" t="s">
        <v>31</v>
      </c>
      <c r="AL1" s="69" t="s">
        <v>32</v>
      </c>
      <c r="AM1" s="69" t="s">
        <v>33</v>
      </c>
      <c r="AN1" s="69" t="s">
        <v>34</v>
      </c>
      <c r="AO1" s="69" t="s">
        <v>35</v>
      </c>
      <c r="AP1" s="69" t="s">
        <v>36</v>
      </c>
      <c r="AQ1" s="69" t="s">
        <v>37</v>
      </c>
      <c r="AR1" s="69" t="s">
        <v>38</v>
      </c>
      <c r="AS1" s="69" t="s">
        <v>39</v>
      </c>
      <c r="AT1" s="63" t="s">
        <v>40</v>
      </c>
      <c r="AU1" s="63" t="s">
        <v>41</v>
      </c>
      <c r="AV1" s="63" t="s">
        <v>1035</v>
      </c>
      <c r="AW1" s="69" t="s">
        <v>42</v>
      </c>
      <c r="AX1" s="69" t="s">
        <v>43</v>
      </c>
      <c r="AY1" s="69" t="s">
        <v>44</v>
      </c>
      <c r="AZ1" s="69" t="s">
        <v>45</v>
      </c>
      <c r="BA1" s="63" t="s">
        <v>46</v>
      </c>
      <c r="BB1" s="63" t="s">
        <v>47</v>
      </c>
      <c r="BC1" s="63" t="s">
        <v>48</v>
      </c>
      <c r="BD1" s="70" t="s">
        <v>49</v>
      </c>
      <c r="BE1" s="71" t="s">
        <v>50</v>
      </c>
      <c r="BF1" s="71" t="s">
        <v>51</v>
      </c>
      <c r="BG1" s="71" t="s">
        <v>52</v>
      </c>
      <c r="BH1" s="71" t="s">
        <v>53</v>
      </c>
      <c r="BI1" s="71" t="s">
        <v>54</v>
      </c>
      <c r="BJ1" s="71" t="s">
        <v>55</v>
      </c>
      <c r="BK1" s="72" t="s">
        <v>56</v>
      </c>
      <c r="BL1" s="72" t="s">
        <v>57</v>
      </c>
      <c r="BM1" s="73" t="s">
        <v>1312</v>
      </c>
      <c r="BN1" s="73" t="s">
        <v>1313</v>
      </c>
      <c r="BO1" s="73" t="s">
        <v>1314</v>
      </c>
      <c r="BP1" s="73" t="s">
        <v>1315</v>
      </c>
      <c r="BQ1" s="73" t="s">
        <v>1316</v>
      </c>
      <c r="BR1" s="73" t="s">
        <v>1317</v>
      </c>
      <c r="BS1" s="73" t="s">
        <v>1318</v>
      </c>
      <c r="BT1" s="73" t="s">
        <v>1319</v>
      </c>
    </row>
    <row r="2" spans="1:72" hidden="1" x14ac:dyDescent="0.25">
      <c r="A2" s="11">
        <f>ROW()-1</f>
        <v>1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/>
      <c r="J2" s="4"/>
      <c r="K2" s="4"/>
      <c r="L2" s="13"/>
      <c r="M2" s="4" t="s">
        <v>65</v>
      </c>
      <c r="N2" s="5"/>
      <c r="O2" s="4"/>
      <c r="P2" s="14"/>
      <c r="Q2" s="14">
        <v>2.1</v>
      </c>
      <c r="R2" s="1">
        <f>Q2*T2</f>
        <v>52500</v>
      </c>
      <c r="S2" s="2">
        <v>84000</v>
      </c>
      <c r="T2" s="2">
        <f>SUM(AB2:AF2)</f>
        <v>25000</v>
      </c>
      <c r="U2" s="13">
        <f>T2</f>
        <v>25000</v>
      </c>
      <c r="V2" s="13"/>
      <c r="W2" s="13">
        <v>5000</v>
      </c>
      <c r="X2" s="13">
        <v>5000</v>
      </c>
      <c r="Y2" s="13">
        <v>5000</v>
      </c>
      <c r="Z2" s="13">
        <v>5000</v>
      </c>
      <c r="AA2" s="13">
        <v>5000</v>
      </c>
      <c r="AB2" s="13">
        <v>5000</v>
      </c>
      <c r="AC2" s="13">
        <v>5000</v>
      </c>
      <c r="AD2" s="13">
        <v>5000</v>
      </c>
      <c r="AE2" s="13">
        <v>5000</v>
      </c>
      <c r="AF2" s="13">
        <v>5000</v>
      </c>
      <c r="AG2" s="13">
        <f>AF2</f>
        <v>5000</v>
      </c>
      <c r="AH2" s="13">
        <v>0</v>
      </c>
      <c r="AI2" s="13">
        <v>0</v>
      </c>
      <c r="AJ2" s="13">
        <v>0</v>
      </c>
      <c r="AK2" s="13">
        <v>0</v>
      </c>
      <c r="AL2" s="13">
        <v>0</v>
      </c>
      <c r="AM2" s="13">
        <v>0</v>
      </c>
      <c r="AN2" s="13">
        <v>0</v>
      </c>
      <c r="AO2" s="13"/>
      <c r="AP2" s="13"/>
      <c r="AQ2" s="13"/>
      <c r="AR2" s="13"/>
      <c r="AS2" s="13"/>
      <c r="AT2" s="4"/>
      <c r="AU2" s="4" t="s">
        <v>66</v>
      </c>
      <c r="AV2" s="4" t="s">
        <v>826</v>
      </c>
      <c r="AW2" s="3" t="s">
        <v>67</v>
      </c>
      <c r="AX2" s="4" t="s">
        <v>68</v>
      </c>
      <c r="AY2" s="4" t="s">
        <v>69</v>
      </c>
      <c r="AZ2" s="4" t="s">
        <v>70</v>
      </c>
      <c r="BA2" s="4"/>
      <c r="BB2" s="4"/>
      <c r="BC2" s="4"/>
      <c r="BD2" s="23"/>
      <c r="BE2" s="18"/>
      <c r="BF2" s="18"/>
      <c r="BG2" s="18"/>
      <c r="BH2" s="18"/>
      <c r="BI2" s="18"/>
      <c r="BJ2" s="18"/>
      <c r="BK2" s="19"/>
      <c r="BL2" s="13"/>
      <c r="BM2" s="9">
        <f>$Q2*Y2</f>
        <v>10500</v>
      </c>
      <c r="BN2" s="9">
        <f>$Q2*Z2</f>
        <v>10500</v>
      </c>
      <c r="BO2" s="9">
        <f t="shared" ref="BO2" si="0">$Q2*AA2</f>
        <v>10500</v>
      </c>
      <c r="BP2" s="9">
        <f t="shared" ref="BP2" si="1">$Q2*AB2</f>
        <v>10500</v>
      </c>
      <c r="BQ2" s="9">
        <f t="shared" ref="BQ2" si="2">$Q2*AC2</f>
        <v>10500</v>
      </c>
      <c r="BR2" s="9">
        <f t="shared" ref="BR2" si="3">$Q2*AD2</f>
        <v>10500</v>
      </c>
      <c r="BS2" s="9">
        <f t="shared" ref="BS2" si="4">$Q2*AE2</f>
        <v>10500</v>
      </c>
      <c r="BT2" s="9">
        <f t="shared" ref="BT2" si="5">$Q2*AF2</f>
        <v>10500</v>
      </c>
    </row>
    <row r="3" spans="1:72" hidden="1" x14ac:dyDescent="0.25">
      <c r="A3" s="11">
        <f t="shared" ref="A3:A66" si="6">ROW()-1</f>
        <v>2</v>
      </c>
      <c r="B3" s="3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6" t="s">
        <v>71</v>
      </c>
      <c r="H3" s="4" t="s">
        <v>72</v>
      </c>
      <c r="I3" s="6"/>
      <c r="J3" s="6"/>
      <c r="K3" s="4" t="s">
        <v>73</v>
      </c>
      <c r="L3" s="13">
        <v>500000</v>
      </c>
      <c r="M3" s="4" t="s">
        <v>74</v>
      </c>
      <c r="N3" s="5"/>
      <c r="O3" s="4"/>
      <c r="P3" s="14"/>
      <c r="Q3" s="14">
        <v>2.1</v>
      </c>
      <c r="R3" s="1">
        <f t="shared" ref="R3:R66" si="7">Q3*T3</f>
        <v>619500</v>
      </c>
      <c r="S3" s="2">
        <v>0</v>
      </c>
      <c r="T3" s="2">
        <f t="shared" ref="T3:T66" si="8">SUM(AB3:AF3)</f>
        <v>295000</v>
      </c>
      <c r="U3" s="13"/>
      <c r="V3" s="13"/>
      <c r="W3" s="13"/>
      <c r="X3" s="13">
        <v>10000</v>
      </c>
      <c r="Y3" s="13">
        <v>25000</v>
      </c>
      <c r="Z3" s="13">
        <v>75000</v>
      </c>
      <c r="AA3" s="13">
        <v>75000</v>
      </c>
      <c r="AB3" s="13">
        <v>75000</v>
      </c>
      <c r="AC3" s="13">
        <v>30000</v>
      </c>
      <c r="AD3" s="13">
        <v>80000</v>
      </c>
      <c r="AE3" s="13">
        <v>30000</v>
      </c>
      <c r="AF3" s="13">
        <v>80000</v>
      </c>
      <c r="AG3" s="13">
        <f>AF3</f>
        <v>80000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4"/>
      <c r="AU3" s="4" t="s">
        <v>66</v>
      </c>
      <c r="AV3" s="4" t="s">
        <v>826</v>
      </c>
      <c r="AW3" s="3" t="s">
        <v>67</v>
      </c>
      <c r="AX3" s="4" t="s">
        <v>68</v>
      </c>
      <c r="AY3" s="4" t="s">
        <v>69</v>
      </c>
      <c r="AZ3" s="4" t="s">
        <v>70</v>
      </c>
      <c r="BA3" s="4"/>
      <c r="BB3" s="4"/>
      <c r="BC3" s="4"/>
      <c r="BD3" s="23"/>
      <c r="BE3" s="18"/>
      <c r="BF3" s="18"/>
      <c r="BG3" s="18"/>
      <c r="BH3" s="18"/>
      <c r="BI3" s="18"/>
      <c r="BJ3" s="18"/>
      <c r="BK3" s="19"/>
      <c r="BL3" s="13"/>
      <c r="BM3" s="9">
        <f t="shared" ref="BM3:BM47" si="9">$Q3*Y3</f>
        <v>52500</v>
      </c>
      <c r="BN3" s="9">
        <f t="shared" ref="BN3:BN66" si="10">$Q3*Z3</f>
        <v>157500</v>
      </c>
      <c r="BO3" s="9">
        <f t="shared" ref="BO3:BO66" si="11">$Q3*AA3</f>
        <v>157500</v>
      </c>
      <c r="BP3" s="9">
        <f t="shared" ref="BP3:BP66" si="12">$Q3*AB3</f>
        <v>157500</v>
      </c>
      <c r="BQ3" s="9">
        <f t="shared" ref="BQ3:BQ66" si="13">$Q3*AC3</f>
        <v>63000</v>
      </c>
      <c r="BR3" s="9">
        <f t="shared" ref="BR3:BR66" si="14">$Q3*AD3</f>
        <v>168000</v>
      </c>
      <c r="BS3" s="9">
        <f t="shared" ref="BS3:BS66" si="15">$Q3*AE3</f>
        <v>63000</v>
      </c>
      <c r="BT3" s="9">
        <f t="shared" ref="BT3:BT66" si="16">$Q3*AF3</f>
        <v>168000</v>
      </c>
    </row>
    <row r="4" spans="1:72" hidden="1" x14ac:dyDescent="0.25">
      <c r="A4" s="11">
        <f t="shared" si="6"/>
        <v>3</v>
      </c>
      <c r="B4" s="3" t="s">
        <v>75</v>
      </c>
      <c r="C4" s="4" t="s">
        <v>59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/>
      <c r="J4" s="4"/>
      <c r="K4" s="4"/>
      <c r="L4" s="13"/>
      <c r="M4" s="4" t="s">
        <v>65</v>
      </c>
      <c r="N4" s="5"/>
      <c r="O4" s="4"/>
      <c r="P4" s="14"/>
      <c r="Q4" s="14">
        <v>1</v>
      </c>
      <c r="R4" s="1">
        <f t="shared" si="7"/>
        <v>100000</v>
      </c>
      <c r="S4" s="2">
        <v>160000</v>
      </c>
      <c r="T4" s="2">
        <f t="shared" si="8"/>
        <v>100000</v>
      </c>
      <c r="U4" s="13">
        <v>10000</v>
      </c>
      <c r="V4" s="13"/>
      <c r="W4" s="13">
        <v>20000</v>
      </c>
      <c r="X4" s="13">
        <v>20000</v>
      </c>
      <c r="Y4" s="13">
        <v>20000</v>
      </c>
      <c r="Z4" s="13">
        <v>20000</v>
      </c>
      <c r="AA4" s="13">
        <v>20000</v>
      </c>
      <c r="AB4" s="13">
        <v>20000</v>
      </c>
      <c r="AC4" s="13">
        <v>20000</v>
      </c>
      <c r="AD4" s="13">
        <v>20000</v>
      </c>
      <c r="AE4" s="13">
        <v>20000</v>
      </c>
      <c r="AF4" s="13">
        <v>20000</v>
      </c>
      <c r="AG4" s="13">
        <f>AF4</f>
        <v>20000</v>
      </c>
      <c r="AH4" s="13">
        <v>0</v>
      </c>
      <c r="AI4" s="13">
        <v>0</v>
      </c>
      <c r="AJ4" s="13">
        <v>93498</v>
      </c>
      <c r="AK4" s="13">
        <v>147000</v>
      </c>
      <c r="AL4" s="13">
        <v>46999</v>
      </c>
      <c r="AM4" s="13">
        <v>121478</v>
      </c>
      <c r="AN4" s="13">
        <v>11000</v>
      </c>
      <c r="AO4" s="13"/>
      <c r="AP4" s="13"/>
      <c r="AQ4" s="13"/>
      <c r="AR4" s="13"/>
      <c r="AS4" s="13"/>
      <c r="AT4" s="4"/>
      <c r="AU4" s="4" t="s">
        <v>66</v>
      </c>
      <c r="AV4" s="4" t="s">
        <v>826</v>
      </c>
      <c r="AW4" s="3" t="s">
        <v>67</v>
      </c>
      <c r="AX4" s="4"/>
      <c r="AY4" s="4"/>
      <c r="AZ4" s="4"/>
      <c r="BA4" s="4"/>
      <c r="BB4" s="4"/>
      <c r="BC4" s="4"/>
      <c r="BD4" s="23"/>
      <c r="BE4" s="18"/>
      <c r="BF4" s="18"/>
      <c r="BG4" s="18"/>
      <c r="BH4" s="18"/>
      <c r="BI4" s="18"/>
      <c r="BJ4" s="18"/>
      <c r="BK4" s="19"/>
      <c r="BL4" s="13"/>
      <c r="BM4" s="9">
        <f t="shared" si="9"/>
        <v>20000</v>
      </c>
      <c r="BN4" s="9">
        <f t="shared" si="10"/>
        <v>20000</v>
      </c>
      <c r="BO4" s="9">
        <f t="shared" si="11"/>
        <v>20000</v>
      </c>
      <c r="BP4" s="9">
        <f t="shared" si="12"/>
        <v>20000</v>
      </c>
      <c r="BQ4" s="9">
        <f t="shared" si="13"/>
        <v>20000</v>
      </c>
      <c r="BR4" s="9">
        <f t="shared" si="14"/>
        <v>20000</v>
      </c>
      <c r="BS4" s="9">
        <f t="shared" si="15"/>
        <v>20000</v>
      </c>
      <c r="BT4" s="9">
        <f t="shared" si="16"/>
        <v>20000</v>
      </c>
    </row>
    <row r="5" spans="1:72" hidden="1" x14ac:dyDescent="0.25">
      <c r="A5" s="11">
        <f t="shared" si="6"/>
        <v>4</v>
      </c>
      <c r="B5" s="3" t="s">
        <v>81</v>
      </c>
      <c r="C5" s="4" t="s">
        <v>59</v>
      </c>
      <c r="D5" s="4" t="s">
        <v>82</v>
      </c>
      <c r="E5" s="4" t="s">
        <v>77</v>
      </c>
      <c r="F5" s="4"/>
      <c r="G5" s="4" t="s">
        <v>83</v>
      </c>
      <c r="H5" s="4" t="s">
        <v>84</v>
      </c>
      <c r="I5" s="4"/>
      <c r="J5" s="4"/>
      <c r="K5" s="4"/>
      <c r="L5" s="13"/>
      <c r="M5" s="4" t="s">
        <v>65</v>
      </c>
      <c r="N5" s="5"/>
      <c r="O5" s="4"/>
      <c r="P5" s="14"/>
      <c r="Q5" s="14">
        <v>4</v>
      </c>
      <c r="R5" s="1">
        <f t="shared" si="7"/>
        <v>0</v>
      </c>
      <c r="S5" s="2">
        <v>0</v>
      </c>
      <c r="T5" s="2">
        <f t="shared" si="8"/>
        <v>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>
        <f t="shared" ref="AG5:AG10" si="17">AF5</f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/>
      <c r="AP5" s="13"/>
      <c r="AQ5" s="13"/>
      <c r="AR5" s="13"/>
      <c r="AS5" s="13"/>
      <c r="AT5" s="4"/>
      <c r="AU5" s="4" t="s">
        <v>66</v>
      </c>
      <c r="AV5" s="4"/>
      <c r="AW5" s="3" t="s">
        <v>67</v>
      </c>
      <c r="AX5" s="4"/>
      <c r="AY5" s="4"/>
      <c r="AZ5" s="4"/>
      <c r="BA5" s="4"/>
      <c r="BB5" s="4"/>
      <c r="BC5" s="4"/>
      <c r="BD5" s="23"/>
      <c r="BE5" s="18"/>
      <c r="BF5" s="18"/>
      <c r="BG5" s="18"/>
      <c r="BH5" s="18"/>
      <c r="BI5" s="18"/>
      <c r="BJ5" s="18"/>
      <c r="BK5" s="19"/>
      <c r="BL5" s="13"/>
      <c r="BM5" s="9">
        <f t="shared" si="9"/>
        <v>0</v>
      </c>
      <c r="BN5" s="9">
        <f t="shared" si="10"/>
        <v>0</v>
      </c>
      <c r="BO5" s="9">
        <f t="shared" si="11"/>
        <v>0</v>
      </c>
      <c r="BP5" s="9">
        <f t="shared" si="12"/>
        <v>0</v>
      </c>
      <c r="BQ5" s="9">
        <f t="shared" si="13"/>
        <v>0</v>
      </c>
      <c r="BR5" s="9">
        <f t="shared" si="14"/>
        <v>0</v>
      </c>
      <c r="BS5" s="9">
        <f t="shared" si="15"/>
        <v>0</v>
      </c>
      <c r="BT5" s="9">
        <f t="shared" si="16"/>
        <v>0</v>
      </c>
    </row>
    <row r="6" spans="1:72" hidden="1" x14ac:dyDescent="0.25">
      <c r="A6" s="11">
        <f t="shared" si="6"/>
        <v>5</v>
      </c>
      <c r="B6" s="3" t="s">
        <v>85</v>
      </c>
      <c r="C6" s="4" t="s">
        <v>59</v>
      </c>
      <c r="D6" s="4"/>
      <c r="E6" s="4" t="s">
        <v>77</v>
      </c>
      <c r="F6" s="4"/>
      <c r="G6" s="4" t="s">
        <v>86</v>
      </c>
      <c r="H6" s="4" t="s">
        <v>87</v>
      </c>
      <c r="I6" s="4"/>
      <c r="J6" s="4"/>
      <c r="K6" s="4" t="s">
        <v>88</v>
      </c>
      <c r="L6" s="13"/>
      <c r="M6" s="4" t="s">
        <v>52</v>
      </c>
      <c r="N6" s="5"/>
      <c r="O6" s="4"/>
      <c r="P6" s="14"/>
      <c r="Q6" s="14"/>
      <c r="R6" s="1">
        <f t="shared" si="7"/>
        <v>0</v>
      </c>
      <c r="S6" s="2">
        <v>0</v>
      </c>
      <c r="T6" s="2">
        <f t="shared" si="8"/>
        <v>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>
        <f t="shared" si="17"/>
        <v>0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4"/>
      <c r="AU6" s="4" t="s">
        <v>66</v>
      </c>
      <c r="AV6" s="4" t="s">
        <v>1217</v>
      </c>
      <c r="AW6" s="3" t="s">
        <v>67</v>
      </c>
      <c r="AX6" s="4" t="s">
        <v>89</v>
      </c>
      <c r="AY6" s="4" t="s">
        <v>90</v>
      </c>
      <c r="AZ6" s="4" t="s">
        <v>91</v>
      </c>
      <c r="BA6" s="4"/>
      <c r="BB6" s="4"/>
      <c r="BC6" s="4"/>
      <c r="BD6" s="23"/>
      <c r="BE6" s="18"/>
      <c r="BF6" s="18"/>
      <c r="BG6" s="18"/>
      <c r="BH6" s="18"/>
      <c r="BI6" s="18"/>
      <c r="BJ6" s="18"/>
      <c r="BK6" s="19"/>
      <c r="BL6" s="13"/>
      <c r="BM6" s="9">
        <f t="shared" si="9"/>
        <v>0</v>
      </c>
      <c r="BN6" s="9">
        <f t="shared" si="10"/>
        <v>0</v>
      </c>
      <c r="BO6" s="9">
        <f t="shared" si="11"/>
        <v>0</v>
      </c>
      <c r="BP6" s="9">
        <f t="shared" si="12"/>
        <v>0</v>
      </c>
      <c r="BQ6" s="9">
        <f t="shared" si="13"/>
        <v>0</v>
      </c>
      <c r="BR6" s="9">
        <f t="shared" si="14"/>
        <v>0</v>
      </c>
      <c r="BS6" s="9">
        <f t="shared" si="15"/>
        <v>0</v>
      </c>
      <c r="BT6" s="9">
        <f t="shared" si="16"/>
        <v>0</v>
      </c>
    </row>
    <row r="7" spans="1:72" hidden="1" x14ac:dyDescent="0.25">
      <c r="A7" s="11">
        <f t="shared" si="6"/>
        <v>6</v>
      </c>
      <c r="B7" s="3" t="s">
        <v>92</v>
      </c>
      <c r="C7" s="4" t="s">
        <v>59</v>
      </c>
      <c r="D7" s="4"/>
      <c r="E7" s="4" t="s">
        <v>77</v>
      </c>
      <c r="F7" s="4"/>
      <c r="G7" s="4" t="s">
        <v>93</v>
      </c>
      <c r="H7" s="4" t="s">
        <v>94</v>
      </c>
      <c r="I7" s="4"/>
      <c r="J7" s="4"/>
      <c r="K7" s="4" t="s">
        <v>95</v>
      </c>
      <c r="L7" s="13">
        <v>1000000</v>
      </c>
      <c r="M7" s="4" t="s">
        <v>52</v>
      </c>
      <c r="N7" s="5"/>
      <c r="O7" s="4" t="s">
        <v>96</v>
      </c>
      <c r="P7" s="14"/>
      <c r="Q7" s="14"/>
      <c r="R7" s="1">
        <f t="shared" si="7"/>
        <v>0</v>
      </c>
      <c r="S7" s="2">
        <v>0</v>
      </c>
      <c r="T7" s="2">
        <f t="shared" si="8"/>
        <v>0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>
        <f t="shared" si="17"/>
        <v>0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4" t="s">
        <v>97</v>
      </c>
      <c r="AU7" s="4" t="s">
        <v>66</v>
      </c>
      <c r="AV7" s="4" t="s">
        <v>1218</v>
      </c>
      <c r="AW7" s="3" t="s">
        <v>98</v>
      </c>
      <c r="AX7" s="4" t="s">
        <v>99</v>
      </c>
      <c r="AY7" s="4" t="s">
        <v>100</v>
      </c>
      <c r="AZ7" s="4" t="s">
        <v>101</v>
      </c>
      <c r="BA7" s="4"/>
      <c r="BB7" s="4"/>
      <c r="BC7" s="4"/>
      <c r="BD7" s="23"/>
      <c r="BE7" s="18"/>
      <c r="BF7" s="18"/>
      <c r="BG7" s="18"/>
      <c r="BH7" s="18"/>
      <c r="BI7" s="18"/>
      <c r="BJ7" s="18"/>
      <c r="BK7" s="19"/>
      <c r="BL7" s="13"/>
      <c r="BM7" s="9">
        <f t="shared" si="9"/>
        <v>0</v>
      </c>
      <c r="BN7" s="9">
        <f t="shared" si="10"/>
        <v>0</v>
      </c>
      <c r="BO7" s="9">
        <f t="shared" si="11"/>
        <v>0</v>
      </c>
      <c r="BP7" s="9">
        <f t="shared" si="12"/>
        <v>0</v>
      </c>
      <c r="BQ7" s="9">
        <f t="shared" si="13"/>
        <v>0</v>
      </c>
      <c r="BR7" s="9">
        <f t="shared" si="14"/>
        <v>0</v>
      </c>
      <c r="BS7" s="9">
        <f t="shared" si="15"/>
        <v>0</v>
      </c>
      <c r="BT7" s="9">
        <f t="shared" si="16"/>
        <v>0</v>
      </c>
    </row>
    <row r="8" spans="1:72" hidden="1" x14ac:dyDescent="0.25">
      <c r="A8" s="11">
        <f t="shared" si="6"/>
        <v>7</v>
      </c>
      <c r="B8" s="3" t="s">
        <v>102</v>
      </c>
      <c r="C8" s="4" t="s">
        <v>59</v>
      </c>
      <c r="D8" s="4" t="s">
        <v>103</v>
      </c>
      <c r="E8" s="4" t="s">
        <v>77</v>
      </c>
      <c r="F8" s="4" t="s">
        <v>104</v>
      </c>
      <c r="G8" s="4" t="s">
        <v>105</v>
      </c>
      <c r="H8" s="4" t="s">
        <v>106</v>
      </c>
      <c r="I8" s="4"/>
      <c r="J8" s="4"/>
      <c r="K8" s="4" t="s">
        <v>107</v>
      </c>
      <c r="L8" s="13">
        <v>500000</v>
      </c>
      <c r="M8" s="4" t="s">
        <v>108</v>
      </c>
      <c r="N8" s="5"/>
      <c r="O8" s="4" t="s">
        <v>109</v>
      </c>
      <c r="P8" s="14"/>
      <c r="Q8" s="14">
        <v>0.57999999999999996</v>
      </c>
      <c r="R8" s="1">
        <f t="shared" si="7"/>
        <v>0</v>
      </c>
      <c r="S8" s="2">
        <v>0</v>
      </c>
      <c r="T8" s="2">
        <f t="shared" si="8"/>
        <v>0</v>
      </c>
      <c r="U8" s="13"/>
      <c r="V8" s="13">
        <v>1000</v>
      </c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>
        <f t="shared" si="17"/>
        <v>0</v>
      </c>
      <c r="AH8" s="13">
        <v>0</v>
      </c>
      <c r="AI8" s="13">
        <v>0</v>
      </c>
      <c r="AJ8" s="13">
        <v>0</v>
      </c>
      <c r="AK8" s="13">
        <v>0</v>
      </c>
      <c r="AL8" s="13">
        <v>250</v>
      </c>
      <c r="AM8" s="13">
        <v>0</v>
      </c>
      <c r="AN8" s="13">
        <v>0</v>
      </c>
      <c r="AO8" s="13"/>
      <c r="AP8" s="13"/>
      <c r="AQ8" s="13"/>
      <c r="AR8" s="13"/>
      <c r="AS8" s="13"/>
      <c r="AT8" s="4" t="s">
        <v>97</v>
      </c>
      <c r="AU8" s="4" t="s">
        <v>66</v>
      </c>
      <c r="AV8" s="4" t="s">
        <v>1218</v>
      </c>
      <c r="AW8" s="3" t="s">
        <v>98</v>
      </c>
      <c r="AX8" s="4" t="s">
        <v>110</v>
      </c>
      <c r="AY8" s="4" t="s">
        <v>111</v>
      </c>
      <c r="AZ8" s="4"/>
      <c r="BA8" s="4" t="s">
        <v>112</v>
      </c>
      <c r="BB8" s="4"/>
      <c r="BC8" s="4"/>
      <c r="BD8" s="23">
        <v>0</v>
      </c>
      <c r="BE8" s="18"/>
      <c r="BF8" s="18"/>
      <c r="BG8" s="18"/>
      <c r="BH8" s="18"/>
      <c r="BI8" s="18"/>
      <c r="BJ8" s="18"/>
      <c r="BK8" s="19"/>
      <c r="BL8" s="13"/>
      <c r="BM8" s="9">
        <f t="shared" si="9"/>
        <v>0</v>
      </c>
      <c r="BN8" s="9">
        <f t="shared" si="10"/>
        <v>0</v>
      </c>
      <c r="BO8" s="9">
        <f t="shared" si="11"/>
        <v>0</v>
      </c>
      <c r="BP8" s="9">
        <f t="shared" si="12"/>
        <v>0</v>
      </c>
      <c r="BQ8" s="9">
        <f t="shared" si="13"/>
        <v>0</v>
      </c>
      <c r="BR8" s="9">
        <f t="shared" si="14"/>
        <v>0</v>
      </c>
      <c r="BS8" s="9">
        <f t="shared" si="15"/>
        <v>0</v>
      </c>
      <c r="BT8" s="9">
        <f t="shared" si="16"/>
        <v>0</v>
      </c>
    </row>
    <row r="9" spans="1:72" hidden="1" x14ac:dyDescent="0.25">
      <c r="A9" s="11">
        <f t="shared" si="6"/>
        <v>8</v>
      </c>
      <c r="B9" s="3" t="s">
        <v>113</v>
      </c>
      <c r="C9" s="4" t="s">
        <v>59</v>
      </c>
      <c r="D9" s="4" t="s">
        <v>114</v>
      </c>
      <c r="E9" s="4" t="s">
        <v>77</v>
      </c>
      <c r="F9" s="4" t="s">
        <v>115</v>
      </c>
      <c r="G9" s="4" t="s">
        <v>116</v>
      </c>
      <c r="H9" s="4" t="s">
        <v>117</v>
      </c>
      <c r="I9" s="4"/>
      <c r="J9" s="4"/>
      <c r="K9" s="4" t="s">
        <v>118</v>
      </c>
      <c r="L9" s="13">
        <v>10000000</v>
      </c>
      <c r="M9" s="4" t="s">
        <v>108</v>
      </c>
      <c r="N9" s="5"/>
      <c r="O9" s="4" t="s">
        <v>119</v>
      </c>
      <c r="P9" s="14">
        <v>0.3</v>
      </c>
      <c r="Q9" s="14">
        <v>0.2</v>
      </c>
      <c r="R9" s="1">
        <f t="shared" si="7"/>
        <v>8000</v>
      </c>
      <c r="S9" s="2">
        <v>8000</v>
      </c>
      <c r="T9" s="2">
        <f t="shared" si="8"/>
        <v>40000</v>
      </c>
      <c r="U9" s="13"/>
      <c r="V9" s="13"/>
      <c r="W9" s="13"/>
      <c r="X9" s="13"/>
      <c r="Y9" s="13"/>
      <c r="Z9" s="13"/>
      <c r="AA9" s="13"/>
      <c r="AB9" s="13"/>
      <c r="AC9" s="13">
        <v>10000</v>
      </c>
      <c r="AD9" s="13">
        <v>10000</v>
      </c>
      <c r="AE9" s="13">
        <v>10000</v>
      </c>
      <c r="AF9" s="13">
        <v>10000</v>
      </c>
      <c r="AG9" s="13">
        <f t="shared" si="17"/>
        <v>10000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/>
      <c r="AP9" s="13"/>
      <c r="AQ9" s="13"/>
      <c r="AR9" s="13"/>
      <c r="AS9" s="13"/>
      <c r="AT9" s="4" t="s">
        <v>120</v>
      </c>
      <c r="AU9" s="4" t="s">
        <v>66</v>
      </c>
      <c r="AV9" s="4" t="s">
        <v>1218</v>
      </c>
      <c r="AW9" s="3" t="s">
        <v>98</v>
      </c>
      <c r="AX9" s="4" t="s">
        <v>99</v>
      </c>
      <c r="AY9" s="4" t="s">
        <v>100</v>
      </c>
      <c r="AZ9" s="4" t="s">
        <v>121</v>
      </c>
      <c r="BA9" s="4"/>
      <c r="BB9" s="4"/>
      <c r="BC9" s="4"/>
      <c r="BD9" s="23">
        <v>0</v>
      </c>
      <c r="BE9" s="18"/>
      <c r="BF9" s="18"/>
      <c r="BG9" s="18"/>
      <c r="BH9" s="18"/>
      <c r="BI9" s="18"/>
      <c r="BJ9" s="18"/>
      <c r="BK9" s="19"/>
      <c r="BL9" s="13"/>
      <c r="BM9" s="9">
        <f t="shared" si="9"/>
        <v>0</v>
      </c>
      <c r="BN9" s="9">
        <f t="shared" si="10"/>
        <v>0</v>
      </c>
      <c r="BO9" s="9">
        <f t="shared" si="11"/>
        <v>0</v>
      </c>
      <c r="BP9" s="9">
        <f t="shared" si="12"/>
        <v>0</v>
      </c>
      <c r="BQ9" s="9">
        <f t="shared" si="13"/>
        <v>2000</v>
      </c>
      <c r="BR9" s="9">
        <f t="shared" si="14"/>
        <v>2000</v>
      </c>
      <c r="BS9" s="9">
        <f t="shared" si="15"/>
        <v>2000</v>
      </c>
      <c r="BT9" s="9">
        <f t="shared" si="16"/>
        <v>2000</v>
      </c>
    </row>
    <row r="10" spans="1:72" hidden="1" x14ac:dyDescent="0.25">
      <c r="A10" s="11">
        <f t="shared" si="6"/>
        <v>9</v>
      </c>
      <c r="B10" s="3" t="s">
        <v>113</v>
      </c>
      <c r="C10" s="4" t="s">
        <v>59</v>
      </c>
      <c r="D10" s="4" t="s">
        <v>114</v>
      </c>
      <c r="E10" s="4" t="s">
        <v>77</v>
      </c>
      <c r="F10" s="4" t="s">
        <v>115</v>
      </c>
      <c r="G10" s="4" t="s">
        <v>122</v>
      </c>
      <c r="H10" s="4" t="s">
        <v>122</v>
      </c>
      <c r="I10" s="4"/>
      <c r="J10" s="4"/>
      <c r="K10" s="4" t="s">
        <v>118</v>
      </c>
      <c r="L10" s="13">
        <v>10000000</v>
      </c>
      <c r="M10" s="4" t="s">
        <v>123</v>
      </c>
      <c r="N10" s="5" t="s">
        <v>124</v>
      </c>
      <c r="O10" s="4" t="s">
        <v>125</v>
      </c>
      <c r="P10" s="14"/>
      <c r="Q10" s="14">
        <v>0</v>
      </c>
      <c r="R10" s="1">
        <f t="shared" si="7"/>
        <v>0</v>
      </c>
      <c r="S10" s="2">
        <v>0</v>
      </c>
      <c r="T10" s="2">
        <f t="shared" si="8"/>
        <v>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>
        <f t="shared" si="17"/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/>
      <c r="AP10" s="13"/>
      <c r="AQ10" s="13"/>
      <c r="AR10" s="13"/>
      <c r="AS10" s="13"/>
      <c r="AT10" s="4" t="s">
        <v>126</v>
      </c>
      <c r="AU10" s="4" t="s">
        <v>66</v>
      </c>
      <c r="AV10" s="4" t="s">
        <v>1219</v>
      </c>
      <c r="AW10" s="3" t="s">
        <v>98</v>
      </c>
      <c r="AX10" s="4" t="s">
        <v>99</v>
      </c>
      <c r="AY10" s="4" t="s">
        <v>100</v>
      </c>
      <c r="AZ10" s="4" t="s">
        <v>121</v>
      </c>
      <c r="BA10" s="4"/>
      <c r="BB10" s="4"/>
      <c r="BC10" s="4"/>
      <c r="BD10" s="23">
        <v>0</v>
      </c>
      <c r="BE10" s="18"/>
      <c r="BF10" s="18"/>
      <c r="BG10" s="18"/>
      <c r="BH10" s="18"/>
      <c r="BI10" s="18"/>
      <c r="BJ10" s="18"/>
      <c r="BK10" s="19"/>
      <c r="BL10" s="13"/>
      <c r="BM10" s="9">
        <f t="shared" si="9"/>
        <v>0</v>
      </c>
      <c r="BN10" s="9">
        <f t="shared" si="10"/>
        <v>0</v>
      </c>
      <c r="BO10" s="9">
        <f t="shared" si="11"/>
        <v>0</v>
      </c>
      <c r="BP10" s="9">
        <f t="shared" si="12"/>
        <v>0</v>
      </c>
      <c r="BQ10" s="9">
        <f t="shared" si="13"/>
        <v>0</v>
      </c>
      <c r="BR10" s="9">
        <f t="shared" si="14"/>
        <v>0</v>
      </c>
      <c r="BS10" s="9">
        <f t="shared" si="15"/>
        <v>0</v>
      </c>
      <c r="BT10" s="9">
        <f t="shared" si="16"/>
        <v>0</v>
      </c>
    </row>
    <row r="11" spans="1:72" hidden="1" x14ac:dyDescent="0.25">
      <c r="A11" s="11">
        <f t="shared" si="6"/>
        <v>10</v>
      </c>
      <c r="B11" s="3" t="s">
        <v>127</v>
      </c>
      <c r="C11" s="4" t="s">
        <v>128</v>
      </c>
      <c r="D11" s="4" t="s">
        <v>129</v>
      </c>
      <c r="E11" s="4" t="s">
        <v>77</v>
      </c>
      <c r="F11" s="4" t="s">
        <v>130</v>
      </c>
      <c r="G11" s="4" t="s">
        <v>131</v>
      </c>
      <c r="H11" s="4" t="s">
        <v>132</v>
      </c>
      <c r="I11" s="4"/>
      <c r="J11" s="4"/>
      <c r="K11" s="4" t="s">
        <v>133</v>
      </c>
      <c r="L11" s="13">
        <v>400000</v>
      </c>
      <c r="M11" s="4" t="s">
        <v>134</v>
      </c>
      <c r="N11" s="5"/>
      <c r="O11" s="4" t="s">
        <v>135</v>
      </c>
      <c r="P11" s="14"/>
      <c r="Q11" s="14">
        <v>0.52</v>
      </c>
      <c r="R11" s="1">
        <f t="shared" si="7"/>
        <v>29640</v>
      </c>
      <c r="S11" s="2">
        <v>39000</v>
      </c>
      <c r="T11" s="2">
        <f t="shared" si="8"/>
        <v>57000</v>
      </c>
      <c r="U11" s="13">
        <v>45000</v>
      </c>
      <c r="V11" s="13">
        <v>45000</v>
      </c>
      <c r="W11" s="13">
        <v>0</v>
      </c>
      <c r="X11" s="13">
        <v>15000</v>
      </c>
      <c r="Y11" s="13">
        <v>15000</v>
      </c>
      <c r="Z11" s="13">
        <v>15000</v>
      </c>
      <c r="AA11" s="13">
        <v>15000</v>
      </c>
      <c r="AB11" s="13">
        <v>27000</v>
      </c>
      <c r="AC11" s="13">
        <v>15000</v>
      </c>
      <c r="AD11" s="13"/>
      <c r="AE11" s="13"/>
      <c r="AF11" s="13">
        <v>15000</v>
      </c>
      <c r="AG11" s="13">
        <f>AF11</f>
        <v>15000</v>
      </c>
      <c r="AH11" s="13">
        <v>0</v>
      </c>
      <c r="AI11" s="13">
        <v>0</v>
      </c>
      <c r="AJ11" s="13">
        <v>0</v>
      </c>
      <c r="AK11" s="13">
        <v>21000</v>
      </c>
      <c r="AL11" s="13">
        <v>36000</v>
      </c>
      <c r="AM11" s="13">
        <v>69000</v>
      </c>
      <c r="AN11" s="13">
        <v>0</v>
      </c>
      <c r="AO11" s="13"/>
      <c r="AP11" s="13"/>
      <c r="AQ11" s="13"/>
      <c r="AR11" s="13"/>
      <c r="AS11" s="13"/>
      <c r="AT11" s="4" t="s">
        <v>120</v>
      </c>
      <c r="AU11" s="4" t="s">
        <v>66</v>
      </c>
      <c r="AV11" s="4" t="s">
        <v>1218</v>
      </c>
      <c r="AW11" s="3" t="s">
        <v>98</v>
      </c>
      <c r="AX11" s="4" t="s">
        <v>110</v>
      </c>
      <c r="AY11" s="4" t="s">
        <v>111</v>
      </c>
      <c r="AZ11" s="4"/>
      <c r="BA11" s="4"/>
      <c r="BB11" s="4"/>
      <c r="BC11" s="4"/>
      <c r="BD11" s="23">
        <v>1</v>
      </c>
      <c r="BE11" s="18"/>
      <c r="BF11" s="18"/>
      <c r="BG11" s="18"/>
      <c r="BH11" s="18"/>
      <c r="BI11" s="18"/>
      <c r="BJ11" s="18"/>
      <c r="BK11" s="19"/>
      <c r="BL11" s="13"/>
      <c r="BM11" s="9">
        <f t="shared" si="9"/>
        <v>7800</v>
      </c>
      <c r="BN11" s="9">
        <f t="shared" si="10"/>
        <v>7800</v>
      </c>
      <c r="BO11" s="9">
        <f t="shared" si="11"/>
        <v>7800</v>
      </c>
      <c r="BP11" s="9">
        <f t="shared" si="12"/>
        <v>14040</v>
      </c>
      <c r="BQ11" s="9">
        <f t="shared" si="13"/>
        <v>7800</v>
      </c>
      <c r="BR11" s="9">
        <f t="shared" si="14"/>
        <v>0</v>
      </c>
      <c r="BS11" s="9">
        <f t="shared" si="15"/>
        <v>0</v>
      </c>
      <c r="BT11" s="9">
        <f t="shared" si="16"/>
        <v>7800</v>
      </c>
    </row>
    <row r="12" spans="1:72" hidden="1" x14ac:dyDescent="0.25">
      <c r="A12" s="11">
        <f t="shared" si="6"/>
        <v>11</v>
      </c>
      <c r="B12" s="3" t="s">
        <v>127</v>
      </c>
      <c r="C12" s="4" t="s">
        <v>128</v>
      </c>
      <c r="D12" s="4" t="s">
        <v>129</v>
      </c>
      <c r="E12" s="4" t="s">
        <v>77</v>
      </c>
      <c r="F12" s="4" t="s">
        <v>130</v>
      </c>
      <c r="G12" s="6" t="s">
        <v>136</v>
      </c>
      <c r="H12" s="4" t="s">
        <v>137</v>
      </c>
      <c r="I12" s="6"/>
      <c r="J12" s="6"/>
      <c r="K12" s="4" t="s">
        <v>138</v>
      </c>
      <c r="L12" s="13">
        <v>400000</v>
      </c>
      <c r="M12" s="4" t="s">
        <v>139</v>
      </c>
      <c r="N12" s="5"/>
      <c r="O12" s="4" t="s">
        <v>140</v>
      </c>
      <c r="P12" s="14"/>
      <c r="Q12" s="14">
        <v>0.52</v>
      </c>
      <c r="R12" s="1">
        <f t="shared" si="7"/>
        <v>0</v>
      </c>
      <c r="S12" s="2">
        <v>3120</v>
      </c>
      <c r="T12" s="2">
        <f t="shared" si="8"/>
        <v>0</v>
      </c>
      <c r="U12" s="13"/>
      <c r="V12" s="13"/>
      <c r="W12" s="13"/>
      <c r="X12" s="13"/>
      <c r="Y12" s="13"/>
      <c r="Z12" s="13"/>
      <c r="AA12" s="13">
        <v>6000</v>
      </c>
      <c r="AB12" s="13"/>
      <c r="AC12" s="13"/>
      <c r="AD12" s="13"/>
      <c r="AE12" s="13"/>
      <c r="AF12" s="13"/>
      <c r="AG12" s="13">
        <f t="shared" ref="AG12:AG22" si="18">AF12</f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/>
      <c r="AP12" s="13"/>
      <c r="AQ12" s="13"/>
      <c r="AR12" s="13"/>
      <c r="AS12" s="13"/>
      <c r="AT12" s="4" t="s">
        <v>120</v>
      </c>
      <c r="AU12" s="4" t="s">
        <v>66</v>
      </c>
      <c r="AV12" s="4" t="s">
        <v>1218</v>
      </c>
      <c r="AW12" s="3" t="s">
        <v>141</v>
      </c>
      <c r="AX12" s="4" t="s">
        <v>142</v>
      </c>
      <c r="AY12" s="4" t="s">
        <v>143</v>
      </c>
      <c r="AZ12" s="4"/>
      <c r="BA12" s="4"/>
      <c r="BB12" s="4"/>
      <c r="BC12" s="4"/>
      <c r="BD12" s="23">
        <v>3</v>
      </c>
      <c r="BE12" s="18"/>
      <c r="BF12" s="18"/>
      <c r="BG12" s="18"/>
      <c r="BH12" s="18"/>
      <c r="BI12" s="18"/>
      <c r="BJ12" s="18"/>
      <c r="BK12" s="19"/>
      <c r="BL12" s="13"/>
      <c r="BM12" s="9">
        <f t="shared" si="9"/>
        <v>0</v>
      </c>
      <c r="BN12" s="9">
        <f t="shared" si="10"/>
        <v>0</v>
      </c>
      <c r="BO12" s="9">
        <f t="shared" si="11"/>
        <v>3120</v>
      </c>
      <c r="BP12" s="9">
        <f t="shared" si="12"/>
        <v>0</v>
      </c>
      <c r="BQ12" s="9">
        <f t="shared" si="13"/>
        <v>0</v>
      </c>
      <c r="BR12" s="9">
        <f t="shared" si="14"/>
        <v>0</v>
      </c>
      <c r="BS12" s="9">
        <f t="shared" si="15"/>
        <v>0</v>
      </c>
      <c r="BT12" s="9">
        <f t="shared" si="16"/>
        <v>0</v>
      </c>
    </row>
    <row r="13" spans="1:72" hidden="1" x14ac:dyDescent="0.25">
      <c r="A13" s="11">
        <f t="shared" si="6"/>
        <v>12</v>
      </c>
      <c r="B13" s="3" t="s">
        <v>127</v>
      </c>
      <c r="C13" s="4" t="s">
        <v>128</v>
      </c>
      <c r="D13" s="4" t="s">
        <v>129</v>
      </c>
      <c r="E13" s="4" t="s">
        <v>77</v>
      </c>
      <c r="F13" s="4" t="s">
        <v>130</v>
      </c>
      <c r="G13" s="6" t="s">
        <v>144</v>
      </c>
      <c r="H13" s="4" t="s">
        <v>1809</v>
      </c>
      <c r="I13" s="6"/>
      <c r="J13" s="6"/>
      <c r="K13" s="4" t="s">
        <v>145</v>
      </c>
      <c r="L13" s="13">
        <v>300000</v>
      </c>
      <c r="M13" s="4" t="s">
        <v>139</v>
      </c>
      <c r="N13" s="5" t="s">
        <v>146</v>
      </c>
      <c r="O13" s="4">
        <v>0</v>
      </c>
      <c r="P13" s="14"/>
      <c r="Q13" s="14">
        <v>0.3</v>
      </c>
      <c r="R13" s="1">
        <f t="shared" si="7"/>
        <v>0</v>
      </c>
      <c r="S13" s="2">
        <v>0</v>
      </c>
      <c r="T13" s="2">
        <f t="shared" si="8"/>
        <v>0</v>
      </c>
      <c r="U13" s="13"/>
      <c r="V13" s="13"/>
      <c r="W13" s="13">
        <v>6000</v>
      </c>
      <c r="X13" s="13">
        <v>6000</v>
      </c>
      <c r="Y13" s="13"/>
      <c r="Z13" s="13"/>
      <c r="AA13" s="13"/>
      <c r="AB13" s="13"/>
      <c r="AC13" s="13"/>
      <c r="AD13" s="13"/>
      <c r="AE13" s="13"/>
      <c r="AF13" s="13"/>
      <c r="AG13" s="13">
        <f t="shared" si="18"/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/>
      <c r="AP13" s="13"/>
      <c r="AQ13" s="13"/>
      <c r="AR13" s="13"/>
      <c r="AS13" s="13"/>
      <c r="AT13" s="4" t="s">
        <v>120</v>
      </c>
      <c r="AU13" s="4" t="s">
        <v>66</v>
      </c>
      <c r="AV13" s="4" t="s">
        <v>1218</v>
      </c>
      <c r="AW13" s="3" t="s">
        <v>141</v>
      </c>
      <c r="AX13" s="4" t="s">
        <v>142</v>
      </c>
      <c r="AY13" s="4" t="s">
        <v>147</v>
      </c>
      <c r="AZ13" s="4"/>
      <c r="BA13" s="4"/>
      <c r="BB13" s="4"/>
      <c r="BC13" s="4"/>
      <c r="BD13" s="23">
        <v>3</v>
      </c>
      <c r="BE13" s="18"/>
      <c r="BF13" s="18"/>
      <c r="BG13" s="18"/>
      <c r="BH13" s="18"/>
      <c r="BI13" s="18"/>
      <c r="BJ13" s="18"/>
      <c r="BK13" s="19"/>
      <c r="BL13" s="13"/>
      <c r="BM13" s="9">
        <f t="shared" si="9"/>
        <v>0</v>
      </c>
      <c r="BN13" s="9">
        <f t="shared" si="10"/>
        <v>0</v>
      </c>
      <c r="BO13" s="9">
        <f t="shared" si="11"/>
        <v>0</v>
      </c>
      <c r="BP13" s="9">
        <f t="shared" si="12"/>
        <v>0</v>
      </c>
      <c r="BQ13" s="9">
        <f t="shared" si="13"/>
        <v>0</v>
      </c>
      <c r="BR13" s="9">
        <f t="shared" si="14"/>
        <v>0</v>
      </c>
      <c r="BS13" s="9">
        <f t="shared" si="15"/>
        <v>0</v>
      </c>
      <c r="BT13" s="9">
        <f t="shared" si="16"/>
        <v>0</v>
      </c>
    </row>
    <row r="14" spans="1:72" hidden="1" x14ac:dyDescent="0.25">
      <c r="A14" s="11">
        <f t="shared" si="6"/>
        <v>13</v>
      </c>
      <c r="B14" s="3" t="s">
        <v>127</v>
      </c>
      <c r="C14" s="4" t="s">
        <v>128</v>
      </c>
      <c r="D14" s="4" t="s">
        <v>129</v>
      </c>
      <c r="E14" s="4" t="s">
        <v>77</v>
      </c>
      <c r="F14" s="4" t="s">
        <v>130</v>
      </c>
      <c r="G14" s="6" t="s">
        <v>144</v>
      </c>
      <c r="H14" s="4" t="s">
        <v>1809</v>
      </c>
      <c r="I14" s="6"/>
      <c r="J14" s="6"/>
      <c r="K14" s="4" t="s">
        <v>148</v>
      </c>
      <c r="L14" s="13">
        <v>1000000</v>
      </c>
      <c r="M14" s="4"/>
      <c r="N14" s="5"/>
      <c r="O14" s="4"/>
      <c r="P14" s="14"/>
      <c r="Q14" s="14"/>
      <c r="R14" s="1">
        <f t="shared" si="7"/>
        <v>0</v>
      </c>
      <c r="S14" s="2">
        <v>0</v>
      </c>
      <c r="T14" s="2">
        <f t="shared" si="8"/>
        <v>0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>
        <f t="shared" si="18"/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/>
      <c r="AP14" s="13"/>
      <c r="AQ14" s="13"/>
      <c r="AR14" s="13"/>
      <c r="AS14" s="13"/>
      <c r="AT14" s="4" t="s">
        <v>120</v>
      </c>
      <c r="AU14" s="4" t="s">
        <v>66</v>
      </c>
      <c r="AV14" s="4" t="s">
        <v>1218</v>
      </c>
      <c r="AW14" s="3" t="s">
        <v>141</v>
      </c>
      <c r="AX14" s="4" t="s">
        <v>149</v>
      </c>
      <c r="AY14" s="4"/>
      <c r="AZ14" s="4"/>
      <c r="BA14" s="4"/>
      <c r="BB14" s="4"/>
      <c r="BC14" s="4"/>
      <c r="BD14" s="23">
        <v>1</v>
      </c>
      <c r="BE14" s="18"/>
      <c r="BF14" s="18"/>
      <c r="BG14" s="18"/>
      <c r="BH14" s="18"/>
      <c r="BI14" s="18"/>
      <c r="BJ14" s="18"/>
      <c r="BK14" s="19"/>
      <c r="BL14" s="13"/>
      <c r="BM14" s="9">
        <f t="shared" si="9"/>
        <v>0</v>
      </c>
      <c r="BN14" s="9">
        <f t="shared" si="10"/>
        <v>0</v>
      </c>
      <c r="BO14" s="9">
        <f t="shared" si="11"/>
        <v>0</v>
      </c>
      <c r="BP14" s="9">
        <f t="shared" si="12"/>
        <v>0</v>
      </c>
      <c r="BQ14" s="9">
        <f t="shared" si="13"/>
        <v>0</v>
      </c>
      <c r="BR14" s="9">
        <f t="shared" si="14"/>
        <v>0</v>
      </c>
      <c r="BS14" s="9">
        <f t="shared" si="15"/>
        <v>0</v>
      </c>
      <c r="BT14" s="9">
        <f t="shared" si="16"/>
        <v>0</v>
      </c>
    </row>
    <row r="15" spans="1:72" hidden="1" x14ac:dyDescent="0.25">
      <c r="A15" s="11">
        <f t="shared" si="6"/>
        <v>14</v>
      </c>
      <c r="B15" s="3" t="s">
        <v>127</v>
      </c>
      <c r="C15" s="4" t="s">
        <v>128</v>
      </c>
      <c r="D15" s="4" t="s">
        <v>129</v>
      </c>
      <c r="E15" s="4" t="s">
        <v>77</v>
      </c>
      <c r="F15" s="4" t="s">
        <v>130</v>
      </c>
      <c r="G15" s="4" t="s">
        <v>131</v>
      </c>
      <c r="H15" s="4" t="s">
        <v>132</v>
      </c>
      <c r="I15" s="4"/>
      <c r="J15" s="4"/>
      <c r="K15" s="4" t="s">
        <v>150</v>
      </c>
      <c r="L15" s="13">
        <v>200000</v>
      </c>
      <c r="M15" s="4" t="s">
        <v>52</v>
      </c>
      <c r="N15" s="5" t="s">
        <v>151</v>
      </c>
      <c r="O15" s="4" t="s">
        <v>109</v>
      </c>
      <c r="P15" s="14"/>
      <c r="Q15" s="14">
        <v>0.52</v>
      </c>
      <c r="R15" s="1">
        <f t="shared" si="7"/>
        <v>0</v>
      </c>
      <c r="S15" s="2">
        <v>0</v>
      </c>
      <c r="T15" s="2">
        <f t="shared" si="8"/>
        <v>0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>
        <f t="shared" si="18"/>
        <v>0</v>
      </c>
      <c r="AH15" s="13">
        <v>0</v>
      </c>
      <c r="AI15" s="13">
        <v>0</v>
      </c>
      <c r="AJ15" s="13">
        <v>0</v>
      </c>
      <c r="AK15" s="13">
        <v>21000</v>
      </c>
      <c r="AL15" s="13">
        <v>36000</v>
      </c>
      <c r="AM15" s="13">
        <v>69000</v>
      </c>
      <c r="AN15" s="13">
        <v>0</v>
      </c>
      <c r="AO15" s="13"/>
      <c r="AP15" s="13"/>
      <c r="AQ15" s="13"/>
      <c r="AR15" s="13"/>
      <c r="AS15" s="13"/>
      <c r="AT15" s="4" t="s">
        <v>120</v>
      </c>
      <c r="AU15" s="4" t="s">
        <v>66</v>
      </c>
      <c r="AV15" s="4" t="s">
        <v>1218</v>
      </c>
      <c r="AW15" s="3" t="s">
        <v>98</v>
      </c>
      <c r="AX15" s="4" t="s">
        <v>110</v>
      </c>
      <c r="AY15" s="4" t="s">
        <v>111</v>
      </c>
      <c r="AZ15" s="4"/>
      <c r="BA15" s="4"/>
      <c r="BB15" s="4"/>
      <c r="BC15" s="4"/>
      <c r="BD15" s="23">
        <v>1</v>
      </c>
      <c r="BE15" s="18"/>
      <c r="BF15" s="18"/>
      <c r="BG15" s="18"/>
      <c r="BH15" s="18"/>
      <c r="BI15" s="18"/>
      <c r="BJ15" s="18"/>
      <c r="BK15" s="19"/>
      <c r="BL15" s="13"/>
      <c r="BM15" s="9">
        <f t="shared" si="9"/>
        <v>0</v>
      </c>
      <c r="BN15" s="9">
        <f t="shared" si="10"/>
        <v>0</v>
      </c>
      <c r="BO15" s="9">
        <f t="shared" si="11"/>
        <v>0</v>
      </c>
      <c r="BP15" s="9">
        <f t="shared" si="12"/>
        <v>0</v>
      </c>
      <c r="BQ15" s="9">
        <f t="shared" si="13"/>
        <v>0</v>
      </c>
      <c r="BR15" s="9">
        <f t="shared" si="14"/>
        <v>0</v>
      </c>
      <c r="BS15" s="9">
        <f t="shared" si="15"/>
        <v>0</v>
      </c>
      <c r="BT15" s="9">
        <f t="shared" si="16"/>
        <v>0</v>
      </c>
    </row>
    <row r="16" spans="1:72" hidden="1" x14ac:dyDescent="0.25">
      <c r="A16" s="11">
        <f t="shared" si="6"/>
        <v>15</v>
      </c>
      <c r="B16" s="3" t="s">
        <v>127</v>
      </c>
      <c r="C16" s="4" t="s">
        <v>128</v>
      </c>
      <c r="D16" s="4" t="s">
        <v>129</v>
      </c>
      <c r="E16" s="4" t="s">
        <v>77</v>
      </c>
      <c r="F16" s="4" t="s">
        <v>130</v>
      </c>
      <c r="G16" s="6" t="s">
        <v>152</v>
      </c>
      <c r="H16" s="4" t="s">
        <v>153</v>
      </c>
      <c r="I16" s="6"/>
      <c r="J16" s="6"/>
      <c r="K16" s="4" t="s">
        <v>154</v>
      </c>
      <c r="L16" s="13">
        <v>4000000</v>
      </c>
      <c r="M16" s="4" t="s">
        <v>51</v>
      </c>
      <c r="N16" s="5" t="s">
        <v>155</v>
      </c>
      <c r="O16" s="4" t="s">
        <v>156</v>
      </c>
      <c r="P16" s="14"/>
      <c r="Q16" s="14">
        <v>0.15</v>
      </c>
      <c r="R16" s="1">
        <f t="shared" si="7"/>
        <v>0</v>
      </c>
      <c r="S16" s="2">
        <v>0</v>
      </c>
      <c r="T16" s="2">
        <f t="shared" si="8"/>
        <v>0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>
        <f t="shared" si="18"/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/>
      <c r="AP16" s="13"/>
      <c r="AQ16" s="13"/>
      <c r="AR16" s="13"/>
      <c r="AS16" s="13"/>
      <c r="AT16" s="4" t="s">
        <v>120</v>
      </c>
      <c r="AU16" s="4" t="s">
        <v>66</v>
      </c>
      <c r="AV16" s="4" t="s">
        <v>1218</v>
      </c>
      <c r="AW16" s="3" t="s">
        <v>141</v>
      </c>
      <c r="AX16" s="4" t="s">
        <v>142</v>
      </c>
      <c r="AY16" s="4" t="s">
        <v>143</v>
      </c>
      <c r="AZ16" s="4"/>
      <c r="BA16" s="4"/>
      <c r="BB16" s="4"/>
      <c r="BC16" s="4"/>
      <c r="BD16" s="23">
        <v>2</v>
      </c>
      <c r="BE16" s="18"/>
      <c r="BF16" s="18"/>
      <c r="BG16" s="18"/>
      <c r="BH16" s="18"/>
      <c r="BI16" s="18"/>
      <c r="BJ16" s="18"/>
      <c r="BK16" s="19"/>
      <c r="BL16" s="13"/>
      <c r="BM16" s="9">
        <f t="shared" si="9"/>
        <v>0</v>
      </c>
      <c r="BN16" s="9">
        <f t="shared" si="10"/>
        <v>0</v>
      </c>
      <c r="BO16" s="9">
        <f t="shared" si="11"/>
        <v>0</v>
      </c>
      <c r="BP16" s="9">
        <f t="shared" si="12"/>
        <v>0</v>
      </c>
      <c r="BQ16" s="9">
        <f t="shared" si="13"/>
        <v>0</v>
      </c>
      <c r="BR16" s="9">
        <f t="shared" si="14"/>
        <v>0</v>
      </c>
      <c r="BS16" s="9">
        <f t="shared" si="15"/>
        <v>0</v>
      </c>
      <c r="BT16" s="9">
        <f t="shared" si="16"/>
        <v>0</v>
      </c>
    </row>
    <row r="17" spans="1:72" hidden="1" x14ac:dyDescent="0.25">
      <c r="A17" s="11">
        <f t="shared" si="6"/>
        <v>16</v>
      </c>
      <c r="B17" s="3" t="s">
        <v>127</v>
      </c>
      <c r="C17" s="4" t="s">
        <v>128</v>
      </c>
      <c r="D17" s="4" t="s">
        <v>129</v>
      </c>
      <c r="E17" s="4" t="s">
        <v>77</v>
      </c>
      <c r="F17" s="4" t="s">
        <v>130</v>
      </c>
      <c r="G17" s="7" t="s">
        <v>157</v>
      </c>
      <c r="H17" s="4" t="s">
        <v>1079</v>
      </c>
      <c r="I17" s="7"/>
      <c r="J17" s="7"/>
      <c r="K17" s="4" t="s">
        <v>158</v>
      </c>
      <c r="L17" s="13">
        <v>500000</v>
      </c>
      <c r="M17" s="4" t="s">
        <v>51</v>
      </c>
      <c r="N17" s="5" t="s">
        <v>159</v>
      </c>
      <c r="O17" s="4" t="s">
        <v>109</v>
      </c>
      <c r="P17" s="14"/>
      <c r="Q17" s="14"/>
      <c r="R17" s="1">
        <f t="shared" si="7"/>
        <v>0</v>
      </c>
      <c r="S17" s="2">
        <v>0</v>
      </c>
      <c r="T17" s="2">
        <f t="shared" si="8"/>
        <v>0</v>
      </c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>
        <f t="shared" si="18"/>
        <v>0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4" t="s">
        <v>120</v>
      </c>
      <c r="AU17" s="4" t="s">
        <v>66</v>
      </c>
      <c r="AV17" s="4" t="s">
        <v>1218</v>
      </c>
      <c r="AW17" s="3" t="s">
        <v>141</v>
      </c>
      <c r="AX17" s="4" t="s">
        <v>142</v>
      </c>
      <c r="AY17" s="4" t="s">
        <v>143</v>
      </c>
      <c r="AZ17" s="4"/>
      <c r="BA17" s="4"/>
      <c r="BB17" s="4"/>
      <c r="BC17" s="4"/>
      <c r="BD17" s="23">
        <v>1</v>
      </c>
      <c r="BE17" s="18"/>
      <c r="BF17" s="18"/>
      <c r="BG17" s="18"/>
      <c r="BH17" s="18"/>
      <c r="BI17" s="18"/>
      <c r="BJ17" s="18"/>
      <c r="BK17" s="19"/>
      <c r="BL17" s="13"/>
      <c r="BM17" s="9">
        <f t="shared" si="9"/>
        <v>0</v>
      </c>
      <c r="BN17" s="9">
        <f t="shared" si="10"/>
        <v>0</v>
      </c>
      <c r="BO17" s="9">
        <f t="shared" si="11"/>
        <v>0</v>
      </c>
      <c r="BP17" s="9">
        <f t="shared" si="12"/>
        <v>0</v>
      </c>
      <c r="BQ17" s="9">
        <f t="shared" si="13"/>
        <v>0</v>
      </c>
      <c r="BR17" s="9">
        <f t="shared" si="14"/>
        <v>0</v>
      </c>
      <c r="BS17" s="9">
        <f t="shared" si="15"/>
        <v>0</v>
      </c>
      <c r="BT17" s="9">
        <f t="shared" si="16"/>
        <v>0</v>
      </c>
    </row>
    <row r="18" spans="1:72" hidden="1" x14ac:dyDescent="0.25">
      <c r="A18" s="11">
        <f t="shared" si="6"/>
        <v>17</v>
      </c>
      <c r="B18" s="3" t="s">
        <v>160</v>
      </c>
      <c r="C18" s="4" t="s">
        <v>161</v>
      </c>
      <c r="D18" s="4" t="s">
        <v>160</v>
      </c>
      <c r="E18" s="4" t="s">
        <v>61</v>
      </c>
      <c r="F18" s="4" t="s">
        <v>109</v>
      </c>
      <c r="G18" s="4" t="s">
        <v>63</v>
      </c>
      <c r="H18" s="4" t="s">
        <v>1730</v>
      </c>
      <c r="I18" s="4"/>
      <c r="J18" s="4"/>
      <c r="K18" s="4" t="s">
        <v>73</v>
      </c>
      <c r="L18" s="24">
        <v>15000000</v>
      </c>
      <c r="M18" s="13" t="s">
        <v>65</v>
      </c>
      <c r="N18" s="13"/>
      <c r="O18" s="13">
        <v>0</v>
      </c>
      <c r="P18" s="13"/>
      <c r="Q18" s="25">
        <v>1.95</v>
      </c>
      <c r="R18" s="1">
        <f t="shared" si="7"/>
        <v>1950000</v>
      </c>
      <c r="S18" s="2">
        <v>13845000</v>
      </c>
      <c r="T18" s="2">
        <f t="shared" si="8"/>
        <v>1000000</v>
      </c>
      <c r="U18" s="13">
        <v>800000</v>
      </c>
      <c r="V18" s="13">
        <v>700000</v>
      </c>
      <c r="W18" s="13">
        <v>800000</v>
      </c>
      <c r="X18" s="13">
        <v>250000</v>
      </c>
      <c r="Y18" s="13">
        <v>250000</v>
      </c>
      <c r="Z18" s="13"/>
      <c r="AA18" s="13"/>
      <c r="AB18" s="13"/>
      <c r="AC18" s="13">
        <v>250000</v>
      </c>
      <c r="AD18" s="13">
        <v>250000</v>
      </c>
      <c r="AE18" s="13">
        <v>250000</v>
      </c>
      <c r="AF18" s="13">
        <v>250000</v>
      </c>
      <c r="AG18" s="13">
        <f t="shared" si="18"/>
        <v>250000</v>
      </c>
      <c r="AH18" s="13"/>
      <c r="AI18" s="13"/>
      <c r="AJ18" s="13"/>
      <c r="AK18" s="13"/>
      <c r="AL18" s="4"/>
      <c r="AM18" s="4"/>
      <c r="AN18" s="4"/>
      <c r="AO18" s="3"/>
      <c r="AP18" s="4"/>
      <c r="AQ18" s="4"/>
      <c r="AR18" s="4"/>
      <c r="AS18" s="4"/>
      <c r="AT18" s="4" t="s">
        <v>126</v>
      </c>
      <c r="AU18" s="4" t="s">
        <v>66</v>
      </c>
      <c r="AV18" s="4" t="s">
        <v>826</v>
      </c>
      <c r="AW18" s="18" t="s">
        <v>98</v>
      </c>
      <c r="AX18" s="18" t="s">
        <v>68</v>
      </c>
      <c r="AY18" s="18" t="s">
        <v>162</v>
      </c>
      <c r="AZ18" s="18" t="s">
        <v>163</v>
      </c>
      <c r="BA18" s="18"/>
      <c r="BB18" s="18"/>
      <c r="BC18" s="19"/>
      <c r="BD18" s="13">
        <v>3</v>
      </c>
      <c r="BE18" s="7"/>
      <c r="BF18" s="7"/>
      <c r="BG18" s="7"/>
      <c r="BH18" s="7"/>
      <c r="BI18" s="7"/>
      <c r="BJ18" s="7"/>
      <c r="BK18" s="7"/>
      <c r="BL18" s="7"/>
      <c r="BM18" s="9">
        <f t="shared" ref="BM18" si="19">$Q18*Y18</f>
        <v>487500</v>
      </c>
      <c r="BN18" s="9">
        <f t="shared" si="10"/>
        <v>0</v>
      </c>
      <c r="BO18" s="9">
        <f t="shared" si="11"/>
        <v>0</v>
      </c>
      <c r="BP18" s="9">
        <f t="shared" si="12"/>
        <v>0</v>
      </c>
      <c r="BQ18" s="9">
        <f t="shared" si="13"/>
        <v>487500</v>
      </c>
      <c r="BR18" s="9">
        <f t="shared" si="14"/>
        <v>487500</v>
      </c>
      <c r="BS18" s="9">
        <f t="shared" si="15"/>
        <v>487500</v>
      </c>
      <c r="BT18" s="9">
        <f t="shared" si="16"/>
        <v>487500</v>
      </c>
    </row>
    <row r="19" spans="1:72" hidden="1" x14ac:dyDescent="0.25">
      <c r="A19" s="11">
        <f t="shared" si="6"/>
        <v>18</v>
      </c>
      <c r="B19" s="3" t="s">
        <v>160</v>
      </c>
      <c r="C19" s="4" t="s">
        <v>161</v>
      </c>
      <c r="D19" s="4" t="s">
        <v>160</v>
      </c>
      <c r="E19" s="4" t="s">
        <v>61</v>
      </c>
      <c r="F19" s="4" t="s">
        <v>109</v>
      </c>
      <c r="G19" s="4" t="s">
        <v>1758</v>
      </c>
      <c r="H19" s="4" t="s">
        <v>1729</v>
      </c>
      <c r="I19" s="4"/>
      <c r="J19" s="4"/>
      <c r="K19" s="4" t="s">
        <v>73</v>
      </c>
      <c r="L19" s="24">
        <v>15000000</v>
      </c>
      <c r="M19" s="13" t="s">
        <v>65</v>
      </c>
      <c r="N19" s="13"/>
      <c r="O19" s="13">
        <v>0</v>
      </c>
      <c r="P19" s="13"/>
      <c r="Q19" s="25">
        <v>1.95</v>
      </c>
      <c r="R19" s="1">
        <f t="shared" si="7"/>
        <v>6630000</v>
      </c>
      <c r="S19" s="2">
        <v>13845000</v>
      </c>
      <c r="T19" s="2">
        <f t="shared" si="8"/>
        <v>3400000</v>
      </c>
      <c r="U19" s="13">
        <v>800000</v>
      </c>
      <c r="V19" s="13">
        <v>700000</v>
      </c>
      <c r="W19" s="13">
        <v>800000</v>
      </c>
      <c r="X19" s="13">
        <v>750000</v>
      </c>
      <c r="Y19" s="13">
        <v>750000</v>
      </c>
      <c r="Z19" s="13">
        <v>500000</v>
      </c>
      <c r="AA19" s="13">
        <v>500000</v>
      </c>
      <c r="AB19" s="13">
        <v>400000</v>
      </c>
      <c r="AC19" s="13">
        <v>750000</v>
      </c>
      <c r="AD19" s="13">
        <v>750000</v>
      </c>
      <c r="AE19" s="13">
        <v>750000</v>
      </c>
      <c r="AF19" s="13">
        <v>750000</v>
      </c>
      <c r="AG19" s="13">
        <f t="shared" si="18"/>
        <v>750000</v>
      </c>
      <c r="AH19" s="13"/>
      <c r="AI19" s="13"/>
      <c r="AJ19" s="13"/>
      <c r="AK19" s="13"/>
      <c r="AL19" s="4"/>
      <c r="AM19" s="4"/>
      <c r="AN19" s="4"/>
      <c r="AO19" s="3"/>
      <c r="AP19" s="4"/>
      <c r="AQ19" s="4"/>
      <c r="AR19" s="4"/>
      <c r="AS19" s="4"/>
      <c r="AT19" s="4" t="s">
        <v>126</v>
      </c>
      <c r="AU19" s="4" t="s">
        <v>66</v>
      </c>
      <c r="AV19" s="4" t="s">
        <v>826</v>
      </c>
      <c r="AW19" s="18" t="s">
        <v>98</v>
      </c>
      <c r="AX19" s="18" t="s">
        <v>68</v>
      </c>
      <c r="AY19" s="18" t="s">
        <v>162</v>
      </c>
      <c r="AZ19" s="18" t="s">
        <v>163</v>
      </c>
      <c r="BA19" s="18"/>
      <c r="BB19" s="18"/>
      <c r="BC19" s="19"/>
      <c r="BD19" s="13">
        <v>3</v>
      </c>
      <c r="BE19" s="7"/>
      <c r="BF19" s="7"/>
      <c r="BG19" s="7"/>
      <c r="BH19" s="7"/>
      <c r="BI19" s="7"/>
      <c r="BJ19" s="7"/>
      <c r="BK19" s="7"/>
      <c r="BL19" s="7"/>
      <c r="BM19" s="9">
        <f t="shared" si="9"/>
        <v>1462500</v>
      </c>
      <c r="BN19" s="9">
        <f t="shared" si="10"/>
        <v>975000</v>
      </c>
      <c r="BO19" s="9">
        <f t="shared" si="11"/>
        <v>975000</v>
      </c>
      <c r="BP19" s="9">
        <f t="shared" si="12"/>
        <v>780000</v>
      </c>
      <c r="BQ19" s="9">
        <f t="shared" si="13"/>
        <v>1462500</v>
      </c>
      <c r="BR19" s="9">
        <f t="shared" si="14"/>
        <v>1462500</v>
      </c>
      <c r="BS19" s="9">
        <f t="shared" si="15"/>
        <v>1462500</v>
      </c>
      <c r="BT19" s="9">
        <f t="shared" si="16"/>
        <v>1462500</v>
      </c>
    </row>
    <row r="20" spans="1:72" hidden="1" x14ac:dyDescent="0.25">
      <c r="A20" s="11">
        <f t="shared" si="6"/>
        <v>19</v>
      </c>
      <c r="B20" s="3" t="s">
        <v>164</v>
      </c>
      <c r="C20" s="4" t="s">
        <v>161</v>
      </c>
      <c r="D20" s="4" t="s">
        <v>165</v>
      </c>
      <c r="E20" s="4" t="s">
        <v>77</v>
      </c>
      <c r="F20" s="4" t="s">
        <v>166</v>
      </c>
      <c r="G20" s="4" t="s">
        <v>167</v>
      </c>
      <c r="H20" s="4" t="s">
        <v>168</v>
      </c>
      <c r="I20" s="4"/>
      <c r="J20" s="4"/>
      <c r="K20" s="4" t="s">
        <v>95</v>
      </c>
      <c r="L20" s="13">
        <v>2000000</v>
      </c>
      <c r="M20" s="4" t="s">
        <v>65</v>
      </c>
      <c r="N20" s="5"/>
      <c r="O20" s="4"/>
      <c r="P20" s="14"/>
      <c r="Q20" s="14">
        <v>0.51</v>
      </c>
      <c r="R20" s="1">
        <f t="shared" si="7"/>
        <v>3060000</v>
      </c>
      <c r="S20" s="2">
        <v>2703000</v>
      </c>
      <c r="T20" s="2">
        <f t="shared" si="8"/>
        <v>6000000</v>
      </c>
      <c r="U20" s="13">
        <v>400000</v>
      </c>
      <c r="V20" s="13">
        <v>400000</v>
      </c>
      <c r="W20" s="13">
        <v>600000</v>
      </c>
      <c r="X20" s="13">
        <v>650000</v>
      </c>
      <c r="Y20" s="13">
        <v>700000</v>
      </c>
      <c r="Z20" s="13">
        <v>800000</v>
      </c>
      <c r="AA20" s="13">
        <v>1300000</v>
      </c>
      <c r="AB20" s="13">
        <v>1200000</v>
      </c>
      <c r="AC20" s="13">
        <v>1200000</v>
      </c>
      <c r="AD20" s="13">
        <v>1200000</v>
      </c>
      <c r="AE20" s="13">
        <v>1200000</v>
      </c>
      <c r="AF20" s="13">
        <v>1200000</v>
      </c>
      <c r="AG20" s="13">
        <f t="shared" si="18"/>
        <v>1200000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4"/>
      <c r="AU20" s="4" t="s">
        <v>66</v>
      </c>
      <c r="AV20" s="4" t="s">
        <v>1218</v>
      </c>
      <c r="AW20" s="3" t="s">
        <v>98</v>
      </c>
      <c r="AX20" s="4" t="s">
        <v>99</v>
      </c>
      <c r="AY20" s="4" t="s">
        <v>100</v>
      </c>
      <c r="AZ20" s="4" t="s">
        <v>101</v>
      </c>
      <c r="BA20" s="4"/>
      <c r="BB20" s="4"/>
      <c r="BC20" s="4"/>
      <c r="BD20" s="23"/>
      <c r="BE20" s="18"/>
      <c r="BF20" s="18"/>
      <c r="BG20" s="18"/>
      <c r="BH20" s="18"/>
      <c r="BI20" s="18"/>
      <c r="BJ20" s="18"/>
      <c r="BK20" s="19"/>
      <c r="BL20" s="13"/>
      <c r="BM20" s="9">
        <f t="shared" si="9"/>
        <v>357000</v>
      </c>
      <c r="BN20" s="9">
        <f t="shared" si="10"/>
        <v>408000</v>
      </c>
      <c r="BO20" s="9">
        <f t="shared" si="11"/>
        <v>663000</v>
      </c>
      <c r="BP20" s="9">
        <f t="shared" si="12"/>
        <v>612000</v>
      </c>
      <c r="BQ20" s="9">
        <f t="shared" si="13"/>
        <v>612000</v>
      </c>
      <c r="BR20" s="9">
        <f t="shared" si="14"/>
        <v>612000</v>
      </c>
      <c r="BS20" s="9">
        <f t="shared" si="15"/>
        <v>612000</v>
      </c>
      <c r="BT20" s="9">
        <f t="shared" si="16"/>
        <v>612000</v>
      </c>
    </row>
    <row r="21" spans="1:72" hidden="1" x14ac:dyDescent="0.25">
      <c r="A21" s="11">
        <f t="shared" si="6"/>
        <v>20</v>
      </c>
      <c r="B21" s="3" t="s">
        <v>164</v>
      </c>
      <c r="C21" s="4" t="s">
        <v>161</v>
      </c>
      <c r="D21" s="4" t="s">
        <v>165</v>
      </c>
      <c r="E21" s="4" t="s">
        <v>77</v>
      </c>
      <c r="F21" s="4" t="s">
        <v>166</v>
      </c>
      <c r="G21" s="4" t="s">
        <v>169</v>
      </c>
      <c r="H21" s="4" t="s">
        <v>1814</v>
      </c>
      <c r="I21" s="4"/>
      <c r="J21" s="4"/>
      <c r="K21" s="4" t="s">
        <v>95</v>
      </c>
      <c r="L21" s="13">
        <v>1500000</v>
      </c>
      <c r="M21" s="4" t="s">
        <v>65</v>
      </c>
      <c r="N21" s="5"/>
      <c r="O21" s="4"/>
      <c r="P21" s="14"/>
      <c r="Q21" s="14">
        <v>0.5</v>
      </c>
      <c r="R21" s="1">
        <f t="shared" si="7"/>
        <v>575000</v>
      </c>
      <c r="S21" s="2">
        <v>600000</v>
      </c>
      <c r="T21" s="2">
        <f t="shared" si="8"/>
        <v>1150000</v>
      </c>
      <c r="U21" s="13">
        <v>200000</v>
      </c>
      <c r="V21" s="13">
        <v>200000</v>
      </c>
      <c r="W21" s="13">
        <v>200000</v>
      </c>
      <c r="X21" s="13">
        <v>150000</v>
      </c>
      <c r="Y21" s="13">
        <v>150000</v>
      </c>
      <c r="Z21" s="13">
        <v>200000</v>
      </c>
      <c r="AA21" s="13">
        <v>250000</v>
      </c>
      <c r="AB21" s="13">
        <v>250000</v>
      </c>
      <c r="AC21" s="13">
        <v>250000</v>
      </c>
      <c r="AD21" s="13">
        <v>250000</v>
      </c>
      <c r="AE21" s="13">
        <v>200000</v>
      </c>
      <c r="AF21" s="13">
        <v>200000</v>
      </c>
      <c r="AG21" s="13">
        <f t="shared" si="18"/>
        <v>200000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 t="s">
        <v>66</v>
      </c>
      <c r="AV21" s="4" t="s">
        <v>1218</v>
      </c>
      <c r="AW21" s="3" t="s">
        <v>98</v>
      </c>
      <c r="AX21" s="4" t="s">
        <v>99</v>
      </c>
      <c r="AY21" s="4" t="s">
        <v>100</v>
      </c>
      <c r="AZ21" s="4" t="s">
        <v>101</v>
      </c>
      <c r="BA21" s="4"/>
      <c r="BB21" s="4"/>
      <c r="BC21" s="4"/>
      <c r="BD21" s="23"/>
      <c r="BE21" s="18"/>
      <c r="BF21" s="18"/>
      <c r="BG21" s="18"/>
      <c r="BH21" s="18"/>
      <c r="BI21" s="18"/>
      <c r="BJ21" s="18"/>
      <c r="BK21" s="19"/>
      <c r="BL21" s="13"/>
      <c r="BM21" s="9">
        <f t="shared" si="9"/>
        <v>75000</v>
      </c>
      <c r="BN21" s="9">
        <f t="shared" si="10"/>
        <v>100000</v>
      </c>
      <c r="BO21" s="9">
        <f t="shared" si="11"/>
        <v>125000</v>
      </c>
      <c r="BP21" s="9">
        <f t="shared" si="12"/>
        <v>125000</v>
      </c>
      <c r="BQ21" s="9">
        <f t="shared" si="13"/>
        <v>125000</v>
      </c>
      <c r="BR21" s="9">
        <f t="shared" si="14"/>
        <v>125000</v>
      </c>
      <c r="BS21" s="9">
        <f t="shared" si="15"/>
        <v>100000</v>
      </c>
      <c r="BT21" s="9">
        <f t="shared" si="16"/>
        <v>100000</v>
      </c>
    </row>
    <row r="22" spans="1:72" hidden="1" x14ac:dyDescent="0.25">
      <c r="A22" s="11">
        <f t="shared" si="6"/>
        <v>21</v>
      </c>
      <c r="B22" s="3" t="s">
        <v>164</v>
      </c>
      <c r="C22" s="4" t="s">
        <v>161</v>
      </c>
      <c r="D22" s="4" t="s">
        <v>165</v>
      </c>
      <c r="E22" s="4" t="s">
        <v>77</v>
      </c>
      <c r="F22" s="4" t="s">
        <v>166</v>
      </c>
      <c r="G22" s="4" t="s">
        <v>170</v>
      </c>
      <c r="H22" s="4" t="s">
        <v>106</v>
      </c>
      <c r="I22" s="4"/>
      <c r="J22" s="4"/>
      <c r="K22" s="4" t="s">
        <v>95</v>
      </c>
      <c r="L22" s="13">
        <v>500000</v>
      </c>
      <c r="M22" s="4" t="s">
        <v>65</v>
      </c>
      <c r="N22" s="5"/>
      <c r="O22" s="4"/>
      <c r="P22" s="14"/>
      <c r="Q22" s="14">
        <v>0.51</v>
      </c>
      <c r="R22" s="1">
        <f t="shared" si="7"/>
        <v>193800</v>
      </c>
      <c r="S22" s="2">
        <v>163200</v>
      </c>
      <c r="T22" s="2">
        <f t="shared" si="8"/>
        <v>380000</v>
      </c>
      <c r="U22" s="13">
        <v>40000</v>
      </c>
      <c r="V22" s="13">
        <v>40000</v>
      </c>
      <c r="W22" s="13">
        <v>40000</v>
      </c>
      <c r="X22" s="13">
        <v>40000</v>
      </c>
      <c r="Y22" s="13">
        <v>40000</v>
      </c>
      <c r="Z22" s="13">
        <v>60000</v>
      </c>
      <c r="AA22" s="13">
        <v>60000</v>
      </c>
      <c r="AB22" s="13">
        <v>100000</v>
      </c>
      <c r="AC22" s="13">
        <v>100000</v>
      </c>
      <c r="AD22" s="13">
        <v>60000</v>
      </c>
      <c r="AE22" s="13">
        <v>60000</v>
      </c>
      <c r="AF22" s="13">
        <v>60000</v>
      </c>
      <c r="AG22" s="13">
        <f t="shared" si="18"/>
        <v>60000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4"/>
      <c r="AU22" s="4" t="s">
        <v>66</v>
      </c>
      <c r="AV22" s="4" t="s">
        <v>1218</v>
      </c>
      <c r="AW22" s="3" t="s">
        <v>98</v>
      </c>
      <c r="AX22" s="4" t="s">
        <v>99</v>
      </c>
      <c r="AY22" s="4" t="s">
        <v>100</v>
      </c>
      <c r="AZ22" s="4" t="s">
        <v>101</v>
      </c>
      <c r="BA22" s="4"/>
      <c r="BB22" s="4"/>
      <c r="BC22" s="4"/>
      <c r="BD22" s="23"/>
      <c r="BE22" s="18"/>
      <c r="BF22" s="18"/>
      <c r="BG22" s="18"/>
      <c r="BH22" s="18"/>
      <c r="BI22" s="18"/>
      <c r="BJ22" s="18"/>
      <c r="BK22" s="19"/>
      <c r="BL22" s="13"/>
      <c r="BM22" s="9">
        <f t="shared" si="9"/>
        <v>20400</v>
      </c>
      <c r="BN22" s="9">
        <f t="shared" si="10"/>
        <v>30600</v>
      </c>
      <c r="BO22" s="9">
        <f t="shared" si="11"/>
        <v>30600</v>
      </c>
      <c r="BP22" s="9">
        <f t="shared" si="12"/>
        <v>51000</v>
      </c>
      <c r="BQ22" s="9">
        <f t="shared" si="13"/>
        <v>51000</v>
      </c>
      <c r="BR22" s="9">
        <f t="shared" si="14"/>
        <v>30600</v>
      </c>
      <c r="BS22" s="9">
        <f t="shared" si="15"/>
        <v>30600</v>
      </c>
      <c r="BT22" s="9">
        <f t="shared" si="16"/>
        <v>30600</v>
      </c>
    </row>
    <row r="23" spans="1:72" hidden="1" x14ac:dyDescent="0.25">
      <c r="A23" s="11">
        <f t="shared" si="6"/>
        <v>22</v>
      </c>
      <c r="B23" s="3" t="s">
        <v>176</v>
      </c>
      <c r="C23" s="4" t="s">
        <v>128</v>
      </c>
      <c r="D23" s="4" t="s">
        <v>103</v>
      </c>
      <c r="E23" s="4" t="s">
        <v>77</v>
      </c>
      <c r="F23" s="4" t="s">
        <v>104</v>
      </c>
      <c r="G23" s="6" t="s">
        <v>177</v>
      </c>
      <c r="H23" s="4" t="s">
        <v>178</v>
      </c>
      <c r="I23" s="6"/>
      <c r="J23" s="6"/>
      <c r="K23" s="4" t="s">
        <v>179</v>
      </c>
      <c r="L23" s="13">
        <v>4000000</v>
      </c>
      <c r="M23" s="4" t="s">
        <v>51</v>
      </c>
      <c r="N23" s="5" t="s">
        <v>180</v>
      </c>
      <c r="O23" s="4" t="s">
        <v>181</v>
      </c>
      <c r="P23" s="14"/>
      <c r="Q23" s="14">
        <v>0.13800000000000001</v>
      </c>
      <c r="R23" s="1">
        <f t="shared" si="7"/>
        <v>276</v>
      </c>
      <c r="S23" s="2">
        <v>0</v>
      </c>
      <c r="T23" s="2">
        <f t="shared" si="8"/>
        <v>2000</v>
      </c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>
        <v>1000</v>
      </c>
      <c r="AF23" s="13">
        <v>1000</v>
      </c>
      <c r="AG23" s="13">
        <f t="shared" ref="AG23:AG28" si="20">AF23</f>
        <v>1000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/>
      <c r="AP23" s="13"/>
      <c r="AQ23" s="13"/>
      <c r="AR23" s="13"/>
      <c r="AS23" s="13"/>
      <c r="AT23" s="4" t="s">
        <v>120</v>
      </c>
      <c r="AU23" s="4" t="s">
        <v>66</v>
      </c>
      <c r="AV23" s="4" t="s">
        <v>1218</v>
      </c>
      <c r="AW23" s="3" t="s">
        <v>141</v>
      </c>
      <c r="AX23" s="4" t="s">
        <v>149</v>
      </c>
      <c r="AY23" s="4" t="s">
        <v>182</v>
      </c>
      <c r="AZ23" s="4" t="s">
        <v>183</v>
      </c>
      <c r="BA23" s="4"/>
      <c r="BB23" s="4"/>
      <c r="BC23" s="4"/>
      <c r="BD23" s="23">
        <v>1</v>
      </c>
      <c r="BE23" s="18"/>
      <c r="BF23" s="18"/>
      <c r="BG23" s="18"/>
      <c r="BH23" s="18"/>
      <c r="BI23" s="18"/>
      <c r="BJ23" s="18"/>
      <c r="BK23" s="19"/>
      <c r="BL23" s="13"/>
      <c r="BM23" s="9">
        <f t="shared" si="9"/>
        <v>0</v>
      </c>
      <c r="BN23" s="9">
        <f t="shared" si="10"/>
        <v>0</v>
      </c>
      <c r="BO23" s="9">
        <f t="shared" si="11"/>
        <v>0</v>
      </c>
      <c r="BP23" s="9">
        <f t="shared" si="12"/>
        <v>0</v>
      </c>
      <c r="BQ23" s="9">
        <f t="shared" si="13"/>
        <v>0</v>
      </c>
      <c r="BR23" s="9">
        <f t="shared" si="14"/>
        <v>0</v>
      </c>
      <c r="BS23" s="9">
        <f t="shared" si="15"/>
        <v>138</v>
      </c>
      <c r="BT23" s="9">
        <f t="shared" si="16"/>
        <v>138</v>
      </c>
    </row>
    <row r="24" spans="1:72" hidden="1" x14ac:dyDescent="0.25">
      <c r="A24" s="11">
        <f t="shared" si="6"/>
        <v>23</v>
      </c>
      <c r="B24" s="3" t="s">
        <v>176</v>
      </c>
      <c r="C24" s="4" t="s">
        <v>128</v>
      </c>
      <c r="D24" s="4" t="s">
        <v>103</v>
      </c>
      <c r="E24" s="4" t="s">
        <v>77</v>
      </c>
      <c r="F24" s="4" t="s">
        <v>104</v>
      </c>
      <c r="G24" s="4" t="s">
        <v>184</v>
      </c>
      <c r="H24" s="4" t="s">
        <v>1083</v>
      </c>
      <c r="I24" s="4"/>
      <c r="J24" s="4"/>
      <c r="K24" s="4" t="s">
        <v>179</v>
      </c>
      <c r="L24" s="13">
        <v>4000000</v>
      </c>
      <c r="M24" s="4" t="s">
        <v>51</v>
      </c>
      <c r="N24" s="5" t="s">
        <v>180</v>
      </c>
      <c r="O24" s="4"/>
      <c r="P24" s="14"/>
      <c r="Q24" s="14">
        <v>0.59799999999999998</v>
      </c>
      <c r="R24" s="1">
        <f t="shared" si="7"/>
        <v>1196</v>
      </c>
      <c r="S24" s="2">
        <v>0</v>
      </c>
      <c r="T24" s="2">
        <f t="shared" si="8"/>
        <v>2000</v>
      </c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>
        <v>1000</v>
      </c>
      <c r="AF24" s="13">
        <v>1000</v>
      </c>
      <c r="AG24" s="13">
        <f t="shared" si="20"/>
        <v>1000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/>
      <c r="AP24" s="13"/>
      <c r="AQ24" s="13"/>
      <c r="AR24" s="13"/>
      <c r="AS24" s="13"/>
      <c r="AT24" s="4" t="s">
        <v>120</v>
      </c>
      <c r="AU24" s="4" t="s">
        <v>66</v>
      </c>
      <c r="AV24" s="4" t="s">
        <v>1218</v>
      </c>
      <c r="AW24" s="3" t="s">
        <v>141</v>
      </c>
      <c r="AX24" s="4" t="s">
        <v>149</v>
      </c>
      <c r="AY24" s="4" t="s">
        <v>182</v>
      </c>
      <c r="AZ24" s="4"/>
      <c r="BA24" s="4"/>
      <c r="BB24" s="4"/>
      <c r="BC24" s="4"/>
      <c r="BD24" s="23">
        <v>1</v>
      </c>
      <c r="BE24" s="18"/>
      <c r="BF24" s="18"/>
      <c r="BG24" s="18"/>
      <c r="BH24" s="18"/>
      <c r="BI24" s="18"/>
      <c r="BJ24" s="18"/>
      <c r="BK24" s="19"/>
      <c r="BL24" s="13"/>
      <c r="BM24" s="9">
        <f t="shared" si="9"/>
        <v>0</v>
      </c>
      <c r="BN24" s="9">
        <f t="shared" si="10"/>
        <v>0</v>
      </c>
      <c r="BO24" s="9">
        <f t="shared" si="11"/>
        <v>0</v>
      </c>
      <c r="BP24" s="9">
        <f t="shared" si="12"/>
        <v>0</v>
      </c>
      <c r="BQ24" s="9">
        <f t="shared" si="13"/>
        <v>0</v>
      </c>
      <c r="BR24" s="9">
        <f t="shared" si="14"/>
        <v>0</v>
      </c>
      <c r="BS24" s="9">
        <f t="shared" si="15"/>
        <v>598</v>
      </c>
      <c r="BT24" s="9">
        <f t="shared" si="16"/>
        <v>598</v>
      </c>
    </row>
    <row r="25" spans="1:72" hidden="1" x14ac:dyDescent="0.25">
      <c r="A25" s="11">
        <f t="shared" si="6"/>
        <v>24</v>
      </c>
      <c r="B25" s="4" t="s">
        <v>185</v>
      </c>
      <c r="C25" s="4" t="s">
        <v>186</v>
      </c>
      <c r="D25" s="4" t="s">
        <v>187</v>
      </c>
      <c r="E25" s="4" t="s">
        <v>77</v>
      </c>
      <c r="F25" s="4" t="s">
        <v>188</v>
      </c>
      <c r="G25" s="4" t="s">
        <v>105</v>
      </c>
      <c r="H25" s="4" t="s">
        <v>106</v>
      </c>
      <c r="I25" s="4"/>
      <c r="J25" s="4"/>
      <c r="K25" s="4" t="s">
        <v>189</v>
      </c>
      <c r="L25" s="13">
        <v>6000000</v>
      </c>
      <c r="M25" s="4" t="s">
        <v>65</v>
      </c>
      <c r="N25" s="4" t="s">
        <v>190</v>
      </c>
      <c r="O25" s="4" t="s">
        <v>191</v>
      </c>
      <c r="P25" s="14"/>
      <c r="Q25" s="14">
        <v>0.61499999999999999</v>
      </c>
      <c r="R25" s="1">
        <f t="shared" si="7"/>
        <v>0</v>
      </c>
      <c r="S25" s="2">
        <v>0</v>
      </c>
      <c r="T25" s="2">
        <f t="shared" si="8"/>
        <v>0</v>
      </c>
      <c r="U25" s="4"/>
      <c r="V25" s="4"/>
      <c r="W25" s="4"/>
      <c r="X25" s="4"/>
      <c r="Y25" s="4"/>
      <c r="Z25" s="4"/>
      <c r="AA25" s="27"/>
      <c r="AB25" s="27"/>
      <c r="AC25" s="27"/>
      <c r="AD25" s="27"/>
      <c r="AE25" s="27"/>
      <c r="AF25" s="27"/>
      <c r="AG25" s="13">
        <f t="shared" si="20"/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/>
      <c r="AP25" s="13"/>
      <c r="AQ25" s="13"/>
      <c r="AR25" s="13"/>
      <c r="AS25" s="13"/>
      <c r="AT25" s="4" t="s">
        <v>192</v>
      </c>
      <c r="AU25" s="4" t="s">
        <v>66</v>
      </c>
      <c r="AV25" s="4" t="s">
        <v>1218</v>
      </c>
      <c r="AW25" s="4" t="s">
        <v>98</v>
      </c>
      <c r="AX25" s="4" t="s">
        <v>99</v>
      </c>
      <c r="AY25" s="4" t="s">
        <v>100</v>
      </c>
      <c r="AZ25" s="4" t="s">
        <v>101</v>
      </c>
      <c r="BA25" s="4" t="s">
        <v>193</v>
      </c>
      <c r="BB25" s="4"/>
      <c r="BC25" s="4"/>
      <c r="BD25" s="23"/>
      <c r="BE25" s="4"/>
      <c r="BF25" s="4"/>
      <c r="BG25" s="4"/>
      <c r="BH25" s="4"/>
      <c r="BI25" s="4"/>
      <c r="BJ25" s="4"/>
      <c r="BK25" s="26"/>
      <c r="BL25" s="13"/>
      <c r="BM25" s="9">
        <f t="shared" si="9"/>
        <v>0</v>
      </c>
      <c r="BN25" s="9">
        <f t="shared" si="10"/>
        <v>0</v>
      </c>
      <c r="BO25" s="9">
        <f t="shared" si="11"/>
        <v>0</v>
      </c>
      <c r="BP25" s="9">
        <f t="shared" si="12"/>
        <v>0</v>
      </c>
      <c r="BQ25" s="9">
        <f t="shared" si="13"/>
        <v>0</v>
      </c>
      <c r="BR25" s="9">
        <f t="shared" si="14"/>
        <v>0</v>
      </c>
      <c r="BS25" s="9">
        <f t="shared" si="15"/>
        <v>0</v>
      </c>
      <c r="BT25" s="9">
        <f t="shared" si="16"/>
        <v>0</v>
      </c>
    </row>
    <row r="26" spans="1:72" hidden="1" x14ac:dyDescent="0.25">
      <c r="A26" s="11">
        <f t="shared" si="6"/>
        <v>25</v>
      </c>
      <c r="B26" s="4" t="s">
        <v>185</v>
      </c>
      <c r="C26" s="4" t="s">
        <v>186</v>
      </c>
      <c r="D26" s="4" t="s">
        <v>187</v>
      </c>
      <c r="E26" s="4" t="s">
        <v>77</v>
      </c>
      <c r="F26" s="4" t="s">
        <v>188</v>
      </c>
      <c r="G26" s="4" t="s">
        <v>194</v>
      </c>
      <c r="H26" s="5" t="s">
        <v>1050</v>
      </c>
      <c r="I26" s="4"/>
      <c r="J26" s="4"/>
      <c r="K26" s="4" t="s">
        <v>189</v>
      </c>
      <c r="L26" s="13">
        <v>100000</v>
      </c>
      <c r="M26" s="4" t="s">
        <v>65</v>
      </c>
      <c r="N26" s="4" t="s">
        <v>109</v>
      </c>
      <c r="O26" s="4" t="s">
        <v>191</v>
      </c>
      <c r="P26" s="14"/>
      <c r="Q26" s="14">
        <v>0.57999999999999996</v>
      </c>
      <c r="R26" s="1">
        <f t="shared" si="7"/>
        <v>145000</v>
      </c>
      <c r="S26" s="2">
        <v>231999.99999999997</v>
      </c>
      <c r="T26" s="2">
        <f t="shared" si="8"/>
        <v>250000</v>
      </c>
      <c r="U26" s="27"/>
      <c r="V26" s="27"/>
      <c r="W26" s="27">
        <v>100000</v>
      </c>
      <c r="X26" s="27">
        <v>50000</v>
      </c>
      <c r="Y26" s="27">
        <v>50000</v>
      </c>
      <c r="Z26" s="27">
        <v>50000</v>
      </c>
      <c r="AA26" s="27">
        <v>50000</v>
      </c>
      <c r="AB26" s="27">
        <v>50000</v>
      </c>
      <c r="AC26" s="27">
        <v>50000</v>
      </c>
      <c r="AD26" s="27">
        <v>50000</v>
      </c>
      <c r="AE26" s="27">
        <v>50000</v>
      </c>
      <c r="AF26" s="27">
        <v>50000</v>
      </c>
      <c r="AG26" s="13">
        <f t="shared" si="20"/>
        <v>50000</v>
      </c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4" t="s">
        <v>192</v>
      </c>
      <c r="AU26" s="4" t="s">
        <v>66</v>
      </c>
      <c r="AV26" s="4" t="s">
        <v>1218</v>
      </c>
      <c r="AW26" s="4" t="s">
        <v>98</v>
      </c>
      <c r="AX26" s="4" t="s">
        <v>99</v>
      </c>
      <c r="AY26" s="4" t="s">
        <v>100</v>
      </c>
      <c r="AZ26" s="4" t="s">
        <v>101</v>
      </c>
      <c r="BA26" s="4" t="s">
        <v>193</v>
      </c>
      <c r="BB26" s="4"/>
      <c r="BC26" s="4"/>
      <c r="BD26" s="23"/>
      <c r="BE26" s="4"/>
      <c r="BF26" s="4"/>
      <c r="BG26" s="4"/>
      <c r="BH26" s="4"/>
      <c r="BI26" s="4"/>
      <c r="BJ26" s="4"/>
      <c r="BK26" s="26"/>
      <c r="BL26" s="13"/>
      <c r="BM26" s="9">
        <f t="shared" si="9"/>
        <v>28999.999999999996</v>
      </c>
      <c r="BN26" s="9">
        <f t="shared" si="10"/>
        <v>28999.999999999996</v>
      </c>
      <c r="BO26" s="9">
        <f t="shared" si="11"/>
        <v>28999.999999999996</v>
      </c>
      <c r="BP26" s="9">
        <f t="shared" si="12"/>
        <v>28999.999999999996</v>
      </c>
      <c r="BQ26" s="9">
        <f t="shared" si="13"/>
        <v>28999.999999999996</v>
      </c>
      <c r="BR26" s="9">
        <f t="shared" si="14"/>
        <v>28999.999999999996</v>
      </c>
      <c r="BS26" s="9">
        <f t="shared" si="15"/>
        <v>28999.999999999996</v>
      </c>
      <c r="BT26" s="9">
        <f t="shared" si="16"/>
        <v>28999.999999999996</v>
      </c>
    </row>
    <row r="27" spans="1:72" hidden="1" x14ac:dyDescent="0.25">
      <c r="A27" s="11">
        <f t="shared" si="6"/>
        <v>26</v>
      </c>
      <c r="B27" s="4" t="s">
        <v>185</v>
      </c>
      <c r="C27" s="4" t="s">
        <v>186</v>
      </c>
      <c r="D27" s="4" t="s">
        <v>187</v>
      </c>
      <c r="E27" s="4" t="s">
        <v>77</v>
      </c>
      <c r="F27" s="4" t="s">
        <v>188</v>
      </c>
      <c r="G27" s="4" t="s">
        <v>105</v>
      </c>
      <c r="H27" s="4" t="s">
        <v>106</v>
      </c>
      <c r="I27" s="4"/>
      <c r="J27" s="4"/>
      <c r="K27" s="4" t="s">
        <v>95</v>
      </c>
      <c r="L27" s="13">
        <v>100000</v>
      </c>
      <c r="M27" s="4" t="s">
        <v>65</v>
      </c>
      <c r="N27" s="4" t="s">
        <v>195</v>
      </c>
      <c r="O27" s="4" t="s">
        <v>191</v>
      </c>
      <c r="P27" s="14"/>
      <c r="Q27" s="14">
        <v>0.61499999999999999</v>
      </c>
      <c r="R27" s="1">
        <f t="shared" si="7"/>
        <v>0</v>
      </c>
      <c r="S27" s="2">
        <v>0</v>
      </c>
      <c r="T27" s="2">
        <f t="shared" si="8"/>
        <v>0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>
        <f t="shared" si="20"/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/>
      <c r="AP27" s="13"/>
      <c r="AQ27" s="13"/>
      <c r="AR27" s="13"/>
      <c r="AS27" s="13"/>
      <c r="AT27" s="4" t="s">
        <v>192</v>
      </c>
      <c r="AU27" s="4" t="s">
        <v>66</v>
      </c>
      <c r="AV27" s="4" t="s">
        <v>1218</v>
      </c>
      <c r="AW27" s="4" t="s">
        <v>98</v>
      </c>
      <c r="AX27" s="4" t="s">
        <v>110</v>
      </c>
      <c r="AY27" s="4" t="s">
        <v>100</v>
      </c>
      <c r="AZ27" s="4" t="s">
        <v>101</v>
      </c>
      <c r="BA27" s="4" t="s">
        <v>196</v>
      </c>
      <c r="BB27" s="4"/>
      <c r="BC27" s="4"/>
      <c r="BD27" s="23">
        <v>1</v>
      </c>
      <c r="BE27" s="4"/>
      <c r="BF27" s="4"/>
      <c r="BG27" s="4"/>
      <c r="BH27" s="4"/>
      <c r="BI27" s="4"/>
      <c r="BJ27" s="4"/>
      <c r="BK27" s="26"/>
      <c r="BL27" s="13"/>
      <c r="BM27" s="9">
        <f t="shared" si="9"/>
        <v>0</v>
      </c>
      <c r="BN27" s="9">
        <f t="shared" si="10"/>
        <v>0</v>
      </c>
      <c r="BO27" s="9">
        <f t="shared" si="11"/>
        <v>0</v>
      </c>
      <c r="BP27" s="9">
        <f t="shared" si="12"/>
        <v>0</v>
      </c>
      <c r="BQ27" s="9">
        <f t="shared" si="13"/>
        <v>0</v>
      </c>
      <c r="BR27" s="9">
        <f t="shared" si="14"/>
        <v>0</v>
      </c>
      <c r="BS27" s="9">
        <f t="shared" si="15"/>
        <v>0</v>
      </c>
      <c r="BT27" s="9">
        <f t="shared" si="16"/>
        <v>0</v>
      </c>
    </row>
    <row r="28" spans="1:72" hidden="1" x14ac:dyDescent="0.25">
      <c r="A28" s="11">
        <f t="shared" si="6"/>
        <v>27</v>
      </c>
      <c r="B28" s="4" t="s">
        <v>185</v>
      </c>
      <c r="C28" s="4" t="s">
        <v>186</v>
      </c>
      <c r="D28" s="4" t="s">
        <v>187</v>
      </c>
      <c r="E28" s="4" t="s">
        <v>77</v>
      </c>
      <c r="F28" s="4" t="s">
        <v>188</v>
      </c>
      <c r="G28" s="4" t="s">
        <v>105</v>
      </c>
      <c r="H28" s="4" t="s">
        <v>106</v>
      </c>
      <c r="I28" s="4"/>
      <c r="J28" s="4"/>
      <c r="K28" s="4" t="s">
        <v>95</v>
      </c>
      <c r="L28" s="13">
        <v>1000000</v>
      </c>
      <c r="M28" s="4" t="s">
        <v>197</v>
      </c>
      <c r="N28" s="4" t="s">
        <v>198</v>
      </c>
      <c r="O28" s="4" t="s">
        <v>199</v>
      </c>
      <c r="P28" s="14"/>
      <c r="Q28" s="14">
        <v>0.61499999999999999</v>
      </c>
      <c r="R28" s="1">
        <f t="shared" si="7"/>
        <v>2583000</v>
      </c>
      <c r="S28" s="2">
        <v>2521500</v>
      </c>
      <c r="T28" s="2">
        <f t="shared" si="8"/>
        <v>4200000</v>
      </c>
      <c r="U28" s="13"/>
      <c r="V28" s="13"/>
      <c r="W28" s="13"/>
      <c r="X28" s="13"/>
      <c r="Y28" s="13"/>
      <c r="Z28" s="13">
        <v>500000</v>
      </c>
      <c r="AA28" s="13">
        <v>800000</v>
      </c>
      <c r="AB28" s="13">
        <v>800000</v>
      </c>
      <c r="AC28" s="13">
        <v>800000</v>
      </c>
      <c r="AD28" s="13">
        <v>800000</v>
      </c>
      <c r="AE28" s="13">
        <v>800000</v>
      </c>
      <c r="AF28" s="13">
        <v>1000000</v>
      </c>
      <c r="AG28" s="13">
        <f t="shared" si="20"/>
        <v>1000000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/>
      <c r="AP28" s="13"/>
      <c r="AQ28" s="13"/>
      <c r="AR28" s="13"/>
      <c r="AS28" s="13"/>
      <c r="AT28" s="4" t="s">
        <v>192</v>
      </c>
      <c r="AU28" s="4" t="s">
        <v>66</v>
      </c>
      <c r="AV28" s="4" t="s">
        <v>1218</v>
      </c>
      <c r="AW28" s="4" t="s">
        <v>98</v>
      </c>
      <c r="AX28" s="4" t="s">
        <v>110</v>
      </c>
      <c r="AY28" s="4" t="s">
        <v>100</v>
      </c>
      <c r="AZ28" s="4" t="s">
        <v>101</v>
      </c>
      <c r="BA28" s="4"/>
      <c r="BB28" s="4"/>
      <c r="BC28" s="4"/>
      <c r="BD28" s="23">
        <v>1</v>
      </c>
      <c r="BE28" s="4"/>
      <c r="BF28" s="4"/>
      <c r="BG28" s="4"/>
      <c r="BH28" s="4"/>
      <c r="BI28" s="4"/>
      <c r="BJ28" s="4"/>
      <c r="BK28" s="26"/>
      <c r="BL28" s="13"/>
      <c r="BM28" s="9">
        <f t="shared" si="9"/>
        <v>0</v>
      </c>
      <c r="BN28" s="9">
        <f t="shared" si="10"/>
        <v>307500</v>
      </c>
      <c r="BO28" s="9">
        <f t="shared" si="11"/>
        <v>492000</v>
      </c>
      <c r="BP28" s="9">
        <f t="shared" si="12"/>
        <v>492000</v>
      </c>
      <c r="BQ28" s="9">
        <f t="shared" si="13"/>
        <v>492000</v>
      </c>
      <c r="BR28" s="9">
        <f t="shared" si="14"/>
        <v>492000</v>
      </c>
      <c r="BS28" s="9">
        <f t="shared" si="15"/>
        <v>492000</v>
      </c>
      <c r="BT28" s="9">
        <f t="shared" si="16"/>
        <v>615000</v>
      </c>
    </row>
    <row r="29" spans="1:72" hidden="1" x14ac:dyDescent="0.25">
      <c r="A29" s="11">
        <f t="shared" si="6"/>
        <v>28</v>
      </c>
      <c r="B29" s="4" t="s">
        <v>185</v>
      </c>
      <c r="C29" s="4" t="s">
        <v>186</v>
      </c>
      <c r="D29" s="4" t="s">
        <v>187</v>
      </c>
      <c r="E29" s="4" t="s">
        <v>77</v>
      </c>
      <c r="F29" s="4" t="s">
        <v>188</v>
      </c>
      <c r="G29" s="4" t="s">
        <v>200</v>
      </c>
      <c r="H29" s="4" t="s">
        <v>201</v>
      </c>
      <c r="I29" s="4"/>
      <c r="J29" s="4"/>
      <c r="K29" s="4" t="s">
        <v>95</v>
      </c>
      <c r="L29" s="13"/>
      <c r="M29" s="4" t="s">
        <v>65</v>
      </c>
      <c r="N29" s="4" t="s">
        <v>65</v>
      </c>
      <c r="O29" s="4"/>
      <c r="P29" s="14"/>
      <c r="Q29" s="14">
        <v>0.55000000000000004</v>
      </c>
      <c r="R29" s="1">
        <f t="shared" si="7"/>
        <v>110000.00000000001</v>
      </c>
      <c r="S29" s="2">
        <v>660000</v>
      </c>
      <c r="T29" s="2">
        <f t="shared" si="8"/>
        <v>200000</v>
      </c>
      <c r="U29" s="13">
        <v>500000</v>
      </c>
      <c r="V29" s="13">
        <v>200000</v>
      </c>
      <c r="W29" s="13">
        <v>300000</v>
      </c>
      <c r="X29" s="13">
        <v>0</v>
      </c>
      <c r="Y29" s="13"/>
      <c r="Z29" s="13"/>
      <c r="AA29" s="13"/>
      <c r="AB29" s="13"/>
      <c r="AC29" s="13"/>
      <c r="AD29" s="13"/>
      <c r="AE29" s="13"/>
      <c r="AF29" s="13">
        <v>200000</v>
      </c>
      <c r="AG29" s="13">
        <f>AF29</f>
        <v>200000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/>
      <c r="AP29" s="13"/>
      <c r="AQ29" s="13"/>
      <c r="AR29" s="13"/>
      <c r="AS29" s="13"/>
      <c r="AT29" s="4" t="s">
        <v>192</v>
      </c>
      <c r="AU29" s="4" t="s">
        <v>66</v>
      </c>
      <c r="AV29" s="4" t="s">
        <v>1218</v>
      </c>
      <c r="AW29" s="4" t="s">
        <v>98</v>
      </c>
      <c r="AX29" s="4" t="s">
        <v>110</v>
      </c>
      <c r="AY29" s="4" t="s">
        <v>100</v>
      </c>
      <c r="AZ29" s="4" t="s">
        <v>101</v>
      </c>
      <c r="BA29" s="4"/>
      <c r="BB29" s="4"/>
      <c r="BC29" s="4"/>
      <c r="BD29" s="23">
        <v>1</v>
      </c>
      <c r="BE29" s="4"/>
      <c r="BF29" s="4"/>
      <c r="BG29" s="4"/>
      <c r="BH29" s="4"/>
      <c r="BI29" s="4"/>
      <c r="BJ29" s="4"/>
      <c r="BK29" s="26"/>
      <c r="BL29" s="13"/>
      <c r="BM29" s="9">
        <f t="shared" si="9"/>
        <v>0</v>
      </c>
      <c r="BN29" s="9">
        <f t="shared" si="10"/>
        <v>0</v>
      </c>
      <c r="BO29" s="9">
        <f t="shared" si="11"/>
        <v>0</v>
      </c>
      <c r="BP29" s="9">
        <f t="shared" si="12"/>
        <v>0</v>
      </c>
      <c r="BQ29" s="9">
        <f t="shared" si="13"/>
        <v>0</v>
      </c>
      <c r="BR29" s="9">
        <f t="shared" si="14"/>
        <v>0</v>
      </c>
      <c r="BS29" s="9">
        <f t="shared" si="15"/>
        <v>0</v>
      </c>
      <c r="BT29" s="9">
        <f t="shared" si="16"/>
        <v>110000.00000000001</v>
      </c>
    </row>
    <row r="30" spans="1:72" hidden="1" x14ac:dyDescent="0.25">
      <c r="A30" s="11">
        <f t="shared" si="6"/>
        <v>29</v>
      </c>
      <c r="B30" s="4" t="s">
        <v>202</v>
      </c>
      <c r="C30" s="4" t="s">
        <v>186</v>
      </c>
      <c r="D30" s="4" t="s">
        <v>187</v>
      </c>
      <c r="E30" s="4" t="s">
        <v>77</v>
      </c>
      <c r="F30" s="4" t="s">
        <v>188</v>
      </c>
      <c r="G30" s="4" t="s">
        <v>203</v>
      </c>
      <c r="H30" s="4" t="s">
        <v>203</v>
      </c>
      <c r="I30" s="4"/>
      <c r="J30" s="4"/>
      <c r="K30" s="4" t="s">
        <v>204</v>
      </c>
      <c r="L30" s="13">
        <v>500000</v>
      </c>
      <c r="M30" s="4" t="s">
        <v>197</v>
      </c>
      <c r="N30" s="4" t="s">
        <v>205</v>
      </c>
      <c r="O30" s="4" t="s">
        <v>206</v>
      </c>
      <c r="P30" s="14"/>
      <c r="Q30" s="14"/>
      <c r="R30" s="1">
        <f t="shared" si="7"/>
        <v>0</v>
      </c>
      <c r="S30" s="2">
        <v>0</v>
      </c>
      <c r="T30" s="2">
        <f t="shared" si="8"/>
        <v>0</v>
      </c>
      <c r="U30" s="28"/>
      <c r="V30" s="28"/>
      <c r="W30" s="28"/>
      <c r="X30" s="13"/>
      <c r="Y30" s="13"/>
      <c r="Z30" s="13"/>
      <c r="AA30" s="13"/>
      <c r="AB30" s="13"/>
      <c r="AC30" s="13"/>
      <c r="AD30" s="13"/>
      <c r="AE30" s="13"/>
      <c r="AF30" s="13"/>
      <c r="AG30" s="13">
        <f t="shared" ref="AG30:AG35" si="21">AF30</f>
        <v>0</v>
      </c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4" t="s">
        <v>192</v>
      </c>
      <c r="AU30" s="4" t="s">
        <v>66</v>
      </c>
      <c r="AV30" s="4" t="s">
        <v>1219</v>
      </c>
      <c r="AW30" s="4" t="s">
        <v>98</v>
      </c>
      <c r="AX30" s="4" t="s">
        <v>110</v>
      </c>
      <c r="AY30" s="4" t="s">
        <v>100</v>
      </c>
      <c r="AZ30" s="4" t="s">
        <v>204</v>
      </c>
      <c r="BA30" s="4" t="s">
        <v>207</v>
      </c>
      <c r="BB30" s="4"/>
      <c r="BC30" s="4"/>
      <c r="BD30" s="23">
        <v>1</v>
      </c>
      <c r="BE30" s="4"/>
      <c r="BF30" s="4"/>
      <c r="BG30" s="4"/>
      <c r="BH30" s="4"/>
      <c r="BI30" s="4"/>
      <c r="BJ30" s="4"/>
      <c r="BK30" s="26"/>
      <c r="BL30" s="13"/>
      <c r="BM30" s="9">
        <f t="shared" si="9"/>
        <v>0</v>
      </c>
      <c r="BN30" s="9">
        <f t="shared" si="10"/>
        <v>0</v>
      </c>
      <c r="BO30" s="9">
        <f t="shared" si="11"/>
        <v>0</v>
      </c>
      <c r="BP30" s="9">
        <f t="shared" si="12"/>
        <v>0</v>
      </c>
      <c r="BQ30" s="9">
        <f t="shared" si="13"/>
        <v>0</v>
      </c>
      <c r="BR30" s="9">
        <f t="shared" si="14"/>
        <v>0</v>
      </c>
      <c r="BS30" s="9">
        <f t="shared" si="15"/>
        <v>0</v>
      </c>
      <c r="BT30" s="9">
        <f t="shared" si="16"/>
        <v>0</v>
      </c>
    </row>
    <row r="31" spans="1:72" hidden="1" x14ac:dyDescent="0.25">
      <c r="A31" s="11">
        <f t="shared" si="6"/>
        <v>30</v>
      </c>
      <c r="B31" s="5" t="s">
        <v>208</v>
      </c>
      <c r="C31" s="4" t="s">
        <v>59</v>
      </c>
      <c r="D31" s="4" t="s">
        <v>209</v>
      </c>
      <c r="E31" s="4" t="s">
        <v>120</v>
      </c>
      <c r="F31" s="4"/>
      <c r="G31" s="4" t="s">
        <v>210</v>
      </c>
      <c r="H31" s="4" t="s">
        <v>211</v>
      </c>
      <c r="I31" s="4"/>
      <c r="J31" s="4"/>
      <c r="K31" s="4" t="s">
        <v>212</v>
      </c>
      <c r="L31" s="24"/>
      <c r="M31" s="13" t="s">
        <v>65</v>
      </c>
      <c r="N31" s="5" t="s">
        <v>213</v>
      </c>
      <c r="O31" s="4" t="s">
        <v>214</v>
      </c>
      <c r="P31" s="29"/>
      <c r="Q31" s="14">
        <v>0.28000000000000003</v>
      </c>
      <c r="R31" s="1">
        <f t="shared" si="7"/>
        <v>154000.00000000003</v>
      </c>
      <c r="S31" s="2">
        <v>224000.00000000003</v>
      </c>
      <c r="T31" s="2">
        <f t="shared" si="8"/>
        <v>550000</v>
      </c>
      <c r="U31" s="13"/>
      <c r="V31" s="13"/>
      <c r="W31" s="13"/>
      <c r="X31" s="13"/>
      <c r="Y31" s="13">
        <v>100000</v>
      </c>
      <c r="Z31" s="13">
        <v>100000</v>
      </c>
      <c r="AA31" s="13"/>
      <c r="AB31" s="13"/>
      <c r="AC31" s="13">
        <v>150000</v>
      </c>
      <c r="AD31" s="13">
        <v>150000</v>
      </c>
      <c r="AE31" s="13">
        <v>100000</v>
      </c>
      <c r="AF31" s="13">
        <v>150000</v>
      </c>
      <c r="AG31" s="13">
        <f t="shared" si="21"/>
        <v>150000</v>
      </c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 t="s">
        <v>66</v>
      </c>
      <c r="AV31" s="4" t="s">
        <v>1218</v>
      </c>
      <c r="AW31" s="4" t="s">
        <v>215</v>
      </c>
      <c r="AX31" s="4" t="s">
        <v>216</v>
      </c>
      <c r="AY31" s="4" t="s">
        <v>217</v>
      </c>
      <c r="AZ31" s="7"/>
      <c r="BA31" s="4"/>
      <c r="BB31" s="4"/>
      <c r="BC31" s="4"/>
      <c r="BD31" s="23"/>
      <c r="BE31" s="4"/>
      <c r="BF31" s="4"/>
      <c r="BG31" s="4"/>
      <c r="BH31" s="4"/>
      <c r="BI31" s="4"/>
      <c r="BJ31" s="4"/>
      <c r="BK31" s="3"/>
      <c r="BL31" s="3"/>
      <c r="BM31" s="9">
        <f t="shared" si="9"/>
        <v>28000.000000000004</v>
      </c>
      <c r="BN31" s="9">
        <f t="shared" si="10"/>
        <v>28000.000000000004</v>
      </c>
      <c r="BO31" s="9">
        <f t="shared" si="11"/>
        <v>0</v>
      </c>
      <c r="BP31" s="9">
        <f t="shared" si="12"/>
        <v>0</v>
      </c>
      <c r="BQ31" s="9">
        <f t="shared" si="13"/>
        <v>42000.000000000007</v>
      </c>
      <c r="BR31" s="9">
        <f t="shared" si="14"/>
        <v>42000.000000000007</v>
      </c>
      <c r="BS31" s="9">
        <f t="shared" si="15"/>
        <v>28000.000000000004</v>
      </c>
      <c r="BT31" s="9">
        <f t="shared" si="16"/>
        <v>42000.000000000007</v>
      </c>
    </row>
    <row r="32" spans="1:72" hidden="1" x14ac:dyDescent="0.25">
      <c r="A32" s="11">
        <f t="shared" si="6"/>
        <v>31</v>
      </c>
      <c r="B32" s="5" t="s">
        <v>218</v>
      </c>
      <c r="C32" s="4" t="s">
        <v>59</v>
      </c>
      <c r="D32" s="4" t="s">
        <v>219</v>
      </c>
      <c r="E32" s="4" t="s">
        <v>120</v>
      </c>
      <c r="F32" s="4"/>
      <c r="G32" s="6" t="s">
        <v>136</v>
      </c>
      <c r="H32" s="4" t="s">
        <v>137</v>
      </c>
      <c r="I32" s="6"/>
      <c r="J32" s="6"/>
      <c r="K32" s="4" t="s">
        <v>220</v>
      </c>
      <c r="L32" s="24"/>
      <c r="M32" s="13" t="s">
        <v>65</v>
      </c>
      <c r="N32" s="5" t="s">
        <v>221</v>
      </c>
      <c r="O32" s="4" t="s">
        <v>109</v>
      </c>
      <c r="P32" s="29"/>
      <c r="Q32" s="14">
        <v>0.3</v>
      </c>
      <c r="R32" s="1">
        <f t="shared" si="7"/>
        <v>180000</v>
      </c>
      <c r="S32" s="2">
        <v>288000</v>
      </c>
      <c r="T32" s="2">
        <f t="shared" si="8"/>
        <v>600000</v>
      </c>
      <c r="U32" s="13">
        <v>120000</v>
      </c>
      <c r="V32" s="13">
        <v>60000</v>
      </c>
      <c r="W32" s="13">
        <v>120000</v>
      </c>
      <c r="X32" s="13">
        <v>60000</v>
      </c>
      <c r="Y32" s="13">
        <v>120000</v>
      </c>
      <c r="Z32" s="13"/>
      <c r="AA32" s="13"/>
      <c r="AB32" s="13">
        <v>120000</v>
      </c>
      <c r="AC32" s="13">
        <v>120000</v>
      </c>
      <c r="AD32" s="13">
        <v>120000</v>
      </c>
      <c r="AE32" s="13">
        <v>120000</v>
      </c>
      <c r="AF32" s="13">
        <v>120000</v>
      </c>
      <c r="AG32" s="13">
        <f t="shared" si="21"/>
        <v>120000</v>
      </c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4"/>
      <c r="AU32" s="4" t="s">
        <v>66</v>
      </c>
      <c r="AV32" s="4" t="s">
        <v>1218</v>
      </c>
      <c r="AW32" s="4" t="s">
        <v>222</v>
      </c>
      <c r="AX32" s="4" t="s">
        <v>216</v>
      </c>
      <c r="AY32" s="4" t="s">
        <v>217</v>
      </c>
      <c r="AZ32" s="4"/>
      <c r="BA32" s="4"/>
      <c r="BB32" s="4"/>
      <c r="BC32" s="4"/>
      <c r="BD32" s="23"/>
      <c r="BE32" s="4"/>
      <c r="BF32" s="4"/>
      <c r="BG32" s="4"/>
      <c r="BH32" s="4"/>
      <c r="BI32" s="4"/>
      <c r="BJ32" s="4"/>
      <c r="BK32" s="3"/>
      <c r="BL32" s="3"/>
      <c r="BM32" s="9">
        <f t="shared" si="9"/>
        <v>36000</v>
      </c>
      <c r="BN32" s="9">
        <f t="shared" si="10"/>
        <v>0</v>
      </c>
      <c r="BO32" s="9">
        <f t="shared" si="11"/>
        <v>0</v>
      </c>
      <c r="BP32" s="9">
        <f t="shared" si="12"/>
        <v>36000</v>
      </c>
      <c r="BQ32" s="9">
        <f t="shared" si="13"/>
        <v>36000</v>
      </c>
      <c r="BR32" s="9">
        <f t="shared" si="14"/>
        <v>36000</v>
      </c>
      <c r="BS32" s="9">
        <f t="shared" si="15"/>
        <v>36000</v>
      </c>
      <c r="BT32" s="9">
        <f t="shared" si="16"/>
        <v>36000</v>
      </c>
    </row>
    <row r="33" spans="1:72" hidden="1" x14ac:dyDescent="0.25">
      <c r="A33" s="11">
        <f t="shared" si="6"/>
        <v>32</v>
      </c>
      <c r="B33" s="5" t="s">
        <v>218</v>
      </c>
      <c r="C33" s="4" t="s">
        <v>59</v>
      </c>
      <c r="D33" s="4" t="s">
        <v>219</v>
      </c>
      <c r="E33" s="4" t="s">
        <v>120</v>
      </c>
      <c r="F33" s="4"/>
      <c r="G33" s="6" t="s">
        <v>223</v>
      </c>
      <c r="H33" s="4" t="s">
        <v>224</v>
      </c>
      <c r="I33" s="6"/>
      <c r="J33" s="6"/>
      <c r="K33" s="4" t="s">
        <v>220</v>
      </c>
      <c r="L33" s="24"/>
      <c r="M33" s="13" t="s">
        <v>65</v>
      </c>
      <c r="N33" s="5" t="s">
        <v>221</v>
      </c>
      <c r="O33" s="4" t="s">
        <v>109</v>
      </c>
      <c r="P33" s="29"/>
      <c r="Q33" s="14">
        <v>0.3</v>
      </c>
      <c r="R33" s="1">
        <f t="shared" si="7"/>
        <v>180000</v>
      </c>
      <c r="S33" s="2">
        <v>288000</v>
      </c>
      <c r="T33" s="2">
        <f t="shared" si="8"/>
        <v>600000</v>
      </c>
      <c r="U33" s="13">
        <v>120000</v>
      </c>
      <c r="V33" s="13">
        <v>60000</v>
      </c>
      <c r="W33" s="13">
        <v>120000</v>
      </c>
      <c r="X33" s="13">
        <v>60000</v>
      </c>
      <c r="Y33" s="13">
        <v>120000</v>
      </c>
      <c r="Z33" s="13"/>
      <c r="AA33" s="13"/>
      <c r="AB33" s="13">
        <v>120000</v>
      </c>
      <c r="AC33" s="13">
        <v>120000</v>
      </c>
      <c r="AD33" s="13">
        <v>120000</v>
      </c>
      <c r="AE33" s="13">
        <v>120000</v>
      </c>
      <c r="AF33" s="13">
        <v>120000</v>
      </c>
      <c r="AG33" s="13">
        <f t="shared" si="21"/>
        <v>120000</v>
      </c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4"/>
      <c r="AU33" s="4" t="s">
        <v>66</v>
      </c>
      <c r="AV33" s="4" t="s">
        <v>1218</v>
      </c>
      <c r="AW33" s="4" t="s">
        <v>222</v>
      </c>
      <c r="AX33" s="4" t="s">
        <v>216</v>
      </c>
      <c r="AY33" s="4" t="s">
        <v>217</v>
      </c>
      <c r="AZ33" s="4"/>
      <c r="BA33" s="4"/>
      <c r="BB33" s="4"/>
      <c r="BC33" s="4"/>
      <c r="BD33" s="23"/>
      <c r="BE33" s="4"/>
      <c r="BF33" s="4"/>
      <c r="BG33" s="4"/>
      <c r="BH33" s="4"/>
      <c r="BI33" s="4"/>
      <c r="BJ33" s="4"/>
      <c r="BK33" s="3"/>
      <c r="BL33" s="3"/>
      <c r="BM33" s="9">
        <f t="shared" si="9"/>
        <v>36000</v>
      </c>
      <c r="BN33" s="9">
        <f t="shared" si="10"/>
        <v>0</v>
      </c>
      <c r="BO33" s="9">
        <f t="shared" si="11"/>
        <v>0</v>
      </c>
      <c r="BP33" s="9">
        <f t="shared" si="12"/>
        <v>36000</v>
      </c>
      <c r="BQ33" s="9">
        <f t="shared" si="13"/>
        <v>36000</v>
      </c>
      <c r="BR33" s="9">
        <f t="shared" si="14"/>
        <v>36000</v>
      </c>
      <c r="BS33" s="9">
        <f t="shared" si="15"/>
        <v>36000</v>
      </c>
      <c r="BT33" s="9">
        <f t="shared" si="16"/>
        <v>36000</v>
      </c>
    </row>
    <row r="34" spans="1:72" hidden="1" x14ac:dyDescent="0.25">
      <c r="A34" s="11">
        <f t="shared" si="6"/>
        <v>33</v>
      </c>
      <c r="B34" s="5" t="s">
        <v>218</v>
      </c>
      <c r="C34" s="4" t="s">
        <v>59</v>
      </c>
      <c r="D34" s="4" t="s">
        <v>219</v>
      </c>
      <c r="E34" s="4" t="s">
        <v>120</v>
      </c>
      <c r="F34" s="4"/>
      <c r="G34" s="6" t="s">
        <v>225</v>
      </c>
      <c r="H34" s="4" t="s">
        <v>226</v>
      </c>
      <c r="I34" s="6"/>
      <c r="J34" s="6"/>
      <c r="K34" s="4" t="s">
        <v>220</v>
      </c>
      <c r="L34" s="24"/>
      <c r="M34" s="13" t="s">
        <v>65</v>
      </c>
      <c r="N34" s="5" t="s">
        <v>221</v>
      </c>
      <c r="O34" s="4" t="s">
        <v>109</v>
      </c>
      <c r="P34" s="29"/>
      <c r="Q34" s="14">
        <v>0.25</v>
      </c>
      <c r="R34" s="1">
        <f t="shared" si="7"/>
        <v>37500</v>
      </c>
      <c r="S34" s="2">
        <v>60000</v>
      </c>
      <c r="T34" s="2">
        <f t="shared" si="8"/>
        <v>150000</v>
      </c>
      <c r="U34" s="13">
        <v>30000</v>
      </c>
      <c r="V34" s="13">
        <v>30000</v>
      </c>
      <c r="W34" s="13">
        <v>30000</v>
      </c>
      <c r="X34" s="13">
        <v>30000</v>
      </c>
      <c r="Y34" s="13">
        <v>30000</v>
      </c>
      <c r="Z34" s="13"/>
      <c r="AA34" s="13"/>
      <c r="AB34" s="13">
        <v>30000</v>
      </c>
      <c r="AC34" s="13">
        <v>30000</v>
      </c>
      <c r="AD34" s="13">
        <v>30000</v>
      </c>
      <c r="AE34" s="13">
        <v>30000</v>
      </c>
      <c r="AF34" s="13">
        <v>30000</v>
      </c>
      <c r="AG34" s="13">
        <f t="shared" si="21"/>
        <v>30000</v>
      </c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4"/>
      <c r="AU34" s="4" t="s">
        <v>66</v>
      </c>
      <c r="AV34" s="4" t="s">
        <v>1218</v>
      </c>
      <c r="AW34" s="4" t="s">
        <v>222</v>
      </c>
      <c r="AX34" s="4" t="s">
        <v>216</v>
      </c>
      <c r="AY34" s="4" t="s">
        <v>217</v>
      </c>
      <c r="AZ34" s="4"/>
      <c r="BA34" s="4"/>
      <c r="BB34" s="4"/>
      <c r="BC34" s="4"/>
      <c r="BD34" s="23"/>
      <c r="BE34" s="4"/>
      <c r="BF34" s="4"/>
      <c r="BG34" s="4"/>
      <c r="BH34" s="4"/>
      <c r="BI34" s="4"/>
      <c r="BJ34" s="4"/>
      <c r="BK34" s="3"/>
      <c r="BL34" s="3"/>
      <c r="BM34" s="9">
        <f t="shared" si="9"/>
        <v>7500</v>
      </c>
      <c r="BN34" s="9">
        <f t="shared" si="10"/>
        <v>0</v>
      </c>
      <c r="BO34" s="9">
        <f t="shared" si="11"/>
        <v>0</v>
      </c>
      <c r="BP34" s="9">
        <f t="shared" si="12"/>
        <v>7500</v>
      </c>
      <c r="BQ34" s="9">
        <f t="shared" si="13"/>
        <v>7500</v>
      </c>
      <c r="BR34" s="9">
        <f t="shared" si="14"/>
        <v>7500</v>
      </c>
      <c r="BS34" s="9">
        <f t="shared" si="15"/>
        <v>7500</v>
      </c>
      <c r="BT34" s="9">
        <f t="shared" si="16"/>
        <v>7500</v>
      </c>
    </row>
    <row r="35" spans="1:72" hidden="1" x14ac:dyDescent="0.25">
      <c r="A35" s="11">
        <f t="shared" si="6"/>
        <v>34</v>
      </c>
      <c r="B35" s="5" t="s">
        <v>218</v>
      </c>
      <c r="C35" s="4" t="s">
        <v>59</v>
      </c>
      <c r="D35" s="4" t="s">
        <v>219</v>
      </c>
      <c r="E35" s="4" t="s">
        <v>120</v>
      </c>
      <c r="F35" s="4"/>
      <c r="G35" s="6" t="s">
        <v>227</v>
      </c>
      <c r="H35" s="4" t="s">
        <v>228</v>
      </c>
      <c r="I35" s="6"/>
      <c r="J35" s="6"/>
      <c r="K35" s="4" t="s">
        <v>220</v>
      </c>
      <c r="L35" s="24"/>
      <c r="M35" s="13" t="s">
        <v>65</v>
      </c>
      <c r="N35" s="5" t="s">
        <v>221</v>
      </c>
      <c r="O35" s="4" t="s">
        <v>109</v>
      </c>
      <c r="P35" s="29"/>
      <c r="Q35" s="14">
        <v>0.25</v>
      </c>
      <c r="R35" s="1">
        <f t="shared" si="7"/>
        <v>37500</v>
      </c>
      <c r="S35" s="2">
        <v>60000</v>
      </c>
      <c r="T35" s="2">
        <f t="shared" si="8"/>
        <v>150000</v>
      </c>
      <c r="U35" s="13">
        <v>30000</v>
      </c>
      <c r="V35" s="13">
        <v>30000</v>
      </c>
      <c r="W35" s="13">
        <v>30000</v>
      </c>
      <c r="X35" s="13">
        <v>30000</v>
      </c>
      <c r="Y35" s="13">
        <v>30000</v>
      </c>
      <c r="Z35" s="13"/>
      <c r="AA35" s="13"/>
      <c r="AB35" s="13">
        <v>30000</v>
      </c>
      <c r="AC35" s="13">
        <v>30000</v>
      </c>
      <c r="AD35" s="13">
        <v>30000</v>
      </c>
      <c r="AE35" s="13">
        <v>30000</v>
      </c>
      <c r="AF35" s="13">
        <v>30000</v>
      </c>
      <c r="AG35" s="13">
        <f t="shared" si="21"/>
        <v>30000</v>
      </c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4"/>
      <c r="AU35" s="4" t="s">
        <v>66</v>
      </c>
      <c r="AV35" s="4" t="s">
        <v>1218</v>
      </c>
      <c r="AW35" s="4" t="s">
        <v>222</v>
      </c>
      <c r="AX35" s="4" t="s">
        <v>216</v>
      </c>
      <c r="AY35" s="4" t="s">
        <v>217</v>
      </c>
      <c r="AZ35" s="4"/>
      <c r="BA35" s="4"/>
      <c r="BB35" s="4"/>
      <c r="BC35" s="4"/>
      <c r="BD35" s="23"/>
      <c r="BE35" s="4"/>
      <c r="BF35" s="4"/>
      <c r="BG35" s="4"/>
      <c r="BH35" s="4"/>
      <c r="BI35" s="4"/>
      <c r="BJ35" s="4"/>
      <c r="BK35" s="3"/>
      <c r="BL35" s="3"/>
      <c r="BM35" s="9">
        <f t="shared" si="9"/>
        <v>7500</v>
      </c>
      <c r="BN35" s="9">
        <f t="shared" si="10"/>
        <v>0</v>
      </c>
      <c r="BO35" s="9">
        <f t="shared" si="11"/>
        <v>0</v>
      </c>
      <c r="BP35" s="9">
        <f t="shared" si="12"/>
        <v>7500</v>
      </c>
      <c r="BQ35" s="9">
        <f t="shared" si="13"/>
        <v>7500</v>
      </c>
      <c r="BR35" s="9">
        <f t="shared" si="14"/>
        <v>7500</v>
      </c>
      <c r="BS35" s="9">
        <f t="shared" si="15"/>
        <v>7500</v>
      </c>
      <c r="BT35" s="9">
        <f t="shared" si="16"/>
        <v>7500</v>
      </c>
    </row>
    <row r="36" spans="1:72" hidden="1" x14ac:dyDescent="0.25">
      <c r="A36" s="11">
        <f t="shared" si="6"/>
        <v>35</v>
      </c>
      <c r="B36" s="6" t="s">
        <v>229</v>
      </c>
      <c r="C36" s="4" t="s">
        <v>59</v>
      </c>
      <c r="D36" s="7" t="s">
        <v>230</v>
      </c>
      <c r="E36" s="4" t="s">
        <v>120</v>
      </c>
      <c r="F36" s="4"/>
      <c r="G36" s="7" t="s">
        <v>225</v>
      </c>
      <c r="H36" s="4" t="s">
        <v>226</v>
      </c>
      <c r="I36" s="7"/>
      <c r="J36" s="7"/>
      <c r="K36" s="7" t="s">
        <v>212</v>
      </c>
      <c r="L36" s="13"/>
      <c r="M36" s="4" t="s">
        <v>139</v>
      </c>
      <c r="N36" s="7" t="s">
        <v>231</v>
      </c>
      <c r="O36" s="7" t="s">
        <v>232</v>
      </c>
      <c r="P36" s="29"/>
      <c r="Q36" s="30">
        <v>0.35</v>
      </c>
      <c r="R36" s="1">
        <f t="shared" si="7"/>
        <v>21000</v>
      </c>
      <c r="S36" s="2">
        <v>42000</v>
      </c>
      <c r="T36" s="2">
        <f t="shared" si="8"/>
        <v>60000</v>
      </c>
      <c r="U36" s="13"/>
      <c r="V36" s="13"/>
      <c r="W36" s="13">
        <v>30000</v>
      </c>
      <c r="X36" s="13"/>
      <c r="Y36" s="13">
        <v>30000</v>
      </c>
      <c r="Z36" s="27"/>
      <c r="AA36" s="13">
        <v>30000</v>
      </c>
      <c r="AB36" s="27"/>
      <c r="AC36" s="13">
        <v>30000</v>
      </c>
      <c r="AD36" s="27"/>
      <c r="AE36" s="27"/>
      <c r="AF36" s="13">
        <v>30000</v>
      </c>
      <c r="AG36" s="13">
        <f t="shared" ref="AG36:AG37" si="22">AF36</f>
        <v>30000</v>
      </c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4" t="s">
        <v>192</v>
      </c>
      <c r="AU36" s="4" t="s">
        <v>66</v>
      </c>
      <c r="AV36" s="4" t="s">
        <v>1218</v>
      </c>
      <c r="AW36" s="6" t="s">
        <v>222</v>
      </c>
      <c r="AX36" s="4" t="s">
        <v>216</v>
      </c>
      <c r="AY36" s="4" t="s">
        <v>217</v>
      </c>
      <c r="AZ36" s="4"/>
      <c r="BA36" s="4"/>
      <c r="BB36" s="4"/>
      <c r="BC36" s="4"/>
      <c r="BD36" s="23">
        <v>4</v>
      </c>
      <c r="BE36" s="7"/>
      <c r="BF36" s="31">
        <v>45017</v>
      </c>
      <c r="BG36" s="31">
        <v>45017</v>
      </c>
      <c r="BH36" s="31">
        <v>45031</v>
      </c>
      <c r="BI36" s="31">
        <v>45047</v>
      </c>
      <c r="BJ36" s="31"/>
      <c r="BK36" s="26"/>
      <c r="BL36" s="27">
        <v>3</v>
      </c>
      <c r="BM36" s="9">
        <f t="shared" si="9"/>
        <v>10500</v>
      </c>
      <c r="BN36" s="9">
        <f t="shared" si="10"/>
        <v>0</v>
      </c>
      <c r="BO36" s="9">
        <f t="shared" si="11"/>
        <v>10500</v>
      </c>
      <c r="BP36" s="9">
        <f t="shared" si="12"/>
        <v>0</v>
      </c>
      <c r="BQ36" s="9">
        <f t="shared" si="13"/>
        <v>10500</v>
      </c>
      <c r="BR36" s="9">
        <f t="shared" si="14"/>
        <v>0</v>
      </c>
      <c r="BS36" s="9">
        <f t="shared" si="15"/>
        <v>0</v>
      </c>
      <c r="BT36" s="9">
        <f t="shared" si="16"/>
        <v>10500</v>
      </c>
    </row>
    <row r="37" spans="1:72" hidden="1" x14ac:dyDescent="0.25">
      <c r="A37" s="11">
        <f t="shared" si="6"/>
        <v>36</v>
      </c>
      <c r="B37" s="6" t="s">
        <v>233</v>
      </c>
      <c r="C37" s="4" t="s">
        <v>59</v>
      </c>
      <c r="D37" s="7" t="s">
        <v>230</v>
      </c>
      <c r="E37" s="4" t="s">
        <v>120</v>
      </c>
      <c r="F37" s="4"/>
      <c r="G37" s="6" t="s">
        <v>234</v>
      </c>
      <c r="H37" s="4" t="s">
        <v>235</v>
      </c>
      <c r="I37" s="6"/>
      <c r="J37" s="6"/>
      <c r="K37" s="7" t="s">
        <v>236</v>
      </c>
      <c r="L37" s="13"/>
      <c r="M37" s="4" t="s">
        <v>134</v>
      </c>
      <c r="N37" s="7" t="s">
        <v>237</v>
      </c>
      <c r="O37" s="7" t="s">
        <v>109</v>
      </c>
      <c r="P37" s="29"/>
      <c r="Q37" s="30">
        <v>0.3</v>
      </c>
      <c r="R37" s="1">
        <f t="shared" si="7"/>
        <v>0</v>
      </c>
      <c r="S37" s="2">
        <v>0</v>
      </c>
      <c r="T37" s="2">
        <f t="shared" si="8"/>
        <v>0</v>
      </c>
      <c r="U37" s="13"/>
      <c r="V37" s="13"/>
      <c r="W37" s="13"/>
      <c r="X37" s="13"/>
      <c r="Y37" s="27"/>
      <c r="Z37" s="27"/>
      <c r="AA37" s="27"/>
      <c r="AB37" s="27"/>
      <c r="AC37" s="27"/>
      <c r="AD37" s="27"/>
      <c r="AE37" s="27"/>
      <c r="AF37" s="27"/>
      <c r="AG37" s="13">
        <f t="shared" si="22"/>
        <v>0</v>
      </c>
      <c r="AH37" s="27"/>
      <c r="AI37" s="27"/>
      <c r="AJ37" s="27"/>
      <c r="AK37" s="27"/>
      <c r="AL37" s="27"/>
      <c r="AM37" s="27"/>
      <c r="AN37" s="27"/>
      <c r="AO37" s="5"/>
      <c r="AP37" s="5"/>
      <c r="AQ37" s="5"/>
      <c r="AR37" s="5"/>
      <c r="AS37" s="5"/>
      <c r="AT37" s="4" t="s">
        <v>192</v>
      </c>
      <c r="AU37" s="4" t="s">
        <v>66</v>
      </c>
      <c r="AV37" s="4" t="s">
        <v>1218</v>
      </c>
      <c r="AW37" s="4" t="s">
        <v>222</v>
      </c>
      <c r="AX37" s="4" t="s">
        <v>238</v>
      </c>
      <c r="AY37" s="4"/>
      <c r="AZ37" s="4"/>
      <c r="BA37" s="4"/>
      <c r="BB37" s="4"/>
      <c r="BC37" s="4"/>
      <c r="BD37" s="23"/>
      <c r="BE37" s="4"/>
      <c r="BF37" s="4"/>
      <c r="BG37" s="4"/>
      <c r="BH37" s="4"/>
      <c r="BI37" s="4"/>
      <c r="BJ37" s="4"/>
      <c r="BK37" s="3"/>
      <c r="BL37" s="3"/>
      <c r="BM37" s="9">
        <f t="shared" si="9"/>
        <v>0</v>
      </c>
      <c r="BN37" s="9">
        <f t="shared" si="10"/>
        <v>0</v>
      </c>
      <c r="BO37" s="9">
        <f t="shared" si="11"/>
        <v>0</v>
      </c>
      <c r="BP37" s="9">
        <f t="shared" si="12"/>
        <v>0</v>
      </c>
      <c r="BQ37" s="9">
        <f t="shared" si="13"/>
        <v>0</v>
      </c>
      <c r="BR37" s="9">
        <f t="shared" si="14"/>
        <v>0</v>
      </c>
      <c r="BS37" s="9">
        <f t="shared" si="15"/>
        <v>0</v>
      </c>
      <c r="BT37" s="9">
        <f t="shared" si="16"/>
        <v>0</v>
      </c>
    </row>
    <row r="38" spans="1:72" hidden="1" x14ac:dyDescent="0.25">
      <c r="A38" s="11">
        <f t="shared" si="6"/>
        <v>37</v>
      </c>
      <c r="B38" s="6" t="s">
        <v>239</v>
      </c>
      <c r="C38" s="4" t="s">
        <v>59</v>
      </c>
      <c r="D38" s="7" t="s">
        <v>230</v>
      </c>
      <c r="E38" s="4" t="s">
        <v>120</v>
      </c>
      <c r="F38" s="4"/>
      <c r="G38" s="6" t="s">
        <v>152</v>
      </c>
      <c r="H38" s="4" t="s">
        <v>153</v>
      </c>
      <c r="I38" s="6"/>
      <c r="J38" s="6"/>
      <c r="K38" s="7" t="s">
        <v>240</v>
      </c>
      <c r="L38" s="13"/>
      <c r="M38" s="4" t="s">
        <v>139</v>
      </c>
      <c r="N38" s="7" t="s">
        <v>241</v>
      </c>
      <c r="O38" s="7" t="s">
        <v>109</v>
      </c>
      <c r="P38" s="29"/>
      <c r="Q38" s="30">
        <v>0.18</v>
      </c>
      <c r="R38" s="1">
        <f t="shared" si="7"/>
        <v>2700</v>
      </c>
      <c r="S38" s="2">
        <v>3780</v>
      </c>
      <c r="T38" s="2">
        <f t="shared" si="8"/>
        <v>15000</v>
      </c>
      <c r="U38" s="13">
        <v>3000</v>
      </c>
      <c r="V38" s="13">
        <v>3000</v>
      </c>
      <c r="W38" s="13">
        <v>3000</v>
      </c>
      <c r="X38" s="13">
        <v>3000</v>
      </c>
      <c r="Y38" s="27"/>
      <c r="Z38" s="13">
        <v>3000</v>
      </c>
      <c r="AA38" s="13">
        <v>3000</v>
      </c>
      <c r="AB38" s="13">
        <v>3000</v>
      </c>
      <c r="AC38" s="13">
        <v>3000</v>
      </c>
      <c r="AD38" s="13">
        <v>3000</v>
      </c>
      <c r="AE38" s="13">
        <v>3000</v>
      </c>
      <c r="AF38" s="13">
        <v>3000</v>
      </c>
      <c r="AG38" s="13">
        <f>AF38</f>
        <v>3000</v>
      </c>
      <c r="AH38" s="27"/>
      <c r="AI38" s="27"/>
      <c r="AJ38" s="27"/>
      <c r="AK38" s="27"/>
      <c r="AL38" s="27"/>
      <c r="AM38" s="27"/>
      <c r="AN38" s="27"/>
      <c r="AO38" s="5"/>
      <c r="AP38" s="5"/>
      <c r="AQ38" s="5"/>
      <c r="AR38" s="5"/>
      <c r="AS38" s="5"/>
      <c r="AT38" s="4" t="s">
        <v>192</v>
      </c>
      <c r="AU38" s="4" t="s">
        <v>66</v>
      </c>
      <c r="AV38" s="4" t="s">
        <v>1218</v>
      </c>
      <c r="AW38" s="6" t="s">
        <v>222</v>
      </c>
      <c r="AX38" s="6" t="s">
        <v>238</v>
      </c>
      <c r="AY38" s="5"/>
      <c r="AZ38" s="4"/>
      <c r="BA38" s="4"/>
      <c r="BB38" s="4"/>
      <c r="BC38" s="4"/>
      <c r="BD38" s="23"/>
      <c r="BE38" s="4"/>
      <c r="BF38" s="4"/>
      <c r="BG38" s="4"/>
      <c r="BH38" s="4"/>
      <c r="BI38" s="4"/>
      <c r="BJ38" s="4"/>
      <c r="BK38" s="3"/>
      <c r="BL38" s="3"/>
      <c r="BM38" s="9">
        <f t="shared" si="9"/>
        <v>0</v>
      </c>
      <c r="BN38" s="9">
        <f t="shared" si="10"/>
        <v>540</v>
      </c>
      <c r="BO38" s="9">
        <f t="shared" si="11"/>
        <v>540</v>
      </c>
      <c r="BP38" s="9">
        <f t="shared" si="12"/>
        <v>540</v>
      </c>
      <c r="BQ38" s="9">
        <f t="shared" si="13"/>
        <v>540</v>
      </c>
      <c r="BR38" s="9">
        <f t="shared" si="14"/>
        <v>540</v>
      </c>
      <c r="BS38" s="9">
        <f t="shared" si="15"/>
        <v>540</v>
      </c>
      <c r="BT38" s="9">
        <f t="shared" si="16"/>
        <v>540</v>
      </c>
    </row>
    <row r="39" spans="1:72" hidden="1" x14ac:dyDescent="0.25">
      <c r="A39" s="11">
        <f t="shared" si="6"/>
        <v>38</v>
      </c>
      <c r="B39" s="6" t="s">
        <v>242</v>
      </c>
      <c r="C39" s="4" t="s">
        <v>59</v>
      </c>
      <c r="D39" s="7" t="s">
        <v>230</v>
      </c>
      <c r="E39" s="4" t="s">
        <v>120</v>
      </c>
      <c r="F39" s="4"/>
      <c r="G39" s="6" t="s">
        <v>243</v>
      </c>
      <c r="H39" s="4" t="s">
        <v>244</v>
      </c>
      <c r="I39" s="6"/>
      <c r="J39" s="6"/>
      <c r="K39" s="5" t="s">
        <v>245</v>
      </c>
      <c r="L39" s="13"/>
      <c r="M39" s="4" t="s">
        <v>52</v>
      </c>
      <c r="N39" s="7" t="s">
        <v>246</v>
      </c>
      <c r="O39" s="7" t="s">
        <v>109</v>
      </c>
      <c r="P39" s="29"/>
      <c r="Q39" s="30">
        <v>0.3</v>
      </c>
      <c r="R39" s="1">
        <f t="shared" si="7"/>
        <v>0</v>
      </c>
      <c r="S39" s="2">
        <v>0</v>
      </c>
      <c r="T39" s="2">
        <f t="shared" si="8"/>
        <v>0</v>
      </c>
      <c r="U39" s="13"/>
      <c r="V39" s="13"/>
      <c r="W39" s="13"/>
      <c r="X39" s="13"/>
      <c r="Y39" s="27"/>
      <c r="Z39" s="27"/>
      <c r="AA39" s="27"/>
      <c r="AB39" s="27"/>
      <c r="AC39" s="27"/>
      <c r="AD39" s="27"/>
      <c r="AE39" s="27"/>
      <c r="AF39" s="27"/>
      <c r="AG39" s="13">
        <f>AF39</f>
        <v>0</v>
      </c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4" t="s">
        <v>192</v>
      </c>
      <c r="AU39" s="4" t="s">
        <v>66</v>
      </c>
      <c r="AV39" s="4" t="s">
        <v>1218</v>
      </c>
      <c r="AW39" s="6" t="s">
        <v>222</v>
      </c>
      <c r="AX39" s="4" t="s">
        <v>216</v>
      </c>
      <c r="AY39" s="4" t="s">
        <v>247</v>
      </c>
      <c r="AZ39" s="4" t="s">
        <v>248</v>
      </c>
      <c r="BA39" s="4"/>
      <c r="BB39" s="4"/>
      <c r="BC39" s="4"/>
      <c r="BD39" s="23"/>
      <c r="BE39" s="4"/>
      <c r="BF39" s="4"/>
      <c r="BG39" s="4"/>
      <c r="BH39" s="4"/>
      <c r="BI39" s="4"/>
      <c r="BJ39" s="4"/>
      <c r="BK39" s="3"/>
      <c r="BL39" s="3"/>
      <c r="BM39" s="9">
        <f t="shared" si="9"/>
        <v>0</v>
      </c>
      <c r="BN39" s="9">
        <f t="shared" si="10"/>
        <v>0</v>
      </c>
      <c r="BO39" s="9">
        <f t="shared" si="11"/>
        <v>0</v>
      </c>
      <c r="BP39" s="9">
        <f t="shared" si="12"/>
        <v>0</v>
      </c>
      <c r="BQ39" s="9">
        <f t="shared" si="13"/>
        <v>0</v>
      </c>
      <c r="BR39" s="9">
        <f t="shared" si="14"/>
        <v>0</v>
      </c>
      <c r="BS39" s="9">
        <f t="shared" si="15"/>
        <v>0</v>
      </c>
      <c r="BT39" s="9">
        <f t="shared" si="16"/>
        <v>0</v>
      </c>
    </row>
    <row r="40" spans="1:72" hidden="1" x14ac:dyDescent="0.25">
      <c r="A40" s="11">
        <f t="shared" si="6"/>
        <v>39</v>
      </c>
      <c r="B40" s="7" t="s">
        <v>249</v>
      </c>
      <c r="C40" s="4" t="s">
        <v>59</v>
      </c>
      <c r="D40" s="7" t="s">
        <v>230</v>
      </c>
      <c r="E40" s="4" t="s">
        <v>120</v>
      </c>
      <c r="F40" s="4"/>
      <c r="G40" s="6" t="s">
        <v>144</v>
      </c>
      <c r="H40" s="4" t="s">
        <v>1809</v>
      </c>
      <c r="I40" s="6"/>
      <c r="J40" s="6"/>
      <c r="K40" s="5" t="s">
        <v>245</v>
      </c>
      <c r="L40" s="13"/>
      <c r="M40" s="4" t="s">
        <v>51</v>
      </c>
      <c r="N40" s="7" t="s">
        <v>250</v>
      </c>
      <c r="O40" s="7" t="s">
        <v>109</v>
      </c>
      <c r="P40" s="29"/>
      <c r="Q40" s="30">
        <v>0.18</v>
      </c>
      <c r="R40" s="1">
        <f t="shared" si="7"/>
        <v>72000</v>
      </c>
      <c r="S40" s="2">
        <v>144000</v>
      </c>
      <c r="T40" s="2">
        <f t="shared" si="8"/>
        <v>400000</v>
      </c>
      <c r="U40" s="13">
        <v>100000</v>
      </c>
      <c r="V40" s="13">
        <v>100000</v>
      </c>
      <c r="W40" s="13">
        <v>100000</v>
      </c>
      <c r="X40" s="13">
        <v>100000</v>
      </c>
      <c r="Y40" s="13">
        <v>100000</v>
      </c>
      <c r="Z40" s="13">
        <v>100000</v>
      </c>
      <c r="AA40" s="13">
        <v>100000</v>
      </c>
      <c r="AB40" s="13"/>
      <c r="AC40" s="13">
        <v>100000</v>
      </c>
      <c r="AD40" s="13">
        <v>100000</v>
      </c>
      <c r="AE40" s="13">
        <v>100000</v>
      </c>
      <c r="AF40" s="13">
        <v>100000</v>
      </c>
      <c r="AG40" s="13">
        <f>AF40</f>
        <v>100000</v>
      </c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4" t="s">
        <v>192</v>
      </c>
      <c r="AU40" s="4" t="s">
        <v>66</v>
      </c>
      <c r="AV40" s="4" t="s">
        <v>1218</v>
      </c>
      <c r="AW40" s="6" t="s">
        <v>222</v>
      </c>
      <c r="AX40" s="4" t="s">
        <v>238</v>
      </c>
      <c r="AY40" s="4" t="s">
        <v>251</v>
      </c>
      <c r="AZ40" s="4"/>
      <c r="BA40" s="4"/>
      <c r="BB40" s="4"/>
      <c r="BC40" s="4"/>
      <c r="BD40" s="23"/>
      <c r="BE40" s="4"/>
      <c r="BF40" s="4"/>
      <c r="BG40" s="4"/>
      <c r="BH40" s="4"/>
      <c r="BI40" s="4"/>
      <c r="BJ40" s="4"/>
      <c r="BK40" s="3"/>
      <c r="BL40" s="3"/>
      <c r="BM40" s="9">
        <f t="shared" si="9"/>
        <v>18000</v>
      </c>
      <c r="BN40" s="9">
        <f t="shared" si="10"/>
        <v>18000</v>
      </c>
      <c r="BO40" s="9">
        <f t="shared" si="11"/>
        <v>18000</v>
      </c>
      <c r="BP40" s="9">
        <f t="shared" si="12"/>
        <v>0</v>
      </c>
      <c r="BQ40" s="9">
        <f t="shared" si="13"/>
        <v>18000</v>
      </c>
      <c r="BR40" s="9">
        <f t="shared" si="14"/>
        <v>18000</v>
      </c>
      <c r="BS40" s="9">
        <f t="shared" si="15"/>
        <v>18000</v>
      </c>
      <c r="BT40" s="9">
        <f t="shared" si="16"/>
        <v>18000</v>
      </c>
    </row>
    <row r="41" spans="1:72" hidden="1" x14ac:dyDescent="0.25">
      <c r="A41" s="11">
        <f t="shared" si="6"/>
        <v>40</v>
      </c>
      <c r="B41" s="6" t="s">
        <v>252</v>
      </c>
      <c r="C41" s="4" t="s">
        <v>59</v>
      </c>
      <c r="D41" s="7" t="s">
        <v>230</v>
      </c>
      <c r="E41" s="4" t="s">
        <v>120</v>
      </c>
      <c r="F41" s="4"/>
      <c r="G41" s="7" t="s">
        <v>144</v>
      </c>
      <c r="H41" s="4" t="s">
        <v>1809</v>
      </c>
      <c r="I41" s="7"/>
      <c r="J41" s="7"/>
      <c r="K41" s="7" t="s">
        <v>245</v>
      </c>
      <c r="L41" s="13"/>
      <c r="M41" s="4" t="s">
        <v>134</v>
      </c>
      <c r="N41" s="7" t="s">
        <v>253</v>
      </c>
      <c r="O41" s="7" t="s">
        <v>109</v>
      </c>
      <c r="P41" s="29"/>
      <c r="Q41" s="30">
        <v>0.13500000000000001</v>
      </c>
      <c r="R41" s="1">
        <f t="shared" si="7"/>
        <v>0</v>
      </c>
      <c r="S41" s="2">
        <v>0</v>
      </c>
      <c r="T41" s="2">
        <f t="shared" si="8"/>
        <v>0</v>
      </c>
      <c r="U41" s="13"/>
      <c r="V41" s="13"/>
      <c r="W41" s="13"/>
      <c r="X41" s="13"/>
      <c r="Y41" s="27"/>
      <c r="Z41" s="27"/>
      <c r="AA41" s="27"/>
      <c r="AB41" s="27"/>
      <c r="AC41" s="27"/>
      <c r="AD41" s="27"/>
      <c r="AE41" s="27"/>
      <c r="AF41" s="27"/>
      <c r="AG41" s="13">
        <f t="shared" ref="AG41:AG45" si="23">AF41</f>
        <v>0</v>
      </c>
      <c r="AH41" s="27"/>
      <c r="AI41" s="27"/>
      <c r="AJ41" s="27"/>
      <c r="AK41" s="27"/>
      <c r="AL41" s="27"/>
      <c r="AM41" s="27"/>
      <c r="AN41" s="27"/>
      <c r="AO41" s="5"/>
      <c r="AP41" s="5"/>
      <c r="AQ41" s="5"/>
      <c r="AR41" s="5"/>
      <c r="AS41" s="5"/>
      <c r="AT41" s="4" t="s">
        <v>192</v>
      </c>
      <c r="AU41" s="4" t="s">
        <v>66</v>
      </c>
      <c r="AV41" s="4" t="s">
        <v>1218</v>
      </c>
      <c r="AW41" s="6" t="s">
        <v>222</v>
      </c>
      <c r="AX41" s="4" t="s">
        <v>216</v>
      </c>
      <c r="AY41" s="4" t="s">
        <v>247</v>
      </c>
      <c r="AZ41" s="4" t="s">
        <v>248</v>
      </c>
      <c r="BA41" s="4"/>
      <c r="BB41" s="4"/>
      <c r="BC41" s="4"/>
      <c r="BD41" s="23"/>
      <c r="BE41" s="4"/>
      <c r="BF41" s="4"/>
      <c r="BG41" s="4"/>
      <c r="BH41" s="4"/>
      <c r="BI41" s="4"/>
      <c r="BJ41" s="4"/>
      <c r="BK41" s="3"/>
      <c r="BL41" s="3"/>
      <c r="BM41" s="9">
        <f t="shared" si="9"/>
        <v>0</v>
      </c>
      <c r="BN41" s="9">
        <f t="shared" si="10"/>
        <v>0</v>
      </c>
      <c r="BO41" s="9">
        <f t="shared" si="11"/>
        <v>0</v>
      </c>
      <c r="BP41" s="9">
        <f t="shared" si="12"/>
        <v>0</v>
      </c>
      <c r="BQ41" s="9">
        <f t="shared" si="13"/>
        <v>0</v>
      </c>
      <c r="BR41" s="9">
        <f t="shared" si="14"/>
        <v>0</v>
      </c>
      <c r="BS41" s="9">
        <f t="shared" si="15"/>
        <v>0</v>
      </c>
      <c r="BT41" s="9">
        <f t="shared" si="16"/>
        <v>0</v>
      </c>
    </row>
    <row r="42" spans="1:72" hidden="1" x14ac:dyDescent="0.25">
      <c r="A42" s="11">
        <f t="shared" si="6"/>
        <v>41</v>
      </c>
      <c r="B42" s="7" t="s">
        <v>254</v>
      </c>
      <c r="C42" s="4" t="s">
        <v>59</v>
      </c>
      <c r="D42" s="7" t="s">
        <v>230</v>
      </c>
      <c r="E42" s="4" t="s">
        <v>120</v>
      </c>
      <c r="F42" s="4"/>
      <c r="G42" s="7" t="s">
        <v>157</v>
      </c>
      <c r="H42" s="4" t="s">
        <v>1079</v>
      </c>
      <c r="I42" s="7"/>
      <c r="J42" s="7"/>
      <c r="K42" s="7" t="s">
        <v>255</v>
      </c>
      <c r="L42" s="13"/>
      <c r="M42" s="4" t="s">
        <v>134</v>
      </c>
      <c r="N42" s="7" t="s">
        <v>256</v>
      </c>
      <c r="O42" s="7" t="s">
        <v>109</v>
      </c>
      <c r="P42" s="29"/>
      <c r="Q42" s="30">
        <v>0.2</v>
      </c>
      <c r="R42" s="1">
        <f t="shared" si="7"/>
        <v>80000</v>
      </c>
      <c r="S42" s="2">
        <v>160000</v>
      </c>
      <c r="T42" s="2">
        <f t="shared" si="8"/>
        <v>400000</v>
      </c>
      <c r="U42" s="13"/>
      <c r="V42" s="13">
        <v>9000</v>
      </c>
      <c r="W42" s="13"/>
      <c r="X42" s="13">
        <v>9000</v>
      </c>
      <c r="Y42" s="13">
        <v>100000</v>
      </c>
      <c r="Z42" s="13">
        <v>100000</v>
      </c>
      <c r="AA42" s="13">
        <v>100000</v>
      </c>
      <c r="AB42" s="13"/>
      <c r="AC42" s="13">
        <v>100000</v>
      </c>
      <c r="AD42" s="13">
        <v>100000</v>
      </c>
      <c r="AE42" s="13">
        <v>100000</v>
      </c>
      <c r="AF42" s="13">
        <v>100000</v>
      </c>
      <c r="AG42" s="13">
        <f t="shared" si="23"/>
        <v>100000</v>
      </c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4" t="s">
        <v>192</v>
      </c>
      <c r="AU42" s="4" t="s">
        <v>66</v>
      </c>
      <c r="AV42" s="4" t="s">
        <v>1218</v>
      </c>
      <c r="AW42" s="6" t="s">
        <v>222</v>
      </c>
      <c r="AX42" s="4" t="s">
        <v>216</v>
      </c>
      <c r="AY42" s="4" t="s">
        <v>247</v>
      </c>
      <c r="AZ42" s="4" t="s">
        <v>248</v>
      </c>
      <c r="BA42" s="4"/>
      <c r="BB42" s="4"/>
      <c r="BC42" s="4"/>
      <c r="BD42" s="23">
        <v>1</v>
      </c>
      <c r="BE42" s="7"/>
      <c r="BF42" s="31">
        <v>45047</v>
      </c>
      <c r="BG42" s="31">
        <v>45047</v>
      </c>
      <c r="BH42" s="31">
        <v>45061</v>
      </c>
      <c r="BI42" s="31">
        <v>45064</v>
      </c>
      <c r="BJ42" s="31">
        <v>45078</v>
      </c>
      <c r="BK42" s="26"/>
      <c r="BL42" s="27">
        <v>3</v>
      </c>
      <c r="BM42" s="9">
        <f t="shared" si="9"/>
        <v>20000</v>
      </c>
      <c r="BN42" s="9">
        <f t="shared" si="10"/>
        <v>20000</v>
      </c>
      <c r="BO42" s="9">
        <f t="shared" si="11"/>
        <v>20000</v>
      </c>
      <c r="BP42" s="9">
        <f t="shared" si="12"/>
        <v>0</v>
      </c>
      <c r="BQ42" s="9">
        <f t="shared" si="13"/>
        <v>20000</v>
      </c>
      <c r="BR42" s="9">
        <f t="shared" si="14"/>
        <v>20000</v>
      </c>
      <c r="BS42" s="9">
        <f t="shared" si="15"/>
        <v>20000</v>
      </c>
      <c r="BT42" s="9">
        <f t="shared" si="16"/>
        <v>20000</v>
      </c>
    </row>
    <row r="43" spans="1:72" hidden="1" x14ac:dyDescent="0.25">
      <c r="A43" s="11">
        <f t="shared" si="6"/>
        <v>42</v>
      </c>
      <c r="B43" s="6" t="s">
        <v>229</v>
      </c>
      <c r="C43" s="4" t="s">
        <v>59</v>
      </c>
      <c r="D43" s="7" t="s">
        <v>230</v>
      </c>
      <c r="E43" s="4" t="s">
        <v>120</v>
      </c>
      <c r="F43" s="4"/>
      <c r="G43" s="7" t="s">
        <v>136</v>
      </c>
      <c r="H43" s="4" t="s">
        <v>137</v>
      </c>
      <c r="I43" s="7"/>
      <c r="J43" s="7"/>
      <c r="K43" s="7" t="s">
        <v>212</v>
      </c>
      <c r="L43" s="13"/>
      <c r="M43" s="4" t="s">
        <v>139</v>
      </c>
      <c r="N43" s="7"/>
      <c r="O43" s="7"/>
      <c r="P43" s="29"/>
      <c r="Q43" s="30">
        <v>0.3</v>
      </c>
      <c r="R43" s="1">
        <f t="shared" si="7"/>
        <v>0</v>
      </c>
      <c r="S43" s="2">
        <v>900</v>
      </c>
      <c r="T43" s="2">
        <f t="shared" si="8"/>
        <v>0</v>
      </c>
      <c r="U43" s="13">
        <v>3000</v>
      </c>
      <c r="V43" s="13">
        <v>3000</v>
      </c>
      <c r="W43" s="13">
        <v>3000</v>
      </c>
      <c r="X43" s="13">
        <v>3000</v>
      </c>
      <c r="Y43" s="13">
        <v>3000</v>
      </c>
      <c r="Z43" s="27"/>
      <c r="AA43" s="27"/>
      <c r="AB43" s="27"/>
      <c r="AC43" s="27"/>
      <c r="AD43" s="27"/>
      <c r="AE43" s="27"/>
      <c r="AF43" s="27"/>
      <c r="AG43" s="13">
        <f t="shared" si="23"/>
        <v>0</v>
      </c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4" t="s">
        <v>192</v>
      </c>
      <c r="AU43" s="4" t="s">
        <v>66</v>
      </c>
      <c r="AV43" s="4" t="s">
        <v>1218</v>
      </c>
      <c r="AW43" s="4" t="s">
        <v>222</v>
      </c>
      <c r="AX43" s="4" t="s">
        <v>216</v>
      </c>
      <c r="AY43" s="4" t="s">
        <v>217</v>
      </c>
      <c r="AZ43" s="4" t="s">
        <v>257</v>
      </c>
      <c r="BA43" s="4"/>
      <c r="BB43" s="4"/>
      <c r="BC43" s="4"/>
      <c r="BD43" s="23">
        <v>3</v>
      </c>
      <c r="BE43" s="7"/>
      <c r="BF43" s="31"/>
      <c r="BG43" s="31"/>
      <c r="BH43" s="31"/>
      <c r="BI43" s="31"/>
      <c r="BJ43" s="31"/>
      <c r="BK43" s="26"/>
      <c r="BL43" s="27"/>
      <c r="BM43" s="9">
        <f t="shared" si="9"/>
        <v>900</v>
      </c>
      <c r="BN43" s="9">
        <f t="shared" si="10"/>
        <v>0</v>
      </c>
      <c r="BO43" s="9">
        <f t="shared" si="11"/>
        <v>0</v>
      </c>
      <c r="BP43" s="9">
        <f t="shared" si="12"/>
        <v>0</v>
      </c>
      <c r="BQ43" s="9">
        <f t="shared" si="13"/>
        <v>0</v>
      </c>
      <c r="BR43" s="9">
        <f t="shared" si="14"/>
        <v>0</v>
      </c>
      <c r="BS43" s="9">
        <f t="shared" si="15"/>
        <v>0</v>
      </c>
      <c r="BT43" s="9">
        <f t="shared" si="16"/>
        <v>0</v>
      </c>
    </row>
    <row r="44" spans="1:72" hidden="1" x14ac:dyDescent="0.25">
      <c r="A44" s="11">
        <f t="shared" si="6"/>
        <v>43</v>
      </c>
      <c r="B44" s="5" t="s">
        <v>258</v>
      </c>
      <c r="C44" s="4" t="s">
        <v>59</v>
      </c>
      <c r="D44" s="4" t="s">
        <v>259</v>
      </c>
      <c r="E44" s="4" t="s">
        <v>120</v>
      </c>
      <c r="F44" s="4"/>
      <c r="G44" s="4" t="s">
        <v>260</v>
      </c>
      <c r="H44" s="4" t="s">
        <v>1750</v>
      </c>
      <c r="I44" s="4"/>
      <c r="J44" s="4"/>
      <c r="K44" s="7" t="s">
        <v>261</v>
      </c>
      <c r="L44" s="13"/>
      <c r="M44" s="13" t="s">
        <v>65</v>
      </c>
      <c r="N44" s="5"/>
      <c r="O44" s="7" t="s">
        <v>109</v>
      </c>
      <c r="P44" s="29"/>
      <c r="Q44" s="14">
        <v>0.53</v>
      </c>
      <c r="R44" s="1">
        <f t="shared" si="7"/>
        <v>3180</v>
      </c>
      <c r="S44" s="2">
        <v>4770</v>
      </c>
      <c r="T44" s="2">
        <f t="shared" si="8"/>
        <v>6000</v>
      </c>
      <c r="U44" s="13">
        <v>3000</v>
      </c>
      <c r="V44" s="13">
        <v>3000</v>
      </c>
      <c r="W44" s="13">
        <v>3000</v>
      </c>
      <c r="X44" s="13">
        <v>3000</v>
      </c>
      <c r="Y44" s="13">
        <v>3000</v>
      </c>
      <c r="Z44" s="13"/>
      <c r="AA44" s="13"/>
      <c r="AB44" s="13">
        <v>3000</v>
      </c>
      <c r="AC44" s="13"/>
      <c r="AD44" s="13">
        <v>3000</v>
      </c>
      <c r="AE44" s="13"/>
      <c r="AF44" s="13"/>
      <c r="AG44" s="13">
        <f t="shared" si="23"/>
        <v>0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4"/>
      <c r="AU44" s="4" t="s">
        <v>66</v>
      </c>
      <c r="AV44" s="4" t="s">
        <v>1218</v>
      </c>
      <c r="AW44" s="7" t="s">
        <v>98</v>
      </c>
      <c r="AX44" s="7" t="s">
        <v>99</v>
      </c>
      <c r="AY44" s="4" t="s">
        <v>100</v>
      </c>
      <c r="AZ44" s="7" t="s">
        <v>101</v>
      </c>
      <c r="BA44" s="4"/>
      <c r="BB44" s="4"/>
      <c r="BC44" s="4"/>
      <c r="BD44" s="23"/>
      <c r="BE44" s="4"/>
      <c r="BF44" s="4"/>
      <c r="BG44" s="4"/>
      <c r="BH44" s="4"/>
      <c r="BI44" s="4"/>
      <c r="BJ44" s="4"/>
      <c r="BK44" s="3"/>
      <c r="BL44" s="3"/>
      <c r="BM44" s="9">
        <f t="shared" si="9"/>
        <v>1590</v>
      </c>
      <c r="BN44" s="9">
        <f t="shared" si="10"/>
        <v>0</v>
      </c>
      <c r="BO44" s="9">
        <f t="shared" si="11"/>
        <v>0</v>
      </c>
      <c r="BP44" s="9">
        <f t="shared" si="12"/>
        <v>1590</v>
      </c>
      <c r="BQ44" s="9">
        <f t="shared" si="13"/>
        <v>0</v>
      </c>
      <c r="BR44" s="9">
        <f t="shared" si="14"/>
        <v>1590</v>
      </c>
      <c r="BS44" s="9">
        <f t="shared" si="15"/>
        <v>0</v>
      </c>
      <c r="BT44" s="9">
        <f t="shared" si="16"/>
        <v>0</v>
      </c>
    </row>
    <row r="45" spans="1:72" hidden="1" x14ac:dyDescent="0.25">
      <c r="A45" s="11">
        <f t="shared" si="6"/>
        <v>44</v>
      </c>
      <c r="B45" s="5" t="s">
        <v>262</v>
      </c>
      <c r="C45" s="4" t="s">
        <v>59</v>
      </c>
      <c r="D45" s="4" t="s">
        <v>259</v>
      </c>
      <c r="E45" s="4" t="s">
        <v>120</v>
      </c>
      <c r="F45" s="4"/>
      <c r="G45" s="4" t="s">
        <v>152</v>
      </c>
      <c r="H45" s="4" t="s">
        <v>153</v>
      </c>
      <c r="I45" s="4"/>
      <c r="J45" s="4"/>
      <c r="K45" s="7" t="s">
        <v>263</v>
      </c>
      <c r="L45" s="13"/>
      <c r="M45" s="13" t="s">
        <v>65</v>
      </c>
      <c r="N45" s="5"/>
      <c r="O45" s="7" t="s">
        <v>109</v>
      </c>
      <c r="P45" s="29"/>
      <c r="Q45" s="14">
        <v>0.16</v>
      </c>
      <c r="R45" s="1">
        <f t="shared" si="7"/>
        <v>2400</v>
      </c>
      <c r="S45" s="2">
        <v>3840</v>
      </c>
      <c r="T45" s="2">
        <f t="shared" si="8"/>
        <v>15000</v>
      </c>
      <c r="U45" s="13">
        <v>3000</v>
      </c>
      <c r="V45" s="13">
        <v>3000</v>
      </c>
      <c r="W45" s="13">
        <v>3000</v>
      </c>
      <c r="X45" s="13">
        <v>3000</v>
      </c>
      <c r="Y45" s="13">
        <v>3000</v>
      </c>
      <c r="Z45" s="13">
        <v>3000</v>
      </c>
      <c r="AA45" s="13">
        <v>3000</v>
      </c>
      <c r="AB45" s="13">
        <v>3000</v>
      </c>
      <c r="AC45" s="13">
        <v>3000</v>
      </c>
      <c r="AD45" s="13">
        <v>3000</v>
      </c>
      <c r="AE45" s="13">
        <v>3000</v>
      </c>
      <c r="AF45" s="13">
        <v>3000</v>
      </c>
      <c r="AG45" s="13">
        <f t="shared" si="23"/>
        <v>3000</v>
      </c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4"/>
      <c r="AU45" s="4" t="s">
        <v>66</v>
      </c>
      <c r="AV45" s="4" t="s">
        <v>1218</v>
      </c>
      <c r="AW45" s="4" t="s">
        <v>222</v>
      </c>
      <c r="AX45" s="4" t="s">
        <v>264</v>
      </c>
      <c r="AY45" s="4" t="s">
        <v>265</v>
      </c>
      <c r="AZ45" s="4"/>
      <c r="BA45" s="4"/>
      <c r="BB45" s="4"/>
      <c r="BC45" s="4"/>
      <c r="BD45" s="23"/>
      <c r="BE45" s="4"/>
      <c r="BF45" s="4"/>
      <c r="BG45" s="4"/>
      <c r="BH45" s="4"/>
      <c r="BI45" s="4"/>
      <c r="BJ45" s="4"/>
      <c r="BK45" s="3"/>
      <c r="BL45" s="3"/>
      <c r="BM45" s="9">
        <f t="shared" si="9"/>
        <v>480</v>
      </c>
      <c r="BN45" s="9">
        <f t="shared" si="10"/>
        <v>480</v>
      </c>
      <c r="BO45" s="9">
        <f t="shared" si="11"/>
        <v>480</v>
      </c>
      <c r="BP45" s="9">
        <f t="shared" si="12"/>
        <v>480</v>
      </c>
      <c r="BQ45" s="9">
        <f t="shared" si="13"/>
        <v>480</v>
      </c>
      <c r="BR45" s="9">
        <f t="shared" si="14"/>
        <v>480</v>
      </c>
      <c r="BS45" s="9">
        <f t="shared" si="15"/>
        <v>480</v>
      </c>
      <c r="BT45" s="9">
        <f t="shared" si="16"/>
        <v>480</v>
      </c>
    </row>
    <row r="46" spans="1:72" hidden="1" x14ac:dyDescent="0.25">
      <c r="A46" s="11">
        <f t="shared" si="6"/>
        <v>45</v>
      </c>
      <c r="B46" s="5" t="s">
        <v>266</v>
      </c>
      <c r="C46" s="4" t="s">
        <v>59</v>
      </c>
      <c r="D46" s="4" t="s">
        <v>259</v>
      </c>
      <c r="E46" s="4" t="s">
        <v>120</v>
      </c>
      <c r="F46" s="4"/>
      <c r="G46" s="4" t="s">
        <v>267</v>
      </c>
      <c r="H46" s="4" t="s">
        <v>268</v>
      </c>
      <c r="I46" s="4"/>
      <c r="J46" s="4"/>
      <c r="K46" s="7" t="s">
        <v>216</v>
      </c>
      <c r="L46" s="13"/>
      <c r="M46" s="4" t="s">
        <v>139</v>
      </c>
      <c r="N46" s="5" t="s">
        <v>269</v>
      </c>
      <c r="O46" s="7" t="s">
        <v>109</v>
      </c>
      <c r="P46" s="29"/>
      <c r="Q46" s="14">
        <v>0.4</v>
      </c>
      <c r="R46" s="1">
        <f t="shared" si="7"/>
        <v>0</v>
      </c>
      <c r="S46" s="2">
        <v>0</v>
      </c>
      <c r="T46" s="2">
        <f t="shared" si="8"/>
        <v>0</v>
      </c>
      <c r="U46" s="13"/>
      <c r="V46" s="13"/>
      <c r="W46" s="13"/>
      <c r="X46" s="13"/>
      <c r="Y46" s="4"/>
      <c r="Z46" s="13"/>
      <c r="AA46" s="13"/>
      <c r="AB46" s="13"/>
      <c r="AC46" s="13"/>
      <c r="AD46" s="13"/>
      <c r="AE46" s="13"/>
      <c r="AF46" s="13"/>
      <c r="AG46" s="13">
        <f>AF46</f>
        <v>0</v>
      </c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4"/>
      <c r="AU46" s="4" t="s">
        <v>66</v>
      </c>
      <c r="AV46" s="4" t="s">
        <v>1218</v>
      </c>
      <c r="AW46" s="4" t="s">
        <v>222</v>
      </c>
      <c r="AX46" s="4" t="s">
        <v>216</v>
      </c>
      <c r="AY46" s="4" t="s">
        <v>217</v>
      </c>
      <c r="AZ46" s="4"/>
      <c r="BA46" s="4"/>
      <c r="BB46" s="4"/>
      <c r="BC46" s="4"/>
      <c r="BD46" s="23">
        <v>3</v>
      </c>
      <c r="BE46" s="4"/>
      <c r="BF46" s="4"/>
      <c r="BG46" s="4"/>
      <c r="BH46" s="4"/>
      <c r="BI46" s="4"/>
      <c r="BJ46" s="4"/>
      <c r="BK46" s="3"/>
      <c r="BL46" s="3"/>
      <c r="BM46" s="9">
        <f t="shared" si="9"/>
        <v>0</v>
      </c>
      <c r="BN46" s="9">
        <f t="shared" si="10"/>
        <v>0</v>
      </c>
      <c r="BO46" s="9">
        <f t="shared" si="11"/>
        <v>0</v>
      </c>
      <c r="BP46" s="9">
        <f t="shared" si="12"/>
        <v>0</v>
      </c>
      <c r="BQ46" s="9">
        <f t="shared" si="13"/>
        <v>0</v>
      </c>
      <c r="BR46" s="9">
        <f t="shared" si="14"/>
        <v>0</v>
      </c>
      <c r="BS46" s="9">
        <f t="shared" si="15"/>
        <v>0</v>
      </c>
      <c r="BT46" s="9">
        <f t="shared" si="16"/>
        <v>0</v>
      </c>
    </row>
    <row r="47" spans="1:72" hidden="1" x14ac:dyDescent="0.25">
      <c r="A47" s="11">
        <f t="shared" si="6"/>
        <v>46</v>
      </c>
      <c r="B47" s="7" t="s">
        <v>270</v>
      </c>
      <c r="C47" s="4" t="s">
        <v>59</v>
      </c>
      <c r="D47" s="7" t="s">
        <v>230</v>
      </c>
      <c r="E47" s="4" t="s">
        <v>120</v>
      </c>
      <c r="F47" s="4"/>
      <c r="G47" s="7" t="s">
        <v>260</v>
      </c>
      <c r="H47" s="4" t="s">
        <v>1750</v>
      </c>
      <c r="I47" s="7"/>
      <c r="J47" s="7"/>
      <c r="K47" s="7" t="s">
        <v>271</v>
      </c>
      <c r="L47" s="13"/>
      <c r="M47" s="4" t="s">
        <v>139</v>
      </c>
      <c r="N47" s="7" t="s">
        <v>272</v>
      </c>
      <c r="O47" s="7" t="s">
        <v>109</v>
      </c>
      <c r="P47" s="29"/>
      <c r="Q47" s="30">
        <v>0.45</v>
      </c>
      <c r="R47" s="1">
        <f t="shared" si="7"/>
        <v>0</v>
      </c>
      <c r="S47" s="2">
        <v>0</v>
      </c>
      <c r="T47" s="2">
        <f t="shared" si="8"/>
        <v>0</v>
      </c>
      <c r="U47" s="13">
        <v>50000</v>
      </c>
      <c r="V47" s="13"/>
      <c r="W47" s="13"/>
      <c r="X47" s="13"/>
      <c r="Y47" s="13"/>
      <c r="Z47" s="27"/>
      <c r="AA47" s="27"/>
      <c r="AB47" s="27"/>
      <c r="AC47" s="27"/>
      <c r="AD47" s="27"/>
      <c r="AE47" s="27"/>
      <c r="AF47" s="27"/>
      <c r="AG47" s="13">
        <f>AF47</f>
        <v>0</v>
      </c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4" t="s">
        <v>192</v>
      </c>
      <c r="AU47" s="4" t="s">
        <v>66</v>
      </c>
      <c r="AV47" s="4" t="s">
        <v>1218</v>
      </c>
      <c r="AW47" s="7" t="s">
        <v>98</v>
      </c>
      <c r="AX47" s="7" t="s">
        <v>99</v>
      </c>
      <c r="AY47" s="4" t="s">
        <v>100</v>
      </c>
      <c r="AZ47" s="7" t="s">
        <v>101</v>
      </c>
      <c r="BA47" s="4"/>
      <c r="BB47" s="4"/>
      <c r="BC47" s="4"/>
      <c r="BD47" s="23">
        <v>3</v>
      </c>
      <c r="BE47" s="7"/>
      <c r="BF47" s="31">
        <v>44986</v>
      </c>
      <c r="BG47" s="31">
        <v>44986</v>
      </c>
      <c r="BH47" s="31">
        <v>45170</v>
      </c>
      <c r="BI47" s="31">
        <v>45241</v>
      </c>
      <c r="BJ47" s="31"/>
      <c r="BK47" s="26"/>
      <c r="BL47" s="27">
        <v>3</v>
      </c>
      <c r="BM47" s="9">
        <f t="shared" si="9"/>
        <v>0</v>
      </c>
      <c r="BN47" s="9">
        <f t="shared" si="10"/>
        <v>0</v>
      </c>
      <c r="BO47" s="9">
        <f t="shared" si="11"/>
        <v>0</v>
      </c>
      <c r="BP47" s="9">
        <f t="shared" si="12"/>
        <v>0</v>
      </c>
      <c r="BQ47" s="9">
        <f t="shared" si="13"/>
        <v>0</v>
      </c>
      <c r="BR47" s="9">
        <f t="shared" si="14"/>
        <v>0</v>
      </c>
      <c r="BS47" s="9">
        <f t="shared" si="15"/>
        <v>0</v>
      </c>
      <c r="BT47" s="9">
        <f t="shared" si="16"/>
        <v>0</v>
      </c>
    </row>
    <row r="48" spans="1:72" hidden="1" x14ac:dyDescent="0.25">
      <c r="A48" s="11">
        <f t="shared" si="6"/>
        <v>47</v>
      </c>
      <c r="B48" s="4" t="s">
        <v>273</v>
      </c>
      <c r="C48" s="4" t="s">
        <v>59</v>
      </c>
      <c r="D48" s="4" t="s">
        <v>230</v>
      </c>
      <c r="E48" s="4" t="s">
        <v>120</v>
      </c>
      <c r="F48" s="4"/>
      <c r="G48" s="6" t="s">
        <v>243</v>
      </c>
      <c r="H48" s="4" t="s">
        <v>244</v>
      </c>
      <c r="I48" s="6"/>
      <c r="J48" s="6"/>
      <c r="K48" s="4" t="s">
        <v>274</v>
      </c>
      <c r="L48" s="13"/>
      <c r="M48" s="4" t="s">
        <v>52</v>
      </c>
      <c r="N48" s="4"/>
      <c r="O48" s="4"/>
      <c r="P48" s="4"/>
      <c r="Q48" s="4">
        <v>0.45</v>
      </c>
      <c r="R48" s="1">
        <f t="shared" si="7"/>
        <v>0</v>
      </c>
      <c r="S48" s="2">
        <v>0</v>
      </c>
      <c r="T48" s="2">
        <f t="shared" si="8"/>
        <v>0</v>
      </c>
      <c r="U48" s="13"/>
      <c r="V48" s="13"/>
      <c r="W48" s="13"/>
      <c r="X48" s="13"/>
      <c r="Y48" s="13"/>
      <c r="Z48" s="4"/>
      <c r="AA48" s="4"/>
      <c r="AB48" s="4"/>
      <c r="AC48" s="4"/>
      <c r="AD48" s="4"/>
      <c r="AE48" s="4"/>
      <c r="AF48" s="4"/>
      <c r="AG48" s="13">
        <f t="shared" ref="AG48:AG55" si="24">AF48</f>
        <v>0</v>
      </c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 t="s">
        <v>192</v>
      </c>
      <c r="AU48" s="4" t="s">
        <v>66</v>
      </c>
      <c r="AV48" s="4" t="s">
        <v>1218</v>
      </c>
      <c r="AW48" s="6" t="s">
        <v>222</v>
      </c>
      <c r="AX48" s="4" t="s">
        <v>275</v>
      </c>
      <c r="AY48" s="4" t="s">
        <v>276</v>
      </c>
      <c r="AZ48" s="4"/>
      <c r="BA48" s="4"/>
      <c r="BB48" s="4"/>
      <c r="BC48" s="4"/>
      <c r="BD48" s="4">
        <v>3</v>
      </c>
      <c r="BE48" s="4"/>
      <c r="BF48" s="4"/>
      <c r="BG48" s="4"/>
      <c r="BH48" s="4"/>
      <c r="BI48" s="4"/>
      <c r="BJ48" s="4"/>
      <c r="BK48" s="4"/>
      <c r="BL48" s="4"/>
      <c r="BM48" s="9">
        <f t="shared" ref="BM48:BM79" si="25">$Q48*Y48</f>
        <v>0</v>
      </c>
      <c r="BN48" s="9">
        <f t="shared" si="10"/>
        <v>0</v>
      </c>
      <c r="BO48" s="9">
        <f t="shared" si="11"/>
        <v>0</v>
      </c>
      <c r="BP48" s="9">
        <f t="shared" si="12"/>
        <v>0</v>
      </c>
      <c r="BQ48" s="9">
        <f t="shared" si="13"/>
        <v>0</v>
      </c>
      <c r="BR48" s="9">
        <f t="shared" si="14"/>
        <v>0</v>
      </c>
      <c r="BS48" s="9">
        <f t="shared" si="15"/>
        <v>0</v>
      </c>
      <c r="BT48" s="9">
        <f t="shared" si="16"/>
        <v>0</v>
      </c>
    </row>
    <row r="49" spans="1:72" hidden="1" x14ac:dyDescent="0.25">
      <c r="A49" s="11">
        <f t="shared" si="6"/>
        <v>48</v>
      </c>
      <c r="B49" s="7" t="s">
        <v>277</v>
      </c>
      <c r="C49" s="6" t="s">
        <v>186</v>
      </c>
      <c r="D49" s="7" t="s">
        <v>230</v>
      </c>
      <c r="E49" s="4" t="s">
        <v>120</v>
      </c>
      <c r="F49" s="4"/>
      <c r="G49" s="4" t="s">
        <v>210</v>
      </c>
      <c r="H49" s="4" t="s">
        <v>211</v>
      </c>
      <c r="I49" s="4"/>
      <c r="J49" s="4"/>
      <c r="K49" s="7" t="s">
        <v>212</v>
      </c>
      <c r="L49" s="13"/>
      <c r="M49" s="4" t="s">
        <v>134</v>
      </c>
      <c r="N49" s="5" t="s">
        <v>278</v>
      </c>
      <c r="O49" s="7" t="s">
        <v>109</v>
      </c>
      <c r="P49" s="29"/>
      <c r="Q49" s="14">
        <v>0.28000000000000003</v>
      </c>
      <c r="R49" s="1">
        <f t="shared" si="7"/>
        <v>56000.000000000007</v>
      </c>
      <c r="S49" s="2">
        <v>42000.000000000007</v>
      </c>
      <c r="T49" s="2">
        <f t="shared" si="8"/>
        <v>200000</v>
      </c>
      <c r="U49" s="13"/>
      <c r="V49" s="13"/>
      <c r="W49" s="13"/>
      <c r="X49" s="13">
        <v>100000</v>
      </c>
      <c r="Y49" s="13"/>
      <c r="Z49" s="13"/>
      <c r="AA49" s="13">
        <v>50000</v>
      </c>
      <c r="AB49" s="13"/>
      <c r="AC49" s="13">
        <v>50000</v>
      </c>
      <c r="AD49" s="13">
        <v>50000</v>
      </c>
      <c r="AE49" s="13">
        <v>50000</v>
      </c>
      <c r="AF49" s="13">
        <v>50000</v>
      </c>
      <c r="AG49" s="13">
        <f t="shared" si="24"/>
        <v>50000</v>
      </c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4"/>
      <c r="AU49" s="4" t="s">
        <v>66</v>
      </c>
      <c r="AV49" s="4" t="s">
        <v>1218</v>
      </c>
      <c r="AW49" s="4" t="s">
        <v>222</v>
      </c>
      <c r="AX49" s="4" t="s">
        <v>216</v>
      </c>
      <c r="AY49" s="4" t="s">
        <v>217</v>
      </c>
      <c r="AZ49" s="4"/>
      <c r="BA49" s="4"/>
      <c r="BB49" s="4"/>
      <c r="BC49" s="4"/>
      <c r="BD49" s="23">
        <v>4</v>
      </c>
      <c r="BE49" s="4"/>
      <c r="BF49" s="4"/>
      <c r="BG49" s="4"/>
      <c r="BH49" s="4"/>
      <c r="BI49" s="4"/>
      <c r="BJ49" s="4"/>
      <c r="BK49" s="3"/>
      <c r="BL49" s="3"/>
      <c r="BM49" s="9">
        <f t="shared" si="25"/>
        <v>0</v>
      </c>
      <c r="BN49" s="9">
        <f t="shared" si="10"/>
        <v>0</v>
      </c>
      <c r="BO49" s="9">
        <f t="shared" si="11"/>
        <v>14000.000000000002</v>
      </c>
      <c r="BP49" s="9">
        <f t="shared" si="12"/>
        <v>0</v>
      </c>
      <c r="BQ49" s="9">
        <f t="shared" si="13"/>
        <v>14000.000000000002</v>
      </c>
      <c r="BR49" s="9">
        <f t="shared" si="14"/>
        <v>14000.000000000002</v>
      </c>
      <c r="BS49" s="9">
        <f t="shared" si="15"/>
        <v>14000.000000000002</v>
      </c>
      <c r="BT49" s="9">
        <f t="shared" si="16"/>
        <v>14000.000000000002</v>
      </c>
    </row>
    <row r="50" spans="1:72" hidden="1" x14ac:dyDescent="0.25">
      <c r="A50" s="11">
        <f t="shared" si="6"/>
        <v>49</v>
      </c>
      <c r="B50" s="7" t="s">
        <v>277</v>
      </c>
      <c r="C50" s="4" t="s">
        <v>173</v>
      </c>
      <c r="D50" s="7" t="s">
        <v>230</v>
      </c>
      <c r="E50" s="4" t="s">
        <v>120</v>
      </c>
      <c r="F50" s="4"/>
      <c r="G50" s="4" t="s">
        <v>279</v>
      </c>
      <c r="H50" s="4"/>
      <c r="I50" s="4" t="s">
        <v>280</v>
      </c>
      <c r="J50" s="4"/>
      <c r="K50" s="7" t="s">
        <v>212</v>
      </c>
      <c r="L50" s="13"/>
      <c r="M50" s="4"/>
      <c r="N50" s="5"/>
      <c r="O50" s="7"/>
      <c r="P50" s="29"/>
      <c r="Q50" s="14">
        <v>0.15</v>
      </c>
      <c r="R50" s="1">
        <f t="shared" si="7"/>
        <v>0</v>
      </c>
      <c r="S50" s="2">
        <v>0</v>
      </c>
      <c r="T50" s="2">
        <f t="shared" si="8"/>
        <v>0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>
        <f t="shared" si="24"/>
        <v>0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4"/>
      <c r="AU50" s="4" t="s">
        <v>66</v>
      </c>
      <c r="AV50" s="4" t="s">
        <v>1218</v>
      </c>
      <c r="AW50" s="4" t="s">
        <v>222</v>
      </c>
      <c r="AX50" s="4" t="s">
        <v>216</v>
      </c>
      <c r="AY50" s="4" t="s">
        <v>217</v>
      </c>
      <c r="AZ50" s="4"/>
      <c r="BA50" s="4"/>
      <c r="BB50" s="4"/>
      <c r="BC50" s="4"/>
      <c r="BD50" s="23"/>
      <c r="BE50" s="4"/>
      <c r="BF50" s="4"/>
      <c r="BG50" s="4"/>
      <c r="BH50" s="4"/>
      <c r="BI50" s="4"/>
      <c r="BJ50" s="4"/>
      <c r="BK50" s="3"/>
      <c r="BL50" s="3"/>
      <c r="BM50" s="9">
        <f t="shared" si="25"/>
        <v>0</v>
      </c>
      <c r="BN50" s="9">
        <f t="shared" si="10"/>
        <v>0</v>
      </c>
      <c r="BO50" s="9">
        <f t="shared" si="11"/>
        <v>0</v>
      </c>
      <c r="BP50" s="9">
        <f t="shared" si="12"/>
        <v>0</v>
      </c>
      <c r="BQ50" s="9">
        <f t="shared" si="13"/>
        <v>0</v>
      </c>
      <c r="BR50" s="9">
        <f t="shared" si="14"/>
        <v>0</v>
      </c>
      <c r="BS50" s="9">
        <f t="shared" si="15"/>
        <v>0</v>
      </c>
      <c r="BT50" s="9">
        <f t="shared" si="16"/>
        <v>0</v>
      </c>
    </row>
    <row r="51" spans="1:72" hidden="1" x14ac:dyDescent="0.25">
      <c r="A51" s="11">
        <f t="shared" si="6"/>
        <v>50</v>
      </c>
      <c r="B51" s="6" t="s">
        <v>281</v>
      </c>
      <c r="C51" s="4" t="s">
        <v>59</v>
      </c>
      <c r="D51" s="4" t="s">
        <v>230</v>
      </c>
      <c r="E51" s="4" t="s">
        <v>120</v>
      </c>
      <c r="F51" s="4"/>
      <c r="G51" s="4" t="s">
        <v>279</v>
      </c>
      <c r="H51" s="4" t="s">
        <v>211</v>
      </c>
      <c r="I51" s="4"/>
      <c r="J51" s="4"/>
      <c r="K51" s="7" t="s">
        <v>212</v>
      </c>
      <c r="L51" s="13"/>
      <c r="M51" s="4" t="s">
        <v>52</v>
      </c>
      <c r="N51" s="5"/>
      <c r="O51" s="7" t="s">
        <v>109</v>
      </c>
      <c r="P51" s="29"/>
      <c r="Q51" s="30">
        <v>0.4</v>
      </c>
      <c r="R51" s="1">
        <f t="shared" si="7"/>
        <v>12000</v>
      </c>
      <c r="S51" s="2">
        <v>24000</v>
      </c>
      <c r="T51" s="2">
        <f t="shared" si="8"/>
        <v>30000</v>
      </c>
      <c r="U51" s="13"/>
      <c r="V51" s="13">
        <v>45000</v>
      </c>
      <c r="W51" s="13">
        <v>15000</v>
      </c>
      <c r="X51" s="13">
        <v>15000</v>
      </c>
      <c r="Y51" s="13">
        <v>15000</v>
      </c>
      <c r="Z51" s="13"/>
      <c r="AA51" s="13">
        <v>15000</v>
      </c>
      <c r="AB51" s="13"/>
      <c r="AC51" s="13"/>
      <c r="AD51" s="13">
        <v>15000</v>
      </c>
      <c r="AE51" s="13"/>
      <c r="AF51" s="13">
        <v>15000</v>
      </c>
      <c r="AG51" s="13">
        <f t="shared" si="24"/>
        <v>15000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4"/>
      <c r="AU51" s="4" t="s">
        <v>66</v>
      </c>
      <c r="AV51" s="4" t="s">
        <v>1218</v>
      </c>
      <c r="AW51" s="4" t="s">
        <v>222</v>
      </c>
      <c r="AX51" s="4" t="s">
        <v>216</v>
      </c>
      <c r="AY51" s="4" t="s">
        <v>217</v>
      </c>
      <c r="AZ51" s="4"/>
      <c r="BA51" s="4"/>
      <c r="BB51" s="4"/>
      <c r="BC51" s="4"/>
      <c r="BD51" s="23">
        <v>4</v>
      </c>
      <c r="BE51" s="4"/>
      <c r="BF51" s="4"/>
      <c r="BG51" s="4"/>
      <c r="BH51" s="4"/>
      <c r="BI51" s="4"/>
      <c r="BJ51" s="4"/>
      <c r="BK51" s="3"/>
      <c r="BL51" s="3"/>
      <c r="BM51" s="9">
        <f t="shared" si="25"/>
        <v>6000</v>
      </c>
      <c r="BN51" s="9">
        <f t="shared" si="10"/>
        <v>0</v>
      </c>
      <c r="BO51" s="9">
        <f t="shared" si="11"/>
        <v>6000</v>
      </c>
      <c r="BP51" s="9">
        <f t="shared" si="12"/>
        <v>0</v>
      </c>
      <c r="BQ51" s="9">
        <f t="shared" si="13"/>
        <v>0</v>
      </c>
      <c r="BR51" s="9">
        <f t="shared" si="14"/>
        <v>6000</v>
      </c>
      <c r="BS51" s="9">
        <f t="shared" si="15"/>
        <v>0</v>
      </c>
      <c r="BT51" s="9">
        <f t="shared" si="16"/>
        <v>6000</v>
      </c>
    </row>
    <row r="52" spans="1:72" hidden="1" x14ac:dyDescent="0.25">
      <c r="A52" s="11">
        <f t="shared" si="6"/>
        <v>51</v>
      </c>
      <c r="B52" s="6" t="s">
        <v>282</v>
      </c>
      <c r="C52" s="4" t="s">
        <v>59</v>
      </c>
      <c r="D52" s="4" t="s">
        <v>230</v>
      </c>
      <c r="E52" s="4" t="s">
        <v>120</v>
      </c>
      <c r="F52" s="4"/>
      <c r="G52" s="4" t="s">
        <v>283</v>
      </c>
      <c r="H52" s="3" t="s">
        <v>1053</v>
      </c>
      <c r="I52" s="4"/>
      <c r="J52" s="4"/>
      <c r="K52" s="7" t="s">
        <v>212</v>
      </c>
      <c r="L52" s="13"/>
      <c r="M52" s="4" t="s">
        <v>52</v>
      </c>
      <c r="N52" s="5"/>
      <c r="O52" s="7" t="s">
        <v>109</v>
      </c>
      <c r="P52" s="29"/>
      <c r="Q52" s="30">
        <v>0.3</v>
      </c>
      <c r="R52" s="1">
        <f t="shared" si="7"/>
        <v>60000</v>
      </c>
      <c r="S52" s="2">
        <v>120000</v>
      </c>
      <c r="T52" s="2">
        <f t="shared" si="8"/>
        <v>200000</v>
      </c>
      <c r="U52" s="13">
        <v>100000</v>
      </c>
      <c r="V52" s="13">
        <v>138000</v>
      </c>
      <c r="W52" s="13">
        <v>100000</v>
      </c>
      <c r="X52" s="13">
        <v>100000</v>
      </c>
      <c r="Y52" s="13">
        <v>100000</v>
      </c>
      <c r="Z52" s="13"/>
      <c r="AA52" s="13">
        <v>100000</v>
      </c>
      <c r="AB52" s="13"/>
      <c r="AC52" s="13"/>
      <c r="AD52" s="13">
        <v>100000</v>
      </c>
      <c r="AE52" s="13"/>
      <c r="AF52" s="13">
        <v>100000</v>
      </c>
      <c r="AG52" s="13">
        <f t="shared" si="24"/>
        <v>100000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4"/>
      <c r="AU52" s="4" t="s">
        <v>66</v>
      </c>
      <c r="AV52" s="4" t="s">
        <v>1218</v>
      </c>
      <c r="AW52" s="4" t="s">
        <v>222</v>
      </c>
      <c r="AX52" s="4" t="s">
        <v>216</v>
      </c>
      <c r="AY52" s="4" t="s">
        <v>217</v>
      </c>
      <c r="AZ52" s="4"/>
      <c r="BA52" s="4"/>
      <c r="BB52" s="4"/>
      <c r="BC52" s="4"/>
      <c r="BD52" s="23">
        <v>4</v>
      </c>
      <c r="BE52" s="4"/>
      <c r="BF52" s="4"/>
      <c r="BG52" s="4"/>
      <c r="BH52" s="4"/>
      <c r="BI52" s="4"/>
      <c r="BJ52" s="4"/>
      <c r="BK52" s="3"/>
      <c r="BL52" s="3"/>
      <c r="BM52" s="9">
        <f t="shared" si="25"/>
        <v>30000</v>
      </c>
      <c r="BN52" s="9">
        <f t="shared" si="10"/>
        <v>0</v>
      </c>
      <c r="BO52" s="9">
        <f t="shared" si="11"/>
        <v>30000</v>
      </c>
      <c r="BP52" s="9">
        <f t="shared" si="12"/>
        <v>0</v>
      </c>
      <c r="BQ52" s="9">
        <f t="shared" si="13"/>
        <v>0</v>
      </c>
      <c r="BR52" s="9">
        <f t="shared" si="14"/>
        <v>30000</v>
      </c>
      <c r="BS52" s="9">
        <f t="shared" si="15"/>
        <v>0</v>
      </c>
      <c r="BT52" s="9">
        <f t="shared" si="16"/>
        <v>30000</v>
      </c>
    </row>
    <row r="53" spans="1:72" hidden="1" x14ac:dyDescent="0.25">
      <c r="A53" s="11">
        <f t="shared" si="6"/>
        <v>52</v>
      </c>
      <c r="B53" s="6" t="s">
        <v>284</v>
      </c>
      <c r="C53" s="4" t="s">
        <v>59</v>
      </c>
      <c r="D53" s="7" t="s">
        <v>285</v>
      </c>
      <c r="E53" s="4" t="s">
        <v>120</v>
      </c>
      <c r="F53" s="4"/>
      <c r="G53" s="7" t="s">
        <v>286</v>
      </c>
      <c r="H53" s="4" t="s">
        <v>287</v>
      </c>
      <c r="I53" s="7"/>
      <c r="J53" s="7"/>
      <c r="K53" s="7" t="s">
        <v>212</v>
      </c>
      <c r="L53" s="13"/>
      <c r="M53" s="4" t="s">
        <v>139</v>
      </c>
      <c r="N53" s="5"/>
      <c r="O53" s="7" t="s">
        <v>109</v>
      </c>
      <c r="P53" s="29"/>
      <c r="Q53" s="30">
        <v>0.4</v>
      </c>
      <c r="R53" s="1">
        <f t="shared" si="7"/>
        <v>24000</v>
      </c>
      <c r="S53" s="2">
        <v>48000</v>
      </c>
      <c r="T53" s="2">
        <f t="shared" si="8"/>
        <v>60000</v>
      </c>
      <c r="U53" s="13">
        <v>30000</v>
      </c>
      <c r="V53" s="13">
        <v>30000</v>
      </c>
      <c r="W53" s="13">
        <v>30000</v>
      </c>
      <c r="X53" s="13">
        <v>30000</v>
      </c>
      <c r="Y53" s="13">
        <v>30000</v>
      </c>
      <c r="Z53" s="13"/>
      <c r="AA53" s="13"/>
      <c r="AB53" s="13"/>
      <c r="AC53" s="13"/>
      <c r="AD53" s="13">
        <v>30000</v>
      </c>
      <c r="AE53" s="13"/>
      <c r="AF53" s="13">
        <v>30000</v>
      </c>
      <c r="AG53" s="13">
        <f t="shared" si="24"/>
        <v>30000</v>
      </c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4"/>
      <c r="AU53" s="4" t="s">
        <v>66</v>
      </c>
      <c r="AV53" s="4" t="s">
        <v>1218</v>
      </c>
      <c r="AW53" s="4" t="s">
        <v>222</v>
      </c>
      <c r="AX53" s="4" t="s">
        <v>216</v>
      </c>
      <c r="AY53" s="4" t="s">
        <v>217</v>
      </c>
      <c r="AZ53" s="4"/>
      <c r="BA53" s="4"/>
      <c r="BB53" s="4"/>
      <c r="BC53" s="4"/>
      <c r="BD53" s="23">
        <v>4</v>
      </c>
      <c r="BE53" s="4"/>
      <c r="BF53" s="4"/>
      <c r="BG53" s="4"/>
      <c r="BH53" s="4"/>
      <c r="BI53" s="4"/>
      <c r="BJ53" s="4"/>
      <c r="BK53" s="3"/>
      <c r="BL53" s="3"/>
      <c r="BM53" s="9">
        <f t="shared" si="25"/>
        <v>12000</v>
      </c>
      <c r="BN53" s="9">
        <f t="shared" si="10"/>
        <v>0</v>
      </c>
      <c r="BO53" s="9">
        <f t="shared" si="11"/>
        <v>0</v>
      </c>
      <c r="BP53" s="9">
        <f t="shared" si="12"/>
        <v>0</v>
      </c>
      <c r="BQ53" s="9">
        <f t="shared" si="13"/>
        <v>0</v>
      </c>
      <c r="BR53" s="9">
        <f t="shared" si="14"/>
        <v>12000</v>
      </c>
      <c r="BS53" s="9">
        <f t="shared" si="15"/>
        <v>0</v>
      </c>
      <c r="BT53" s="9">
        <f t="shared" si="16"/>
        <v>12000</v>
      </c>
    </row>
    <row r="54" spans="1:72" hidden="1" x14ac:dyDescent="0.25">
      <c r="A54" s="11">
        <f t="shared" si="6"/>
        <v>53</v>
      </c>
      <c r="B54" s="6" t="s">
        <v>288</v>
      </c>
      <c r="C54" s="4" t="s">
        <v>59</v>
      </c>
      <c r="D54" s="6" t="s">
        <v>285</v>
      </c>
      <c r="E54" s="6" t="s">
        <v>289</v>
      </c>
      <c r="F54" s="6"/>
      <c r="G54" s="7" t="s">
        <v>144</v>
      </c>
      <c r="H54" s="4" t="s">
        <v>1809</v>
      </c>
      <c r="I54" s="7"/>
      <c r="J54" s="7"/>
      <c r="K54" s="6" t="s">
        <v>290</v>
      </c>
      <c r="L54" s="6"/>
      <c r="M54" s="6" t="s">
        <v>291</v>
      </c>
      <c r="N54" s="6"/>
      <c r="O54" s="6" t="s">
        <v>292</v>
      </c>
      <c r="P54" s="6"/>
      <c r="Q54" s="30">
        <v>0.28000000000000003</v>
      </c>
      <c r="R54" s="1">
        <f t="shared" si="7"/>
        <v>140000</v>
      </c>
      <c r="S54" s="2">
        <v>224000.00000000003</v>
      </c>
      <c r="T54" s="2">
        <f t="shared" si="8"/>
        <v>500000</v>
      </c>
      <c r="U54" s="13">
        <v>100000</v>
      </c>
      <c r="V54" s="13">
        <v>100000</v>
      </c>
      <c r="W54" s="13">
        <v>100000</v>
      </c>
      <c r="X54" s="13">
        <v>100000</v>
      </c>
      <c r="Y54" s="13">
        <v>100000</v>
      </c>
      <c r="Z54" s="13">
        <v>100000</v>
      </c>
      <c r="AA54" s="13">
        <v>100000</v>
      </c>
      <c r="AB54" s="13">
        <v>100000</v>
      </c>
      <c r="AC54" s="13">
        <v>100000</v>
      </c>
      <c r="AD54" s="13">
        <v>100000</v>
      </c>
      <c r="AE54" s="13">
        <v>100000</v>
      </c>
      <c r="AF54" s="13">
        <v>100000</v>
      </c>
      <c r="AG54" s="13">
        <f t="shared" si="24"/>
        <v>100000</v>
      </c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4" t="s">
        <v>66</v>
      </c>
      <c r="AV54" s="4" t="s">
        <v>1218</v>
      </c>
      <c r="AW54" s="6" t="s">
        <v>215</v>
      </c>
      <c r="AX54" s="6" t="s">
        <v>293</v>
      </c>
      <c r="AY54" s="6" t="s">
        <v>294</v>
      </c>
      <c r="AZ54" s="6"/>
      <c r="BA54" s="6"/>
      <c r="BB54" s="6"/>
      <c r="BC54" s="6"/>
      <c r="BD54" s="6">
        <v>4</v>
      </c>
      <c r="BE54" s="6"/>
      <c r="BF54" s="6"/>
      <c r="BG54" s="6"/>
      <c r="BH54" s="6"/>
      <c r="BI54" s="6"/>
      <c r="BJ54" s="6"/>
      <c r="BK54" s="6"/>
      <c r="BL54" s="6"/>
      <c r="BM54" s="9">
        <f t="shared" si="25"/>
        <v>28000.000000000004</v>
      </c>
      <c r="BN54" s="9">
        <f t="shared" si="10"/>
        <v>28000.000000000004</v>
      </c>
      <c r="BO54" s="9">
        <f t="shared" si="11"/>
        <v>28000.000000000004</v>
      </c>
      <c r="BP54" s="9">
        <f t="shared" si="12"/>
        <v>28000.000000000004</v>
      </c>
      <c r="BQ54" s="9">
        <f t="shared" si="13"/>
        <v>28000.000000000004</v>
      </c>
      <c r="BR54" s="9">
        <f t="shared" si="14"/>
        <v>28000.000000000004</v>
      </c>
      <c r="BS54" s="9">
        <f t="shared" si="15"/>
        <v>28000.000000000004</v>
      </c>
      <c r="BT54" s="9">
        <f t="shared" si="16"/>
        <v>28000.000000000004</v>
      </c>
    </row>
    <row r="55" spans="1:72" hidden="1" x14ac:dyDescent="0.25">
      <c r="A55" s="11">
        <f t="shared" si="6"/>
        <v>54</v>
      </c>
      <c r="B55" s="6" t="s">
        <v>295</v>
      </c>
      <c r="C55" s="4" t="s">
        <v>59</v>
      </c>
      <c r="D55" s="6" t="s">
        <v>285</v>
      </c>
      <c r="E55" s="6" t="s">
        <v>289</v>
      </c>
      <c r="F55" s="6"/>
      <c r="G55" s="6" t="s">
        <v>177</v>
      </c>
      <c r="H55" s="4" t="s">
        <v>178</v>
      </c>
      <c r="I55" s="6"/>
      <c r="J55" s="6"/>
      <c r="K55" s="6" t="s">
        <v>296</v>
      </c>
      <c r="L55" s="6"/>
      <c r="M55" s="6" t="s">
        <v>297</v>
      </c>
      <c r="N55" s="6"/>
      <c r="O55" s="6"/>
      <c r="P55" s="6"/>
      <c r="Q55" s="30">
        <v>0.18</v>
      </c>
      <c r="R55" s="1">
        <f t="shared" si="7"/>
        <v>27000</v>
      </c>
      <c r="S55" s="2">
        <v>37800</v>
      </c>
      <c r="T55" s="2">
        <f t="shared" si="8"/>
        <v>150000</v>
      </c>
      <c r="U55" s="13">
        <v>30000</v>
      </c>
      <c r="V55" s="13">
        <v>30000</v>
      </c>
      <c r="W55" s="13">
        <v>30000</v>
      </c>
      <c r="X55" s="13">
        <v>30000</v>
      </c>
      <c r="Y55" s="13"/>
      <c r="Z55" s="13">
        <v>30000</v>
      </c>
      <c r="AA55" s="13">
        <v>30000</v>
      </c>
      <c r="AB55" s="13">
        <v>30000</v>
      </c>
      <c r="AC55" s="13">
        <v>30000</v>
      </c>
      <c r="AD55" s="13">
        <v>30000</v>
      </c>
      <c r="AE55" s="13">
        <v>30000</v>
      </c>
      <c r="AF55" s="13">
        <v>30000</v>
      </c>
      <c r="AG55" s="13">
        <f t="shared" si="24"/>
        <v>30000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4" t="s">
        <v>66</v>
      </c>
      <c r="AV55" s="4" t="s">
        <v>1218</v>
      </c>
      <c r="AW55" s="6" t="s">
        <v>222</v>
      </c>
      <c r="AX55" s="6" t="s">
        <v>238</v>
      </c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9">
        <f t="shared" si="25"/>
        <v>0</v>
      </c>
      <c r="BN55" s="9">
        <f t="shared" si="10"/>
        <v>5400</v>
      </c>
      <c r="BO55" s="9">
        <f t="shared" si="11"/>
        <v>5400</v>
      </c>
      <c r="BP55" s="9">
        <f t="shared" si="12"/>
        <v>5400</v>
      </c>
      <c r="BQ55" s="9">
        <f t="shared" si="13"/>
        <v>5400</v>
      </c>
      <c r="BR55" s="9">
        <f t="shared" si="14"/>
        <v>5400</v>
      </c>
      <c r="BS55" s="9">
        <f t="shared" si="15"/>
        <v>5400</v>
      </c>
      <c r="BT55" s="9">
        <f t="shared" si="16"/>
        <v>5400</v>
      </c>
    </row>
    <row r="56" spans="1:72" hidden="1" x14ac:dyDescent="0.25">
      <c r="A56" s="11">
        <f t="shared" si="6"/>
        <v>55</v>
      </c>
      <c r="B56" s="6" t="s">
        <v>305</v>
      </c>
      <c r="C56" s="6" t="s">
        <v>186</v>
      </c>
      <c r="D56" s="6" t="s">
        <v>306</v>
      </c>
      <c r="E56" s="6" t="s">
        <v>289</v>
      </c>
      <c r="F56" s="6"/>
      <c r="G56" s="6" t="s">
        <v>300</v>
      </c>
      <c r="H56" s="4" t="s">
        <v>437</v>
      </c>
      <c r="I56" s="6"/>
      <c r="J56" s="6"/>
      <c r="K56" s="6"/>
      <c r="L56" s="6"/>
      <c r="M56" s="6"/>
      <c r="N56" s="6"/>
      <c r="O56" s="6"/>
      <c r="P56" s="6"/>
      <c r="Q56" s="59">
        <v>2.82</v>
      </c>
      <c r="R56" s="1">
        <f t="shared" si="7"/>
        <v>0</v>
      </c>
      <c r="S56" s="2"/>
      <c r="T56" s="2">
        <f t="shared" si="8"/>
        <v>0</v>
      </c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>
        <f>AF56</f>
        <v>0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4" t="s">
        <v>66</v>
      </c>
      <c r="AV56" s="4" t="s">
        <v>1217</v>
      </c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9">
        <f t="shared" si="25"/>
        <v>0</v>
      </c>
      <c r="BN56" s="9">
        <f t="shared" si="10"/>
        <v>0</v>
      </c>
      <c r="BO56" s="9">
        <f t="shared" si="11"/>
        <v>0</v>
      </c>
      <c r="BP56" s="9">
        <f t="shared" si="12"/>
        <v>0</v>
      </c>
      <c r="BQ56" s="9">
        <f t="shared" si="13"/>
        <v>0</v>
      </c>
      <c r="BR56" s="9">
        <f t="shared" si="14"/>
        <v>0</v>
      </c>
      <c r="BS56" s="9">
        <f t="shared" si="15"/>
        <v>0</v>
      </c>
      <c r="BT56" s="9">
        <f t="shared" si="16"/>
        <v>0</v>
      </c>
    </row>
    <row r="57" spans="1:72" hidden="1" x14ac:dyDescent="0.25">
      <c r="A57" s="11">
        <f t="shared" si="6"/>
        <v>56</v>
      </c>
      <c r="B57" s="6" t="s">
        <v>307</v>
      </c>
      <c r="C57" s="4" t="s">
        <v>308</v>
      </c>
      <c r="D57" s="6" t="s">
        <v>307</v>
      </c>
      <c r="E57" s="6" t="s">
        <v>61</v>
      </c>
      <c r="F57" s="6"/>
      <c r="G57" s="6" t="s">
        <v>63</v>
      </c>
      <c r="H57" s="4" t="s">
        <v>64</v>
      </c>
      <c r="I57" s="6"/>
      <c r="J57" s="6"/>
      <c r="K57" s="6" t="s">
        <v>309</v>
      </c>
      <c r="L57" s="6">
        <v>2200000</v>
      </c>
      <c r="M57" s="6" t="s">
        <v>310</v>
      </c>
      <c r="N57" s="6"/>
      <c r="O57" s="6"/>
      <c r="P57" s="6"/>
      <c r="Q57" s="30">
        <v>1.76</v>
      </c>
      <c r="R57" s="1">
        <f t="shared" si="7"/>
        <v>739200</v>
      </c>
      <c r="S57" s="2">
        <v>1848000</v>
      </c>
      <c r="T57" s="2">
        <f t="shared" si="8"/>
        <v>420000</v>
      </c>
      <c r="U57" s="13">
        <v>200000</v>
      </c>
      <c r="V57" s="13"/>
      <c r="W57" s="13">
        <v>180000</v>
      </c>
      <c r="X57" s="13">
        <v>120000</v>
      </c>
      <c r="Y57" s="13">
        <v>120000</v>
      </c>
      <c r="Z57" s="13">
        <v>120000</v>
      </c>
      <c r="AA57" s="13"/>
      <c r="AB57" s="13">
        <v>120000</v>
      </c>
      <c r="AC57" s="13"/>
      <c r="AD57" s="13">
        <v>150000</v>
      </c>
      <c r="AE57" s="13"/>
      <c r="AF57" s="13">
        <v>150000</v>
      </c>
      <c r="AG57" s="13">
        <f>AF57</f>
        <v>150000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4" t="s">
        <v>66</v>
      </c>
      <c r="AV57" s="4" t="s">
        <v>826</v>
      </c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9">
        <f t="shared" si="25"/>
        <v>211200</v>
      </c>
      <c r="BN57" s="9">
        <f t="shared" si="10"/>
        <v>211200</v>
      </c>
      <c r="BO57" s="9">
        <f t="shared" si="11"/>
        <v>0</v>
      </c>
      <c r="BP57" s="9">
        <f t="shared" si="12"/>
        <v>211200</v>
      </c>
      <c r="BQ57" s="9">
        <f t="shared" si="13"/>
        <v>0</v>
      </c>
      <c r="BR57" s="9">
        <f t="shared" si="14"/>
        <v>264000</v>
      </c>
      <c r="BS57" s="9">
        <f t="shared" si="15"/>
        <v>0</v>
      </c>
      <c r="BT57" s="9">
        <f t="shared" si="16"/>
        <v>264000</v>
      </c>
    </row>
    <row r="58" spans="1:72" hidden="1" x14ac:dyDescent="0.25">
      <c r="A58" s="11">
        <f t="shared" si="6"/>
        <v>57</v>
      </c>
      <c r="B58" s="6" t="s">
        <v>307</v>
      </c>
      <c r="C58" s="4" t="s">
        <v>308</v>
      </c>
      <c r="D58" s="6" t="s">
        <v>307</v>
      </c>
      <c r="E58" s="6" t="s">
        <v>61</v>
      </c>
      <c r="F58" s="6"/>
      <c r="G58" s="4" t="s">
        <v>311</v>
      </c>
      <c r="H58" s="4" t="s">
        <v>312</v>
      </c>
      <c r="I58" s="4"/>
      <c r="J58" s="4"/>
      <c r="K58" s="6" t="s">
        <v>309</v>
      </c>
      <c r="L58" s="6">
        <v>2200000</v>
      </c>
      <c r="M58" s="6"/>
      <c r="N58" s="6"/>
      <c r="O58" s="6"/>
      <c r="P58" s="6"/>
      <c r="Q58" s="30">
        <v>1.62</v>
      </c>
      <c r="R58" s="1">
        <f t="shared" si="7"/>
        <v>243000.00000000003</v>
      </c>
      <c r="S58" s="2">
        <v>405000</v>
      </c>
      <c r="T58" s="2">
        <f t="shared" si="8"/>
        <v>150000</v>
      </c>
      <c r="U58" s="13"/>
      <c r="V58" s="13">
        <v>50000</v>
      </c>
      <c r="W58" s="13"/>
      <c r="X58" s="13">
        <v>50000</v>
      </c>
      <c r="Y58" s="13">
        <v>50000</v>
      </c>
      <c r="Z58" s="13"/>
      <c r="AA58" s="13">
        <v>50000</v>
      </c>
      <c r="AB58" s="13">
        <v>50000</v>
      </c>
      <c r="AC58" s="13"/>
      <c r="AD58" s="13">
        <v>50000</v>
      </c>
      <c r="AE58" s="13">
        <v>50000</v>
      </c>
      <c r="AF58" s="13"/>
      <c r="AG58" s="13">
        <f t="shared" ref="AG58:AG60" si="26">AF58</f>
        <v>0</v>
      </c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4" t="s">
        <v>66</v>
      </c>
      <c r="AV58" s="4" t="s">
        <v>826</v>
      </c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9">
        <f t="shared" si="25"/>
        <v>81000</v>
      </c>
      <c r="BN58" s="9">
        <f t="shared" si="10"/>
        <v>0</v>
      </c>
      <c r="BO58" s="9">
        <f t="shared" si="11"/>
        <v>81000</v>
      </c>
      <c r="BP58" s="9">
        <f t="shared" si="12"/>
        <v>81000</v>
      </c>
      <c r="BQ58" s="9">
        <f t="shared" si="13"/>
        <v>0</v>
      </c>
      <c r="BR58" s="9">
        <f t="shared" si="14"/>
        <v>81000</v>
      </c>
      <c r="BS58" s="9">
        <f t="shared" si="15"/>
        <v>81000</v>
      </c>
      <c r="BT58" s="9">
        <f t="shared" si="16"/>
        <v>0</v>
      </c>
    </row>
    <row r="59" spans="1:72" hidden="1" x14ac:dyDescent="0.25">
      <c r="A59" s="11">
        <f t="shared" si="6"/>
        <v>58</v>
      </c>
      <c r="B59" s="6" t="s">
        <v>313</v>
      </c>
      <c r="C59" s="6" t="s">
        <v>59</v>
      </c>
      <c r="D59" s="6" t="s">
        <v>313</v>
      </c>
      <c r="E59" s="6" t="s">
        <v>61</v>
      </c>
      <c r="F59" s="6"/>
      <c r="G59" s="6" t="s">
        <v>314</v>
      </c>
      <c r="H59" s="4" t="s">
        <v>315</v>
      </c>
      <c r="I59" s="6"/>
      <c r="J59" s="6"/>
      <c r="K59" s="6" t="s">
        <v>316</v>
      </c>
      <c r="L59" s="6">
        <v>500000</v>
      </c>
      <c r="M59" s="6" t="s">
        <v>297</v>
      </c>
      <c r="N59" s="6"/>
      <c r="O59" s="6"/>
      <c r="P59" s="6"/>
      <c r="Q59" s="30">
        <v>3.36</v>
      </c>
      <c r="R59" s="1">
        <f t="shared" si="7"/>
        <v>0</v>
      </c>
      <c r="S59" s="2">
        <v>50400</v>
      </c>
      <c r="T59" s="2">
        <f t="shared" si="8"/>
        <v>0</v>
      </c>
      <c r="U59" s="13"/>
      <c r="V59" s="13"/>
      <c r="W59" s="13">
        <v>3000</v>
      </c>
      <c r="X59" s="13"/>
      <c r="Y59" s="13"/>
      <c r="Z59" s="13">
        <v>3000</v>
      </c>
      <c r="AA59" s="13"/>
      <c r="AB59" s="13"/>
      <c r="AC59" s="13"/>
      <c r="AD59" s="13"/>
      <c r="AE59" s="13"/>
      <c r="AF59" s="13"/>
      <c r="AG59" s="13">
        <f t="shared" si="26"/>
        <v>0</v>
      </c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4" t="s">
        <v>66</v>
      </c>
      <c r="AV59" s="4" t="s">
        <v>1220</v>
      </c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9">
        <f t="shared" si="25"/>
        <v>0</v>
      </c>
      <c r="BN59" s="9">
        <f t="shared" si="10"/>
        <v>10080</v>
      </c>
      <c r="BO59" s="9">
        <f t="shared" si="11"/>
        <v>0</v>
      </c>
      <c r="BP59" s="9">
        <f t="shared" si="12"/>
        <v>0</v>
      </c>
      <c r="BQ59" s="9">
        <f t="shared" si="13"/>
        <v>0</v>
      </c>
      <c r="BR59" s="9">
        <f t="shared" si="14"/>
        <v>0</v>
      </c>
      <c r="BS59" s="9">
        <f t="shared" si="15"/>
        <v>0</v>
      </c>
      <c r="BT59" s="9">
        <f t="shared" si="16"/>
        <v>0</v>
      </c>
    </row>
    <row r="60" spans="1:72" hidden="1" x14ac:dyDescent="0.25">
      <c r="A60" s="11">
        <f t="shared" si="6"/>
        <v>59</v>
      </c>
      <c r="B60" s="6" t="s">
        <v>313</v>
      </c>
      <c r="C60" s="6" t="s">
        <v>59</v>
      </c>
      <c r="D60" s="6" t="s">
        <v>313</v>
      </c>
      <c r="E60" s="6" t="s">
        <v>61</v>
      </c>
      <c r="F60" s="6"/>
      <c r="G60" s="6" t="s">
        <v>317</v>
      </c>
      <c r="H60" s="4" t="s">
        <v>318</v>
      </c>
      <c r="I60" s="6"/>
      <c r="J60" s="6"/>
      <c r="K60" s="6" t="s">
        <v>319</v>
      </c>
      <c r="L60" s="6">
        <v>500000</v>
      </c>
      <c r="M60" s="6" t="s">
        <v>320</v>
      </c>
      <c r="N60" s="6"/>
      <c r="O60" s="6"/>
      <c r="P60" s="6"/>
      <c r="Q60" s="30">
        <v>4.42</v>
      </c>
      <c r="R60" s="1">
        <f t="shared" si="7"/>
        <v>0</v>
      </c>
      <c r="S60" s="2">
        <v>44200</v>
      </c>
      <c r="T60" s="2">
        <f t="shared" si="8"/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/>
      <c r="AD60" s="13"/>
      <c r="AE60" s="13"/>
      <c r="AF60" s="13"/>
      <c r="AG60" s="13">
        <f t="shared" si="26"/>
        <v>0</v>
      </c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4" t="s">
        <v>66</v>
      </c>
      <c r="AV60" s="4" t="s">
        <v>1220</v>
      </c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9">
        <f t="shared" si="25"/>
        <v>0</v>
      </c>
      <c r="BN60" s="9">
        <f t="shared" si="10"/>
        <v>0</v>
      </c>
      <c r="BO60" s="9">
        <f t="shared" si="11"/>
        <v>0</v>
      </c>
      <c r="BP60" s="9">
        <f t="shared" si="12"/>
        <v>0</v>
      </c>
      <c r="BQ60" s="9">
        <f t="shared" si="13"/>
        <v>0</v>
      </c>
      <c r="BR60" s="9">
        <f t="shared" si="14"/>
        <v>0</v>
      </c>
      <c r="BS60" s="9">
        <f t="shared" si="15"/>
        <v>0</v>
      </c>
      <c r="BT60" s="9">
        <f t="shared" si="16"/>
        <v>0</v>
      </c>
    </row>
    <row r="61" spans="1:72" hidden="1" x14ac:dyDescent="0.25">
      <c r="A61" s="11">
        <f t="shared" si="6"/>
        <v>60</v>
      </c>
      <c r="B61" s="6" t="s">
        <v>321</v>
      </c>
      <c r="C61" s="6" t="s">
        <v>186</v>
      </c>
      <c r="D61" s="6" t="s">
        <v>322</v>
      </c>
      <c r="E61" s="6" t="s">
        <v>61</v>
      </c>
      <c r="F61" s="6" t="s">
        <v>323</v>
      </c>
      <c r="G61" s="6" t="s">
        <v>324</v>
      </c>
      <c r="H61" s="4" t="s">
        <v>1839</v>
      </c>
      <c r="I61" s="6"/>
      <c r="J61" s="6"/>
      <c r="K61" s="6" t="s">
        <v>319</v>
      </c>
      <c r="L61" s="6">
        <v>1000000</v>
      </c>
      <c r="M61" s="6" t="s">
        <v>310</v>
      </c>
      <c r="N61" s="6"/>
      <c r="O61" s="6"/>
      <c r="P61" s="6"/>
      <c r="Q61" s="30">
        <v>0.7</v>
      </c>
      <c r="R61" s="1">
        <f t="shared" ref="R61" si="27">Q61*T61</f>
        <v>140000</v>
      </c>
      <c r="S61" s="2">
        <v>56000</v>
      </c>
      <c r="T61" s="2">
        <f t="shared" ref="T61" si="28">SUM(AB61:AF61)</f>
        <v>200000</v>
      </c>
      <c r="U61" s="13">
        <v>40000</v>
      </c>
      <c r="V61" s="13">
        <v>40000</v>
      </c>
      <c r="W61" s="13">
        <v>40000</v>
      </c>
      <c r="X61" s="13">
        <v>40000</v>
      </c>
      <c r="Y61" s="13">
        <v>40000</v>
      </c>
      <c r="Z61" s="13">
        <v>40000</v>
      </c>
      <c r="AA61" s="13">
        <v>40000</v>
      </c>
      <c r="AB61" s="13">
        <v>40000</v>
      </c>
      <c r="AC61" s="13">
        <v>40000</v>
      </c>
      <c r="AD61" s="13">
        <v>40000</v>
      </c>
      <c r="AE61" s="13">
        <v>40000</v>
      </c>
      <c r="AF61" s="13">
        <v>40000</v>
      </c>
      <c r="AG61" s="13">
        <v>40000</v>
      </c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4" t="s">
        <v>66</v>
      </c>
      <c r="AV61" s="4" t="s">
        <v>1220</v>
      </c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9">
        <f t="shared" ref="BM61" si="29">$Q61*Y61</f>
        <v>28000</v>
      </c>
      <c r="BN61" s="9">
        <f t="shared" ref="BN61" si="30">$Q61*Z61</f>
        <v>28000</v>
      </c>
      <c r="BO61" s="9">
        <f t="shared" ref="BO61" si="31">$Q61*AA61</f>
        <v>28000</v>
      </c>
      <c r="BP61" s="9">
        <f t="shared" si="12"/>
        <v>28000</v>
      </c>
      <c r="BQ61" s="9">
        <f t="shared" si="13"/>
        <v>28000</v>
      </c>
      <c r="BR61" s="9">
        <f t="shared" si="14"/>
        <v>28000</v>
      </c>
      <c r="BS61" s="9">
        <f t="shared" si="15"/>
        <v>28000</v>
      </c>
      <c r="BT61" s="9">
        <f t="shared" si="16"/>
        <v>28000</v>
      </c>
    </row>
    <row r="62" spans="1:72" hidden="1" x14ac:dyDescent="0.25">
      <c r="A62" s="11">
        <f t="shared" si="6"/>
        <v>61</v>
      </c>
      <c r="B62" s="6" t="s">
        <v>321</v>
      </c>
      <c r="C62" s="6" t="s">
        <v>186</v>
      </c>
      <c r="D62" s="6" t="s">
        <v>322</v>
      </c>
      <c r="E62" s="6" t="s">
        <v>61</v>
      </c>
      <c r="F62" s="6" t="s">
        <v>323</v>
      </c>
      <c r="G62" s="6" t="s">
        <v>324</v>
      </c>
      <c r="H62" s="4" t="s">
        <v>325</v>
      </c>
      <c r="I62" s="6"/>
      <c r="J62" s="6"/>
      <c r="K62" s="6" t="s">
        <v>319</v>
      </c>
      <c r="L62" s="6">
        <v>1000000</v>
      </c>
      <c r="M62" s="6" t="s">
        <v>310</v>
      </c>
      <c r="N62" s="6"/>
      <c r="O62" s="6"/>
      <c r="P62" s="6"/>
      <c r="Q62" s="30">
        <v>0.7</v>
      </c>
      <c r="R62" s="1">
        <f t="shared" si="7"/>
        <v>560000</v>
      </c>
      <c r="S62" s="2">
        <v>56000</v>
      </c>
      <c r="T62" s="2">
        <f t="shared" si="8"/>
        <v>800000</v>
      </c>
      <c r="U62" s="13">
        <v>160000</v>
      </c>
      <c r="V62" s="13">
        <v>160000</v>
      </c>
      <c r="W62" s="13">
        <v>160000</v>
      </c>
      <c r="X62" s="13">
        <v>160000</v>
      </c>
      <c r="Y62" s="13">
        <v>160000</v>
      </c>
      <c r="Z62" s="13">
        <v>160000</v>
      </c>
      <c r="AA62" s="13">
        <v>160000</v>
      </c>
      <c r="AB62" s="13">
        <v>160000</v>
      </c>
      <c r="AC62" s="13">
        <v>160000</v>
      </c>
      <c r="AD62" s="13">
        <v>160000</v>
      </c>
      <c r="AE62" s="13">
        <v>160000</v>
      </c>
      <c r="AF62" s="13">
        <v>160000</v>
      </c>
      <c r="AG62" s="13">
        <v>160000</v>
      </c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4" t="s">
        <v>66</v>
      </c>
      <c r="AV62" s="4" t="s">
        <v>1220</v>
      </c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9">
        <f t="shared" si="25"/>
        <v>112000</v>
      </c>
      <c r="BN62" s="9">
        <f t="shared" si="10"/>
        <v>112000</v>
      </c>
      <c r="BO62" s="9">
        <f t="shared" si="11"/>
        <v>112000</v>
      </c>
      <c r="BP62" s="9">
        <f t="shared" si="12"/>
        <v>112000</v>
      </c>
      <c r="BQ62" s="9">
        <f t="shared" si="13"/>
        <v>112000</v>
      </c>
      <c r="BR62" s="9">
        <f t="shared" si="14"/>
        <v>112000</v>
      </c>
      <c r="BS62" s="9">
        <f t="shared" si="15"/>
        <v>112000</v>
      </c>
      <c r="BT62" s="9">
        <f t="shared" si="16"/>
        <v>112000</v>
      </c>
    </row>
    <row r="63" spans="1:72" hidden="1" x14ac:dyDescent="0.25">
      <c r="A63" s="11">
        <f t="shared" si="6"/>
        <v>62</v>
      </c>
      <c r="B63" s="6" t="s">
        <v>321</v>
      </c>
      <c r="C63" s="6" t="s">
        <v>186</v>
      </c>
      <c r="D63" s="6" t="s">
        <v>322</v>
      </c>
      <c r="E63" s="6" t="s">
        <v>61</v>
      </c>
      <c r="F63" s="6" t="s">
        <v>323</v>
      </c>
      <c r="G63" s="6" t="s">
        <v>404</v>
      </c>
      <c r="H63" s="4" t="s">
        <v>405</v>
      </c>
      <c r="I63" s="6"/>
      <c r="J63" s="6"/>
      <c r="K63" s="6" t="s">
        <v>316</v>
      </c>
      <c r="L63" s="6">
        <v>1000000</v>
      </c>
      <c r="M63" s="6" t="s">
        <v>310</v>
      </c>
      <c r="N63" s="6"/>
      <c r="O63" s="6"/>
      <c r="P63" s="6"/>
      <c r="Q63" s="30">
        <v>1.27</v>
      </c>
      <c r="R63" s="1">
        <f t="shared" si="7"/>
        <v>63500</v>
      </c>
      <c r="S63" s="2">
        <v>101600</v>
      </c>
      <c r="T63" s="2">
        <f t="shared" si="8"/>
        <v>50000</v>
      </c>
      <c r="U63" s="13">
        <v>10000</v>
      </c>
      <c r="V63" s="13">
        <v>10000</v>
      </c>
      <c r="W63" s="13">
        <v>10000</v>
      </c>
      <c r="X63" s="13">
        <v>10000</v>
      </c>
      <c r="Y63" s="13">
        <v>10000</v>
      </c>
      <c r="Z63" s="13">
        <v>10000</v>
      </c>
      <c r="AA63" s="13">
        <v>10000</v>
      </c>
      <c r="AB63" s="13">
        <v>10000</v>
      </c>
      <c r="AC63" s="13">
        <v>10000</v>
      </c>
      <c r="AD63" s="13">
        <v>10000</v>
      </c>
      <c r="AE63" s="13">
        <v>10000</v>
      </c>
      <c r="AF63" s="13">
        <v>10000</v>
      </c>
      <c r="AG63" s="13">
        <f>AF63</f>
        <v>10000</v>
      </c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4" t="s">
        <v>66</v>
      </c>
      <c r="AV63" s="4" t="s">
        <v>1220</v>
      </c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9">
        <f t="shared" si="25"/>
        <v>12700</v>
      </c>
      <c r="BN63" s="9">
        <f t="shared" si="10"/>
        <v>12700</v>
      </c>
      <c r="BO63" s="9">
        <f t="shared" si="11"/>
        <v>12700</v>
      </c>
      <c r="BP63" s="9">
        <f t="shared" si="12"/>
        <v>12700</v>
      </c>
      <c r="BQ63" s="9">
        <f t="shared" si="13"/>
        <v>12700</v>
      </c>
      <c r="BR63" s="9">
        <f t="shared" si="14"/>
        <v>12700</v>
      </c>
      <c r="BS63" s="9">
        <f t="shared" si="15"/>
        <v>12700</v>
      </c>
      <c r="BT63" s="9">
        <f t="shared" si="16"/>
        <v>12700</v>
      </c>
    </row>
    <row r="64" spans="1:72" hidden="1" x14ac:dyDescent="0.25">
      <c r="A64" s="11">
        <f t="shared" si="6"/>
        <v>63</v>
      </c>
      <c r="B64" s="6" t="s">
        <v>321</v>
      </c>
      <c r="C64" s="6" t="s">
        <v>186</v>
      </c>
      <c r="D64" s="6" t="s">
        <v>322</v>
      </c>
      <c r="E64" s="6" t="s">
        <v>61</v>
      </c>
      <c r="F64" s="6" t="s">
        <v>323</v>
      </c>
      <c r="G64" s="43" t="s">
        <v>328</v>
      </c>
      <c r="H64" s="4"/>
      <c r="I64" s="6"/>
      <c r="J64" s="6"/>
      <c r="K64" s="6" t="s">
        <v>319</v>
      </c>
      <c r="L64" s="6">
        <v>1000000</v>
      </c>
      <c r="M64" s="6" t="s">
        <v>297</v>
      </c>
      <c r="N64" s="6"/>
      <c r="O64" s="6"/>
      <c r="P64" s="6"/>
      <c r="Q64" s="30">
        <v>6.5</v>
      </c>
      <c r="R64" s="1">
        <f t="shared" si="7"/>
        <v>0</v>
      </c>
      <c r="S64" s="2">
        <v>162500</v>
      </c>
      <c r="T64" s="2">
        <f t="shared" si="8"/>
        <v>0</v>
      </c>
      <c r="U64" s="13"/>
      <c r="V64" s="13">
        <v>3000</v>
      </c>
      <c r="W64" s="13"/>
      <c r="X64" s="13"/>
      <c r="Y64" s="13"/>
      <c r="Z64" s="13"/>
      <c r="AA64" s="13">
        <v>3000</v>
      </c>
      <c r="AB64" s="13"/>
      <c r="AC64" s="13"/>
      <c r="AD64" s="13"/>
      <c r="AE64" s="13"/>
      <c r="AF64" s="13"/>
      <c r="AG64" s="13">
        <f>AF64</f>
        <v>0</v>
      </c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4" t="s">
        <v>66</v>
      </c>
      <c r="AV64" s="4" t="s">
        <v>1220</v>
      </c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9">
        <f t="shared" si="25"/>
        <v>0</v>
      </c>
      <c r="BN64" s="9">
        <f t="shared" si="10"/>
        <v>0</v>
      </c>
      <c r="BO64" s="9">
        <f t="shared" si="11"/>
        <v>19500</v>
      </c>
      <c r="BP64" s="9">
        <f t="shared" si="12"/>
        <v>0</v>
      </c>
      <c r="BQ64" s="9">
        <f t="shared" si="13"/>
        <v>0</v>
      </c>
      <c r="BR64" s="9">
        <f t="shared" si="14"/>
        <v>0</v>
      </c>
      <c r="BS64" s="9">
        <f t="shared" si="15"/>
        <v>0</v>
      </c>
      <c r="BT64" s="9">
        <f t="shared" si="16"/>
        <v>0</v>
      </c>
    </row>
    <row r="65" spans="1:72" hidden="1" x14ac:dyDescent="0.25">
      <c r="A65" s="11">
        <f t="shared" si="6"/>
        <v>64</v>
      </c>
      <c r="B65" s="6" t="s">
        <v>329</v>
      </c>
      <c r="C65" s="6" t="s">
        <v>128</v>
      </c>
      <c r="D65" s="6" t="s">
        <v>322</v>
      </c>
      <c r="E65" s="6" t="s">
        <v>61</v>
      </c>
      <c r="F65" s="6" t="s">
        <v>323</v>
      </c>
      <c r="G65" s="6" t="s">
        <v>330</v>
      </c>
      <c r="H65" s="4" t="s">
        <v>331</v>
      </c>
      <c r="I65" s="6"/>
      <c r="J65" s="6"/>
      <c r="K65" s="6" t="s">
        <v>319</v>
      </c>
      <c r="L65" s="6">
        <v>1000000</v>
      </c>
      <c r="M65" s="6"/>
      <c r="N65" s="6"/>
      <c r="O65" s="6"/>
      <c r="P65" s="6"/>
      <c r="Q65" s="30">
        <v>6.05</v>
      </c>
      <c r="R65" s="1">
        <f t="shared" si="7"/>
        <v>96800</v>
      </c>
      <c r="S65" s="2">
        <v>133100</v>
      </c>
      <c r="T65" s="2">
        <f t="shared" si="8"/>
        <v>16000</v>
      </c>
      <c r="U65" s="13">
        <v>2000</v>
      </c>
      <c r="V65" s="13">
        <v>2000</v>
      </c>
      <c r="W65" s="13">
        <v>2000</v>
      </c>
      <c r="X65" s="13">
        <v>2000</v>
      </c>
      <c r="Y65" s="13">
        <v>2000</v>
      </c>
      <c r="Z65" s="13">
        <v>2000</v>
      </c>
      <c r="AA65" s="13">
        <v>2000</v>
      </c>
      <c r="AB65" s="13">
        <v>2000</v>
      </c>
      <c r="AC65" s="13">
        <v>2000</v>
      </c>
      <c r="AD65" s="13">
        <v>2000</v>
      </c>
      <c r="AE65" s="13">
        <v>5000</v>
      </c>
      <c r="AF65" s="13">
        <v>5000</v>
      </c>
      <c r="AG65" s="13">
        <f t="shared" ref="AG65:AG66" si="32">AF65</f>
        <v>5000</v>
      </c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4" t="s">
        <v>66</v>
      </c>
      <c r="AV65" s="4" t="s">
        <v>1220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9">
        <f t="shared" si="25"/>
        <v>12100</v>
      </c>
      <c r="BN65" s="9">
        <f t="shared" si="10"/>
        <v>12100</v>
      </c>
      <c r="BO65" s="9">
        <f t="shared" si="11"/>
        <v>12100</v>
      </c>
      <c r="BP65" s="9">
        <f t="shared" si="12"/>
        <v>12100</v>
      </c>
      <c r="BQ65" s="9">
        <f t="shared" si="13"/>
        <v>12100</v>
      </c>
      <c r="BR65" s="9">
        <f t="shared" si="14"/>
        <v>12100</v>
      </c>
      <c r="BS65" s="9">
        <f t="shared" si="15"/>
        <v>30250</v>
      </c>
      <c r="BT65" s="9">
        <f t="shared" si="16"/>
        <v>30250</v>
      </c>
    </row>
    <row r="66" spans="1:72" hidden="1" x14ac:dyDescent="0.25">
      <c r="A66" s="11">
        <f t="shared" si="6"/>
        <v>65</v>
      </c>
      <c r="B66" s="6" t="s">
        <v>329</v>
      </c>
      <c r="C66" s="6" t="s">
        <v>128</v>
      </c>
      <c r="D66" s="6" t="s">
        <v>322</v>
      </c>
      <c r="E66" s="6" t="s">
        <v>61</v>
      </c>
      <c r="F66" s="6" t="s">
        <v>323</v>
      </c>
      <c r="G66" s="6" t="s">
        <v>332</v>
      </c>
      <c r="H66" s="4" t="s">
        <v>333</v>
      </c>
      <c r="I66" s="6"/>
      <c r="J66" s="6"/>
      <c r="K66" s="6" t="s">
        <v>316</v>
      </c>
      <c r="L66" s="6">
        <v>1000000</v>
      </c>
      <c r="M66" s="6" t="s">
        <v>310</v>
      </c>
      <c r="N66" s="6"/>
      <c r="O66" s="6"/>
      <c r="P66" s="6"/>
      <c r="Q66" s="30">
        <v>6.05</v>
      </c>
      <c r="R66" s="1">
        <f t="shared" si="7"/>
        <v>314600</v>
      </c>
      <c r="S66" s="2">
        <v>496100</v>
      </c>
      <c r="T66" s="2">
        <f t="shared" si="8"/>
        <v>52000</v>
      </c>
      <c r="U66" s="13">
        <v>8000</v>
      </c>
      <c r="V66" s="13">
        <v>8000</v>
      </c>
      <c r="W66" s="13">
        <v>8000</v>
      </c>
      <c r="X66" s="13">
        <v>10000</v>
      </c>
      <c r="Y66" s="13">
        <v>10000</v>
      </c>
      <c r="Z66" s="13">
        <v>10000</v>
      </c>
      <c r="AA66" s="13">
        <v>10000</v>
      </c>
      <c r="AB66" s="13">
        <v>10000</v>
      </c>
      <c r="AC66" s="13">
        <v>10000</v>
      </c>
      <c r="AD66" s="13">
        <v>10000</v>
      </c>
      <c r="AE66" s="13">
        <v>10000</v>
      </c>
      <c r="AF66" s="13">
        <v>12000</v>
      </c>
      <c r="AG66" s="13">
        <f t="shared" si="32"/>
        <v>12000</v>
      </c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4" t="s">
        <v>66</v>
      </c>
      <c r="AV66" s="4" t="s">
        <v>1220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9">
        <f t="shared" si="25"/>
        <v>60500</v>
      </c>
      <c r="BN66" s="9">
        <f t="shared" si="10"/>
        <v>60500</v>
      </c>
      <c r="BO66" s="9">
        <f t="shared" si="11"/>
        <v>60500</v>
      </c>
      <c r="BP66" s="9">
        <f t="shared" si="12"/>
        <v>60500</v>
      </c>
      <c r="BQ66" s="9">
        <f t="shared" si="13"/>
        <v>60500</v>
      </c>
      <c r="BR66" s="9">
        <f t="shared" si="14"/>
        <v>60500</v>
      </c>
      <c r="BS66" s="9">
        <f t="shared" si="15"/>
        <v>60500</v>
      </c>
      <c r="BT66" s="9">
        <f t="shared" si="16"/>
        <v>72600</v>
      </c>
    </row>
    <row r="67" spans="1:72" hidden="1" x14ac:dyDescent="0.25">
      <c r="A67" s="11">
        <f t="shared" ref="A67:A130" si="33">ROW()-1</f>
        <v>66</v>
      </c>
      <c r="B67" s="6" t="s">
        <v>334</v>
      </c>
      <c r="C67" s="6" t="s">
        <v>59</v>
      </c>
      <c r="D67" s="6" t="s">
        <v>129</v>
      </c>
      <c r="E67" s="6" t="s">
        <v>61</v>
      </c>
      <c r="F67" s="6" t="s">
        <v>335</v>
      </c>
      <c r="G67" s="6" t="s">
        <v>336</v>
      </c>
      <c r="H67" s="4" t="s">
        <v>337</v>
      </c>
      <c r="I67" s="6"/>
      <c r="J67" s="6"/>
      <c r="K67" s="6" t="s">
        <v>338</v>
      </c>
      <c r="L67" s="6">
        <v>500000</v>
      </c>
      <c r="M67" s="6" t="s">
        <v>339</v>
      </c>
      <c r="N67" s="6"/>
      <c r="O67" s="6"/>
      <c r="P67" s="6"/>
      <c r="Q67" s="30">
        <v>0.4</v>
      </c>
      <c r="R67" s="1">
        <f t="shared" ref="R67:R130" si="34">Q67*T67</f>
        <v>14400</v>
      </c>
      <c r="S67" s="2">
        <v>15600</v>
      </c>
      <c r="T67" s="2">
        <f t="shared" ref="T67:T130" si="35">SUM(AB67:AF67)</f>
        <v>36000</v>
      </c>
      <c r="U67" s="13">
        <v>0</v>
      </c>
      <c r="V67" s="13">
        <v>0</v>
      </c>
      <c r="W67" s="13">
        <v>0</v>
      </c>
      <c r="X67" s="13">
        <v>0</v>
      </c>
      <c r="Y67" s="13">
        <v>10000</v>
      </c>
      <c r="Z67" s="13">
        <v>0</v>
      </c>
      <c r="AA67" s="13">
        <v>3000</v>
      </c>
      <c r="AB67" s="13">
        <v>3000</v>
      </c>
      <c r="AC67" s="13">
        <v>5000</v>
      </c>
      <c r="AD67" s="13">
        <v>8000</v>
      </c>
      <c r="AE67" s="13">
        <v>10000</v>
      </c>
      <c r="AF67" s="13">
        <v>10000</v>
      </c>
      <c r="AG67" s="13">
        <f>AF67</f>
        <v>10000</v>
      </c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4" t="s">
        <v>66</v>
      </c>
      <c r="AV67" s="4" t="s">
        <v>1218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9">
        <f t="shared" si="25"/>
        <v>4000</v>
      </c>
      <c r="BN67" s="9">
        <f t="shared" ref="BN67:BN130" si="36">$Q67*Z67</f>
        <v>0</v>
      </c>
      <c r="BO67" s="9">
        <f t="shared" ref="BO67:BO130" si="37">$Q67*AA67</f>
        <v>1200</v>
      </c>
      <c r="BP67" s="9">
        <f t="shared" ref="BP67:BP130" si="38">$Q67*AB67</f>
        <v>1200</v>
      </c>
      <c r="BQ67" s="9">
        <f t="shared" ref="BQ67:BQ130" si="39">$Q67*AC67</f>
        <v>2000</v>
      </c>
      <c r="BR67" s="9">
        <f t="shared" ref="BR67:BR130" si="40">$Q67*AD67</f>
        <v>3200</v>
      </c>
      <c r="BS67" s="9">
        <f t="shared" ref="BS67:BS130" si="41">$Q67*AE67</f>
        <v>4000</v>
      </c>
      <c r="BT67" s="9">
        <f t="shared" ref="BT67:BT130" si="42">$Q67*AF67</f>
        <v>4000</v>
      </c>
    </row>
    <row r="68" spans="1:72" hidden="1" x14ac:dyDescent="0.25">
      <c r="A68" s="11">
        <f t="shared" si="33"/>
        <v>67</v>
      </c>
      <c r="B68" s="6" t="s">
        <v>334</v>
      </c>
      <c r="C68" s="6" t="s">
        <v>59</v>
      </c>
      <c r="D68" s="6" t="s">
        <v>129</v>
      </c>
      <c r="E68" s="6" t="s">
        <v>61</v>
      </c>
      <c r="F68" s="6" t="s">
        <v>335</v>
      </c>
      <c r="G68" s="6" t="s">
        <v>340</v>
      </c>
      <c r="H68" s="4" t="s">
        <v>341</v>
      </c>
      <c r="I68" s="6"/>
      <c r="J68" s="6"/>
      <c r="K68" s="6" t="s">
        <v>342</v>
      </c>
      <c r="L68" s="6">
        <v>500000</v>
      </c>
      <c r="M68" s="6" t="s">
        <v>310</v>
      </c>
      <c r="N68" s="6"/>
      <c r="O68" s="6"/>
      <c r="P68" s="6"/>
      <c r="Q68" s="30">
        <v>0.4</v>
      </c>
      <c r="R68" s="1">
        <f t="shared" si="34"/>
        <v>20000</v>
      </c>
      <c r="S68" s="2">
        <v>96000</v>
      </c>
      <c r="T68" s="2">
        <f t="shared" si="35"/>
        <v>50000</v>
      </c>
      <c r="U68" s="13">
        <v>15000</v>
      </c>
      <c r="V68" s="13">
        <v>15000</v>
      </c>
      <c r="W68" s="13">
        <v>15000</v>
      </c>
      <c r="X68" s="13">
        <v>30000</v>
      </c>
      <c r="Y68" s="13">
        <v>30000</v>
      </c>
      <c r="Z68" s="13">
        <v>6000</v>
      </c>
      <c r="AA68" s="13">
        <v>12000</v>
      </c>
      <c r="AB68" s="13">
        <v>30000</v>
      </c>
      <c r="AC68" s="13">
        <v>0</v>
      </c>
      <c r="AD68" s="13">
        <v>0</v>
      </c>
      <c r="AE68" s="13">
        <v>0</v>
      </c>
      <c r="AF68" s="13">
        <v>20000</v>
      </c>
      <c r="AG68" s="13">
        <f>AF68</f>
        <v>20000</v>
      </c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4" t="s">
        <v>66</v>
      </c>
      <c r="AV68" s="4" t="s">
        <v>1218</v>
      </c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9">
        <f t="shared" si="25"/>
        <v>12000</v>
      </c>
      <c r="BN68" s="9">
        <f t="shared" si="36"/>
        <v>2400</v>
      </c>
      <c r="BO68" s="9">
        <f t="shared" si="37"/>
        <v>4800</v>
      </c>
      <c r="BP68" s="9">
        <f t="shared" si="38"/>
        <v>12000</v>
      </c>
      <c r="BQ68" s="9">
        <f t="shared" si="39"/>
        <v>0</v>
      </c>
      <c r="BR68" s="9">
        <f t="shared" si="40"/>
        <v>0</v>
      </c>
      <c r="BS68" s="9">
        <f t="shared" si="41"/>
        <v>0</v>
      </c>
      <c r="BT68" s="9">
        <f t="shared" si="42"/>
        <v>8000</v>
      </c>
    </row>
    <row r="69" spans="1:72" hidden="1" x14ac:dyDescent="0.25">
      <c r="A69" s="11">
        <f t="shared" si="33"/>
        <v>68</v>
      </c>
      <c r="B69" s="6" t="s">
        <v>343</v>
      </c>
      <c r="C69" s="6" t="s">
        <v>128</v>
      </c>
      <c r="D69" s="6" t="s">
        <v>129</v>
      </c>
      <c r="E69" s="6" t="s">
        <v>61</v>
      </c>
      <c r="F69" s="6" t="s">
        <v>344</v>
      </c>
      <c r="G69" s="6" t="s">
        <v>345</v>
      </c>
      <c r="H69" s="4" t="s">
        <v>346</v>
      </c>
      <c r="I69" s="6"/>
      <c r="J69" s="6"/>
      <c r="K69" s="6" t="s">
        <v>347</v>
      </c>
      <c r="L69" s="6">
        <v>2000000</v>
      </c>
      <c r="M69" s="6" t="s">
        <v>297</v>
      </c>
      <c r="N69" s="6"/>
      <c r="O69" s="6"/>
      <c r="P69" s="6"/>
      <c r="Q69" s="30">
        <v>0.4</v>
      </c>
      <c r="R69" s="1">
        <f t="shared" si="34"/>
        <v>30000</v>
      </c>
      <c r="S69" s="2">
        <v>48000</v>
      </c>
      <c r="T69" s="2">
        <f t="shared" si="35"/>
        <v>75000</v>
      </c>
      <c r="U69" s="13">
        <v>0</v>
      </c>
      <c r="V69" s="13">
        <v>3000</v>
      </c>
      <c r="W69" s="13">
        <v>15000</v>
      </c>
      <c r="X69" s="13"/>
      <c r="Y69" s="13">
        <v>15000</v>
      </c>
      <c r="Z69" s="13">
        <v>15000</v>
      </c>
      <c r="AA69" s="13">
        <v>15000</v>
      </c>
      <c r="AB69" s="13">
        <v>15000</v>
      </c>
      <c r="AC69" s="13">
        <v>15000</v>
      </c>
      <c r="AD69" s="13">
        <v>15000</v>
      </c>
      <c r="AE69" s="13">
        <v>15000</v>
      </c>
      <c r="AF69" s="13">
        <v>15000</v>
      </c>
      <c r="AG69" s="13">
        <f>AF69</f>
        <v>15000</v>
      </c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4" t="s">
        <v>66</v>
      </c>
      <c r="AV69" s="4" t="s">
        <v>1218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9">
        <f t="shared" si="25"/>
        <v>6000</v>
      </c>
      <c r="BN69" s="9">
        <f t="shared" si="36"/>
        <v>6000</v>
      </c>
      <c r="BO69" s="9">
        <f t="shared" si="37"/>
        <v>6000</v>
      </c>
      <c r="BP69" s="9">
        <f t="shared" si="38"/>
        <v>6000</v>
      </c>
      <c r="BQ69" s="9">
        <f t="shared" si="39"/>
        <v>6000</v>
      </c>
      <c r="BR69" s="9">
        <f t="shared" si="40"/>
        <v>6000</v>
      </c>
      <c r="BS69" s="9">
        <f t="shared" si="41"/>
        <v>6000</v>
      </c>
      <c r="BT69" s="9">
        <f t="shared" si="42"/>
        <v>6000</v>
      </c>
    </row>
    <row r="70" spans="1:72" hidden="1" x14ac:dyDescent="0.25">
      <c r="A70" s="11">
        <f t="shared" si="33"/>
        <v>69</v>
      </c>
      <c r="B70" s="6" t="s">
        <v>343</v>
      </c>
      <c r="C70" s="6" t="s">
        <v>128</v>
      </c>
      <c r="D70" s="6" t="s">
        <v>129</v>
      </c>
      <c r="E70" s="6" t="s">
        <v>61</v>
      </c>
      <c r="F70" s="6" t="s">
        <v>344</v>
      </c>
      <c r="G70" s="6" t="s">
        <v>348</v>
      </c>
      <c r="H70" s="4" t="s">
        <v>349</v>
      </c>
      <c r="I70" s="6"/>
      <c r="J70" s="6"/>
      <c r="K70" s="6" t="s">
        <v>347</v>
      </c>
      <c r="L70" s="6">
        <v>2000000</v>
      </c>
      <c r="M70" s="6" t="s">
        <v>297</v>
      </c>
      <c r="N70" s="6"/>
      <c r="O70" s="6"/>
      <c r="P70" s="6"/>
      <c r="Q70" s="30">
        <v>0.4</v>
      </c>
      <c r="R70" s="1">
        <f t="shared" si="34"/>
        <v>13200</v>
      </c>
      <c r="S70" s="2">
        <v>22800</v>
      </c>
      <c r="T70" s="2">
        <f t="shared" si="35"/>
        <v>33000</v>
      </c>
      <c r="U70" s="13">
        <v>3000</v>
      </c>
      <c r="V70" s="13">
        <v>0</v>
      </c>
      <c r="W70" s="13">
        <v>15000</v>
      </c>
      <c r="X70" s="13"/>
      <c r="Y70" s="13">
        <v>12000</v>
      </c>
      <c r="Z70" s="13"/>
      <c r="AA70" s="13">
        <v>12000</v>
      </c>
      <c r="AB70" s="13"/>
      <c r="AC70" s="13">
        <v>12000</v>
      </c>
      <c r="AD70" s="13">
        <v>6000</v>
      </c>
      <c r="AE70" s="13">
        <v>15000</v>
      </c>
      <c r="AF70" s="13"/>
      <c r="AG70" s="13">
        <f>AF70</f>
        <v>0</v>
      </c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4" t="s">
        <v>66</v>
      </c>
      <c r="AV70" s="4" t="s">
        <v>1218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9">
        <f t="shared" si="25"/>
        <v>4800</v>
      </c>
      <c r="BN70" s="9">
        <f t="shared" si="36"/>
        <v>0</v>
      </c>
      <c r="BO70" s="9">
        <f t="shared" si="37"/>
        <v>4800</v>
      </c>
      <c r="BP70" s="9">
        <f t="shared" si="38"/>
        <v>0</v>
      </c>
      <c r="BQ70" s="9">
        <f t="shared" si="39"/>
        <v>4800</v>
      </c>
      <c r="BR70" s="9">
        <f t="shared" si="40"/>
        <v>2400</v>
      </c>
      <c r="BS70" s="9">
        <f t="shared" si="41"/>
        <v>6000</v>
      </c>
      <c r="BT70" s="9">
        <f t="shared" si="42"/>
        <v>0</v>
      </c>
    </row>
    <row r="71" spans="1:72" hidden="1" x14ac:dyDescent="0.25">
      <c r="A71" s="11">
        <f t="shared" si="33"/>
        <v>70</v>
      </c>
      <c r="B71" s="6" t="s">
        <v>350</v>
      </c>
      <c r="C71" s="6" t="s">
        <v>59</v>
      </c>
      <c r="D71" s="6" t="s">
        <v>351</v>
      </c>
      <c r="E71" s="6" t="s">
        <v>352</v>
      </c>
      <c r="F71" s="6" t="s">
        <v>130</v>
      </c>
      <c r="G71" s="4" t="s">
        <v>86</v>
      </c>
      <c r="H71" s="4" t="s">
        <v>87</v>
      </c>
      <c r="I71" s="4"/>
      <c r="J71" s="4"/>
      <c r="K71" s="6" t="s">
        <v>353</v>
      </c>
      <c r="L71" s="6"/>
      <c r="M71" s="6" t="s">
        <v>354</v>
      </c>
      <c r="N71" s="6"/>
      <c r="O71" s="6"/>
      <c r="P71" s="6"/>
      <c r="Q71" s="30">
        <v>3.6</v>
      </c>
      <c r="R71" s="1">
        <f t="shared" si="34"/>
        <v>259200</v>
      </c>
      <c r="S71" s="2">
        <v>324000</v>
      </c>
      <c r="T71" s="2">
        <f t="shared" si="35"/>
        <v>72000</v>
      </c>
      <c r="U71" s="6"/>
      <c r="V71" s="6"/>
      <c r="W71" s="6"/>
      <c r="X71" s="13">
        <v>3000</v>
      </c>
      <c r="Y71" s="13">
        <v>6000</v>
      </c>
      <c r="Z71" s="13">
        <v>6000</v>
      </c>
      <c r="AA71" s="13">
        <v>6000</v>
      </c>
      <c r="AB71" s="13">
        <v>12000</v>
      </c>
      <c r="AC71" s="13">
        <v>12000</v>
      </c>
      <c r="AD71" s="13">
        <v>12000</v>
      </c>
      <c r="AE71" s="13">
        <v>18000</v>
      </c>
      <c r="AF71" s="13">
        <v>18000</v>
      </c>
      <c r="AG71" s="13">
        <f t="shared" ref="AG71:AG74" si="43">AF71</f>
        <v>18000</v>
      </c>
      <c r="AH71" s="6"/>
      <c r="AI71" s="6"/>
      <c r="AJ71" s="6"/>
      <c r="AK71" s="6"/>
      <c r="AL71" s="6"/>
      <c r="AM71" s="6"/>
      <c r="AN71" s="6"/>
      <c r="AO71" s="6"/>
      <c r="AP71" s="6"/>
      <c r="AQ71" s="6">
        <v>1</v>
      </c>
      <c r="AR71" s="6"/>
      <c r="AS71" s="6"/>
      <c r="AT71" s="6" t="s">
        <v>355</v>
      </c>
      <c r="AU71" s="4" t="s">
        <v>66</v>
      </c>
      <c r="AV71" s="4" t="s">
        <v>1217</v>
      </c>
      <c r="AW71" s="6" t="s">
        <v>98</v>
      </c>
      <c r="AX71" s="6" t="s">
        <v>356</v>
      </c>
      <c r="AY71" s="6" t="s">
        <v>357</v>
      </c>
      <c r="AZ71" s="6" t="s">
        <v>358</v>
      </c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9">
        <f t="shared" si="25"/>
        <v>21600</v>
      </c>
      <c r="BN71" s="9">
        <f t="shared" si="36"/>
        <v>21600</v>
      </c>
      <c r="BO71" s="9">
        <f t="shared" si="37"/>
        <v>21600</v>
      </c>
      <c r="BP71" s="9">
        <f t="shared" si="38"/>
        <v>43200</v>
      </c>
      <c r="BQ71" s="9">
        <f t="shared" si="39"/>
        <v>43200</v>
      </c>
      <c r="BR71" s="9">
        <f t="shared" si="40"/>
        <v>43200</v>
      </c>
      <c r="BS71" s="9">
        <f t="shared" si="41"/>
        <v>64800</v>
      </c>
      <c r="BT71" s="9">
        <f t="shared" si="42"/>
        <v>64800</v>
      </c>
    </row>
    <row r="72" spans="1:72" hidden="1" x14ac:dyDescent="0.25">
      <c r="A72" s="11">
        <f t="shared" si="33"/>
        <v>71</v>
      </c>
      <c r="B72" s="6" t="s">
        <v>359</v>
      </c>
      <c r="C72" s="6" t="s">
        <v>59</v>
      </c>
      <c r="D72" s="6" t="s">
        <v>129</v>
      </c>
      <c r="E72" s="6" t="s">
        <v>61</v>
      </c>
      <c r="F72" s="6" t="s">
        <v>344</v>
      </c>
      <c r="G72" s="6" t="s">
        <v>360</v>
      </c>
      <c r="H72" s="4" t="s">
        <v>361</v>
      </c>
      <c r="I72" s="6"/>
      <c r="J72" s="6"/>
      <c r="K72" s="6" t="s">
        <v>362</v>
      </c>
      <c r="L72" s="6">
        <v>100000</v>
      </c>
      <c r="M72" s="6" t="s">
        <v>310</v>
      </c>
      <c r="N72" s="6"/>
      <c r="O72" s="6"/>
      <c r="P72" s="6"/>
      <c r="Q72" s="30">
        <v>7</v>
      </c>
      <c r="R72" s="1">
        <f t="shared" si="34"/>
        <v>63000</v>
      </c>
      <c r="S72" s="2">
        <v>84000</v>
      </c>
      <c r="T72" s="2">
        <f t="shared" si="35"/>
        <v>9000</v>
      </c>
      <c r="U72" s="13">
        <v>0</v>
      </c>
      <c r="V72" s="13">
        <v>0</v>
      </c>
      <c r="W72" s="13">
        <v>0</v>
      </c>
      <c r="X72" s="13">
        <v>3000</v>
      </c>
      <c r="Y72" s="13">
        <v>0</v>
      </c>
      <c r="Z72" s="13">
        <v>0</v>
      </c>
      <c r="AA72" s="13">
        <v>3000</v>
      </c>
      <c r="AB72" s="13">
        <v>3000</v>
      </c>
      <c r="AC72" s="13">
        <v>0</v>
      </c>
      <c r="AD72" s="13">
        <v>3000</v>
      </c>
      <c r="AE72" s="13">
        <v>0</v>
      </c>
      <c r="AF72" s="13">
        <v>3000</v>
      </c>
      <c r="AG72" s="13">
        <f t="shared" si="43"/>
        <v>3000</v>
      </c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4" t="s">
        <v>66</v>
      </c>
      <c r="AV72" s="4" t="s">
        <v>1217</v>
      </c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9">
        <f t="shared" si="25"/>
        <v>0</v>
      </c>
      <c r="BN72" s="9">
        <f t="shared" si="36"/>
        <v>0</v>
      </c>
      <c r="BO72" s="9">
        <f t="shared" si="37"/>
        <v>21000</v>
      </c>
      <c r="BP72" s="9">
        <f t="shared" si="38"/>
        <v>21000</v>
      </c>
      <c r="BQ72" s="9">
        <f t="shared" si="39"/>
        <v>0</v>
      </c>
      <c r="BR72" s="9">
        <f t="shared" si="40"/>
        <v>21000</v>
      </c>
      <c r="BS72" s="9">
        <f t="shared" si="41"/>
        <v>0</v>
      </c>
      <c r="BT72" s="9">
        <f t="shared" si="42"/>
        <v>21000</v>
      </c>
    </row>
    <row r="73" spans="1:72" hidden="1" x14ac:dyDescent="0.25">
      <c r="A73" s="11">
        <f t="shared" si="33"/>
        <v>72</v>
      </c>
      <c r="B73" s="6" t="s">
        <v>363</v>
      </c>
      <c r="C73" s="6" t="s">
        <v>59</v>
      </c>
      <c r="D73" s="6" t="s">
        <v>129</v>
      </c>
      <c r="E73" s="6" t="s">
        <v>61</v>
      </c>
      <c r="F73" s="6" t="s">
        <v>344</v>
      </c>
      <c r="G73" s="6" t="s">
        <v>345</v>
      </c>
      <c r="H73" s="4" t="s">
        <v>346</v>
      </c>
      <c r="I73" s="6"/>
      <c r="J73" s="6"/>
      <c r="K73" s="6" t="s">
        <v>347</v>
      </c>
      <c r="L73" s="6">
        <v>288000</v>
      </c>
      <c r="M73" s="6" t="s">
        <v>310</v>
      </c>
      <c r="N73" s="6"/>
      <c r="O73" s="6"/>
      <c r="P73" s="6"/>
      <c r="Q73" s="30">
        <v>0.4</v>
      </c>
      <c r="R73" s="1">
        <f t="shared" si="34"/>
        <v>36000</v>
      </c>
      <c r="S73" s="2">
        <v>84000</v>
      </c>
      <c r="T73" s="2">
        <f t="shared" si="35"/>
        <v>90000</v>
      </c>
      <c r="U73" s="13">
        <v>15000</v>
      </c>
      <c r="V73" s="13">
        <v>15000</v>
      </c>
      <c r="W73" s="13">
        <v>15000</v>
      </c>
      <c r="X73" s="13"/>
      <c r="Y73" s="13">
        <v>30000</v>
      </c>
      <c r="Z73" s="13"/>
      <c r="AA73" s="13">
        <v>90000</v>
      </c>
      <c r="AB73" s="13"/>
      <c r="AC73" s="13"/>
      <c r="AD73" s="13">
        <v>60000</v>
      </c>
      <c r="AE73" s="13"/>
      <c r="AF73" s="13">
        <v>30000</v>
      </c>
      <c r="AG73" s="13">
        <f t="shared" si="43"/>
        <v>30000</v>
      </c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4" t="s">
        <v>66</v>
      </c>
      <c r="AV73" s="4" t="s">
        <v>1218</v>
      </c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9">
        <f t="shared" si="25"/>
        <v>12000</v>
      </c>
      <c r="BN73" s="9">
        <f t="shared" si="36"/>
        <v>0</v>
      </c>
      <c r="BO73" s="9">
        <f t="shared" si="37"/>
        <v>36000</v>
      </c>
      <c r="BP73" s="9">
        <f t="shared" si="38"/>
        <v>0</v>
      </c>
      <c r="BQ73" s="9">
        <f t="shared" si="39"/>
        <v>0</v>
      </c>
      <c r="BR73" s="9">
        <f t="shared" si="40"/>
        <v>24000</v>
      </c>
      <c r="BS73" s="9">
        <f t="shared" si="41"/>
        <v>0</v>
      </c>
      <c r="BT73" s="9">
        <f t="shared" si="42"/>
        <v>12000</v>
      </c>
    </row>
    <row r="74" spans="1:72" hidden="1" x14ac:dyDescent="0.25">
      <c r="A74" s="11">
        <f t="shared" si="33"/>
        <v>73</v>
      </c>
      <c r="B74" s="6" t="s">
        <v>363</v>
      </c>
      <c r="C74" s="6" t="s">
        <v>59</v>
      </c>
      <c r="D74" s="6" t="s">
        <v>129</v>
      </c>
      <c r="E74" s="6" t="s">
        <v>61</v>
      </c>
      <c r="F74" s="6" t="s">
        <v>344</v>
      </c>
      <c r="G74" s="6" t="s">
        <v>340</v>
      </c>
      <c r="H74" s="4" t="s">
        <v>341</v>
      </c>
      <c r="I74" s="6"/>
      <c r="J74" s="6"/>
      <c r="K74" s="6" t="s">
        <v>347</v>
      </c>
      <c r="L74" s="6">
        <v>288000</v>
      </c>
      <c r="M74" s="6" t="s">
        <v>310</v>
      </c>
      <c r="N74" s="6"/>
      <c r="O74" s="6"/>
      <c r="P74" s="6"/>
      <c r="Q74" s="30">
        <v>0.4</v>
      </c>
      <c r="R74" s="1">
        <f t="shared" si="34"/>
        <v>18000</v>
      </c>
      <c r="S74" s="2">
        <v>28800</v>
      </c>
      <c r="T74" s="2">
        <f t="shared" si="35"/>
        <v>45000</v>
      </c>
      <c r="U74" s="13">
        <v>9000</v>
      </c>
      <c r="V74" s="13">
        <v>9000</v>
      </c>
      <c r="W74" s="13">
        <v>9000</v>
      </c>
      <c r="X74" s="13">
        <v>9000</v>
      </c>
      <c r="Y74" s="13">
        <v>9000</v>
      </c>
      <c r="Z74" s="13">
        <v>9000</v>
      </c>
      <c r="AA74" s="13">
        <v>9000</v>
      </c>
      <c r="AB74" s="13">
        <v>9000</v>
      </c>
      <c r="AC74" s="13">
        <v>9000</v>
      </c>
      <c r="AD74" s="13">
        <v>9000</v>
      </c>
      <c r="AE74" s="13">
        <v>9000</v>
      </c>
      <c r="AF74" s="13">
        <v>9000</v>
      </c>
      <c r="AG74" s="13">
        <f t="shared" si="43"/>
        <v>9000</v>
      </c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4" t="s">
        <v>66</v>
      </c>
      <c r="AV74" s="4" t="s">
        <v>1218</v>
      </c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9">
        <f t="shared" si="25"/>
        <v>3600</v>
      </c>
      <c r="BN74" s="9">
        <f t="shared" si="36"/>
        <v>3600</v>
      </c>
      <c r="BO74" s="9">
        <f t="shared" si="37"/>
        <v>3600</v>
      </c>
      <c r="BP74" s="9">
        <f t="shared" si="38"/>
        <v>3600</v>
      </c>
      <c r="BQ74" s="9">
        <f t="shared" si="39"/>
        <v>3600</v>
      </c>
      <c r="BR74" s="9">
        <f t="shared" si="40"/>
        <v>3600</v>
      </c>
      <c r="BS74" s="9">
        <f t="shared" si="41"/>
        <v>3600</v>
      </c>
      <c r="BT74" s="9">
        <f t="shared" si="42"/>
        <v>3600</v>
      </c>
    </row>
    <row r="75" spans="1:72" hidden="1" x14ac:dyDescent="0.25">
      <c r="A75" s="11">
        <f t="shared" si="33"/>
        <v>74</v>
      </c>
      <c r="B75" s="6" t="s">
        <v>363</v>
      </c>
      <c r="C75" s="6" t="s">
        <v>59</v>
      </c>
      <c r="D75" s="6" t="s">
        <v>129</v>
      </c>
      <c r="E75" s="6" t="s">
        <v>61</v>
      </c>
      <c r="F75" s="6" t="s">
        <v>344</v>
      </c>
      <c r="G75" s="6" t="s">
        <v>364</v>
      </c>
      <c r="H75" s="4" t="s">
        <v>365</v>
      </c>
      <c r="I75" s="6"/>
      <c r="J75" s="6"/>
      <c r="K75" s="6" t="s">
        <v>347</v>
      </c>
      <c r="L75" s="6">
        <v>288000</v>
      </c>
      <c r="M75" s="6" t="s">
        <v>310</v>
      </c>
      <c r="N75" s="6"/>
      <c r="O75" s="6"/>
      <c r="P75" s="6"/>
      <c r="Q75" s="30">
        <v>0.4</v>
      </c>
      <c r="R75" s="1">
        <f t="shared" si="34"/>
        <v>16800</v>
      </c>
      <c r="S75" s="2">
        <v>22800</v>
      </c>
      <c r="T75" s="2">
        <f t="shared" si="35"/>
        <v>42000</v>
      </c>
      <c r="U75" s="13"/>
      <c r="V75" s="13"/>
      <c r="W75" s="13">
        <v>30000</v>
      </c>
      <c r="X75" s="13"/>
      <c r="Y75" s="13">
        <v>15000</v>
      </c>
      <c r="Z75" s="13"/>
      <c r="AA75" s="13"/>
      <c r="AB75" s="13">
        <v>9000</v>
      </c>
      <c r="AC75" s="13"/>
      <c r="AD75" s="13">
        <v>9000</v>
      </c>
      <c r="AE75" s="13">
        <v>15000</v>
      </c>
      <c r="AF75" s="13">
        <v>9000</v>
      </c>
      <c r="AG75" s="13">
        <f>AF75</f>
        <v>9000</v>
      </c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4" t="s">
        <v>66</v>
      </c>
      <c r="AV75" s="4" t="s">
        <v>1218</v>
      </c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9">
        <f t="shared" si="25"/>
        <v>6000</v>
      </c>
      <c r="BN75" s="9">
        <f t="shared" si="36"/>
        <v>0</v>
      </c>
      <c r="BO75" s="9">
        <f t="shared" si="37"/>
        <v>0</v>
      </c>
      <c r="BP75" s="9">
        <f t="shared" si="38"/>
        <v>3600</v>
      </c>
      <c r="BQ75" s="9">
        <f t="shared" si="39"/>
        <v>0</v>
      </c>
      <c r="BR75" s="9">
        <f t="shared" si="40"/>
        <v>3600</v>
      </c>
      <c r="BS75" s="9">
        <f t="shared" si="41"/>
        <v>6000</v>
      </c>
      <c r="BT75" s="9">
        <f t="shared" si="42"/>
        <v>3600</v>
      </c>
    </row>
    <row r="76" spans="1:72" hidden="1" x14ac:dyDescent="0.25">
      <c r="A76" s="11">
        <f t="shared" si="33"/>
        <v>75</v>
      </c>
      <c r="B76" s="6" t="s">
        <v>366</v>
      </c>
      <c r="C76" s="6" t="s">
        <v>128</v>
      </c>
      <c r="D76" s="6" t="s">
        <v>367</v>
      </c>
      <c r="E76" s="6" t="s">
        <v>61</v>
      </c>
      <c r="F76" s="6" t="s">
        <v>368</v>
      </c>
      <c r="G76" s="6" t="s">
        <v>336</v>
      </c>
      <c r="H76" s="4" t="s">
        <v>337</v>
      </c>
      <c r="I76" s="6"/>
      <c r="J76" s="6"/>
      <c r="K76" s="6" t="s">
        <v>369</v>
      </c>
      <c r="L76" s="6">
        <v>100000</v>
      </c>
      <c r="M76" s="6" t="s">
        <v>310</v>
      </c>
      <c r="N76" s="6"/>
      <c r="O76" s="6"/>
      <c r="P76" s="6"/>
      <c r="Q76" s="30">
        <v>0.39</v>
      </c>
      <c r="R76" s="1">
        <f t="shared" si="34"/>
        <v>117000</v>
      </c>
      <c r="S76" s="2">
        <v>187200</v>
      </c>
      <c r="T76" s="2">
        <f t="shared" si="35"/>
        <v>300000</v>
      </c>
      <c r="U76" s="13">
        <v>60000</v>
      </c>
      <c r="V76" s="13">
        <v>60000</v>
      </c>
      <c r="W76" s="13"/>
      <c r="X76" s="13"/>
      <c r="Y76" s="13">
        <v>60000</v>
      </c>
      <c r="Z76" s="13">
        <v>60000</v>
      </c>
      <c r="AA76" s="13">
        <v>60000</v>
      </c>
      <c r="AB76" s="13">
        <v>60000</v>
      </c>
      <c r="AC76" s="13">
        <v>60000</v>
      </c>
      <c r="AD76" s="13">
        <v>60000</v>
      </c>
      <c r="AE76" s="13">
        <v>60000</v>
      </c>
      <c r="AF76" s="13">
        <v>60000</v>
      </c>
      <c r="AG76" s="13">
        <f>AF76</f>
        <v>60000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4" t="s">
        <v>66</v>
      </c>
      <c r="AV76" s="4" t="s">
        <v>1218</v>
      </c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9">
        <f t="shared" si="25"/>
        <v>23400</v>
      </c>
      <c r="BN76" s="9">
        <f t="shared" si="36"/>
        <v>23400</v>
      </c>
      <c r="BO76" s="9">
        <f t="shared" si="37"/>
        <v>23400</v>
      </c>
      <c r="BP76" s="9">
        <f t="shared" si="38"/>
        <v>23400</v>
      </c>
      <c r="BQ76" s="9">
        <f t="shared" si="39"/>
        <v>23400</v>
      </c>
      <c r="BR76" s="9">
        <f t="shared" si="40"/>
        <v>23400</v>
      </c>
      <c r="BS76" s="9">
        <f t="shared" si="41"/>
        <v>23400</v>
      </c>
      <c r="BT76" s="9">
        <f t="shared" si="42"/>
        <v>23400</v>
      </c>
    </row>
    <row r="77" spans="1:72" hidden="1" x14ac:dyDescent="0.25">
      <c r="A77" s="11">
        <f t="shared" si="33"/>
        <v>76</v>
      </c>
      <c r="B77" s="6" t="s">
        <v>370</v>
      </c>
      <c r="C77" s="6" t="s">
        <v>59</v>
      </c>
      <c r="D77" s="6" t="s">
        <v>371</v>
      </c>
      <c r="E77" s="6" t="s">
        <v>61</v>
      </c>
      <c r="F77" s="6" t="s">
        <v>372</v>
      </c>
      <c r="G77" s="6" t="s">
        <v>373</v>
      </c>
      <c r="H77" s="4" t="s">
        <v>374</v>
      </c>
      <c r="I77" s="6"/>
      <c r="J77" s="6"/>
      <c r="K77" s="6" t="s">
        <v>375</v>
      </c>
      <c r="L77" s="6">
        <v>5000000</v>
      </c>
      <c r="M77" s="6" t="s">
        <v>74</v>
      </c>
      <c r="N77" s="6"/>
      <c r="O77" s="6"/>
      <c r="P77" s="6"/>
      <c r="Q77" s="30">
        <v>0.14000000000000001</v>
      </c>
      <c r="R77" s="1">
        <f t="shared" si="34"/>
        <v>84000.000000000015</v>
      </c>
      <c r="S77" s="2">
        <v>210000.00000000003</v>
      </c>
      <c r="T77" s="2">
        <f t="shared" si="35"/>
        <v>600000</v>
      </c>
      <c r="U77" s="13"/>
      <c r="V77" s="13">
        <v>0</v>
      </c>
      <c r="W77" s="13">
        <v>0</v>
      </c>
      <c r="X77" s="13">
        <v>5000</v>
      </c>
      <c r="Y77" s="13">
        <v>100000</v>
      </c>
      <c r="Z77" s="13">
        <v>200000</v>
      </c>
      <c r="AA77" s="13">
        <v>0</v>
      </c>
      <c r="AB77" s="13">
        <v>0</v>
      </c>
      <c r="AC77" s="13">
        <v>0</v>
      </c>
      <c r="AD77" s="13">
        <v>200000</v>
      </c>
      <c r="AE77" s="13">
        <v>200000</v>
      </c>
      <c r="AF77" s="13">
        <v>200000</v>
      </c>
      <c r="AG77" s="13">
        <f t="shared" ref="AG77:AG87" si="44">AF77</f>
        <v>200000</v>
      </c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4" t="s">
        <v>66</v>
      </c>
      <c r="AV77" s="4" t="s">
        <v>1218</v>
      </c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9">
        <f t="shared" si="25"/>
        <v>14000.000000000002</v>
      </c>
      <c r="BN77" s="9">
        <f t="shared" si="36"/>
        <v>28000.000000000004</v>
      </c>
      <c r="BO77" s="9">
        <f t="shared" si="37"/>
        <v>0</v>
      </c>
      <c r="BP77" s="9">
        <f t="shared" si="38"/>
        <v>0</v>
      </c>
      <c r="BQ77" s="9">
        <f t="shared" si="39"/>
        <v>0</v>
      </c>
      <c r="BR77" s="9">
        <f t="shared" si="40"/>
        <v>28000.000000000004</v>
      </c>
      <c r="BS77" s="9">
        <f t="shared" si="41"/>
        <v>28000.000000000004</v>
      </c>
      <c r="BT77" s="9">
        <f t="shared" si="42"/>
        <v>28000.000000000004</v>
      </c>
    </row>
    <row r="78" spans="1:72" hidden="1" x14ac:dyDescent="0.25">
      <c r="A78" s="11">
        <f t="shared" si="33"/>
        <v>77</v>
      </c>
      <c r="B78" s="6" t="s">
        <v>1836</v>
      </c>
      <c r="C78" s="6" t="s">
        <v>186</v>
      </c>
      <c r="D78" s="6" t="s">
        <v>376</v>
      </c>
      <c r="E78" s="6" t="s">
        <v>61</v>
      </c>
      <c r="F78" s="6" t="s">
        <v>377</v>
      </c>
      <c r="G78" s="6" t="s">
        <v>1838</v>
      </c>
      <c r="H78" s="4" t="s">
        <v>379</v>
      </c>
      <c r="I78" s="6"/>
      <c r="J78" s="6"/>
      <c r="K78" s="6" t="s">
        <v>309</v>
      </c>
      <c r="L78" s="6">
        <v>500000</v>
      </c>
      <c r="M78" s="6" t="s">
        <v>297</v>
      </c>
      <c r="N78" s="6"/>
      <c r="O78" s="6"/>
      <c r="P78" s="6"/>
      <c r="Q78" s="30">
        <v>1.88</v>
      </c>
      <c r="R78" s="1">
        <f t="shared" si="34"/>
        <v>188000</v>
      </c>
      <c r="S78" s="2">
        <v>857656</v>
      </c>
      <c r="T78" s="2">
        <f t="shared" si="35"/>
        <v>100000</v>
      </c>
      <c r="U78" s="13"/>
      <c r="V78" s="13"/>
      <c r="W78" s="13">
        <v>1850</v>
      </c>
      <c r="X78" s="13">
        <v>3200</v>
      </c>
      <c r="Y78" s="13">
        <v>4000</v>
      </c>
      <c r="Z78" s="13">
        <v>6000</v>
      </c>
      <c r="AA78" s="13">
        <v>11000</v>
      </c>
      <c r="AB78" s="13">
        <v>7000</v>
      </c>
      <c r="AC78" s="13">
        <v>27000</v>
      </c>
      <c r="AD78" s="13">
        <v>18000</v>
      </c>
      <c r="AE78" s="13">
        <v>24000</v>
      </c>
      <c r="AF78" s="13">
        <v>24000</v>
      </c>
      <c r="AG78" s="13">
        <f t="shared" si="44"/>
        <v>24000</v>
      </c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4" t="s">
        <v>66</v>
      </c>
      <c r="AV78" s="4" t="s">
        <v>826</v>
      </c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9">
        <f t="shared" si="25"/>
        <v>7520</v>
      </c>
      <c r="BN78" s="9">
        <f t="shared" si="36"/>
        <v>11280</v>
      </c>
      <c r="BO78" s="9">
        <f t="shared" si="37"/>
        <v>20680</v>
      </c>
      <c r="BP78" s="9">
        <f t="shared" si="38"/>
        <v>13160</v>
      </c>
      <c r="BQ78" s="9">
        <f t="shared" si="39"/>
        <v>50760</v>
      </c>
      <c r="BR78" s="9">
        <f t="shared" si="40"/>
        <v>33840</v>
      </c>
      <c r="BS78" s="9">
        <f t="shared" si="41"/>
        <v>45120</v>
      </c>
      <c r="BT78" s="9">
        <f t="shared" si="42"/>
        <v>45120</v>
      </c>
    </row>
    <row r="79" spans="1:72" hidden="1" x14ac:dyDescent="0.25">
      <c r="A79" s="11">
        <f t="shared" si="33"/>
        <v>78</v>
      </c>
      <c r="B79" s="6" t="s">
        <v>1836</v>
      </c>
      <c r="C79" s="6" t="s">
        <v>186</v>
      </c>
      <c r="D79" s="6" t="s">
        <v>376</v>
      </c>
      <c r="E79" s="6" t="s">
        <v>61</v>
      </c>
      <c r="F79" s="6" t="s">
        <v>377</v>
      </c>
      <c r="G79" s="6" t="s">
        <v>1837</v>
      </c>
      <c r="H79" s="4" t="s">
        <v>381</v>
      </c>
      <c r="I79" s="6"/>
      <c r="J79" s="6"/>
      <c r="K79" s="6" t="s">
        <v>309</v>
      </c>
      <c r="L79" s="6">
        <v>5000000</v>
      </c>
      <c r="M79" s="6" t="s">
        <v>310</v>
      </c>
      <c r="N79" s="6"/>
      <c r="O79" s="6"/>
      <c r="P79" s="6"/>
      <c r="Q79" s="30">
        <v>1.88</v>
      </c>
      <c r="R79" s="1">
        <f t="shared" si="34"/>
        <v>510608</v>
      </c>
      <c r="S79" s="2">
        <v>4162335.0399999996</v>
      </c>
      <c r="T79" s="2">
        <f t="shared" si="35"/>
        <v>271600</v>
      </c>
      <c r="U79" s="13"/>
      <c r="V79" s="13">
        <v>3000</v>
      </c>
      <c r="W79" s="13">
        <v>3000</v>
      </c>
      <c r="X79" s="13">
        <v>2000</v>
      </c>
      <c r="Y79" s="13">
        <v>2000</v>
      </c>
      <c r="Z79" s="13">
        <v>20000</v>
      </c>
      <c r="AA79" s="13">
        <v>50000</v>
      </c>
      <c r="AB79" s="13">
        <v>20000</v>
      </c>
      <c r="AC79" s="13">
        <v>58400</v>
      </c>
      <c r="AD79" s="13">
        <v>64400</v>
      </c>
      <c r="AE79" s="13">
        <v>64400</v>
      </c>
      <c r="AF79" s="13">
        <v>64400</v>
      </c>
      <c r="AG79" s="13">
        <f t="shared" si="44"/>
        <v>64400</v>
      </c>
      <c r="AH79" s="13"/>
      <c r="AI79" s="13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4" t="s">
        <v>66</v>
      </c>
      <c r="AV79" s="4" t="s">
        <v>826</v>
      </c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9">
        <f t="shared" si="25"/>
        <v>3760</v>
      </c>
      <c r="BN79" s="9">
        <f t="shared" si="36"/>
        <v>37600</v>
      </c>
      <c r="BO79" s="9">
        <f t="shared" si="37"/>
        <v>94000</v>
      </c>
      <c r="BP79" s="9">
        <f t="shared" si="38"/>
        <v>37600</v>
      </c>
      <c r="BQ79" s="9">
        <f t="shared" si="39"/>
        <v>109792</v>
      </c>
      <c r="BR79" s="9">
        <f t="shared" si="40"/>
        <v>121072</v>
      </c>
      <c r="BS79" s="9">
        <f t="shared" si="41"/>
        <v>121072</v>
      </c>
      <c r="BT79" s="9">
        <f t="shared" si="42"/>
        <v>121072</v>
      </c>
    </row>
    <row r="80" spans="1:72" hidden="1" x14ac:dyDescent="0.25">
      <c r="A80" s="11">
        <f t="shared" si="33"/>
        <v>79</v>
      </c>
      <c r="B80" s="3" t="s">
        <v>382</v>
      </c>
      <c r="C80" s="6" t="s">
        <v>59</v>
      </c>
      <c r="D80" s="4" t="s">
        <v>383</v>
      </c>
      <c r="E80" s="4" t="s">
        <v>384</v>
      </c>
      <c r="F80" s="6" t="s">
        <v>377</v>
      </c>
      <c r="G80" s="6" t="s">
        <v>380</v>
      </c>
      <c r="H80" s="4" t="s">
        <v>381</v>
      </c>
      <c r="I80" s="6"/>
      <c r="J80" s="6"/>
      <c r="K80" s="4" t="s">
        <v>385</v>
      </c>
      <c r="L80" s="13"/>
      <c r="M80" s="4" t="s">
        <v>386</v>
      </c>
      <c r="N80" s="5" t="s">
        <v>387</v>
      </c>
      <c r="O80" s="3"/>
      <c r="P80" s="29"/>
      <c r="Q80" s="17">
        <v>2.21</v>
      </c>
      <c r="R80" s="1">
        <f t="shared" si="34"/>
        <v>0</v>
      </c>
      <c r="S80" s="2">
        <v>0</v>
      </c>
      <c r="T80" s="2">
        <f t="shared" si="35"/>
        <v>0</v>
      </c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>
        <f t="shared" si="44"/>
        <v>0</v>
      </c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4"/>
      <c r="AU80" s="4" t="s">
        <v>66</v>
      </c>
      <c r="AV80" s="4" t="s">
        <v>826</v>
      </c>
      <c r="AW80" s="4"/>
      <c r="AX80" s="4"/>
      <c r="AY80" s="4"/>
      <c r="AZ80" s="4"/>
      <c r="BA80" s="4"/>
      <c r="BB80" s="4"/>
      <c r="BC80" s="4"/>
      <c r="BD80" s="23"/>
      <c r="BE80" s="18"/>
      <c r="BF80" s="18"/>
      <c r="BG80" s="18"/>
      <c r="BH80" s="18"/>
      <c r="BI80" s="18"/>
      <c r="BJ80" s="18"/>
      <c r="BK80" s="32"/>
      <c r="BL80" s="3"/>
      <c r="BM80" s="9">
        <f t="shared" ref="BM80:BM119" si="45">$Q80*Y80</f>
        <v>0</v>
      </c>
      <c r="BN80" s="9">
        <f t="shared" si="36"/>
        <v>0</v>
      </c>
      <c r="BO80" s="9">
        <f t="shared" si="37"/>
        <v>0</v>
      </c>
      <c r="BP80" s="9">
        <f t="shared" si="38"/>
        <v>0</v>
      </c>
      <c r="BQ80" s="9">
        <f t="shared" si="39"/>
        <v>0</v>
      </c>
      <c r="BR80" s="9">
        <f t="shared" si="40"/>
        <v>0</v>
      </c>
      <c r="BS80" s="9">
        <f t="shared" si="41"/>
        <v>0</v>
      </c>
      <c r="BT80" s="9">
        <f t="shared" si="42"/>
        <v>0</v>
      </c>
    </row>
    <row r="81" spans="1:72" hidden="1" x14ac:dyDescent="0.25">
      <c r="A81" s="11">
        <f t="shared" si="33"/>
        <v>80</v>
      </c>
      <c r="B81" s="3" t="s">
        <v>382</v>
      </c>
      <c r="C81" s="6" t="s">
        <v>59</v>
      </c>
      <c r="D81" s="4" t="s">
        <v>383</v>
      </c>
      <c r="E81" s="4" t="s">
        <v>384</v>
      </c>
      <c r="F81" s="6" t="s">
        <v>377</v>
      </c>
      <c r="G81" s="6" t="s">
        <v>378</v>
      </c>
      <c r="H81" s="4" t="s">
        <v>379</v>
      </c>
      <c r="I81" s="6"/>
      <c r="J81" s="6"/>
      <c r="K81" s="4" t="s">
        <v>385</v>
      </c>
      <c r="L81" s="13"/>
      <c r="M81" s="4" t="s">
        <v>386</v>
      </c>
      <c r="N81" s="5" t="s">
        <v>387</v>
      </c>
      <c r="O81" s="3"/>
      <c r="P81" s="29"/>
      <c r="Q81" s="17">
        <v>2.25</v>
      </c>
      <c r="R81" s="1">
        <f t="shared" si="34"/>
        <v>0</v>
      </c>
      <c r="S81" s="2">
        <v>0</v>
      </c>
      <c r="T81" s="2">
        <f t="shared" si="35"/>
        <v>0</v>
      </c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>
        <f t="shared" si="44"/>
        <v>0</v>
      </c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4"/>
      <c r="AU81" s="4" t="s">
        <v>66</v>
      </c>
      <c r="AV81" s="4" t="s">
        <v>826</v>
      </c>
      <c r="AW81" s="4"/>
      <c r="AX81" s="4"/>
      <c r="AY81" s="4"/>
      <c r="AZ81" s="4"/>
      <c r="BA81" s="4"/>
      <c r="BB81" s="4"/>
      <c r="BC81" s="4"/>
      <c r="BD81" s="23"/>
      <c r="BE81" s="18"/>
      <c r="BF81" s="18"/>
      <c r="BG81" s="18"/>
      <c r="BH81" s="18"/>
      <c r="BI81" s="18"/>
      <c r="BJ81" s="18"/>
      <c r="BK81" s="32"/>
      <c r="BL81" s="3"/>
      <c r="BM81" s="9">
        <f t="shared" si="45"/>
        <v>0</v>
      </c>
      <c r="BN81" s="9">
        <f t="shared" si="36"/>
        <v>0</v>
      </c>
      <c r="BO81" s="9">
        <f t="shared" si="37"/>
        <v>0</v>
      </c>
      <c r="BP81" s="9">
        <f t="shared" si="38"/>
        <v>0</v>
      </c>
      <c r="BQ81" s="9">
        <f t="shared" si="39"/>
        <v>0</v>
      </c>
      <c r="BR81" s="9">
        <f t="shared" si="40"/>
        <v>0</v>
      </c>
      <c r="BS81" s="9">
        <f t="shared" si="41"/>
        <v>0</v>
      </c>
      <c r="BT81" s="9">
        <f t="shared" si="42"/>
        <v>0</v>
      </c>
    </row>
    <row r="82" spans="1:72" hidden="1" x14ac:dyDescent="0.25">
      <c r="A82" s="11">
        <f t="shared" si="33"/>
        <v>81</v>
      </c>
      <c r="B82" s="3" t="s">
        <v>388</v>
      </c>
      <c r="C82" s="6" t="s">
        <v>59</v>
      </c>
      <c r="D82" s="4" t="s">
        <v>383</v>
      </c>
      <c r="E82" s="4" t="s">
        <v>384</v>
      </c>
      <c r="F82" s="6" t="s">
        <v>377</v>
      </c>
      <c r="G82" s="4" t="s">
        <v>86</v>
      </c>
      <c r="H82" s="4" t="s">
        <v>87</v>
      </c>
      <c r="I82" s="4"/>
      <c r="J82" s="4"/>
      <c r="K82" s="4" t="s">
        <v>389</v>
      </c>
      <c r="L82" s="13"/>
      <c r="M82" s="4" t="s">
        <v>390</v>
      </c>
      <c r="N82" s="5" t="s">
        <v>387</v>
      </c>
      <c r="O82" s="4"/>
      <c r="P82" s="14"/>
      <c r="Q82" s="17"/>
      <c r="R82" s="1">
        <f t="shared" si="34"/>
        <v>0</v>
      </c>
      <c r="S82" s="2">
        <v>0</v>
      </c>
      <c r="T82" s="2">
        <f t="shared" si="35"/>
        <v>0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>
        <f t="shared" si="44"/>
        <v>0</v>
      </c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4"/>
      <c r="AU82" s="4" t="s">
        <v>66</v>
      </c>
      <c r="AV82" s="4" t="s">
        <v>1217</v>
      </c>
      <c r="AW82" s="3"/>
      <c r="AX82" s="4"/>
      <c r="AY82" s="4"/>
      <c r="AZ82" s="4"/>
      <c r="BA82" s="4"/>
      <c r="BB82" s="4"/>
      <c r="BC82" s="4"/>
      <c r="BD82" s="23"/>
      <c r="BE82" s="18"/>
      <c r="BF82" s="18"/>
      <c r="BG82" s="18"/>
      <c r="BH82" s="18"/>
      <c r="BI82" s="18"/>
      <c r="BJ82" s="18"/>
      <c r="BK82" s="19"/>
      <c r="BL82" s="3"/>
      <c r="BM82" s="9">
        <f t="shared" si="45"/>
        <v>0</v>
      </c>
      <c r="BN82" s="9">
        <f t="shared" si="36"/>
        <v>0</v>
      </c>
      <c r="BO82" s="9">
        <f t="shared" si="37"/>
        <v>0</v>
      </c>
      <c r="BP82" s="9">
        <f t="shared" si="38"/>
        <v>0</v>
      </c>
      <c r="BQ82" s="9">
        <f t="shared" si="39"/>
        <v>0</v>
      </c>
      <c r="BR82" s="9">
        <f t="shared" si="40"/>
        <v>0</v>
      </c>
      <c r="BS82" s="9">
        <f t="shared" si="41"/>
        <v>0</v>
      </c>
      <c r="BT82" s="9">
        <f t="shared" si="42"/>
        <v>0</v>
      </c>
    </row>
    <row r="83" spans="1:72" hidden="1" x14ac:dyDescent="0.25">
      <c r="A83" s="11">
        <f t="shared" si="33"/>
        <v>82</v>
      </c>
      <c r="B83" s="4" t="s">
        <v>391</v>
      </c>
      <c r="C83" s="6" t="s">
        <v>59</v>
      </c>
      <c r="D83" s="4" t="s">
        <v>392</v>
      </c>
      <c r="E83" s="4" t="s">
        <v>384</v>
      </c>
      <c r="F83" s="4" t="s">
        <v>393</v>
      </c>
      <c r="G83" s="4" t="s">
        <v>394</v>
      </c>
      <c r="H83" s="4" t="s">
        <v>87</v>
      </c>
      <c r="I83" s="4"/>
      <c r="J83" s="4"/>
      <c r="K83" s="4" t="s">
        <v>395</v>
      </c>
      <c r="L83" s="13">
        <v>500000</v>
      </c>
      <c r="M83" s="4" t="s">
        <v>52</v>
      </c>
      <c r="N83" s="4"/>
      <c r="O83" s="4"/>
      <c r="P83" s="3">
        <v>90371</v>
      </c>
      <c r="Q83" s="17">
        <v>7</v>
      </c>
      <c r="R83" s="1">
        <f t="shared" si="34"/>
        <v>0</v>
      </c>
      <c r="S83" s="2">
        <v>245000</v>
      </c>
      <c r="T83" s="2">
        <f t="shared" si="35"/>
        <v>0</v>
      </c>
      <c r="U83" s="13"/>
      <c r="V83" s="13"/>
      <c r="W83" s="13"/>
      <c r="X83" s="13"/>
      <c r="Y83" s="13"/>
      <c r="Z83" s="13">
        <v>0</v>
      </c>
      <c r="AA83" s="13">
        <v>0</v>
      </c>
      <c r="AB83" s="13"/>
      <c r="AC83" s="13"/>
      <c r="AD83" s="13"/>
      <c r="AE83" s="13"/>
      <c r="AF83" s="13"/>
      <c r="AG83" s="13">
        <f t="shared" si="44"/>
        <v>0</v>
      </c>
      <c r="AH83" s="5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4" t="s">
        <v>66</v>
      </c>
      <c r="AV83" s="4" t="s">
        <v>1217</v>
      </c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>
        <f t="shared" si="45"/>
        <v>0</v>
      </c>
      <c r="BN83" s="9">
        <f t="shared" si="36"/>
        <v>0</v>
      </c>
      <c r="BO83" s="9">
        <f t="shared" si="37"/>
        <v>0</v>
      </c>
      <c r="BP83" s="9">
        <f t="shared" si="38"/>
        <v>0</v>
      </c>
      <c r="BQ83" s="9">
        <f t="shared" si="39"/>
        <v>0</v>
      </c>
      <c r="BR83" s="9">
        <f t="shared" si="40"/>
        <v>0</v>
      </c>
      <c r="BS83" s="9">
        <f t="shared" si="41"/>
        <v>0</v>
      </c>
      <c r="BT83" s="9">
        <f t="shared" si="42"/>
        <v>0</v>
      </c>
    </row>
    <row r="84" spans="1:72" hidden="1" x14ac:dyDescent="0.25">
      <c r="A84" s="11">
        <f t="shared" si="33"/>
        <v>83</v>
      </c>
      <c r="B84" s="4" t="s">
        <v>391</v>
      </c>
      <c r="C84" s="6" t="s">
        <v>59</v>
      </c>
      <c r="D84" s="4" t="s">
        <v>396</v>
      </c>
      <c r="E84" s="4" t="s">
        <v>384</v>
      </c>
      <c r="F84" s="4" t="s">
        <v>393</v>
      </c>
      <c r="G84" s="4" t="s">
        <v>397</v>
      </c>
      <c r="H84" s="4" t="s">
        <v>398</v>
      </c>
      <c r="I84" s="4"/>
      <c r="J84" s="4"/>
      <c r="K84" s="4" t="s">
        <v>399</v>
      </c>
      <c r="L84" s="13">
        <v>300000</v>
      </c>
      <c r="M84" s="4" t="s">
        <v>52</v>
      </c>
      <c r="N84" s="4"/>
      <c r="O84" s="4"/>
      <c r="P84" s="3">
        <v>90371</v>
      </c>
      <c r="Q84" s="17">
        <v>2.8</v>
      </c>
      <c r="R84" s="1">
        <f t="shared" si="34"/>
        <v>0</v>
      </c>
      <c r="S84" s="2">
        <v>44800</v>
      </c>
      <c r="T84" s="2">
        <f t="shared" si="35"/>
        <v>0</v>
      </c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>
        <f t="shared" si="44"/>
        <v>0</v>
      </c>
      <c r="AH84" s="5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4" t="s">
        <v>66</v>
      </c>
      <c r="AV84" s="4" t="s">
        <v>1217</v>
      </c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>
        <f t="shared" si="45"/>
        <v>0</v>
      </c>
      <c r="BN84" s="9">
        <f t="shared" si="36"/>
        <v>0</v>
      </c>
      <c r="BO84" s="9">
        <f t="shared" si="37"/>
        <v>0</v>
      </c>
      <c r="BP84" s="9">
        <f t="shared" si="38"/>
        <v>0</v>
      </c>
      <c r="BQ84" s="9">
        <f t="shared" si="39"/>
        <v>0</v>
      </c>
      <c r="BR84" s="9">
        <f t="shared" si="40"/>
        <v>0</v>
      </c>
      <c r="BS84" s="9">
        <f t="shared" si="41"/>
        <v>0</v>
      </c>
      <c r="BT84" s="9">
        <f t="shared" si="42"/>
        <v>0</v>
      </c>
    </row>
    <row r="85" spans="1:72" hidden="1" x14ac:dyDescent="0.25">
      <c r="A85" s="11">
        <f t="shared" si="33"/>
        <v>84</v>
      </c>
      <c r="B85" s="4" t="s">
        <v>400</v>
      </c>
      <c r="C85" s="6" t="s">
        <v>59</v>
      </c>
      <c r="D85" s="4" t="s">
        <v>396</v>
      </c>
      <c r="E85" s="4" t="s">
        <v>384</v>
      </c>
      <c r="F85" s="4" t="s">
        <v>393</v>
      </c>
      <c r="G85" s="4" t="s">
        <v>401</v>
      </c>
      <c r="H85" s="4" t="s">
        <v>318</v>
      </c>
      <c r="I85" s="4"/>
      <c r="J85" s="4"/>
      <c r="K85" s="4" t="s">
        <v>402</v>
      </c>
      <c r="L85" s="13">
        <v>300000</v>
      </c>
      <c r="M85" s="4" t="s">
        <v>134</v>
      </c>
      <c r="N85" s="4"/>
      <c r="O85" s="4"/>
      <c r="P85" s="3" t="s">
        <v>403</v>
      </c>
      <c r="Q85" s="17">
        <v>6</v>
      </c>
      <c r="R85" s="1">
        <f t="shared" si="34"/>
        <v>300000</v>
      </c>
      <c r="S85" s="2">
        <v>480000</v>
      </c>
      <c r="T85" s="2">
        <f t="shared" si="35"/>
        <v>50000</v>
      </c>
      <c r="U85" s="13">
        <v>5000</v>
      </c>
      <c r="V85" s="13">
        <v>5000</v>
      </c>
      <c r="W85" s="13">
        <v>5000</v>
      </c>
      <c r="X85" s="13">
        <v>10000</v>
      </c>
      <c r="Y85" s="13">
        <v>10000</v>
      </c>
      <c r="Z85" s="13">
        <v>10000</v>
      </c>
      <c r="AA85" s="13">
        <v>10000</v>
      </c>
      <c r="AB85" s="13">
        <v>10000</v>
      </c>
      <c r="AC85" s="13">
        <v>10000</v>
      </c>
      <c r="AD85" s="13">
        <v>10000</v>
      </c>
      <c r="AE85" s="13">
        <v>10000</v>
      </c>
      <c r="AF85" s="13">
        <v>10000</v>
      </c>
      <c r="AG85" s="13">
        <f t="shared" si="44"/>
        <v>10000</v>
      </c>
      <c r="AH85" s="5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4" t="s">
        <v>66</v>
      </c>
      <c r="AV85" s="4" t="s">
        <v>1220</v>
      </c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>
        <f t="shared" si="45"/>
        <v>60000</v>
      </c>
      <c r="BN85" s="9">
        <f t="shared" si="36"/>
        <v>60000</v>
      </c>
      <c r="BO85" s="9">
        <f t="shared" si="37"/>
        <v>60000</v>
      </c>
      <c r="BP85" s="9">
        <f t="shared" si="38"/>
        <v>60000</v>
      </c>
      <c r="BQ85" s="9">
        <f t="shared" si="39"/>
        <v>60000</v>
      </c>
      <c r="BR85" s="9">
        <f t="shared" si="40"/>
        <v>60000</v>
      </c>
      <c r="BS85" s="9">
        <f t="shared" si="41"/>
        <v>60000</v>
      </c>
      <c r="BT85" s="9">
        <f t="shared" si="42"/>
        <v>60000</v>
      </c>
    </row>
    <row r="86" spans="1:72" hidden="1" x14ac:dyDescent="0.25">
      <c r="A86" s="11">
        <f t="shared" si="33"/>
        <v>85</v>
      </c>
      <c r="B86" s="4" t="s">
        <v>400</v>
      </c>
      <c r="C86" s="6" t="s">
        <v>59</v>
      </c>
      <c r="D86" s="4" t="s">
        <v>396</v>
      </c>
      <c r="E86" s="4" t="s">
        <v>384</v>
      </c>
      <c r="F86" s="4" t="s">
        <v>393</v>
      </c>
      <c r="G86" s="4" t="s">
        <v>404</v>
      </c>
      <c r="H86" s="4" t="s">
        <v>405</v>
      </c>
      <c r="I86" s="4"/>
      <c r="J86" s="4"/>
      <c r="K86" s="4" t="s">
        <v>406</v>
      </c>
      <c r="L86" s="13">
        <v>200000</v>
      </c>
      <c r="M86" s="4" t="s">
        <v>134</v>
      </c>
      <c r="N86" s="4"/>
      <c r="O86" s="4"/>
      <c r="P86" s="3" t="s">
        <v>407</v>
      </c>
      <c r="Q86" s="17">
        <v>2.4</v>
      </c>
      <c r="R86" s="1">
        <f t="shared" si="34"/>
        <v>12000</v>
      </c>
      <c r="S86" s="2">
        <v>19200</v>
      </c>
      <c r="T86" s="2">
        <f t="shared" si="35"/>
        <v>5000</v>
      </c>
      <c r="U86" s="13">
        <v>1000</v>
      </c>
      <c r="V86" s="13">
        <v>1000</v>
      </c>
      <c r="W86" s="13">
        <v>1000</v>
      </c>
      <c r="X86" s="13">
        <v>1000</v>
      </c>
      <c r="Y86" s="13">
        <v>1000</v>
      </c>
      <c r="Z86" s="13">
        <v>1000</v>
      </c>
      <c r="AA86" s="13">
        <v>1000</v>
      </c>
      <c r="AB86" s="13">
        <v>1000</v>
      </c>
      <c r="AC86" s="13">
        <v>1000</v>
      </c>
      <c r="AD86" s="13">
        <v>1000</v>
      </c>
      <c r="AE86" s="13">
        <v>1000</v>
      </c>
      <c r="AF86" s="13">
        <v>1000</v>
      </c>
      <c r="AG86" s="13">
        <f t="shared" si="44"/>
        <v>1000</v>
      </c>
      <c r="AH86" s="5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4" t="s">
        <v>66</v>
      </c>
      <c r="AV86" s="4" t="s">
        <v>1220</v>
      </c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>
        <f t="shared" si="45"/>
        <v>2400</v>
      </c>
      <c r="BN86" s="9">
        <f t="shared" si="36"/>
        <v>2400</v>
      </c>
      <c r="BO86" s="9">
        <f t="shared" si="37"/>
        <v>2400</v>
      </c>
      <c r="BP86" s="9">
        <f t="shared" si="38"/>
        <v>2400</v>
      </c>
      <c r="BQ86" s="9">
        <f t="shared" si="39"/>
        <v>2400</v>
      </c>
      <c r="BR86" s="9">
        <f t="shared" si="40"/>
        <v>2400</v>
      </c>
      <c r="BS86" s="9">
        <f t="shared" si="41"/>
        <v>2400</v>
      </c>
      <c r="BT86" s="9">
        <f t="shared" si="42"/>
        <v>2400</v>
      </c>
    </row>
    <row r="87" spans="1:72" hidden="1" x14ac:dyDescent="0.25">
      <c r="A87" s="11">
        <f t="shared" si="33"/>
        <v>86</v>
      </c>
      <c r="B87" s="4" t="s">
        <v>400</v>
      </c>
      <c r="C87" s="6" t="s">
        <v>59</v>
      </c>
      <c r="D87" s="4" t="s">
        <v>396</v>
      </c>
      <c r="E87" s="4" t="s">
        <v>384</v>
      </c>
      <c r="F87" s="4" t="s">
        <v>393</v>
      </c>
      <c r="G87" s="4" t="s">
        <v>408</v>
      </c>
      <c r="H87" s="4" t="s">
        <v>409</v>
      </c>
      <c r="I87" s="4"/>
      <c r="J87" s="4"/>
      <c r="K87" s="4" t="s">
        <v>402</v>
      </c>
      <c r="L87" s="13">
        <v>100000</v>
      </c>
      <c r="M87" s="4" t="s">
        <v>55</v>
      </c>
      <c r="N87" s="4"/>
      <c r="O87" s="4"/>
      <c r="P87" s="3" t="s">
        <v>410</v>
      </c>
      <c r="Q87" s="17">
        <v>1.6</v>
      </c>
      <c r="R87" s="1">
        <f t="shared" si="34"/>
        <v>8000</v>
      </c>
      <c r="S87" s="2">
        <v>33600</v>
      </c>
      <c r="T87" s="2">
        <f t="shared" si="35"/>
        <v>5000</v>
      </c>
      <c r="U87" s="13">
        <v>1000</v>
      </c>
      <c r="V87" s="13">
        <v>1000</v>
      </c>
      <c r="W87" s="13">
        <v>1000</v>
      </c>
      <c r="X87" s="13">
        <v>1000</v>
      </c>
      <c r="Y87" s="13">
        <v>2000</v>
      </c>
      <c r="Z87" s="13">
        <v>2000</v>
      </c>
      <c r="AA87" s="13">
        <v>2000</v>
      </c>
      <c r="AB87" s="13">
        <v>1000</v>
      </c>
      <c r="AC87" s="13">
        <v>1000</v>
      </c>
      <c r="AD87" s="13">
        <v>1000</v>
      </c>
      <c r="AE87" s="13">
        <v>1000</v>
      </c>
      <c r="AF87" s="13">
        <v>1000</v>
      </c>
      <c r="AG87" s="13">
        <f t="shared" si="44"/>
        <v>1000</v>
      </c>
      <c r="AH87" s="5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4" t="s">
        <v>66</v>
      </c>
      <c r="AV87" s="4" t="s">
        <v>1220</v>
      </c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>
        <f t="shared" si="45"/>
        <v>3200</v>
      </c>
      <c r="BN87" s="9">
        <f t="shared" si="36"/>
        <v>3200</v>
      </c>
      <c r="BO87" s="9">
        <f t="shared" si="37"/>
        <v>3200</v>
      </c>
      <c r="BP87" s="9">
        <f t="shared" si="38"/>
        <v>1600</v>
      </c>
      <c r="BQ87" s="9">
        <f t="shared" si="39"/>
        <v>1600</v>
      </c>
      <c r="BR87" s="9">
        <f t="shared" si="40"/>
        <v>1600</v>
      </c>
      <c r="BS87" s="9">
        <f t="shared" si="41"/>
        <v>1600</v>
      </c>
      <c r="BT87" s="9">
        <f t="shared" si="42"/>
        <v>1600</v>
      </c>
    </row>
    <row r="88" spans="1:72" hidden="1" x14ac:dyDescent="0.25">
      <c r="A88" s="11">
        <f t="shared" si="33"/>
        <v>87</v>
      </c>
      <c r="B88" s="4" t="s">
        <v>411</v>
      </c>
      <c r="C88" s="6" t="s">
        <v>128</v>
      </c>
      <c r="D88" s="4" t="s">
        <v>396</v>
      </c>
      <c r="E88" s="4" t="s">
        <v>384</v>
      </c>
      <c r="F88" s="4" t="s">
        <v>393</v>
      </c>
      <c r="G88" s="6" t="s">
        <v>314</v>
      </c>
      <c r="H88" s="4" t="s">
        <v>315</v>
      </c>
      <c r="I88" s="6"/>
      <c r="J88" s="6"/>
      <c r="K88" s="4" t="s">
        <v>406</v>
      </c>
      <c r="L88" s="13">
        <v>20000</v>
      </c>
      <c r="M88" s="4" t="s">
        <v>55</v>
      </c>
      <c r="N88" s="4"/>
      <c r="O88" s="4"/>
      <c r="P88" s="3" t="s">
        <v>109</v>
      </c>
      <c r="Q88" s="17">
        <v>2.4</v>
      </c>
      <c r="R88" s="1">
        <f t="shared" si="34"/>
        <v>12000</v>
      </c>
      <c r="S88" s="2">
        <v>19200</v>
      </c>
      <c r="T88" s="2">
        <f t="shared" si="35"/>
        <v>5000</v>
      </c>
      <c r="U88" s="13"/>
      <c r="V88" s="13"/>
      <c r="W88" s="13"/>
      <c r="X88" s="13"/>
      <c r="Y88" s="13">
        <v>1000</v>
      </c>
      <c r="Z88" s="13">
        <v>1000</v>
      </c>
      <c r="AA88" s="13">
        <v>1000</v>
      </c>
      <c r="AB88" s="13">
        <v>1000</v>
      </c>
      <c r="AC88" s="13">
        <v>1000</v>
      </c>
      <c r="AD88" s="13">
        <v>1000</v>
      </c>
      <c r="AE88" s="13">
        <v>1000</v>
      </c>
      <c r="AF88" s="13">
        <v>1000</v>
      </c>
      <c r="AG88" s="13">
        <f t="shared" ref="AG88:AG92" si="46">AF88</f>
        <v>1000</v>
      </c>
      <c r="AH88" s="5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4" t="s">
        <v>66</v>
      </c>
      <c r="AV88" s="4" t="s">
        <v>1220</v>
      </c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>
        <f t="shared" si="45"/>
        <v>2400</v>
      </c>
      <c r="BN88" s="9">
        <f t="shared" si="36"/>
        <v>2400</v>
      </c>
      <c r="BO88" s="9">
        <f t="shared" si="37"/>
        <v>2400</v>
      </c>
      <c r="BP88" s="9">
        <f t="shared" si="38"/>
        <v>2400</v>
      </c>
      <c r="BQ88" s="9">
        <f t="shared" si="39"/>
        <v>2400</v>
      </c>
      <c r="BR88" s="9">
        <f t="shared" si="40"/>
        <v>2400</v>
      </c>
      <c r="BS88" s="9">
        <f t="shared" si="41"/>
        <v>2400</v>
      </c>
      <c r="BT88" s="9">
        <f t="shared" si="42"/>
        <v>2400</v>
      </c>
    </row>
    <row r="89" spans="1:72" hidden="1" x14ac:dyDescent="0.25">
      <c r="A89" s="11">
        <f t="shared" si="33"/>
        <v>88</v>
      </c>
      <c r="B89" s="4" t="s">
        <v>411</v>
      </c>
      <c r="C89" s="6" t="s">
        <v>128</v>
      </c>
      <c r="D89" s="4" t="s">
        <v>396</v>
      </c>
      <c r="E89" s="4" t="s">
        <v>384</v>
      </c>
      <c r="F89" s="4" t="s">
        <v>393</v>
      </c>
      <c r="G89" s="4" t="s">
        <v>326</v>
      </c>
      <c r="H89" s="4" t="s">
        <v>327</v>
      </c>
      <c r="I89" s="4"/>
      <c r="J89" s="4"/>
      <c r="K89" s="4" t="s">
        <v>406</v>
      </c>
      <c r="L89" s="13">
        <v>500000</v>
      </c>
      <c r="M89" s="4" t="s">
        <v>52</v>
      </c>
      <c r="N89" s="4"/>
      <c r="O89" s="4"/>
      <c r="P89" s="3" t="s">
        <v>412</v>
      </c>
      <c r="Q89" s="17">
        <v>2.2000000000000002</v>
      </c>
      <c r="R89" s="1">
        <f t="shared" si="34"/>
        <v>0</v>
      </c>
      <c r="S89" s="2">
        <v>0</v>
      </c>
      <c r="T89" s="2">
        <f t="shared" si="35"/>
        <v>0</v>
      </c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>
        <f t="shared" si="46"/>
        <v>0</v>
      </c>
      <c r="AH89" s="5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4" t="s">
        <v>66</v>
      </c>
      <c r="AV89" s="4" t="s">
        <v>1220</v>
      </c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>
        <f t="shared" si="45"/>
        <v>0</v>
      </c>
      <c r="BN89" s="9">
        <f t="shared" si="36"/>
        <v>0</v>
      </c>
      <c r="BO89" s="9">
        <f t="shared" si="37"/>
        <v>0</v>
      </c>
      <c r="BP89" s="9">
        <f t="shared" si="38"/>
        <v>0</v>
      </c>
      <c r="BQ89" s="9">
        <f t="shared" si="39"/>
        <v>0</v>
      </c>
      <c r="BR89" s="9">
        <f t="shared" si="40"/>
        <v>0</v>
      </c>
      <c r="BS89" s="9">
        <f t="shared" si="41"/>
        <v>0</v>
      </c>
      <c r="BT89" s="9">
        <f t="shared" si="42"/>
        <v>0</v>
      </c>
    </row>
    <row r="90" spans="1:72" hidden="1" x14ac:dyDescent="0.25">
      <c r="A90" s="11">
        <f t="shared" si="33"/>
        <v>89</v>
      </c>
      <c r="B90" s="4" t="s">
        <v>411</v>
      </c>
      <c r="C90" s="6" t="s">
        <v>128</v>
      </c>
      <c r="D90" s="4" t="s">
        <v>396</v>
      </c>
      <c r="E90" s="4" t="s">
        <v>384</v>
      </c>
      <c r="F90" s="4" t="s">
        <v>393</v>
      </c>
      <c r="G90" s="4" t="s">
        <v>401</v>
      </c>
      <c r="H90" s="4" t="s">
        <v>318</v>
      </c>
      <c r="I90" s="4"/>
      <c r="J90" s="4"/>
      <c r="K90" s="4" t="s">
        <v>402</v>
      </c>
      <c r="L90" s="13">
        <v>400000</v>
      </c>
      <c r="M90" s="4" t="s">
        <v>52</v>
      </c>
      <c r="N90" s="4"/>
      <c r="O90" s="4" t="s">
        <v>413</v>
      </c>
      <c r="P90" s="3" t="s">
        <v>403</v>
      </c>
      <c r="Q90" s="17">
        <v>6</v>
      </c>
      <c r="R90" s="1">
        <f t="shared" si="34"/>
        <v>150000</v>
      </c>
      <c r="S90" s="2">
        <v>222000</v>
      </c>
      <c r="T90" s="2">
        <f t="shared" si="35"/>
        <v>25000</v>
      </c>
      <c r="U90" s="13"/>
      <c r="V90" s="13"/>
      <c r="W90" s="13"/>
      <c r="X90" s="13">
        <v>2000</v>
      </c>
      <c r="Y90" s="13">
        <v>3000</v>
      </c>
      <c r="Z90" s="13">
        <v>4000</v>
      </c>
      <c r="AA90" s="13">
        <v>5000</v>
      </c>
      <c r="AB90" s="13">
        <v>5000</v>
      </c>
      <c r="AC90" s="13">
        <v>5000</v>
      </c>
      <c r="AD90" s="13">
        <v>5000</v>
      </c>
      <c r="AE90" s="13">
        <v>5000</v>
      </c>
      <c r="AF90" s="13">
        <v>5000</v>
      </c>
      <c r="AG90" s="13">
        <f t="shared" si="46"/>
        <v>5000</v>
      </c>
      <c r="AH90" s="5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4" t="s">
        <v>66</v>
      </c>
      <c r="AV90" s="4" t="s">
        <v>1220</v>
      </c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>
        <f t="shared" si="45"/>
        <v>18000</v>
      </c>
      <c r="BN90" s="9">
        <f t="shared" si="36"/>
        <v>24000</v>
      </c>
      <c r="BO90" s="9">
        <f t="shared" si="37"/>
        <v>30000</v>
      </c>
      <c r="BP90" s="9">
        <f t="shared" si="38"/>
        <v>30000</v>
      </c>
      <c r="BQ90" s="9">
        <f t="shared" si="39"/>
        <v>30000</v>
      </c>
      <c r="BR90" s="9">
        <f t="shared" si="40"/>
        <v>30000</v>
      </c>
      <c r="BS90" s="9">
        <f t="shared" si="41"/>
        <v>30000</v>
      </c>
      <c r="BT90" s="9">
        <f t="shared" si="42"/>
        <v>30000</v>
      </c>
    </row>
    <row r="91" spans="1:72" hidden="1" x14ac:dyDescent="0.25">
      <c r="A91" s="11">
        <f t="shared" si="33"/>
        <v>90</v>
      </c>
      <c r="B91" s="4" t="s">
        <v>411</v>
      </c>
      <c r="C91" s="6" t="s">
        <v>128</v>
      </c>
      <c r="D91" s="4" t="s">
        <v>396</v>
      </c>
      <c r="E91" s="4" t="s">
        <v>384</v>
      </c>
      <c r="F91" s="4" t="s">
        <v>393</v>
      </c>
      <c r="G91" s="4" t="s">
        <v>414</v>
      </c>
      <c r="H91" s="4" t="s">
        <v>415</v>
      </c>
      <c r="I91" s="4"/>
      <c r="J91" s="4"/>
      <c r="K91" s="4" t="s">
        <v>402</v>
      </c>
      <c r="L91" s="13">
        <v>400000</v>
      </c>
      <c r="M91" s="4" t="s">
        <v>51</v>
      </c>
      <c r="N91" s="4"/>
      <c r="O91" s="4" t="s">
        <v>416</v>
      </c>
      <c r="P91" s="3"/>
      <c r="Q91" s="17"/>
      <c r="R91" s="1">
        <f t="shared" si="34"/>
        <v>0</v>
      </c>
      <c r="S91" s="2">
        <v>0</v>
      </c>
      <c r="T91" s="2">
        <f t="shared" si="35"/>
        <v>0</v>
      </c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>
        <f t="shared" si="46"/>
        <v>0</v>
      </c>
      <c r="AH91" s="5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4" t="s">
        <v>66</v>
      </c>
      <c r="AV91" s="4" t="s">
        <v>1220</v>
      </c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>
        <f t="shared" si="45"/>
        <v>0</v>
      </c>
      <c r="BN91" s="9">
        <f t="shared" si="36"/>
        <v>0</v>
      </c>
      <c r="BO91" s="9">
        <f t="shared" si="37"/>
        <v>0</v>
      </c>
      <c r="BP91" s="9">
        <f t="shared" si="38"/>
        <v>0</v>
      </c>
      <c r="BQ91" s="9">
        <f t="shared" si="39"/>
        <v>0</v>
      </c>
      <c r="BR91" s="9">
        <f t="shared" si="40"/>
        <v>0</v>
      </c>
      <c r="BS91" s="9">
        <f t="shared" si="41"/>
        <v>0</v>
      </c>
      <c r="BT91" s="9">
        <f t="shared" si="42"/>
        <v>0</v>
      </c>
    </row>
    <row r="92" spans="1:72" hidden="1" x14ac:dyDescent="0.25">
      <c r="A92" s="11">
        <f t="shared" si="33"/>
        <v>91</v>
      </c>
      <c r="B92" s="4" t="s">
        <v>417</v>
      </c>
      <c r="C92" s="6" t="s">
        <v>59</v>
      </c>
      <c r="D92" s="4" t="s">
        <v>396</v>
      </c>
      <c r="E92" s="4" t="s">
        <v>384</v>
      </c>
      <c r="F92" s="4" t="s">
        <v>393</v>
      </c>
      <c r="G92" s="4" t="s">
        <v>418</v>
      </c>
      <c r="H92" s="4" t="s">
        <v>419</v>
      </c>
      <c r="I92" s="4"/>
      <c r="J92" s="4"/>
      <c r="K92" s="4" t="s">
        <v>420</v>
      </c>
      <c r="L92" s="13">
        <v>100000</v>
      </c>
      <c r="M92" s="4" t="s">
        <v>52</v>
      </c>
      <c r="N92" s="4"/>
      <c r="O92" s="4"/>
      <c r="P92" s="3"/>
      <c r="Q92" s="17">
        <v>2.5</v>
      </c>
      <c r="R92" s="1">
        <f t="shared" si="34"/>
        <v>0</v>
      </c>
      <c r="S92" s="2">
        <v>82500</v>
      </c>
      <c r="T92" s="2">
        <f t="shared" si="35"/>
        <v>0</v>
      </c>
      <c r="U92" s="13"/>
      <c r="V92" s="13"/>
      <c r="W92" s="13"/>
      <c r="X92" s="13"/>
      <c r="Y92" s="13"/>
      <c r="Z92" s="13">
        <v>3000</v>
      </c>
      <c r="AA92" s="13">
        <v>5000</v>
      </c>
      <c r="AB92" s="13"/>
      <c r="AC92" s="13"/>
      <c r="AD92" s="13"/>
      <c r="AE92" s="13"/>
      <c r="AF92" s="13"/>
      <c r="AG92" s="13">
        <f t="shared" si="46"/>
        <v>0</v>
      </c>
      <c r="AH92" s="5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4" t="s">
        <v>66</v>
      </c>
      <c r="AV92" s="4" t="s">
        <v>1220</v>
      </c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>
        <f t="shared" si="45"/>
        <v>0</v>
      </c>
      <c r="BN92" s="9">
        <f t="shared" si="36"/>
        <v>7500</v>
      </c>
      <c r="BO92" s="9">
        <f t="shared" si="37"/>
        <v>12500</v>
      </c>
      <c r="BP92" s="9">
        <f t="shared" si="38"/>
        <v>0</v>
      </c>
      <c r="BQ92" s="9">
        <f t="shared" si="39"/>
        <v>0</v>
      </c>
      <c r="BR92" s="9">
        <f t="shared" si="40"/>
        <v>0</v>
      </c>
      <c r="BS92" s="9">
        <f t="shared" si="41"/>
        <v>0</v>
      </c>
      <c r="BT92" s="9">
        <f t="shared" si="42"/>
        <v>0</v>
      </c>
    </row>
    <row r="93" spans="1:72" hidden="1" x14ac:dyDescent="0.25">
      <c r="A93" s="11">
        <f t="shared" si="33"/>
        <v>92</v>
      </c>
      <c r="B93" s="4" t="s">
        <v>421</v>
      </c>
      <c r="C93" s="6" t="s">
        <v>59</v>
      </c>
      <c r="D93" s="4" t="s">
        <v>396</v>
      </c>
      <c r="E93" s="4" t="s">
        <v>384</v>
      </c>
      <c r="F93" s="4" t="s">
        <v>393</v>
      </c>
      <c r="G93" s="4" t="s">
        <v>401</v>
      </c>
      <c r="H93" s="4" t="s">
        <v>318</v>
      </c>
      <c r="I93" s="4"/>
      <c r="J93" s="4"/>
      <c r="K93" s="4" t="s">
        <v>402</v>
      </c>
      <c r="L93" s="13">
        <v>300000</v>
      </c>
      <c r="M93" s="4" t="s">
        <v>55</v>
      </c>
      <c r="N93" s="4"/>
      <c r="O93" s="4"/>
      <c r="P93" s="3" t="s">
        <v>403</v>
      </c>
      <c r="Q93" s="17">
        <v>6</v>
      </c>
      <c r="R93" s="1">
        <f t="shared" si="34"/>
        <v>60000</v>
      </c>
      <c r="S93" s="2">
        <v>96000</v>
      </c>
      <c r="T93" s="2">
        <f t="shared" si="35"/>
        <v>10000</v>
      </c>
      <c r="U93" s="13">
        <v>2000</v>
      </c>
      <c r="V93" s="13">
        <v>2000</v>
      </c>
      <c r="W93" s="13">
        <v>2000</v>
      </c>
      <c r="X93" s="13">
        <v>2000</v>
      </c>
      <c r="Y93" s="13">
        <v>2000</v>
      </c>
      <c r="Z93" s="13">
        <v>2000</v>
      </c>
      <c r="AA93" s="13">
        <v>2000</v>
      </c>
      <c r="AB93" s="13">
        <v>2000</v>
      </c>
      <c r="AC93" s="13">
        <v>2000</v>
      </c>
      <c r="AD93" s="13">
        <v>2000</v>
      </c>
      <c r="AE93" s="13">
        <v>2000</v>
      </c>
      <c r="AF93" s="13">
        <v>2000</v>
      </c>
      <c r="AG93" s="13">
        <f>AF93</f>
        <v>2000</v>
      </c>
      <c r="AH93" s="5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4" t="s">
        <v>66</v>
      </c>
      <c r="AV93" s="4" t="s">
        <v>1220</v>
      </c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>
        <f t="shared" si="45"/>
        <v>12000</v>
      </c>
      <c r="BN93" s="9">
        <f t="shared" si="36"/>
        <v>12000</v>
      </c>
      <c r="BO93" s="9">
        <f t="shared" si="37"/>
        <v>12000</v>
      </c>
      <c r="BP93" s="9">
        <f t="shared" si="38"/>
        <v>12000</v>
      </c>
      <c r="BQ93" s="9">
        <f t="shared" si="39"/>
        <v>12000</v>
      </c>
      <c r="BR93" s="9">
        <f t="shared" si="40"/>
        <v>12000</v>
      </c>
      <c r="BS93" s="9">
        <f t="shared" si="41"/>
        <v>12000</v>
      </c>
      <c r="BT93" s="9">
        <f t="shared" si="42"/>
        <v>12000</v>
      </c>
    </row>
    <row r="94" spans="1:72" hidden="1" x14ac:dyDescent="0.25">
      <c r="A94" s="11">
        <f t="shared" si="33"/>
        <v>93</v>
      </c>
      <c r="B94" s="4" t="s">
        <v>422</v>
      </c>
      <c r="C94" s="6" t="s">
        <v>59</v>
      </c>
      <c r="D94" s="4" t="s">
        <v>423</v>
      </c>
      <c r="E94" s="4" t="s">
        <v>384</v>
      </c>
      <c r="F94" s="4" t="s">
        <v>372</v>
      </c>
      <c r="G94" s="43" t="s">
        <v>424</v>
      </c>
      <c r="H94" s="77" t="s">
        <v>425</v>
      </c>
      <c r="I94" s="6"/>
      <c r="J94" s="6"/>
      <c r="K94" s="5"/>
      <c r="L94" s="5"/>
      <c r="M94" s="6" t="s">
        <v>310</v>
      </c>
      <c r="N94" s="5"/>
      <c r="O94" s="5"/>
      <c r="P94" s="5"/>
      <c r="Q94" s="14">
        <v>7.5</v>
      </c>
      <c r="R94" s="1">
        <f t="shared" si="34"/>
        <v>112500</v>
      </c>
      <c r="S94" s="2">
        <v>180000</v>
      </c>
      <c r="T94" s="2">
        <f t="shared" si="35"/>
        <v>15000</v>
      </c>
      <c r="U94" s="13">
        <v>0</v>
      </c>
      <c r="V94" s="13">
        <v>0</v>
      </c>
      <c r="W94" s="13">
        <v>3000</v>
      </c>
      <c r="X94" s="13"/>
      <c r="Y94" s="13">
        <v>3000</v>
      </c>
      <c r="Z94" s="13">
        <v>3000</v>
      </c>
      <c r="AA94" s="13">
        <v>3000</v>
      </c>
      <c r="AB94" s="13">
        <v>3000</v>
      </c>
      <c r="AC94" s="13">
        <v>3000</v>
      </c>
      <c r="AD94" s="13">
        <v>3000</v>
      </c>
      <c r="AE94" s="13">
        <v>3000</v>
      </c>
      <c r="AF94" s="13">
        <v>3000</v>
      </c>
      <c r="AG94" s="13">
        <f>AF94</f>
        <v>3000</v>
      </c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4" t="s">
        <v>66</v>
      </c>
      <c r="AV94" s="4" t="s">
        <v>1217</v>
      </c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9">
        <f t="shared" si="45"/>
        <v>22500</v>
      </c>
      <c r="BN94" s="9">
        <f t="shared" si="36"/>
        <v>22500</v>
      </c>
      <c r="BO94" s="9">
        <f t="shared" si="37"/>
        <v>22500</v>
      </c>
      <c r="BP94" s="9">
        <f t="shared" si="38"/>
        <v>22500</v>
      </c>
      <c r="BQ94" s="9">
        <f t="shared" si="39"/>
        <v>22500</v>
      </c>
      <c r="BR94" s="9">
        <f t="shared" si="40"/>
        <v>22500</v>
      </c>
      <c r="BS94" s="9">
        <f t="shared" si="41"/>
        <v>22500</v>
      </c>
      <c r="BT94" s="9">
        <f t="shared" si="42"/>
        <v>22500</v>
      </c>
    </row>
    <row r="95" spans="1:72" hidden="1" x14ac:dyDescent="0.25">
      <c r="A95" s="11">
        <f t="shared" si="33"/>
        <v>94</v>
      </c>
      <c r="B95" s="5" t="s">
        <v>426</v>
      </c>
      <c r="C95" s="5" t="s">
        <v>128</v>
      </c>
      <c r="D95" s="5" t="s">
        <v>427</v>
      </c>
      <c r="E95" s="5" t="s">
        <v>384</v>
      </c>
      <c r="F95" s="5" t="s">
        <v>428</v>
      </c>
      <c r="G95" s="6" t="s">
        <v>429</v>
      </c>
      <c r="H95" s="4" t="s">
        <v>430</v>
      </c>
      <c r="I95" s="6"/>
      <c r="J95" s="6"/>
      <c r="K95" s="13"/>
      <c r="L95" s="13">
        <v>500000</v>
      </c>
      <c r="M95" s="4" t="s">
        <v>134</v>
      </c>
      <c r="N95" s="13"/>
      <c r="O95" s="13"/>
      <c r="P95" s="13"/>
      <c r="Q95" s="17">
        <v>2.2999999999999998</v>
      </c>
      <c r="R95" s="1">
        <f t="shared" si="34"/>
        <v>23000</v>
      </c>
      <c r="S95" s="2">
        <v>92000</v>
      </c>
      <c r="T95" s="2">
        <f t="shared" si="35"/>
        <v>10000</v>
      </c>
      <c r="U95" s="13">
        <v>5000</v>
      </c>
      <c r="V95" s="13">
        <v>5000</v>
      </c>
      <c r="W95" s="13">
        <v>5000</v>
      </c>
      <c r="X95" s="13">
        <v>5000</v>
      </c>
      <c r="Y95" s="13">
        <v>5000</v>
      </c>
      <c r="Z95" s="13">
        <v>5000</v>
      </c>
      <c r="AA95" s="13">
        <v>5000</v>
      </c>
      <c r="AB95" s="13">
        <v>2000</v>
      </c>
      <c r="AC95" s="13">
        <v>2000</v>
      </c>
      <c r="AD95" s="13">
        <v>2000</v>
      </c>
      <c r="AE95" s="13">
        <v>2000</v>
      </c>
      <c r="AF95" s="13">
        <v>2000</v>
      </c>
      <c r="AG95" s="13">
        <f>AF95</f>
        <v>2000</v>
      </c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4" t="s">
        <v>66</v>
      </c>
      <c r="AV95" s="4" t="s">
        <v>826</v>
      </c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9">
        <f t="shared" si="45"/>
        <v>11500</v>
      </c>
      <c r="BN95" s="9">
        <f t="shared" si="36"/>
        <v>11500</v>
      </c>
      <c r="BO95" s="9">
        <f t="shared" si="37"/>
        <v>11500</v>
      </c>
      <c r="BP95" s="9">
        <f t="shared" si="38"/>
        <v>4600</v>
      </c>
      <c r="BQ95" s="9">
        <f t="shared" si="39"/>
        <v>4600</v>
      </c>
      <c r="BR95" s="9">
        <f t="shared" si="40"/>
        <v>4600</v>
      </c>
      <c r="BS95" s="9">
        <f t="shared" si="41"/>
        <v>4600</v>
      </c>
      <c r="BT95" s="9">
        <f t="shared" si="42"/>
        <v>4600</v>
      </c>
    </row>
    <row r="96" spans="1:72" hidden="1" x14ac:dyDescent="0.25">
      <c r="A96" s="11">
        <f t="shared" si="33"/>
        <v>95</v>
      </c>
      <c r="B96" s="5" t="s">
        <v>431</v>
      </c>
      <c r="C96" s="5" t="s">
        <v>59</v>
      </c>
      <c r="D96" s="5" t="s">
        <v>432</v>
      </c>
      <c r="E96" s="5" t="s">
        <v>384</v>
      </c>
      <c r="F96" s="5" t="s">
        <v>433</v>
      </c>
      <c r="G96" s="6" t="s">
        <v>378</v>
      </c>
      <c r="H96" s="4" t="s">
        <v>438</v>
      </c>
      <c r="I96" s="6"/>
      <c r="J96" s="6"/>
      <c r="K96" s="13"/>
      <c r="L96" s="13"/>
      <c r="M96" s="6" t="s">
        <v>297</v>
      </c>
      <c r="N96" s="13"/>
      <c r="O96" s="13"/>
      <c r="P96" s="13"/>
      <c r="Q96" s="17">
        <v>2.4969999999999999</v>
      </c>
      <c r="R96" s="1">
        <f t="shared" si="34"/>
        <v>0</v>
      </c>
      <c r="S96" s="2">
        <v>0</v>
      </c>
      <c r="T96" s="2">
        <f t="shared" si="35"/>
        <v>0</v>
      </c>
      <c r="U96" s="13"/>
      <c r="V96" s="13"/>
      <c r="W96" s="13"/>
      <c r="X96" s="13"/>
      <c r="Y96" s="13">
        <v>200</v>
      </c>
      <c r="Z96" s="13"/>
      <c r="AA96" s="13">
        <v>3000</v>
      </c>
      <c r="AB96" s="13"/>
      <c r="AC96" s="13"/>
      <c r="AD96" s="13"/>
      <c r="AE96" s="13"/>
      <c r="AF96" s="13"/>
      <c r="AG96" s="13">
        <f t="shared" ref="AG96:AG98" si="47">AF96</f>
        <v>0</v>
      </c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4" t="s">
        <v>66</v>
      </c>
      <c r="AV96" s="4" t="s">
        <v>826</v>
      </c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9">
        <f t="shared" si="45"/>
        <v>499.4</v>
      </c>
      <c r="BN96" s="9">
        <f t="shared" si="36"/>
        <v>0</v>
      </c>
      <c r="BO96" s="9">
        <f t="shared" si="37"/>
        <v>7491</v>
      </c>
      <c r="BP96" s="9">
        <f t="shared" si="38"/>
        <v>0</v>
      </c>
      <c r="BQ96" s="9">
        <f t="shared" si="39"/>
        <v>0</v>
      </c>
      <c r="BR96" s="9">
        <f t="shared" si="40"/>
        <v>0</v>
      </c>
      <c r="BS96" s="9">
        <f t="shared" si="41"/>
        <v>0</v>
      </c>
      <c r="BT96" s="9">
        <f t="shared" si="42"/>
        <v>0</v>
      </c>
    </row>
    <row r="97" spans="1:72" hidden="1" x14ac:dyDescent="0.25">
      <c r="A97" s="11">
        <f t="shared" si="33"/>
        <v>96</v>
      </c>
      <c r="B97" s="5" t="s">
        <v>434</v>
      </c>
      <c r="C97" s="5" t="s">
        <v>59</v>
      </c>
      <c r="D97" s="5" t="s">
        <v>432</v>
      </c>
      <c r="E97" s="5" t="s">
        <v>384</v>
      </c>
      <c r="F97" s="5" t="s">
        <v>433</v>
      </c>
      <c r="G97" s="6" t="s">
        <v>177</v>
      </c>
      <c r="H97" s="4" t="s">
        <v>439</v>
      </c>
      <c r="I97" s="6"/>
      <c r="J97" s="6"/>
      <c r="K97" s="13"/>
      <c r="L97" s="13"/>
      <c r="M97" s="6" t="s">
        <v>297</v>
      </c>
      <c r="N97" s="13"/>
      <c r="O97" s="13"/>
      <c r="P97" s="13"/>
      <c r="Q97" s="17">
        <v>0.20499999999999999</v>
      </c>
      <c r="R97" s="1">
        <f t="shared" si="34"/>
        <v>0</v>
      </c>
      <c r="S97" s="2">
        <v>0</v>
      </c>
      <c r="T97" s="2">
        <f t="shared" si="35"/>
        <v>0</v>
      </c>
      <c r="U97" s="13"/>
      <c r="V97" s="13"/>
      <c r="W97" s="13"/>
      <c r="X97" s="13"/>
      <c r="Y97" s="13">
        <v>50000</v>
      </c>
      <c r="Z97" s="13"/>
      <c r="AA97" s="13"/>
      <c r="AB97" s="13"/>
      <c r="AC97" s="13"/>
      <c r="AD97" s="13"/>
      <c r="AE97" s="13"/>
      <c r="AF97" s="13"/>
      <c r="AG97" s="13">
        <f t="shared" si="47"/>
        <v>0</v>
      </c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4" t="s">
        <v>66</v>
      </c>
      <c r="AV97" s="4" t="s">
        <v>1218</v>
      </c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9">
        <f t="shared" si="45"/>
        <v>10250</v>
      </c>
      <c r="BN97" s="9">
        <f t="shared" si="36"/>
        <v>0</v>
      </c>
      <c r="BO97" s="9">
        <f t="shared" si="37"/>
        <v>0</v>
      </c>
      <c r="BP97" s="9">
        <f t="shared" si="38"/>
        <v>0</v>
      </c>
      <c r="BQ97" s="9">
        <f t="shared" si="39"/>
        <v>0</v>
      </c>
      <c r="BR97" s="9">
        <f t="shared" si="40"/>
        <v>0</v>
      </c>
      <c r="BS97" s="9">
        <f t="shared" si="41"/>
        <v>0</v>
      </c>
      <c r="BT97" s="9">
        <f t="shared" si="42"/>
        <v>0</v>
      </c>
    </row>
    <row r="98" spans="1:72" hidden="1" x14ac:dyDescent="0.25">
      <c r="A98" s="11">
        <f t="shared" si="33"/>
        <v>97</v>
      </c>
      <c r="B98" s="5" t="s">
        <v>1022</v>
      </c>
      <c r="C98" s="5" t="s">
        <v>59</v>
      </c>
      <c r="D98" s="5" t="s">
        <v>1023</v>
      </c>
      <c r="E98" s="5" t="s">
        <v>174</v>
      </c>
      <c r="F98" s="5" t="s">
        <v>1000</v>
      </c>
      <c r="G98" s="6" t="s">
        <v>116</v>
      </c>
      <c r="H98" s="4" t="s">
        <v>117</v>
      </c>
      <c r="I98" s="6"/>
      <c r="J98" s="6"/>
      <c r="K98" s="13" t="s">
        <v>1013</v>
      </c>
      <c r="L98" s="13">
        <v>500000</v>
      </c>
      <c r="M98" s="6" t="s">
        <v>297</v>
      </c>
      <c r="N98" s="13" t="s">
        <v>444</v>
      </c>
      <c r="O98" s="13" t="s">
        <v>445</v>
      </c>
      <c r="P98" s="13"/>
      <c r="Q98" s="17">
        <v>0.37</v>
      </c>
      <c r="R98" s="1">
        <f t="shared" si="34"/>
        <v>0</v>
      </c>
      <c r="S98" s="2"/>
      <c r="T98" s="2">
        <f t="shared" si="35"/>
        <v>0</v>
      </c>
      <c r="U98" s="13">
        <v>0</v>
      </c>
      <c r="V98" s="13">
        <v>0</v>
      </c>
      <c r="W98" s="13">
        <v>0</v>
      </c>
      <c r="X98" s="13">
        <v>0</v>
      </c>
      <c r="Y98" s="13">
        <v>1</v>
      </c>
      <c r="Z98" s="13">
        <v>3000</v>
      </c>
      <c r="AA98" s="13">
        <v>18000</v>
      </c>
      <c r="AB98" s="13"/>
      <c r="AC98" s="13"/>
      <c r="AD98" s="13"/>
      <c r="AE98" s="13"/>
      <c r="AF98" s="13"/>
      <c r="AG98" s="13">
        <f t="shared" si="47"/>
        <v>0</v>
      </c>
      <c r="AH98" s="5">
        <v>0</v>
      </c>
      <c r="AI98" s="5">
        <v>0</v>
      </c>
      <c r="AJ98" s="5">
        <v>0</v>
      </c>
      <c r="AK98" s="5">
        <v>0</v>
      </c>
      <c r="AL98" s="5"/>
      <c r="AM98" s="5"/>
      <c r="AN98" s="5"/>
      <c r="AO98" s="5"/>
      <c r="AP98" s="5"/>
      <c r="AQ98" s="5"/>
      <c r="AR98" s="5"/>
      <c r="AS98" s="5"/>
      <c r="AT98" s="5"/>
      <c r="AU98" s="4" t="s">
        <v>685</v>
      </c>
      <c r="AV98" s="4" t="s">
        <v>1218</v>
      </c>
      <c r="AW98" s="5" t="s">
        <v>98</v>
      </c>
      <c r="AX98" s="5" t="s">
        <v>753</v>
      </c>
      <c r="AY98" s="5" t="s">
        <v>1001</v>
      </c>
      <c r="AZ98" s="5" t="s">
        <v>572</v>
      </c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9">
        <f t="shared" si="45"/>
        <v>0.37</v>
      </c>
      <c r="BN98" s="9">
        <f t="shared" si="36"/>
        <v>1110</v>
      </c>
      <c r="BO98" s="9">
        <f t="shared" si="37"/>
        <v>6660</v>
      </c>
      <c r="BP98" s="9">
        <f t="shared" si="38"/>
        <v>0</v>
      </c>
      <c r="BQ98" s="9">
        <f t="shared" si="39"/>
        <v>0</v>
      </c>
      <c r="BR98" s="9">
        <f t="shared" si="40"/>
        <v>0</v>
      </c>
      <c r="BS98" s="9">
        <f t="shared" si="41"/>
        <v>0</v>
      </c>
      <c r="BT98" s="9">
        <f t="shared" si="42"/>
        <v>0</v>
      </c>
    </row>
    <row r="99" spans="1:72" hidden="1" x14ac:dyDescent="0.25">
      <c r="A99" s="11">
        <f t="shared" si="33"/>
        <v>98</v>
      </c>
      <c r="B99" s="5" t="s">
        <v>1022</v>
      </c>
      <c r="C99" s="5" t="s">
        <v>59</v>
      </c>
      <c r="D99" s="5" t="s">
        <v>1023</v>
      </c>
      <c r="E99" s="5" t="s">
        <v>174</v>
      </c>
      <c r="F99" s="5" t="s">
        <v>1000</v>
      </c>
      <c r="G99" s="6" t="s">
        <v>93</v>
      </c>
      <c r="H99" s="4" t="s">
        <v>94</v>
      </c>
      <c r="I99" s="6"/>
      <c r="J99" s="6"/>
      <c r="K99" s="13" t="s">
        <v>1014</v>
      </c>
      <c r="L99" s="13">
        <v>100000</v>
      </c>
      <c r="M99" s="6" t="s">
        <v>74</v>
      </c>
      <c r="N99" s="13" t="s">
        <v>446</v>
      </c>
      <c r="O99" s="13" t="s">
        <v>447</v>
      </c>
      <c r="P99" s="13"/>
      <c r="Q99" s="17">
        <v>0.77600000000000002</v>
      </c>
      <c r="R99" s="1">
        <f t="shared" si="34"/>
        <v>271600</v>
      </c>
      <c r="S99" s="2"/>
      <c r="T99" s="2">
        <f t="shared" si="35"/>
        <v>350000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40000</v>
      </c>
      <c r="AA99" s="13">
        <v>60000</v>
      </c>
      <c r="AB99" s="13">
        <v>70000</v>
      </c>
      <c r="AC99" s="13">
        <v>70000</v>
      </c>
      <c r="AD99" s="13">
        <v>70000</v>
      </c>
      <c r="AE99" s="13">
        <v>70000</v>
      </c>
      <c r="AF99" s="13">
        <v>70000</v>
      </c>
      <c r="AG99" s="13">
        <v>70000</v>
      </c>
      <c r="AH99" s="5">
        <v>0</v>
      </c>
      <c r="AI99" s="5">
        <v>0</v>
      </c>
      <c r="AJ99" s="5">
        <v>0</v>
      </c>
      <c r="AK99" s="5">
        <v>0</v>
      </c>
      <c r="AL99" s="5"/>
      <c r="AM99" s="5"/>
      <c r="AN99" s="5"/>
      <c r="AO99" s="5"/>
      <c r="AP99" s="5"/>
      <c r="AQ99" s="5"/>
      <c r="AR99" s="5"/>
      <c r="AS99" s="5"/>
      <c r="AT99" s="5"/>
      <c r="AU99" s="4" t="s">
        <v>685</v>
      </c>
      <c r="AV99" s="4" t="s">
        <v>1218</v>
      </c>
      <c r="AW99" s="5" t="s">
        <v>98</v>
      </c>
      <c r="AX99" s="5" t="s">
        <v>110</v>
      </c>
      <c r="AY99" s="5" t="s">
        <v>172</v>
      </c>
      <c r="AZ99" s="5" t="s">
        <v>171</v>
      </c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9">
        <f t="shared" si="45"/>
        <v>0</v>
      </c>
      <c r="BN99" s="9">
        <f t="shared" si="36"/>
        <v>31040</v>
      </c>
      <c r="BO99" s="9">
        <f t="shared" si="37"/>
        <v>46560</v>
      </c>
      <c r="BP99" s="9">
        <f t="shared" si="38"/>
        <v>54320</v>
      </c>
      <c r="BQ99" s="9">
        <f t="shared" si="39"/>
        <v>54320</v>
      </c>
      <c r="BR99" s="9">
        <f t="shared" si="40"/>
        <v>54320</v>
      </c>
      <c r="BS99" s="9">
        <f t="shared" si="41"/>
        <v>54320</v>
      </c>
      <c r="BT99" s="9">
        <f t="shared" si="42"/>
        <v>54320</v>
      </c>
    </row>
    <row r="100" spans="1:72" hidden="1" x14ac:dyDescent="0.25">
      <c r="A100" s="11">
        <f t="shared" si="33"/>
        <v>99</v>
      </c>
      <c r="B100" s="5" t="s">
        <v>1024</v>
      </c>
      <c r="C100" s="5" t="s">
        <v>128</v>
      </c>
      <c r="D100" s="5" t="s">
        <v>1023</v>
      </c>
      <c r="E100" s="5" t="s">
        <v>174</v>
      </c>
      <c r="F100" s="5" t="s">
        <v>1000</v>
      </c>
      <c r="G100" s="43" t="s">
        <v>563</v>
      </c>
      <c r="H100" s="4" t="s">
        <v>1815</v>
      </c>
      <c r="I100" s="6"/>
      <c r="J100" s="6"/>
      <c r="K100" s="13" t="s">
        <v>585</v>
      </c>
      <c r="L100" s="13" t="s">
        <v>1015</v>
      </c>
      <c r="M100" s="6" t="s">
        <v>291</v>
      </c>
      <c r="N100" s="13" t="s">
        <v>1025</v>
      </c>
      <c r="O100" s="13"/>
      <c r="P100" s="13"/>
      <c r="Q100" s="17">
        <v>1.55</v>
      </c>
      <c r="R100" s="1">
        <f t="shared" si="34"/>
        <v>775000</v>
      </c>
      <c r="S100" s="2"/>
      <c r="T100" s="2">
        <f t="shared" si="35"/>
        <v>500000</v>
      </c>
      <c r="U100" s="13">
        <v>70000</v>
      </c>
      <c r="V100" s="13">
        <v>70000</v>
      </c>
      <c r="W100" s="13">
        <v>70000</v>
      </c>
      <c r="X100" s="13">
        <v>70000</v>
      </c>
      <c r="Y100" s="13">
        <v>70000</v>
      </c>
      <c r="Z100" s="13">
        <v>70000</v>
      </c>
      <c r="AA100" s="13">
        <v>70000</v>
      </c>
      <c r="AB100" s="13">
        <v>100000</v>
      </c>
      <c r="AC100" s="13">
        <v>100000</v>
      </c>
      <c r="AD100" s="13">
        <v>100000</v>
      </c>
      <c r="AE100" s="13">
        <v>100000</v>
      </c>
      <c r="AF100" s="13">
        <v>100000</v>
      </c>
      <c r="AG100" s="13">
        <v>100000</v>
      </c>
      <c r="AH100" s="5">
        <v>0</v>
      </c>
      <c r="AI100" s="5">
        <v>0</v>
      </c>
      <c r="AJ100" s="5">
        <v>0</v>
      </c>
      <c r="AK100" s="5">
        <v>0</v>
      </c>
      <c r="AL100" s="5"/>
      <c r="AM100" s="5"/>
      <c r="AN100" s="5"/>
      <c r="AO100" s="5"/>
      <c r="AP100" s="5"/>
      <c r="AQ100" s="5"/>
      <c r="AR100" s="5"/>
      <c r="AS100" s="5"/>
      <c r="AT100" s="5"/>
      <c r="AU100" s="4" t="s">
        <v>685</v>
      </c>
      <c r="AV100" s="4" t="s">
        <v>1220</v>
      </c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9">
        <f t="shared" si="45"/>
        <v>108500</v>
      </c>
      <c r="BN100" s="9">
        <f t="shared" si="36"/>
        <v>108500</v>
      </c>
      <c r="BO100" s="9">
        <f t="shared" si="37"/>
        <v>108500</v>
      </c>
      <c r="BP100" s="9">
        <f t="shared" si="38"/>
        <v>155000</v>
      </c>
      <c r="BQ100" s="9">
        <f t="shared" si="39"/>
        <v>155000</v>
      </c>
      <c r="BR100" s="9">
        <f t="shared" si="40"/>
        <v>155000</v>
      </c>
      <c r="BS100" s="9">
        <f t="shared" si="41"/>
        <v>155000</v>
      </c>
      <c r="BT100" s="9">
        <f t="shared" si="42"/>
        <v>155000</v>
      </c>
    </row>
    <row r="101" spans="1:72" hidden="1" x14ac:dyDescent="0.25">
      <c r="A101" s="11">
        <f t="shared" si="33"/>
        <v>100</v>
      </c>
      <c r="B101" s="5" t="s">
        <v>1024</v>
      </c>
      <c r="C101" s="5" t="s">
        <v>128</v>
      </c>
      <c r="D101" s="5" t="s">
        <v>1023</v>
      </c>
      <c r="E101" s="5" t="s">
        <v>174</v>
      </c>
      <c r="F101" s="5" t="s">
        <v>1000</v>
      </c>
      <c r="G101" s="6" t="s">
        <v>441</v>
      </c>
      <c r="H101" s="4" t="s">
        <v>175</v>
      </c>
      <c r="I101" s="6"/>
      <c r="J101" s="6"/>
      <c r="K101" s="13" t="s">
        <v>585</v>
      </c>
      <c r="L101" s="13" t="s">
        <v>1016</v>
      </c>
      <c r="M101" s="6" t="s">
        <v>291</v>
      </c>
      <c r="N101" s="13" t="s">
        <v>448</v>
      </c>
      <c r="O101" s="13"/>
      <c r="P101" s="13"/>
      <c r="Q101" s="17">
        <v>2.25</v>
      </c>
      <c r="R101" s="1">
        <f t="shared" si="34"/>
        <v>33750</v>
      </c>
      <c r="S101" s="2"/>
      <c r="T101" s="2">
        <f t="shared" si="35"/>
        <v>15000</v>
      </c>
      <c r="U101" s="13">
        <v>3000</v>
      </c>
      <c r="V101" s="13">
        <v>3000</v>
      </c>
      <c r="W101" s="13">
        <v>3000</v>
      </c>
      <c r="X101" s="13">
        <v>3000</v>
      </c>
      <c r="Y101" s="13">
        <v>3000</v>
      </c>
      <c r="Z101" s="13">
        <v>3000</v>
      </c>
      <c r="AA101" s="13">
        <v>3000</v>
      </c>
      <c r="AB101" s="13">
        <v>3000</v>
      </c>
      <c r="AC101" s="13">
        <v>3000</v>
      </c>
      <c r="AD101" s="13">
        <v>3000</v>
      </c>
      <c r="AE101" s="13">
        <v>3000</v>
      </c>
      <c r="AF101" s="13">
        <v>3000</v>
      </c>
      <c r="AG101" s="13">
        <v>3000</v>
      </c>
      <c r="AH101" s="5">
        <v>0</v>
      </c>
      <c r="AI101" s="5">
        <v>0</v>
      </c>
      <c r="AJ101" s="5">
        <v>0</v>
      </c>
      <c r="AK101" s="5">
        <v>15000</v>
      </c>
      <c r="AL101" s="5"/>
      <c r="AM101" s="5"/>
      <c r="AN101" s="5"/>
      <c r="AO101" s="5"/>
      <c r="AP101" s="5"/>
      <c r="AQ101" s="5"/>
      <c r="AR101" s="5"/>
      <c r="AS101" s="5"/>
      <c r="AT101" s="5"/>
      <c r="AU101" s="4" t="s">
        <v>685</v>
      </c>
      <c r="AV101" s="4" t="s">
        <v>1220</v>
      </c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9">
        <f t="shared" si="45"/>
        <v>6750</v>
      </c>
      <c r="BN101" s="9">
        <f t="shared" si="36"/>
        <v>6750</v>
      </c>
      <c r="BO101" s="9">
        <f t="shared" si="37"/>
        <v>6750</v>
      </c>
      <c r="BP101" s="9">
        <f t="shared" si="38"/>
        <v>6750</v>
      </c>
      <c r="BQ101" s="9">
        <f t="shared" si="39"/>
        <v>6750</v>
      </c>
      <c r="BR101" s="9">
        <f t="shared" si="40"/>
        <v>6750</v>
      </c>
      <c r="BS101" s="9">
        <f t="shared" si="41"/>
        <v>6750</v>
      </c>
      <c r="BT101" s="9">
        <f t="shared" si="42"/>
        <v>6750</v>
      </c>
    </row>
    <row r="102" spans="1:72" hidden="1" x14ac:dyDescent="0.25">
      <c r="A102" s="11">
        <f t="shared" si="33"/>
        <v>101</v>
      </c>
      <c r="B102" s="5" t="s">
        <v>1024</v>
      </c>
      <c r="C102" s="5" t="s">
        <v>128</v>
      </c>
      <c r="D102" s="5" t="s">
        <v>1023</v>
      </c>
      <c r="E102" s="5" t="s">
        <v>174</v>
      </c>
      <c r="F102" s="5" t="s">
        <v>1000</v>
      </c>
      <c r="G102" s="6" t="s">
        <v>314</v>
      </c>
      <c r="H102" s="4" t="s">
        <v>315</v>
      </c>
      <c r="I102" s="6"/>
      <c r="J102" s="6"/>
      <c r="K102" s="13" t="s">
        <v>585</v>
      </c>
      <c r="L102" s="13" t="s">
        <v>1017</v>
      </c>
      <c r="M102" s="6" t="s">
        <v>291</v>
      </c>
      <c r="N102" s="13" t="s">
        <v>449</v>
      </c>
      <c r="O102" s="13"/>
      <c r="P102" s="13"/>
      <c r="Q102" s="17">
        <v>2.1</v>
      </c>
      <c r="R102" s="1">
        <f t="shared" si="34"/>
        <v>10500</v>
      </c>
      <c r="S102" s="2"/>
      <c r="T102" s="2">
        <f t="shared" si="35"/>
        <v>5000</v>
      </c>
      <c r="U102" s="13">
        <v>1000</v>
      </c>
      <c r="V102" s="13">
        <v>1000</v>
      </c>
      <c r="W102" s="13">
        <v>1000</v>
      </c>
      <c r="X102" s="13">
        <v>1000</v>
      </c>
      <c r="Y102" s="13">
        <v>1000</v>
      </c>
      <c r="Z102" s="13">
        <v>1000</v>
      </c>
      <c r="AA102" s="13">
        <v>1000</v>
      </c>
      <c r="AB102" s="13">
        <v>1000</v>
      </c>
      <c r="AC102" s="13">
        <v>1000</v>
      </c>
      <c r="AD102" s="13">
        <v>1000</v>
      </c>
      <c r="AE102" s="13">
        <v>1000</v>
      </c>
      <c r="AF102" s="13">
        <v>1000</v>
      </c>
      <c r="AG102" s="13">
        <v>1000</v>
      </c>
      <c r="AH102" s="5">
        <v>0</v>
      </c>
      <c r="AI102" s="5">
        <v>0</v>
      </c>
      <c r="AJ102" s="5">
        <v>0</v>
      </c>
      <c r="AK102" s="5">
        <v>0</v>
      </c>
      <c r="AL102" s="5"/>
      <c r="AM102" s="5"/>
      <c r="AN102" s="5"/>
      <c r="AO102" s="5"/>
      <c r="AP102" s="5"/>
      <c r="AQ102" s="5"/>
      <c r="AR102" s="5"/>
      <c r="AS102" s="5"/>
      <c r="AT102" s="5"/>
      <c r="AU102" s="4" t="s">
        <v>685</v>
      </c>
      <c r="AV102" s="4" t="s">
        <v>1220</v>
      </c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9">
        <f t="shared" si="45"/>
        <v>2100</v>
      </c>
      <c r="BN102" s="9">
        <f t="shared" si="36"/>
        <v>2100</v>
      </c>
      <c r="BO102" s="9">
        <f t="shared" si="37"/>
        <v>2100</v>
      </c>
      <c r="BP102" s="9">
        <f t="shared" si="38"/>
        <v>2100</v>
      </c>
      <c r="BQ102" s="9">
        <f t="shared" si="39"/>
        <v>2100</v>
      </c>
      <c r="BR102" s="9">
        <f t="shared" si="40"/>
        <v>2100</v>
      </c>
      <c r="BS102" s="9">
        <f t="shared" si="41"/>
        <v>2100</v>
      </c>
      <c r="BT102" s="9">
        <f t="shared" si="42"/>
        <v>2100</v>
      </c>
    </row>
    <row r="103" spans="1:72" hidden="1" x14ac:dyDescent="0.25">
      <c r="A103" s="11">
        <f t="shared" si="33"/>
        <v>102</v>
      </c>
      <c r="B103" s="5" t="s">
        <v>1024</v>
      </c>
      <c r="C103" s="5" t="s">
        <v>128</v>
      </c>
      <c r="D103" s="5" t="s">
        <v>1023</v>
      </c>
      <c r="E103" s="5" t="s">
        <v>174</v>
      </c>
      <c r="F103" s="5" t="s">
        <v>1000</v>
      </c>
      <c r="G103" s="6" t="s">
        <v>324</v>
      </c>
      <c r="H103" s="4" t="s">
        <v>1718</v>
      </c>
      <c r="I103" s="6"/>
      <c r="J103" s="6"/>
      <c r="K103" s="13"/>
      <c r="L103" s="13"/>
      <c r="M103" s="6"/>
      <c r="N103" s="13"/>
      <c r="O103" s="13"/>
      <c r="P103" s="13"/>
      <c r="Q103" s="60">
        <v>1.95</v>
      </c>
      <c r="R103" s="1">
        <f t="shared" si="34"/>
        <v>9750</v>
      </c>
      <c r="S103" s="2"/>
      <c r="T103" s="2">
        <f t="shared" si="35"/>
        <v>5000</v>
      </c>
      <c r="U103" s="13"/>
      <c r="V103" s="13"/>
      <c r="W103" s="13"/>
      <c r="X103" s="13"/>
      <c r="Y103" s="13"/>
      <c r="Z103" s="13">
        <v>1000</v>
      </c>
      <c r="AA103" s="13">
        <v>1000</v>
      </c>
      <c r="AB103" s="13">
        <v>1000</v>
      </c>
      <c r="AC103" s="13">
        <v>1000</v>
      </c>
      <c r="AD103" s="13">
        <v>1000</v>
      </c>
      <c r="AE103" s="13">
        <v>1000</v>
      </c>
      <c r="AF103" s="13">
        <v>1000</v>
      </c>
      <c r="AG103" s="13">
        <v>1000</v>
      </c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4" t="s">
        <v>685</v>
      </c>
      <c r="AV103" s="4" t="s">
        <v>1220</v>
      </c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9"/>
      <c r="BN103" s="9">
        <f t="shared" si="36"/>
        <v>1950</v>
      </c>
      <c r="BO103" s="9">
        <f t="shared" si="37"/>
        <v>1950</v>
      </c>
      <c r="BP103" s="9">
        <f t="shared" si="38"/>
        <v>1950</v>
      </c>
      <c r="BQ103" s="9">
        <f t="shared" si="39"/>
        <v>1950</v>
      </c>
      <c r="BR103" s="9">
        <f t="shared" si="40"/>
        <v>1950</v>
      </c>
      <c r="BS103" s="9">
        <f t="shared" si="41"/>
        <v>1950</v>
      </c>
      <c r="BT103" s="9">
        <f t="shared" si="42"/>
        <v>1950</v>
      </c>
    </row>
    <row r="104" spans="1:72" hidden="1" x14ac:dyDescent="0.25">
      <c r="A104" s="11">
        <f t="shared" si="33"/>
        <v>103</v>
      </c>
      <c r="B104" s="5" t="s">
        <v>1024</v>
      </c>
      <c r="C104" s="5" t="s">
        <v>128</v>
      </c>
      <c r="D104" s="5" t="s">
        <v>1023</v>
      </c>
      <c r="E104" s="5" t="s">
        <v>174</v>
      </c>
      <c r="F104" s="5" t="s">
        <v>1000</v>
      </c>
      <c r="G104" s="6" t="s">
        <v>1717</v>
      </c>
      <c r="H104" s="4" t="s">
        <v>1719</v>
      </c>
      <c r="I104" s="6"/>
      <c r="J104" s="6"/>
      <c r="K104" s="13"/>
      <c r="L104" s="13"/>
      <c r="M104" s="6"/>
      <c r="N104" s="13"/>
      <c r="O104" s="13"/>
      <c r="P104" s="13"/>
      <c r="Q104" s="17"/>
      <c r="R104" s="1">
        <f t="shared" si="34"/>
        <v>0</v>
      </c>
      <c r="S104" s="2"/>
      <c r="T104" s="2">
        <f t="shared" si="35"/>
        <v>0</v>
      </c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>
        <f>AF104</f>
        <v>0</v>
      </c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4" t="s">
        <v>685</v>
      </c>
      <c r="AV104" s="4" t="s">
        <v>1220</v>
      </c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9"/>
      <c r="BN104" s="9">
        <f t="shared" si="36"/>
        <v>0</v>
      </c>
      <c r="BO104" s="9">
        <f t="shared" si="37"/>
        <v>0</v>
      </c>
      <c r="BP104" s="9">
        <f t="shared" si="38"/>
        <v>0</v>
      </c>
      <c r="BQ104" s="9">
        <f t="shared" si="39"/>
        <v>0</v>
      </c>
      <c r="BR104" s="9">
        <f t="shared" si="40"/>
        <v>0</v>
      </c>
      <c r="BS104" s="9">
        <f t="shared" si="41"/>
        <v>0</v>
      </c>
      <c r="BT104" s="9">
        <f t="shared" si="42"/>
        <v>0</v>
      </c>
    </row>
    <row r="105" spans="1:72" hidden="1" x14ac:dyDescent="0.25">
      <c r="A105" s="11">
        <f t="shared" si="33"/>
        <v>104</v>
      </c>
      <c r="B105" s="5" t="s">
        <v>506</v>
      </c>
      <c r="C105" s="5" t="s">
        <v>128</v>
      </c>
      <c r="D105" s="5" t="s">
        <v>490</v>
      </c>
      <c r="E105" s="5" t="s">
        <v>174</v>
      </c>
      <c r="F105" s="5" t="s">
        <v>479</v>
      </c>
      <c r="G105" s="6" t="s">
        <v>441</v>
      </c>
      <c r="H105" s="4" t="s">
        <v>1720</v>
      </c>
      <c r="I105" s="6"/>
      <c r="J105" s="6"/>
      <c r="K105" s="13" t="s">
        <v>420</v>
      </c>
      <c r="L105" s="13">
        <v>5000000</v>
      </c>
      <c r="M105" s="6" t="s">
        <v>291</v>
      </c>
      <c r="N105" s="13" t="s">
        <v>450</v>
      </c>
      <c r="O105" s="13"/>
      <c r="P105" s="13"/>
      <c r="Q105" s="17">
        <v>2.1800000000000002</v>
      </c>
      <c r="R105" s="1">
        <f t="shared" si="34"/>
        <v>981000.00000000012</v>
      </c>
      <c r="S105" s="2"/>
      <c r="T105" s="2">
        <f t="shared" si="35"/>
        <v>450000</v>
      </c>
      <c r="U105" s="13">
        <v>80000</v>
      </c>
      <c r="V105" s="13">
        <v>80000</v>
      </c>
      <c r="W105" s="13">
        <v>80000</v>
      </c>
      <c r="X105" s="13">
        <v>80000</v>
      </c>
      <c r="Y105" s="13">
        <v>80000</v>
      </c>
      <c r="Z105" s="13">
        <v>80000</v>
      </c>
      <c r="AA105" s="13">
        <v>80000</v>
      </c>
      <c r="AB105" s="13">
        <v>90000</v>
      </c>
      <c r="AC105" s="13">
        <v>90000</v>
      </c>
      <c r="AD105" s="13">
        <v>90000</v>
      </c>
      <c r="AE105" s="13">
        <v>90000</v>
      </c>
      <c r="AF105" s="13">
        <v>90000</v>
      </c>
      <c r="AG105" s="13">
        <v>90000</v>
      </c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4" t="s">
        <v>685</v>
      </c>
      <c r="AV105" s="4" t="s">
        <v>1220</v>
      </c>
      <c r="AW105" s="5"/>
      <c r="AX105" s="5"/>
      <c r="AY105" s="5"/>
      <c r="AZ105" s="5"/>
      <c r="BA105" s="5" t="s">
        <v>1018</v>
      </c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9">
        <f t="shared" si="45"/>
        <v>174400</v>
      </c>
      <c r="BN105" s="9">
        <f t="shared" si="36"/>
        <v>174400</v>
      </c>
      <c r="BO105" s="9">
        <f t="shared" si="37"/>
        <v>174400</v>
      </c>
      <c r="BP105" s="9">
        <f t="shared" si="38"/>
        <v>196200</v>
      </c>
      <c r="BQ105" s="9">
        <f t="shared" si="39"/>
        <v>196200</v>
      </c>
      <c r="BR105" s="9">
        <f t="shared" si="40"/>
        <v>196200</v>
      </c>
      <c r="BS105" s="9">
        <f t="shared" si="41"/>
        <v>196200</v>
      </c>
      <c r="BT105" s="9">
        <f t="shared" si="42"/>
        <v>196200</v>
      </c>
    </row>
    <row r="106" spans="1:72" hidden="1" x14ac:dyDescent="0.25">
      <c r="A106" s="11">
        <f t="shared" si="33"/>
        <v>105</v>
      </c>
      <c r="B106" s="5" t="s">
        <v>506</v>
      </c>
      <c r="C106" s="5" t="s">
        <v>128</v>
      </c>
      <c r="D106" s="5" t="s">
        <v>490</v>
      </c>
      <c r="E106" s="5" t="s">
        <v>174</v>
      </c>
      <c r="F106" s="5" t="s">
        <v>479</v>
      </c>
      <c r="G106" s="6" t="s">
        <v>440</v>
      </c>
      <c r="H106" s="4" t="s">
        <v>1757</v>
      </c>
      <c r="I106" s="6"/>
      <c r="J106" s="6"/>
      <c r="K106" s="13"/>
      <c r="L106" s="13"/>
      <c r="M106" s="6"/>
      <c r="N106" s="13"/>
      <c r="O106" s="13"/>
      <c r="P106" s="13"/>
      <c r="Q106" s="60">
        <v>1.6</v>
      </c>
      <c r="R106" s="1">
        <f t="shared" si="34"/>
        <v>160000</v>
      </c>
      <c r="S106" s="2"/>
      <c r="T106" s="2">
        <f t="shared" si="35"/>
        <v>100000</v>
      </c>
      <c r="U106" s="13"/>
      <c r="V106" s="13"/>
      <c r="W106" s="13"/>
      <c r="X106" s="13"/>
      <c r="Y106" s="13"/>
      <c r="Z106" s="13">
        <v>30000</v>
      </c>
      <c r="AA106" s="13">
        <v>20000</v>
      </c>
      <c r="AB106" s="13">
        <v>20000</v>
      </c>
      <c r="AC106" s="13">
        <v>20000</v>
      </c>
      <c r="AD106" s="13">
        <v>20000</v>
      </c>
      <c r="AE106" s="13">
        <v>20000</v>
      </c>
      <c r="AF106" s="13">
        <v>20000</v>
      </c>
      <c r="AG106" s="13">
        <v>20000</v>
      </c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4" t="s">
        <v>1106</v>
      </c>
      <c r="AV106" s="4" t="s">
        <v>585</v>
      </c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9"/>
      <c r="BN106" s="9">
        <f t="shared" si="36"/>
        <v>48000</v>
      </c>
      <c r="BO106" s="9">
        <f t="shared" si="37"/>
        <v>32000</v>
      </c>
      <c r="BP106" s="9">
        <f t="shared" si="38"/>
        <v>32000</v>
      </c>
      <c r="BQ106" s="9">
        <f t="shared" si="39"/>
        <v>32000</v>
      </c>
      <c r="BR106" s="9">
        <f t="shared" si="40"/>
        <v>32000</v>
      </c>
      <c r="BS106" s="9">
        <f t="shared" si="41"/>
        <v>32000</v>
      </c>
      <c r="BT106" s="9">
        <f t="shared" si="42"/>
        <v>32000</v>
      </c>
    </row>
    <row r="107" spans="1:72" hidden="1" x14ac:dyDescent="0.25">
      <c r="A107" s="11">
        <f t="shared" si="33"/>
        <v>106</v>
      </c>
      <c r="B107" s="5" t="s">
        <v>1026</v>
      </c>
      <c r="C107" s="5" t="s">
        <v>59</v>
      </c>
      <c r="D107" s="5" t="s">
        <v>1027</v>
      </c>
      <c r="E107" s="5" t="s">
        <v>174</v>
      </c>
      <c r="F107" s="5" t="s">
        <v>1002</v>
      </c>
      <c r="G107" s="6" t="s">
        <v>397</v>
      </c>
      <c r="H107" s="4" t="s">
        <v>398</v>
      </c>
      <c r="I107" s="6"/>
      <c r="J107" s="6"/>
      <c r="K107" s="13" t="s">
        <v>342</v>
      </c>
      <c r="L107" s="13">
        <v>100000</v>
      </c>
      <c r="M107" s="6" t="s">
        <v>291</v>
      </c>
      <c r="N107" s="13" t="s">
        <v>451</v>
      </c>
      <c r="O107" s="13" t="s">
        <v>452</v>
      </c>
      <c r="P107" s="13"/>
      <c r="Q107" s="17">
        <v>2.72</v>
      </c>
      <c r="R107" s="1">
        <f t="shared" si="34"/>
        <v>0</v>
      </c>
      <c r="S107" s="2"/>
      <c r="T107" s="2">
        <f t="shared" si="35"/>
        <v>0</v>
      </c>
      <c r="U107" s="13">
        <v>0</v>
      </c>
      <c r="V107" s="13">
        <v>4100</v>
      </c>
      <c r="W107" s="13">
        <v>10000</v>
      </c>
      <c r="X107" s="13">
        <v>0</v>
      </c>
      <c r="Y107" s="13">
        <v>10000</v>
      </c>
      <c r="Z107" s="13">
        <v>0</v>
      </c>
      <c r="AA107" s="13">
        <v>10000</v>
      </c>
      <c r="AB107" s="13">
        <v>0</v>
      </c>
      <c r="AC107" s="13"/>
      <c r="AD107" s="13"/>
      <c r="AE107" s="13"/>
      <c r="AF107" s="13"/>
      <c r="AG107" s="13">
        <f t="shared" ref="AG107:AG108" si="48">AF107</f>
        <v>0</v>
      </c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4" t="s">
        <v>685</v>
      </c>
      <c r="AV107" s="4" t="s">
        <v>1217</v>
      </c>
      <c r="AW107" s="5" t="s">
        <v>98</v>
      </c>
      <c r="AX107" s="5" t="s">
        <v>89</v>
      </c>
      <c r="AY107" s="5" t="s">
        <v>1003</v>
      </c>
      <c r="AZ107" s="5" t="s">
        <v>1004</v>
      </c>
      <c r="BA107" s="5"/>
      <c r="BB107" s="5"/>
      <c r="BC107" s="5"/>
      <c r="BD107" s="5">
        <v>1</v>
      </c>
      <c r="BE107" s="5"/>
      <c r="BF107" s="5"/>
      <c r="BG107" s="5"/>
      <c r="BH107" s="5"/>
      <c r="BI107" s="5"/>
      <c r="BJ107" s="5"/>
      <c r="BK107" s="5"/>
      <c r="BL107" s="5"/>
      <c r="BM107" s="9">
        <f t="shared" si="45"/>
        <v>27200.000000000004</v>
      </c>
      <c r="BN107" s="9">
        <f t="shared" si="36"/>
        <v>0</v>
      </c>
      <c r="BO107" s="9">
        <f t="shared" si="37"/>
        <v>27200.000000000004</v>
      </c>
      <c r="BP107" s="9">
        <f t="shared" si="38"/>
        <v>0</v>
      </c>
      <c r="BQ107" s="9">
        <f t="shared" si="39"/>
        <v>0</v>
      </c>
      <c r="BR107" s="9">
        <f t="shared" si="40"/>
        <v>0</v>
      </c>
      <c r="BS107" s="9">
        <f t="shared" si="41"/>
        <v>0</v>
      </c>
      <c r="BT107" s="9">
        <f t="shared" si="42"/>
        <v>0</v>
      </c>
    </row>
    <row r="108" spans="1:72" hidden="1" x14ac:dyDescent="0.25">
      <c r="A108" s="11">
        <f t="shared" si="33"/>
        <v>107</v>
      </c>
      <c r="B108" s="5" t="s">
        <v>1028</v>
      </c>
      <c r="C108" s="5" t="s">
        <v>59</v>
      </c>
      <c r="D108" s="5" t="s">
        <v>1027</v>
      </c>
      <c r="E108" s="5" t="s">
        <v>174</v>
      </c>
      <c r="F108" s="5" t="s">
        <v>1002</v>
      </c>
      <c r="G108" s="43" t="s">
        <v>442</v>
      </c>
      <c r="H108" s="4"/>
      <c r="I108" s="6"/>
      <c r="J108" s="6"/>
      <c r="K108" s="13" t="s">
        <v>1320</v>
      </c>
      <c r="L108" s="13" t="s">
        <v>453</v>
      </c>
      <c r="M108" s="6" t="s">
        <v>320</v>
      </c>
      <c r="N108" s="13" t="s">
        <v>454</v>
      </c>
      <c r="O108" s="13" t="s">
        <v>1019</v>
      </c>
      <c r="P108" s="13">
        <v>0.6</v>
      </c>
      <c r="Q108" s="17">
        <v>2.19</v>
      </c>
      <c r="R108" s="1">
        <f t="shared" si="34"/>
        <v>0</v>
      </c>
      <c r="S108" s="2"/>
      <c r="T108" s="2">
        <f t="shared" si="35"/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/>
      <c r="AG108" s="13">
        <f t="shared" si="48"/>
        <v>0</v>
      </c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4" t="s">
        <v>685</v>
      </c>
      <c r="AV108" s="4" t="s">
        <v>1214</v>
      </c>
      <c r="AW108" s="5" t="s">
        <v>788</v>
      </c>
      <c r="AX108" s="5" t="s">
        <v>789</v>
      </c>
      <c r="AY108" s="5" t="s">
        <v>1005</v>
      </c>
      <c r="AZ108" s="5" t="s">
        <v>1006</v>
      </c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9">
        <f t="shared" si="45"/>
        <v>0</v>
      </c>
      <c r="BN108" s="9">
        <f t="shared" si="36"/>
        <v>0</v>
      </c>
      <c r="BO108" s="9">
        <f t="shared" si="37"/>
        <v>0</v>
      </c>
      <c r="BP108" s="9">
        <f t="shared" si="38"/>
        <v>0</v>
      </c>
      <c r="BQ108" s="9">
        <f t="shared" si="39"/>
        <v>0</v>
      </c>
      <c r="BR108" s="9">
        <f t="shared" si="40"/>
        <v>0</v>
      </c>
      <c r="BS108" s="9">
        <f t="shared" si="41"/>
        <v>0</v>
      </c>
      <c r="BT108" s="9">
        <f t="shared" si="42"/>
        <v>0</v>
      </c>
    </row>
    <row r="109" spans="1:72" hidden="1" x14ac:dyDescent="0.25">
      <c r="A109" s="11">
        <f t="shared" si="33"/>
        <v>108</v>
      </c>
      <c r="B109" s="5" t="s">
        <v>1029</v>
      </c>
      <c r="C109" s="5" t="s">
        <v>128</v>
      </c>
      <c r="D109" s="5" t="s">
        <v>1030</v>
      </c>
      <c r="E109" s="5" t="s">
        <v>174</v>
      </c>
      <c r="F109" s="5" t="s">
        <v>1007</v>
      </c>
      <c r="G109" s="6" t="s">
        <v>443</v>
      </c>
      <c r="H109" s="4" t="s">
        <v>1814</v>
      </c>
      <c r="I109" s="6"/>
      <c r="J109" s="6"/>
      <c r="K109" s="13" t="s">
        <v>1136</v>
      </c>
      <c r="L109" s="13">
        <v>300000</v>
      </c>
      <c r="M109" s="6" t="s">
        <v>291</v>
      </c>
      <c r="N109" s="13" t="s">
        <v>1031</v>
      </c>
      <c r="O109" s="13" t="s">
        <v>455</v>
      </c>
      <c r="P109" s="13"/>
      <c r="Q109" s="17">
        <v>0.47499999999999998</v>
      </c>
      <c r="R109" s="1">
        <f t="shared" si="34"/>
        <v>74100</v>
      </c>
      <c r="S109" s="2"/>
      <c r="T109" s="2">
        <f t="shared" si="35"/>
        <v>156000</v>
      </c>
      <c r="U109" s="13">
        <v>3000</v>
      </c>
      <c r="V109" s="13">
        <v>12000</v>
      </c>
      <c r="W109" s="13">
        <v>15000</v>
      </c>
      <c r="X109" s="13">
        <v>11692</v>
      </c>
      <c r="Y109" s="13">
        <v>22264</v>
      </c>
      <c r="Z109" s="13">
        <v>24384</v>
      </c>
      <c r="AA109" s="13">
        <v>21156</v>
      </c>
      <c r="AB109" s="13">
        <v>24000</v>
      </c>
      <c r="AC109" s="13">
        <v>42000</v>
      </c>
      <c r="AD109" s="13">
        <v>36000</v>
      </c>
      <c r="AE109" s="13">
        <v>30000</v>
      </c>
      <c r="AF109" s="13">
        <v>24000</v>
      </c>
      <c r="AG109" s="13">
        <v>20000</v>
      </c>
      <c r="AH109" s="5">
        <v>3000</v>
      </c>
      <c r="AI109" s="5">
        <v>12000</v>
      </c>
      <c r="AJ109" s="5">
        <v>15000</v>
      </c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4" t="s">
        <v>685</v>
      </c>
      <c r="AV109" s="4" t="s">
        <v>1218</v>
      </c>
      <c r="AW109" s="5" t="s">
        <v>98</v>
      </c>
      <c r="AX109" s="5" t="s">
        <v>110</v>
      </c>
      <c r="AY109" s="5" t="s">
        <v>1008</v>
      </c>
      <c r="AZ109" s="5" t="s">
        <v>1009</v>
      </c>
      <c r="BA109" s="5"/>
      <c r="BB109" s="5"/>
      <c r="BC109" s="5" t="s">
        <v>456</v>
      </c>
      <c r="BD109" s="5">
        <v>2</v>
      </c>
      <c r="BE109" s="5"/>
      <c r="BF109" s="5"/>
      <c r="BG109" s="5"/>
      <c r="BH109" s="5"/>
      <c r="BI109" s="5"/>
      <c r="BJ109" s="5"/>
      <c r="BK109" s="5"/>
      <c r="BL109" s="5" t="s">
        <v>1010</v>
      </c>
      <c r="BM109" s="9">
        <f t="shared" si="45"/>
        <v>10575.4</v>
      </c>
      <c r="BN109" s="9">
        <f t="shared" si="36"/>
        <v>11582.4</v>
      </c>
      <c r="BO109" s="9">
        <f t="shared" si="37"/>
        <v>10049.1</v>
      </c>
      <c r="BP109" s="9">
        <f t="shared" si="38"/>
        <v>11400</v>
      </c>
      <c r="BQ109" s="9">
        <f t="shared" si="39"/>
        <v>19950</v>
      </c>
      <c r="BR109" s="9">
        <f t="shared" si="40"/>
        <v>17100</v>
      </c>
      <c r="BS109" s="9">
        <f t="shared" si="41"/>
        <v>14250</v>
      </c>
      <c r="BT109" s="9">
        <f t="shared" si="42"/>
        <v>11400</v>
      </c>
    </row>
    <row r="110" spans="1:72" hidden="1" x14ac:dyDescent="0.25">
      <c r="A110" s="11">
        <f t="shared" si="33"/>
        <v>109</v>
      </c>
      <c r="B110" s="5" t="s">
        <v>1032</v>
      </c>
      <c r="C110" s="5" t="s">
        <v>128</v>
      </c>
      <c r="D110" s="5" t="s">
        <v>1033</v>
      </c>
      <c r="E110" s="5" t="s">
        <v>174</v>
      </c>
      <c r="F110" s="5" t="s">
        <v>1011</v>
      </c>
      <c r="G110" s="6" t="s">
        <v>458</v>
      </c>
      <c r="H110" s="4" t="s">
        <v>481</v>
      </c>
      <c r="I110" s="6"/>
      <c r="J110" s="6"/>
      <c r="K110" s="13" t="s">
        <v>1321</v>
      </c>
      <c r="L110" s="13">
        <v>560000</v>
      </c>
      <c r="M110" s="6" t="s">
        <v>291</v>
      </c>
      <c r="N110" s="13" t="s">
        <v>1034</v>
      </c>
      <c r="O110" s="13" t="s">
        <v>457</v>
      </c>
      <c r="P110" s="13"/>
      <c r="Q110" s="17">
        <v>0.45</v>
      </c>
      <c r="R110" s="1">
        <f t="shared" si="34"/>
        <v>0</v>
      </c>
      <c r="S110" s="2"/>
      <c r="T110" s="2">
        <f t="shared" si="35"/>
        <v>0</v>
      </c>
      <c r="U110" s="13">
        <f>AH110</f>
        <v>0</v>
      </c>
      <c r="V110" s="13">
        <f t="shared" ref="V110:Y110" si="49">AI110</f>
        <v>135000</v>
      </c>
      <c r="W110" s="13">
        <f t="shared" si="49"/>
        <v>0</v>
      </c>
      <c r="X110" s="13">
        <f t="shared" si="49"/>
        <v>132000</v>
      </c>
      <c r="Y110" s="13">
        <f t="shared" si="49"/>
        <v>204000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/>
      <c r="AF110" s="13">
        <v>0</v>
      </c>
      <c r="AG110" s="13">
        <f>AF110</f>
        <v>0</v>
      </c>
      <c r="AH110" s="5">
        <v>0</v>
      </c>
      <c r="AI110" s="5">
        <v>135000</v>
      </c>
      <c r="AJ110" s="5">
        <v>0</v>
      </c>
      <c r="AK110" s="5">
        <v>132000</v>
      </c>
      <c r="AL110" s="5">
        <v>204000</v>
      </c>
      <c r="AM110" s="5"/>
      <c r="AN110" s="5"/>
      <c r="AO110" s="5"/>
      <c r="AP110" s="5"/>
      <c r="AQ110" s="5"/>
      <c r="AR110" s="5"/>
      <c r="AS110" s="5"/>
      <c r="AT110" s="5"/>
      <c r="AU110" s="4" t="s">
        <v>685</v>
      </c>
      <c r="AV110" s="4" t="s">
        <v>1218</v>
      </c>
      <c r="AW110" s="5" t="s">
        <v>98</v>
      </c>
      <c r="AX110" s="5" t="s">
        <v>110</v>
      </c>
      <c r="AY110" s="5" t="s">
        <v>975</v>
      </c>
      <c r="AZ110" s="5" t="s">
        <v>1012</v>
      </c>
      <c r="BA110" s="5"/>
      <c r="BB110" s="5"/>
      <c r="BC110" s="5"/>
      <c r="BD110" s="5">
        <v>3</v>
      </c>
      <c r="BE110" s="5"/>
      <c r="BF110" s="5"/>
      <c r="BG110" s="5"/>
      <c r="BH110" s="5"/>
      <c r="BI110" s="5"/>
      <c r="BJ110" s="5"/>
      <c r="BK110" s="5"/>
      <c r="BL110" s="5"/>
      <c r="BM110" s="9">
        <f t="shared" si="45"/>
        <v>91800</v>
      </c>
      <c r="BN110" s="9">
        <f t="shared" si="36"/>
        <v>0</v>
      </c>
      <c r="BO110" s="9">
        <f t="shared" si="37"/>
        <v>0</v>
      </c>
      <c r="BP110" s="9">
        <f t="shared" si="38"/>
        <v>0</v>
      </c>
      <c r="BQ110" s="9">
        <f t="shared" si="39"/>
        <v>0</v>
      </c>
      <c r="BR110" s="9">
        <f t="shared" si="40"/>
        <v>0</v>
      </c>
      <c r="BS110" s="9">
        <f t="shared" si="41"/>
        <v>0</v>
      </c>
      <c r="BT110" s="9">
        <f t="shared" si="42"/>
        <v>0</v>
      </c>
    </row>
    <row r="111" spans="1:72" hidden="1" x14ac:dyDescent="0.25">
      <c r="A111" s="11">
        <f t="shared" si="33"/>
        <v>110</v>
      </c>
      <c r="B111" s="4" t="s">
        <v>459</v>
      </c>
      <c r="C111" s="4" t="s">
        <v>128</v>
      </c>
      <c r="D111" s="4" t="s">
        <v>459</v>
      </c>
      <c r="E111" s="4" t="s">
        <v>1322</v>
      </c>
      <c r="F111" s="4"/>
      <c r="G111" s="4" t="s">
        <v>1158</v>
      </c>
      <c r="H111" s="4" t="s">
        <v>460</v>
      </c>
      <c r="I111" s="4">
        <v>2100</v>
      </c>
      <c r="J111" s="4"/>
      <c r="K111" s="4" t="s">
        <v>461</v>
      </c>
      <c r="L111" s="9"/>
      <c r="M111" s="9"/>
      <c r="N111" s="9"/>
      <c r="O111" s="9"/>
      <c r="P111" s="9"/>
      <c r="Q111" s="14">
        <v>1.8079999999999998</v>
      </c>
      <c r="R111" s="1">
        <f t="shared" si="34"/>
        <v>4521663.3599999994</v>
      </c>
      <c r="S111" s="2">
        <v>13379199.999999998</v>
      </c>
      <c r="T111" s="2">
        <f t="shared" si="35"/>
        <v>2500920</v>
      </c>
      <c r="U111" s="9">
        <v>1020793</v>
      </c>
      <c r="V111" s="9">
        <v>939261</v>
      </c>
      <c r="W111" s="9">
        <v>1130556</v>
      </c>
      <c r="X111" s="9">
        <v>800000</v>
      </c>
      <c r="Y111" s="13">
        <v>1000000</v>
      </c>
      <c r="Z111" s="13">
        <v>800000</v>
      </c>
      <c r="AA111" s="13">
        <v>300000</v>
      </c>
      <c r="AB111" s="13">
        <v>151320</v>
      </c>
      <c r="AC111" s="13">
        <v>174800</v>
      </c>
      <c r="AD111" s="13">
        <v>174800</v>
      </c>
      <c r="AE111" s="13">
        <v>1000000</v>
      </c>
      <c r="AF111" s="13">
        <v>1000000</v>
      </c>
      <c r="AG111" s="9">
        <v>1000000</v>
      </c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 t="s">
        <v>1106</v>
      </c>
      <c r="AV111" s="4" t="s">
        <v>826</v>
      </c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>
        <f t="shared" si="45"/>
        <v>1807999.9999999998</v>
      </c>
      <c r="BN111" s="9">
        <f t="shared" si="36"/>
        <v>1446399.9999999998</v>
      </c>
      <c r="BO111" s="9">
        <f t="shared" si="37"/>
        <v>542400</v>
      </c>
      <c r="BP111" s="9">
        <f t="shared" si="38"/>
        <v>273586.56</v>
      </c>
      <c r="BQ111" s="9">
        <f t="shared" si="39"/>
        <v>316038.39999999997</v>
      </c>
      <c r="BR111" s="9">
        <f t="shared" si="40"/>
        <v>316038.39999999997</v>
      </c>
      <c r="BS111" s="9">
        <f t="shared" si="41"/>
        <v>1807999.9999999998</v>
      </c>
      <c r="BT111" s="9">
        <f t="shared" si="42"/>
        <v>1807999.9999999998</v>
      </c>
    </row>
    <row r="112" spans="1:72" hidden="1" x14ac:dyDescent="0.25">
      <c r="A112" s="11">
        <f t="shared" si="33"/>
        <v>111</v>
      </c>
      <c r="B112" s="4" t="s">
        <v>459</v>
      </c>
      <c r="C112" s="4" t="s">
        <v>128</v>
      </c>
      <c r="D112" s="4" t="s">
        <v>459</v>
      </c>
      <c r="E112" s="4" t="s">
        <v>1322</v>
      </c>
      <c r="F112" s="4"/>
      <c r="G112" s="4" t="s">
        <v>1323</v>
      </c>
      <c r="H112" s="4" t="s">
        <v>462</v>
      </c>
      <c r="I112" s="4">
        <v>2100</v>
      </c>
      <c r="J112" s="4"/>
      <c r="K112" s="4" t="s">
        <v>461</v>
      </c>
      <c r="L112" s="9"/>
      <c r="M112" s="9"/>
      <c r="N112" s="9"/>
      <c r="O112" s="9"/>
      <c r="P112" s="9"/>
      <c r="Q112" s="14">
        <v>2.2373999999999996</v>
      </c>
      <c r="R112" s="1">
        <f t="shared" si="34"/>
        <v>286722.80999999994</v>
      </c>
      <c r="S112" s="2">
        <v>425105.99999999994</v>
      </c>
      <c r="T112" s="2">
        <f t="shared" si="35"/>
        <v>128150</v>
      </c>
      <c r="U112" s="9">
        <v>30000</v>
      </c>
      <c r="V112" s="9">
        <v>15000</v>
      </c>
      <c r="W112" s="9">
        <v>20000</v>
      </c>
      <c r="X112" s="9">
        <v>20000</v>
      </c>
      <c r="Y112" s="13">
        <v>20000</v>
      </c>
      <c r="Z112" s="13">
        <v>20000</v>
      </c>
      <c r="AA112" s="13">
        <v>20000</v>
      </c>
      <c r="AB112" s="13">
        <v>21150</v>
      </c>
      <c r="AC112" s="13">
        <v>23500</v>
      </c>
      <c r="AD112" s="13">
        <v>23500</v>
      </c>
      <c r="AE112" s="13">
        <v>30000</v>
      </c>
      <c r="AF112" s="13">
        <v>30000</v>
      </c>
      <c r="AG112" s="9">
        <v>30000</v>
      </c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 t="s">
        <v>1106</v>
      </c>
      <c r="AV112" s="4" t="s">
        <v>826</v>
      </c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>
        <f t="shared" si="45"/>
        <v>44747.999999999993</v>
      </c>
      <c r="BN112" s="9">
        <f t="shared" si="36"/>
        <v>44747.999999999993</v>
      </c>
      <c r="BO112" s="9">
        <f t="shared" si="37"/>
        <v>44747.999999999993</v>
      </c>
      <c r="BP112" s="9">
        <f t="shared" si="38"/>
        <v>47321.009999999995</v>
      </c>
      <c r="BQ112" s="9">
        <f t="shared" si="39"/>
        <v>52578.899999999994</v>
      </c>
      <c r="BR112" s="9">
        <f t="shared" si="40"/>
        <v>52578.899999999994</v>
      </c>
      <c r="BS112" s="9">
        <f t="shared" si="41"/>
        <v>67121.999999999985</v>
      </c>
      <c r="BT112" s="9">
        <f t="shared" si="42"/>
        <v>67121.999999999985</v>
      </c>
    </row>
    <row r="113" spans="1:72" hidden="1" x14ac:dyDescent="0.25">
      <c r="A113" s="11">
        <f t="shared" si="33"/>
        <v>112</v>
      </c>
      <c r="B113" s="4" t="s">
        <v>459</v>
      </c>
      <c r="C113" s="4" t="s">
        <v>128</v>
      </c>
      <c r="D113" s="4" t="s">
        <v>459</v>
      </c>
      <c r="E113" s="4" t="s">
        <v>1322</v>
      </c>
      <c r="F113" s="4"/>
      <c r="G113" s="4" t="s">
        <v>1324</v>
      </c>
      <c r="H113" s="4" t="s">
        <v>463</v>
      </c>
      <c r="I113" s="4">
        <v>2100</v>
      </c>
      <c r="J113" s="4"/>
      <c r="K113" s="4" t="s">
        <v>461</v>
      </c>
      <c r="L113" s="9"/>
      <c r="M113" s="9"/>
      <c r="N113" s="9"/>
      <c r="O113" s="9"/>
      <c r="P113" s="9"/>
      <c r="Q113" s="14">
        <v>2.2373999999999996</v>
      </c>
      <c r="R113" s="1">
        <f t="shared" si="34"/>
        <v>27408.149999999994</v>
      </c>
      <c r="S113" s="2">
        <v>1968911.9999999998</v>
      </c>
      <c r="T113" s="2">
        <f t="shared" si="35"/>
        <v>12250</v>
      </c>
      <c r="U113" s="9">
        <v>100000</v>
      </c>
      <c r="V113" s="9">
        <v>80000</v>
      </c>
      <c r="W113" s="9">
        <v>100000</v>
      </c>
      <c r="X113" s="9">
        <v>100000</v>
      </c>
      <c r="Y113" s="13">
        <v>10000</v>
      </c>
      <c r="Z113" s="13">
        <v>5000</v>
      </c>
      <c r="AA113" s="13">
        <v>5000</v>
      </c>
      <c r="AB113" s="13">
        <v>4750</v>
      </c>
      <c r="AC113" s="13">
        <v>3750</v>
      </c>
      <c r="AD113" s="13">
        <v>3750</v>
      </c>
      <c r="AE113" s="13"/>
      <c r="AF113" s="13"/>
      <c r="AG113" s="13">
        <f>AF113</f>
        <v>0</v>
      </c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 t="s">
        <v>1106</v>
      </c>
      <c r="AV113" s="4" t="s">
        <v>826</v>
      </c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>
        <f t="shared" si="45"/>
        <v>22373.999999999996</v>
      </c>
      <c r="BN113" s="9">
        <f t="shared" si="36"/>
        <v>11186.999999999998</v>
      </c>
      <c r="BO113" s="9">
        <f t="shared" si="37"/>
        <v>11186.999999999998</v>
      </c>
      <c r="BP113" s="9">
        <f t="shared" si="38"/>
        <v>10627.649999999998</v>
      </c>
      <c r="BQ113" s="9">
        <f t="shared" si="39"/>
        <v>8390.2499999999982</v>
      </c>
      <c r="BR113" s="9">
        <f t="shared" si="40"/>
        <v>8390.2499999999982</v>
      </c>
      <c r="BS113" s="9">
        <f t="shared" si="41"/>
        <v>0</v>
      </c>
      <c r="BT113" s="9">
        <f t="shared" si="42"/>
        <v>0</v>
      </c>
    </row>
    <row r="114" spans="1:72" hidden="1" x14ac:dyDescent="0.25">
      <c r="A114" s="11">
        <f t="shared" si="33"/>
        <v>113</v>
      </c>
      <c r="B114" s="4" t="s">
        <v>464</v>
      </c>
      <c r="C114" s="4" t="s">
        <v>186</v>
      </c>
      <c r="D114" s="4" t="s">
        <v>465</v>
      </c>
      <c r="E114" s="4" t="s">
        <v>1322</v>
      </c>
      <c r="F114" s="4" t="s">
        <v>466</v>
      </c>
      <c r="G114" s="4" t="s">
        <v>539</v>
      </c>
      <c r="H114" s="4" t="s">
        <v>467</v>
      </c>
      <c r="I114" s="4"/>
      <c r="J114" s="4"/>
      <c r="K114" s="4" t="s">
        <v>420</v>
      </c>
      <c r="L114" s="9"/>
      <c r="M114" s="9"/>
      <c r="N114" s="9"/>
      <c r="O114" s="9"/>
      <c r="P114" s="9"/>
      <c r="Q114" s="14">
        <v>2.0299999999999998</v>
      </c>
      <c r="R114" s="1">
        <f t="shared" si="34"/>
        <v>3792222.6999999997</v>
      </c>
      <c r="S114" s="2">
        <v>5580835.3999999994</v>
      </c>
      <c r="T114" s="2">
        <f t="shared" si="35"/>
        <v>1868090</v>
      </c>
      <c r="U114" s="9"/>
      <c r="V114" s="9"/>
      <c r="W114" s="9"/>
      <c r="X114" s="9"/>
      <c r="Y114" s="13">
        <v>291070</v>
      </c>
      <c r="Z114" s="13">
        <v>350000</v>
      </c>
      <c r="AA114" s="13">
        <v>350000</v>
      </c>
      <c r="AB114" s="13">
        <v>323570</v>
      </c>
      <c r="AC114" s="13">
        <v>372970</v>
      </c>
      <c r="AD114" s="13">
        <v>385370</v>
      </c>
      <c r="AE114" s="13">
        <v>393850</v>
      </c>
      <c r="AF114" s="13">
        <v>392330</v>
      </c>
      <c r="AG114" s="13">
        <v>392330</v>
      </c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 t="s">
        <v>1106</v>
      </c>
      <c r="AV114" s="4" t="s">
        <v>1220</v>
      </c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>
        <f t="shared" si="45"/>
        <v>590872.1</v>
      </c>
      <c r="BN114" s="9">
        <f t="shared" si="36"/>
        <v>710499.99999999988</v>
      </c>
      <c r="BO114" s="9">
        <f t="shared" si="37"/>
        <v>710499.99999999988</v>
      </c>
      <c r="BP114" s="9">
        <f t="shared" si="38"/>
        <v>656847.1</v>
      </c>
      <c r="BQ114" s="9">
        <f t="shared" si="39"/>
        <v>757129.1</v>
      </c>
      <c r="BR114" s="9">
        <f t="shared" si="40"/>
        <v>782301.1</v>
      </c>
      <c r="BS114" s="9">
        <f t="shared" si="41"/>
        <v>799515.49999999988</v>
      </c>
      <c r="BT114" s="9">
        <f t="shared" si="42"/>
        <v>796429.89999999991</v>
      </c>
    </row>
    <row r="115" spans="1:72" hidden="1" x14ac:dyDescent="0.25">
      <c r="A115" s="11">
        <f t="shared" si="33"/>
        <v>114</v>
      </c>
      <c r="B115" s="4" t="s">
        <v>464</v>
      </c>
      <c r="C115" s="4" t="s">
        <v>186</v>
      </c>
      <c r="D115" s="4" t="s">
        <v>465</v>
      </c>
      <c r="E115" s="4" t="s">
        <v>1322</v>
      </c>
      <c r="F115" s="4" t="s">
        <v>466</v>
      </c>
      <c r="G115" s="4" t="s">
        <v>1150</v>
      </c>
      <c r="H115" s="4" t="s">
        <v>419</v>
      </c>
      <c r="I115" s="4"/>
      <c r="J115" s="4"/>
      <c r="K115" s="4" t="s">
        <v>420</v>
      </c>
      <c r="L115" s="9"/>
      <c r="M115" s="9"/>
      <c r="N115" s="9"/>
      <c r="O115" s="9"/>
      <c r="P115" s="9"/>
      <c r="Q115" s="14">
        <v>2.0680000000000001</v>
      </c>
      <c r="R115" s="1">
        <f t="shared" si="34"/>
        <v>781704</v>
      </c>
      <c r="S115" s="2">
        <v>977709.04</v>
      </c>
      <c r="T115" s="2">
        <f t="shared" si="35"/>
        <v>378000</v>
      </c>
      <c r="U115" s="9"/>
      <c r="V115" s="9"/>
      <c r="W115" s="9"/>
      <c r="X115" s="9"/>
      <c r="Y115" s="13">
        <v>73924</v>
      </c>
      <c r="Z115" s="13">
        <v>66856</v>
      </c>
      <c r="AA115" s="13">
        <v>80000</v>
      </c>
      <c r="AB115" s="13">
        <v>80000</v>
      </c>
      <c r="AC115" s="13">
        <v>80000</v>
      </c>
      <c r="AD115" s="13">
        <v>80000</v>
      </c>
      <c r="AE115" s="13">
        <v>80000</v>
      </c>
      <c r="AF115" s="13">
        <v>58000</v>
      </c>
      <c r="AG115" s="13">
        <v>58000</v>
      </c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 t="s">
        <v>1106</v>
      </c>
      <c r="AV115" s="4" t="s">
        <v>1220</v>
      </c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>
        <f t="shared" si="45"/>
        <v>152874.83199999999</v>
      </c>
      <c r="BN115" s="9">
        <f t="shared" si="36"/>
        <v>138258.20800000001</v>
      </c>
      <c r="BO115" s="9">
        <f t="shared" si="37"/>
        <v>165440</v>
      </c>
      <c r="BP115" s="9">
        <f t="shared" si="38"/>
        <v>165440</v>
      </c>
      <c r="BQ115" s="9">
        <f t="shared" si="39"/>
        <v>165440</v>
      </c>
      <c r="BR115" s="9">
        <f t="shared" si="40"/>
        <v>165440</v>
      </c>
      <c r="BS115" s="9">
        <f t="shared" si="41"/>
        <v>165440</v>
      </c>
      <c r="BT115" s="9">
        <f t="shared" si="42"/>
        <v>119944</v>
      </c>
    </row>
    <row r="116" spans="1:72" hidden="1" x14ac:dyDescent="0.25">
      <c r="A116" s="11">
        <f t="shared" si="33"/>
        <v>115</v>
      </c>
      <c r="B116" s="4" t="s">
        <v>468</v>
      </c>
      <c r="C116" s="4" t="s">
        <v>59</v>
      </c>
      <c r="D116" s="4" t="s">
        <v>465</v>
      </c>
      <c r="E116" s="4" t="s">
        <v>1322</v>
      </c>
      <c r="F116" s="4" t="s">
        <v>466</v>
      </c>
      <c r="G116" s="4" t="s">
        <v>1325</v>
      </c>
      <c r="H116" s="4" t="s">
        <v>64</v>
      </c>
      <c r="I116" s="4"/>
      <c r="J116" s="4"/>
      <c r="K116" s="4" t="s">
        <v>461</v>
      </c>
      <c r="L116" s="9"/>
      <c r="M116" s="9"/>
      <c r="N116" s="9"/>
      <c r="O116" s="9"/>
      <c r="P116" s="9"/>
      <c r="Q116" s="14">
        <v>2.17</v>
      </c>
      <c r="R116" s="1">
        <f t="shared" si="34"/>
        <v>371070</v>
      </c>
      <c r="S116" s="2">
        <v>121520</v>
      </c>
      <c r="T116" s="2">
        <f t="shared" si="35"/>
        <v>171000</v>
      </c>
      <c r="U116" s="9"/>
      <c r="V116" s="9"/>
      <c r="W116" s="9"/>
      <c r="X116" s="9"/>
      <c r="Y116" s="5">
        <v>6000</v>
      </c>
      <c r="Z116" s="5">
        <v>6000</v>
      </c>
      <c r="AA116" s="5">
        <v>6000</v>
      </c>
      <c r="AB116" s="5">
        <v>75000</v>
      </c>
      <c r="AC116" s="5">
        <v>60000</v>
      </c>
      <c r="AD116" s="5">
        <v>8000</v>
      </c>
      <c r="AE116" s="5">
        <v>20000</v>
      </c>
      <c r="AF116" s="5">
        <v>8000</v>
      </c>
      <c r="AG116" s="5">
        <v>8000</v>
      </c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 t="s">
        <v>1106</v>
      </c>
      <c r="AV116" s="4" t="s">
        <v>826</v>
      </c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>
        <f t="shared" si="45"/>
        <v>13020</v>
      </c>
      <c r="BN116" s="9">
        <f t="shared" si="36"/>
        <v>13020</v>
      </c>
      <c r="BO116" s="9">
        <f t="shared" si="37"/>
        <v>13020</v>
      </c>
      <c r="BP116" s="9">
        <f t="shared" si="38"/>
        <v>162750</v>
      </c>
      <c r="BQ116" s="9">
        <f t="shared" si="39"/>
        <v>130200</v>
      </c>
      <c r="BR116" s="9">
        <f t="shared" si="40"/>
        <v>17360</v>
      </c>
      <c r="BS116" s="9">
        <f t="shared" si="41"/>
        <v>43400</v>
      </c>
      <c r="BT116" s="9">
        <f t="shared" si="42"/>
        <v>17360</v>
      </c>
    </row>
    <row r="117" spans="1:72" hidden="1" x14ac:dyDescent="0.25">
      <c r="A117" s="11">
        <f t="shared" si="33"/>
        <v>116</v>
      </c>
      <c r="B117" s="4" t="s">
        <v>469</v>
      </c>
      <c r="C117" s="4" t="s">
        <v>128</v>
      </c>
      <c r="D117" s="4" t="s">
        <v>470</v>
      </c>
      <c r="E117" s="4" t="s">
        <v>1322</v>
      </c>
      <c r="F117" s="4" t="s">
        <v>471</v>
      </c>
      <c r="G117" s="4" t="s">
        <v>1326</v>
      </c>
      <c r="H117" s="4" t="s">
        <v>472</v>
      </c>
      <c r="I117" s="4"/>
      <c r="J117" s="4"/>
      <c r="K117" s="4" t="s">
        <v>420</v>
      </c>
      <c r="L117" s="9"/>
      <c r="M117" s="9"/>
      <c r="N117" s="9"/>
      <c r="O117" s="9"/>
      <c r="P117" s="9"/>
      <c r="Q117" s="14">
        <v>2.1549999999999998</v>
      </c>
      <c r="R117" s="1">
        <f t="shared" si="34"/>
        <v>0</v>
      </c>
      <c r="S117" s="2">
        <v>4278752.5</v>
      </c>
      <c r="T117" s="2">
        <f t="shared" si="35"/>
        <v>0</v>
      </c>
      <c r="U117" s="9"/>
      <c r="V117" s="9"/>
      <c r="W117" s="9"/>
      <c r="X117" s="9"/>
      <c r="Y117" s="13">
        <v>189000</v>
      </c>
      <c r="Z117" s="13">
        <v>196500</v>
      </c>
      <c r="AA117" s="13">
        <v>200000</v>
      </c>
      <c r="AB117" s="13"/>
      <c r="AC117" s="13"/>
      <c r="AD117" s="13"/>
      <c r="AE117" s="13"/>
      <c r="AF117" s="13"/>
      <c r="AG117" s="13">
        <f>AF117</f>
        <v>0</v>
      </c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 t="s">
        <v>1106</v>
      </c>
      <c r="AV117" s="4" t="s">
        <v>1220</v>
      </c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>
        <f t="shared" si="45"/>
        <v>407294.99999999994</v>
      </c>
      <c r="BN117" s="9">
        <f t="shared" si="36"/>
        <v>423457.49999999994</v>
      </c>
      <c r="BO117" s="9">
        <f t="shared" si="37"/>
        <v>430999.99999999994</v>
      </c>
      <c r="BP117" s="9">
        <f t="shared" si="38"/>
        <v>0</v>
      </c>
      <c r="BQ117" s="9">
        <f t="shared" si="39"/>
        <v>0</v>
      </c>
      <c r="BR117" s="9">
        <f t="shared" si="40"/>
        <v>0</v>
      </c>
      <c r="BS117" s="9">
        <f t="shared" si="41"/>
        <v>0</v>
      </c>
      <c r="BT117" s="9">
        <f t="shared" si="42"/>
        <v>0</v>
      </c>
    </row>
    <row r="118" spans="1:72" hidden="1" x14ac:dyDescent="0.25">
      <c r="A118" s="11">
        <f t="shared" si="33"/>
        <v>117</v>
      </c>
      <c r="B118" s="4" t="s">
        <v>469</v>
      </c>
      <c r="C118" s="4" t="s">
        <v>128</v>
      </c>
      <c r="D118" s="4" t="s">
        <v>470</v>
      </c>
      <c r="E118" s="4" t="s">
        <v>1322</v>
      </c>
      <c r="F118" s="4" t="s">
        <v>471</v>
      </c>
      <c r="G118" s="4" t="s">
        <v>856</v>
      </c>
      <c r="H118" s="4" t="s">
        <v>473</v>
      </c>
      <c r="I118" s="4"/>
      <c r="J118" s="4"/>
      <c r="K118" s="4" t="s">
        <v>420</v>
      </c>
      <c r="L118" s="9"/>
      <c r="M118" s="9"/>
      <c r="N118" s="9"/>
      <c r="O118" s="9"/>
      <c r="P118" s="9"/>
      <c r="Q118" s="14">
        <v>2</v>
      </c>
      <c r="R118" s="1">
        <f t="shared" si="34"/>
        <v>1941000</v>
      </c>
      <c r="S118" s="2">
        <v>2610000</v>
      </c>
      <c r="T118" s="2">
        <f t="shared" si="35"/>
        <v>970500</v>
      </c>
      <c r="U118" s="9">
        <v>240000</v>
      </c>
      <c r="V118" s="9">
        <v>180000</v>
      </c>
      <c r="W118" s="9">
        <v>90000</v>
      </c>
      <c r="X118" s="9">
        <v>100000</v>
      </c>
      <c r="Y118" s="13">
        <v>135000</v>
      </c>
      <c r="Z118" s="13">
        <v>210000</v>
      </c>
      <c r="AA118" s="13">
        <v>210000</v>
      </c>
      <c r="AB118" s="13">
        <v>240000</v>
      </c>
      <c r="AC118" s="13">
        <v>250500</v>
      </c>
      <c r="AD118" s="13">
        <v>150000</v>
      </c>
      <c r="AE118" s="13">
        <v>150000</v>
      </c>
      <c r="AF118" s="13">
        <v>180000</v>
      </c>
      <c r="AG118" s="13">
        <v>180000</v>
      </c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 t="s">
        <v>1106</v>
      </c>
      <c r="AV118" s="4" t="s">
        <v>1220</v>
      </c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>
        <f t="shared" si="45"/>
        <v>270000</v>
      </c>
      <c r="BN118" s="9">
        <f t="shared" si="36"/>
        <v>420000</v>
      </c>
      <c r="BO118" s="9">
        <f t="shared" si="37"/>
        <v>420000</v>
      </c>
      <c r="BP118" s="9">
        <f t="shared" si="38"/>
        <v>480000</v>
      </c>
      <c r="BQ118" s="9">
        <f t="shared" si="39"/>
        <v>501000</v>
      </c>
      <c r="BR118" s="9">
        <f t="shared" si="40"/>
        <v>300000</v>
      </c>
      <c r="BS118" s="9">
        <f t="shared" si="41"/>
        <v>300000</v>
      </c>
      <c r="BT118" s="9">
        <f t="shared" si="42"/>
        <v>360000</v>
      </c>
    </row>
    <row r="119" spans="1:72" hidden="1" x14ac:dyDescent="0.25">
      <c r="A119" s="11">
        <f t="shared" si="33"/>
        <v>118</v>
      </c>
      <c r="B119" s="4" t="s">
        <v>474</v>
      </c>
      <c r="C119" s="4" t="s">
        <v>128</v>
      </c>
      <c r="D119" s="4" t="s">
        <v>475</v>
      </c>
      <c r="E119" s="4" t="s">
        <v>1322</v>
      </c>
      <c r="F119" s="4" t="s">
        <v>476</v>
      </c>
      <c r="G119" s="4" t="s">
        <v>539</v>
      </c>
      <c r="H119" s="4" t="s">
        <v>467</v>
      </c>
      <c r="I119" s="4"/>
      <c r="J119" s="4"/>
      <c r="K119" s="4" t="s">
        <v>420</v>
      </c>
      <c r="L119" s="9"/>
      <c r="M119" s="9"/>
      <c r="N119" s="9"/>
      <c r="O119" s="9"/>
      <c r="P119" s="9"/>
      <c r="Q119" s="14">
        <v>2.2799999999999998</v>
      </c>
      <c r="R119" s="1">
        <f t="shared" si="34"/>
        <v>2394000</v>
      </c>
      <c r="S119" s="2">
        <v>3647999.9999999995</v>
      </c>
      <c r="T119" s="2">
        <f t="shared" si="35"/>
        <v>1050000</v>
      </c>
      <c r="U119" s="9"/>
      <c r="V119" s="9"/>
      <c r="W119" s="9"/>
      <c r="X119" s="9"/>
      <c r="Y119" s="13">
        <v>200000</v>
      </c>
      <c r="Z119" s="13">
        <v>200000</v>
      </c>
      <c r="AA119" s="13">
        <v>200000</v>
      </c>
      <c r="AB119" s="13">
        <v>250000</v>
      </c>
      <c r="AC119" s="13">
        <v>200000</v>
      </c>
      <c r="AD119" s="13">
        <v>200000</v>
      </c>
      <c r="AE119" s="13">
        <v>200000</v>
      </c>
      <c r="AF119" s="13">
        <v>200000</v>
      </c>
      <c r="AG119" s="13">
        <v>200000</v>
      </c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 t="s">
        <v>1106</v>
      </c>
      <c r="AV119" s="4" t="s">
        <v>1220</v>
      </c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>
        <f t="shared" si="45"/>
        <v>455999.99999999994</v>
      </c>
      <c r="BN119" s="9">
        <f t="shared" si="36"/>
        <v>455999.99999999994</v>
      </c>
      <c r="BO119" s="9">
        <f t="shared" si="37"/>
        <v>455999.99999999994</v>
      </c>
      <c r="BP119" s="9">
        <f t="shared" si="38"/>
        <v>570000</v>
      </c>
      <c r="BQ119" s="9">
        <f t="shared" si="39"/>
        <v>455999.99999999994</v>
      </c>
      <c r="BR119" s="9">
        <f t="shared" si="40"/>
        <v>455999.99999999994</v>
      </c>
      <c r="BS119" s="9">
        <f t="shared" si="41"/>
        <v>455999.99999999994</v>
      </c>
      <c r="BT119" s="9">
        <f t="shared" si="42"/>
        <v>455999.99999999994</v>
      </c>
    </row>
    <row r="120" spans="1:72" hidden="1" x14ac:dyDescent="0.25">
      <c r="A120" s="11">
        <f t="shared" si="33"/>
        <v>119</v>
      </c>
      <c r="B120" s="4" t="s">
        <v>477</v>
      </c>
      <c r="C120" s="4" t="s">
        <v>59</v>
      </c>
      <c r="D120" s="4" t="s">
        <v>478</v>
      </c>
      <c r="E120" s="4" t="s">
        <v>1322</v>
      </c>
      <c r="F120" s="4" t="s">
        <v>479</v>
      </c>
      <c r="G120" s="4" t="s">
        <v>144</v>
      </c>
      <c r="H120" s="4" t="s">
        <v>1809</v>
      </c>
      <c r="I120" s="4"/>
      <c r="J120" s="4"/>
      <c r="K120" s="4" t="s">
        <v>293</v>
      </c>
      <c r="L120" s="9"/>
      <c r="M120" s="9"/>
      <c r="N120" s="9"/>
      <c r="O120" s="9"/>
      <c r="P120" s="9"/>
      <c r="Q120" s="14">
        <v>0.19</v>
      </c>
      <c r="R120" s="1">
        <f t="shared" si="34"/>
        <v>172900</v>
      </c>
      <c r="S120" s="2">
        <v>245100</v>
      </c>
      <c r="T120" s="2">
        <f t="shared" si="35"/>
        <v>910000</v>
      </c>
      <c r="U120" s="9"/>
      <c r="V120" s="9"/>
      <c r="W120" s="9"/>
      <c r="X120" s="9"/>
      <c r="Y120" s="24">
        <v>120000</v>
      </c>
      <c r="Z120" s="24">
        <v>240000</v>
      </c>
      <c r="AA120" s="24">
        <v>175000</v>
      </c>
      <c r="AB120" s="24">
        <v>210000</v>
      </c>
      <c r="AC120" s="24">
        <v>175000</v>
      </c>
      <c r="AD120" s="24">
        <v>175000</v>
      </c>
      <c r="AE120" s="24">
        <v>175000</v>
      </c>
      <c r="AF120" s="24">
        <v>175000</v>
      </c>
      <c r="AG120" s="24">
        <v>175000</v>
      </c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 t="s">
        <v>1106</v>
      </c>
      <c r="AV120" s="4" t="s">
        <v>1218</v>
      </c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>
        <f t="shared" ref="BM120:BM185" si="50">$Q120*Y120</f>
        <v>22800</v>
      </c>
      <c r="BN120" s="9">
        <f t="shared" si="36"/>
        <v>45600</v>
      </c>
      <c r="BO120" s="9">
        <f t="shared" si="37"/>
        <v>33250</v>
      </c>
      <c r="BP120" s="9">
        <f t="shared" si="38"/>
        <v>39900</v>
      </c>
      <c r="BQ120" s="9">
        <f t="shared" si="39"/>
        <v>33250</v>
      </c>
      <c r="BR120" s="9">
        <f t="shared" si="40"/>
        <v>33250</v>
      </c>
      <c r="BS120" s="9">
        <f t="shared" si="41"/>
        <v>33250</v>
      </c>
      <c r="BT120" s="9">
        <f t="shared" si="42"/>
        <v>33250</v>
      </c>
    </row>
    <row r="121" spans="1:72" hidden="1" x14ac:dyDescent="0.25">
      <c r="A121" s="11">
        <f t="shared" si="33"/>
        <v>120</v>
      </c>
      <c r="B121" s="4" t="s">
        <v>477</v>
      </c>
      <c r="C121" s="4" t="s">
        <v>59</v>
      </c>
      <c r="D121" s="4" t="s">
        <v>478</v>
      </c>
      <c r="E121" s="4" t="s">
        <v>1322</v>
      </c>
      <c r="F121" s="4" t="s">
        <v>479</v>
      </c>
      <c r="G121" s="4" t="s">
        <v>225</v>
      </c>
      <c r="H121" s="4" t="s">
        <v>226</v>
      </c>
      <c r="I121" s="4"/>
      <c r="J121" s="4"/>
      <c r="K121" s="4" t="s">
        <v>293</v>
      </c>
      <c r="L121" s="9"/>
      <c r="M121" s="9"/>
      <c r="N121" s="9"/>
      <c r="O121" s="9"/>
      <c r="P121" s="9"/>
      <c r="Q121" s="14">
        <v>0.32</v>
      </c>
      <c r="R121" s="1">
        <f t="shared" si="34"/>
        <v>129600</v>
      </c>
      <c r="S121" s="2">
        <v>207360</v>
      </c>
      <c r="T121" s="2">
        <f t="shared" si="35"/>
        <v>405000</v>
      </c>
      <c r="U121" s="9"/>
      <c r="V121" s="9"/>
      <c r="W121" s="9"/>
      <c r="X121" s="9"/>
      <c r="Y121" s="24">
        <v>81000</v>
      </c>
      <c r="Z121" s="24">
        <v>81000</v>
      </c>
      <c r="AA121" s="24">
        <v>81000</v>
      </c>
      <c r="AB121" s="24">
        <v>81000</v>
      </c>
      <c r="AC121" s="24">
        <v>81000</v>
      </c>
      <c r="AD121" s="24">
        <v>81000</v>
      </c>
      <c r="AE121" s="24">
        <v>81000</v>
      </c>
      <c r="AF121" s="24">
        <v>81000</v>
      </c>
      <c r="AG121" s="24">
        <v>81000</v>
      </c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 t="s">
        <v>1106</v>
      </c>
      <c r="AV121" s="4" t="s">
        <v>1218</v>
      </c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>
        <f t="shared" si="50"/>
        <v>25920</v>
      </c>
      <c r="BN121" s="9">
        <f t="shared" si="36"/>
        <v>25920</v>
      </c>
      <c r="BO121" s="9">
        <f t="shared" si="37"/>
        <v>25920</v>
      </c>
      <c r="BP121" s="9">
        <f t="shared" si="38"/>
        <v>25920</v>
      </c>
      <c r="BQ121" s="9">
        <f t="shared" si="39"/>
        <v>25920</v>
      </c>
      <c r="BR121" s="9">
        <f t="shared" si="40"/>
        <v>25920</v>
      </c>
      <c r="BS121" s="9">
        <f t="shared" si="41"/>
        <v>25920</v>
      </c>
      <c r="BT121" s="9">
        <f t="shared" si="42"/>
        <v>25920</v>
      </c>
    </row>
    <row r="122" spans="1:72" hidden="1" x14ac:dyDescent="0.25">
      <c r="A122" s="11">
        <f t="shared" si="33"/>
        <v>121</v>
      </c>
      <c r="B122" s="4" t="s">
        <v>480</v>
      </c>
      <c r="C122" s="4" t="s">
        <v>59</v>
      </c>
      <c r="D122" s="4" t="s">
        <v>478</v>
      </c>
      <c r="E122" s="4" t="s">
        <v>1322</v>
      </c>
      <c r="F122" s="4" t="s">
        <v>479</v>
      </c>
      <c r="G122" s="4" t="s">
        <v>458</v>
      </c>
      <c r="H122" s="4" t="s">
        <v>1759</v>
      </c>
      <c r="I122" s="4"/>
      <c r="J122" s="4"/>
      <c r="K122" s="4" t="s">
        <v>482</v>
      </c>
      <c r="L122" s="9"/>
      <c r="M122" s="9"/>
      <c r="N122" s="9"/>
      <c r="O122" s="9"/>
      <c r="P122" s="9"/>
      <c r="Q122" s="14">
        <v>0.32</v>
      </c>
      <c r="R122" s="1">
        <f t="shared" si="34"/>
        <v>320000</v>
      </c>
      <c r="S122" s="2">
        <v>512000</v>
      </c>
      <c r="T122" s="2">
        <f t="shared" si="35"/>
        <v>1000000</v>
      </c>
      <c r="U122" s="9"/>
      <c r="V122" s="9"/>
      <c r="W122" s="9"/>
      <c r="X122" s="9"/>
      <c r="Y122" s="24">
        <v>200000</v>
      </c>
      <c r="Z122" s="24">
        <v>200000</v>
      </c>
      <c r="AA122" s="24">
        <v>200000</v>
      </c>
      <c r="AB122" s="24">
        <v>200000</v>
      </c>
      <c r="AC122" s="24">
        <v>200000</v>
      </c>
      <c r="AD122" s="24">
        <v>200000</v>
      </c>
      <c r="AE122" s="24">
        <v>200000</v>
      </c>
      <c r="AF122" s="24">
        <v>200000</v>
      </c>
      <c r="AG122" s="24">
        <v>200000</v>
      </c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 t="s">
        <v>1106</v>
      </c>
      <c r="AV122" s="4" t="s">
        <v>1218</v>
      </c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>
        <f t="shared" si="50"/>
        <v>64000</v>
      </c>
      <c r="BN122" s="9">
        <f t="shared" si="36"/>
        <v>64000</v>
      </c>
      <c r="BO122" s="9">
        <f t="shared" si="37"/>
        <v>64000</v>
      </c>
      <c r="BP122" s="9">
        <f t="shared" si="38"/>
        <v>64000</v>
      </c>
      <c r="BQ122" s="9">
        <f t="shared" si="39"/>
        <v>64000</v>
      </c>
      <c r="BR122" s="9">
        <f t="shared" si="40"/>
        <v>64000</v>
      </c>
      <c r="BS122" s="9">
        <f t="shared" si="41"/>
        <v>64000</v>
      </c>
      <c r="BT122" s="9">
        <f t="shared" si="42"/>
        <v>64000</v>
      </c>
    </row>
    <row r="123" spans="1:72" hidden="1" x14ac:dyDescent="0.25">
      <c r="A123" s="11">
        <f t="shared" si="33"/>
        <v>122</v>
      </c>
      <c r="B123" s="4" t="s">
        <v>483</v>
      </c>
      <c r="C123" s="4" t="s">
        <v>128</v>
      </c>
      <c r="D123" s="4" t="s">
        <v>478</v>
      </c>
      <c r="E123" s="4" t="s">
        <v>1322</v>
      </c>
      <c r="F123" s="4" t="s">
        <v>479</v>
      </c>
      <c r="G123" s="4" t="s">
        <v>116</v>
      </c>
      <c r="H123" s="4" t="s">
        <v>117</v>
      </c>
      <c r="I123" s="4"/>
      <c r="J123" s="4"/>
      <c r="K123" s="4" t="s">
        <v>482</v>
      </c>
      <c r="L123" s="9"/>
      <c r="M123" s="9"/>
      <c r="N123" s="9"/>
      <c r="O123" s="9"/>
      <c r="P123" s="9"/>
      <c r="Q123" s="14">
        <v>0.28000000000000003</v>
      </c>
      <c r="R123" s="1">
        <f t="shared" si="34"/>
        <v>722400.00000000012</v>
      </c>
      <c r="S123" s="2">
        <v>1176000</v>
      </c>
      <c r="T123" s="2">
        <f t="shared" si="35"/>
        <v>2580000</v>
      </c>
      <c r="U123" s="9"/>
      <c r="V123" s="9"/>
      <c r="W123" s="9"/>
      <c r="X123" s="9"/>
      <c r="Y123" s="24">
        <v>400000</v>
      </c>
      <c r="Z123" s="24">
        <v>420000</v>
      </c>
      <c r="AA123" s="24">
        <v>210000</v>
      </c>
      <c r="AB123" s="24">
        <v>300000</v>
      </c>
      <c r="AC123" s="24">
        <v>480000</v>
      </c>
      <c r="AD123" s="24">
        <v>600000</v>
      </c>
      <c r="AE123" s="24">
        <v>600000</v>
      </c>
      <c r="AF123" s="24">
        <v>600000</v>
      </c>
      <c r="AG123" s="24">
        <v>600000</v>
      </c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 t="s">
        <v>1106</v>
      </c>
      <c r="AV123" s="4" t="s">
        <v>1218</v>
      </c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>
        <f t="shared" si="50"/>
        <v>112000.00000000001</v>
      </c>
      <c r="BN123" s="9">
        <f t="shared" si="36"/>
        <v>117600.00000000001</v>
      </c>
      <c r="BO123" s="9">
        <f t="shared" si="37"/>
        <v>58800.000000000007</v>
      </c>
      <c r="BP123" s="9">
        <f t="shared" si="38"/>
        <v>84000.000000000015</v>
      </c>
      <c r="BQ123" s="9">
        <f t="shared" si="39"/>
        <v>134400</v>
      </c>
      <c r="BR123" s="9">
        <f t="shared" si="40"/>
        <v>168000.00000000003</v>
      </c>
      <c r="BS123" s="9">
        <f t="shared" si="41"/>
        <v>168000.00000000003</v>
      </c>
      <c r="BT123" s="9">
        <f t="shared" si="42"/>
        <v>168000.00000000003</v>
      </c>
    </row>
    <row r="124" spans="1:72" hidden="1" x14ac:dyDescent="0.25">
      <c r="A124" s="11">
        <f t="shared" si="33"/>
        <v>123</v>
      </c>
      <c r="B124" s="4" t="s">
        <v>484</v>
      </c>
      <c r="C124" s="4" t="s">
        <v>59</v>
      </c>
      <c r="D124" s="4" t="s">
        <v>478</v>
      </c>
      <c r="E124" s="4" t="s">
        <v>1322</v>
      </c>
      <c r="F124" s="4" t="s">
        <v>479</v>
      </c>
      <c r="G124" s="4" t="s">
        <v>458</v>
      </c>
      <c r="H124" s="4" t="s">
        <v>1759</v>
      </c>
      <c r="I124" s="4"/>
      <c r="J124" s="4"/>
      <c r="K124" s="4" t="s">
        <v>482</v>
      </c>
      <c r="L124" s="9"/>
      <c r="M124" s="9"/>
      <c r="N124" s="9"/>
      <c r="O124" s="9"/>
      <c r="P124" s="9"/>
      <c r="Q124" s="14">
        <v>0.32</v>
      </c>
      <c r="R124" s="1">
        <f t="shared" si="34"/>
        <v>160000</v>
      </c>
      <c r="S124" s="2">
        <v>291200</v>
      </c>
      <c r="T124" s="2">
        <f t="shared" si="35"/>
        <v>500000</v>
      </c>
      <c r="U124" s="9"/>
      <c r="V124" s="9"/>
      <c r="W124" s="9"/>
      <c r="X124" s="9"/>
      <c r="Y124" s="24">
        <v>100000</v>
      </c>
      <c r="Z124" s="24">
        <v>210000</v>
      </c>
      <c r="AA124" s="24">
        <v>100000</v>
      </c>
      <c r="AB124" s="24">
        <v>100000</v>
      </c>
      <c r="AC124" s="24">
        <v>100000</v>
      </c>
      <c r="AD124" s="24">
        <v>100000</v>
      </c>
      <c r="AE124" s="24">
        <v>100000</v>
      </c>
      <c r="AF124" s="24">
        <v>100000</v>
      </c>
      <c r="AG124" s="24">
        <v>100000</v>
      </c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 t="s">
        <v>1106</v>
      </c>
      <c r="AV124" s="4" t="s">
        <v>1218</v>
      </c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>
        <f t="shared" si="50"/>
        <v>32000</v>
      </c>
      <c r="BN124" s="9">
        <f t="shared" si="36"/>
        <v>67200</v>
      </c>
      <c r="BO124" s="9">
        <f t="shared" si="37"/>
        <v>32000</v>
      </c>
      <c r="BP124" s="9">
        <f t="shared" si="38"/>
        <v>32000</v>
      </c>
      <c r="BQ124" s="9">
        <f t="shared" si="39"/>
        <v>32000</v>
      </c>
      <c r="BR124" s="9">
        <f t="shared" si="40"/>
        <v>32000</v>
      </c>
      <c r="BS124" s="9">
        <f t="shared" si="41"/>
        <v>32000</v>
      </c>
      <c r="BT124" s="9">
        <f t="shared" si="42"/>
        <v>32000</v>
      </c>
    </row>
    <row r="125" spans="1:72" hidden="1" x14ac:dyDescent="0.25">
      <c r="A125" s="11">
        <f t="shared" si="33"/>
        <v>124</v>
      </c>
      <c r="B125" s="4" t="s">
        <v>485</v>
      </c>
      <c r="C125" s="4" t="s">
        <v>59</v>
      </c>
      <c r="D125" s="4" t="s">
        <v>478</v>
      </c>
      <c r="E125" s="4" t="s">
        <v>1322</v>
      </c>
      <c r="F125" s="4" t="s">
        <v>479</v>
      </c>
      <c r="G125" s="4" t="s">
        <v>267</v>
      </c>
      <c r="H125" s="4" t="s">
        <v>268</v>
      </c>
      <c r="I125" s="4"/>
      <c r="J125" s="4"/>
      <c r="K125" s="4" t="s">
        <v>486</v>
      </c>
      <c r="L125" s="9"/>
      <c r="M125" s="9"/>
      <c r="N125" s="9"/>
      <c r="O125" s="9"/>
      <c r="P125" s="9"/>
      <c r="Q125" s="14">
        <v>0.25</v>
      </c>
      <c r="R125" s="1">
        <f t="shared" si="34"/>
        <v>290000</v>
      </c>
      <c r="S125" s="2">
        <v>400000</v>
      </c>
      <c r="T125" s="2">
        <f t="shared" si="35"/>
        <v>1160000</v>
      </c>
      <c r="U125" s="9"/>
      <c r="V125" s="9"/>
      <c r="W125" s="9"/>
      <c r="X125" s="9"/>
      <c r="Y125" s="24">
        <v>200000</v>
      </c>
      <c r="Z125" s="24">
        <v>200000</v>
      </c>
      <c r="AA125" s="24">
        <v>200000</v>
      </c>
      <c r="AB125" s="24">
        <v>360000</v>
      </c>
      <c r="AC125" s="24">
        <v>200000</v>
      </c>
      <c r="AD125" s="24">
        <v>200000</v>
      </c>
      <c r="AE125" s="24">
        <v>200000</v>
      </c>
      <c r="AF125" s="24">
        <v>200000</v>
      </c>
      <c r="AG125" s="24">
        <v>200000</v>
      </c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 t="s">
        <v>1106</v>
      </c>
      <c r="AV125" s="4" t="s">
        <v>1218</v>
      </c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>
        <f t="shared" si="50"/>
        <v>50000</v>
      </c>
      <c r="BN125" s="9">
        <f t="shared" si="36"/>
        <v>50000</v>
      </c>
      <c r="BO125" s="9">
        <f t="shared" si="37"/>
        <v>50000</v>
      </c>
      <c r="BP125" s="9">
        <f t="shared" si="38"/>
        <v>90000</v>
      </c>
      <c r="BQ125" s="9">
        <f t="shared" si="39"/>
        <v>50000</v>
      </c>
      <c r="BR125" s="9">
        <f t="shared" si="40"/>
        <v>50000</v>
      </c>
      <c r="BS125" s="9">
        <f t="shared" si="41"/>
        <v>50000</v>
      </c>
      <c r="BT125" s="9">
        <f t="shared" si="42"/>
        <v>50000</v>
      </c>
    </row>
    <row r="126" spans="1:72" hidden="1" x14ac:dyDescent="0.25">
      <c r="A126" s="11">
        <f t="shared" si="33"/>
        <v>125</v>
      </c>
      <c r="B126" s="4" t="s">
        <v>487</v>
      </c>
      <c r="C126" s="4" t="s">
        <v>59</v>
      </c>
      <c r="D126" s="4" t="s">
        <v>478</v>
      </c>
      <c r="E126" s="4" t="s">
        <v>1322</v>
      </c>
      <c r="F126" s="4" t="s">
        <v>479</v>
      </c>
      <c r="G126" s="4" t="s">
        <v>1119</v>
      </c>
      <c r="H126" s="4" t="s">
        <v>341</v>
      </c>
      <c r="I126" s="4"/>
      <c r="J126" s="4"/>
      <c r="K126" s="4" t="s">
        <v>488</v>
      </c>
      <c r="L126" s="9"/>
      <c r="M126" s="9"/>
      <c r="N126" s="9"/>
      <c r="O126" s="9"/>
      <c r="P126" s="9"/>
      <c r="Q126" s="14">
        <v>0.32</v>
      </c>
      <c r="R126" s="1">
        <f t="shared" si="34"/>
        <v>19200</v>
      </c>
      <c r="S126" s="2">
        <v>28160</v>
      </c>
      <c r="T126" s="2">
        <f t="shared" si="35"/>
        <v>60000</v>
      </c>
      <c r="U126" s="9"/>
      <c r="V126" s="9"/>
      <c r="W126" s="9"/>
      <c r="X126" s="9"/>
      <c r="Y126" s="24">
        <v>8000</v>
      </c>
      <c r="Z126" s="24">
        <v>8000</v>
      </c>
      <c r="AA126" s="24">
        <v>12000</v>
      </c>
      <c r="AB126" s="24">
        <v>12000</v>
      </c>
      <c r="AC126" s="24">
        <v>12000</v>
      </c>
      <c r="AD126" s="24">
        <v>12000</v>
      </c>
      <c r="AE126" s="24">
        <v>12000</v>
      </c>
      <c r="AF126" s="24">
        <v>12000</v>
      </c>
      <c r="AG126" s="24">
        <v>12000</v>
      </c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 t="s">
        <v>1106</v>
      </c>
      <c r="AV126" s="4" t="s">
        <v>1218</v>
      </c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>
        <f t="shared" si="50"/>
        <v>2560</v>
      </c>
      <c r="BN126" s="9">
        <f t="shared" si="36"/>
        <v>2560</v>
      </c>
      <c r="BO126" s="9">
        <f t="shared" si="37"/>
        <v>3840</v>
      </c>
      <c r="BP126" s="9">
        <f t="shared" si="38"/>
        <v>3840</v>
      </c>
      <c r="BQ126" s="9">
        <f t="shared" si="39"/>
        <v>3840</v>
      </c>
      <c r="BR126" s="9">
        <f t="shared" si="40"/>
        <v>3840</v>
      </c>
      <c r="BS126" s="9">
        <f t="shared" si="41"/>
        <v>3840</v>
      </c>
      <c r="BT126" s="9">
        <f t="shared" si="42"/>
        <v>3840</v>
      </c>
    </row>
    <row r="127" spans="1:72" hidden="1" x14ac:dyDescent="0.25">
      <c r="A127" s="11">
        <f t="shared" si="33"/>
        <v>126</v>
      </c>
      <c r="B127" s="4" t="s">
        <v>489</v>
      </c>
      <c r="C127" s="4" t="s">
        <v>59</v>
      </c>
      <c r="D127" s="4" t="s">
        <v>490</v>
      </c>
      <c r="E127" s="4" t="s">
        <v>1322</v>
      </c>
      <c r="F127" s="4" t="s">
        <v>479</v>
      </c>
      <c r="G127" s="4" t="s">
        <v>345</v>
      </c>
      <c r="H127" s="4" t="s">
        <v>346</v>
      </c>
      <c r="I127" s="4">
        <v>1134</v>
      </c>
      <c r="J127" s="4" t="s">
        <v>491</v>
      </c>
      <c r="K127" s="4" t="s">
        <v>492</v>
      </c>
      <c r="L127" s="9"/>
      <c r="M127" s="9"/>
      <c r="N127" s="9"/>
      <c r="O127" s="9"/>
      <c r="P127" s="9"/>
      <c r="Q127" s="14">
        <v>0.32</v>
      </c>
      <c r="R127" s="1">
        <f t="shared" si="34"/>
        <v>200000</v>
      </c>
      <c r="S127" s="2">
        <v>320000</v>
      </c>
      <c r="T127" s="2">
        <f t="shared" si="35"/>
        <v>625000</v>
      </c>
      <c r="U127" s="9"/>
      <c r="V127" s="9"/>
      <c r="W127" s="9"/>
      <c r="X127" s="9"/>
      <c r="Y127" s="24">
        <v>125000</v>
      </c>
      <c r="Z127" s="24">
        <v>125000</v>
      </c>
      <c r="AA127" s="24">
        <v>125000</v>
      </c>
      <c r="AB127" s="24">
        <v>125000</v>
      </c>
      <c r="AC127" s="24">
        <v>125000</v>
      </c>
      <c r="AD127" s="24">
        <v>125000</v>
      </c>
      <c r="AE127" s="24">
        <v>125000</v>
      </c>
      <c r="AF127" s="24">
        <v>125000</v>
      </c>
      <c r="AG127" s="24">
        <v>125000</v>
      </c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 t="s">
        <v>1106</v>
      </c>
      <c r="AV127" s="4" t="s">
        <v>1218</v>
      </c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>
        <f t="shared" si="50"/>
        <v>40000</v>
      </c>
      <c r="BN127" s="9">
        <f t="shared" si="36"/>
        <v>40000</v>
      </c>
      <c r="BO127" s="9">
        <f t="shared" si="37"/>
        <v>40000</v>
      </c>
      <c r="BP127" s="9">
        <f t="shared" si="38"/>
        <v>40000</v>
      </c>
      <c r="BQ127" s="9">
        <f t="shared" si="39"/>
        <v>40000</v>
      </c>
      <c r="BR127" s="9">
        <f t="shared" si="40"/>
        <v>40000</v>
      </c>
      <c r="BS127" s="9">
        <f t="shared" si="41"/>
        <v>40000</v>
      </c>
      <c r="BT127" s="9">
        <f t="shared" si="42"/>
        <v>40000</v>
      </c>
    </row>
    <row r="128" spans="1:72" hidden="1" x14ac:dyDescent="0.25">
      <c r="A128" s="11">
        <f t="shared" si="33"/>
        <v>127</v>
      </c>
      <c r="B128" s="4" t="s">
        <v>493</v>
      </c>
      <c r="C128" s="4" t="s">
        <v>128</v>
      </c>
      <c r="D128" s="4" t="s">
        <v>490</v>
      </c>
      <c r="E128" s="4" t="s">
        <v>1322</v>
      </c>
      <c r="F128" s="4" t="s">
        <v>479</v>
      </c>
      <c r="G128" s="4" t="s">
        <v>494</v>
      </c>
      <c r="H128" s="4" t="s">
        <v>1751</v>
      </c>
      <c r="I128" s="4"/>
      <c r="J128" s="4"/>
      <c r="K128" s="4" t="s">
        <v>495</v>
      </c>
      <c r="L128" s="9"/>
      <c r="M128" s="9"/>
      <c r="N128" s="9"/>
      <c r="O128" s="9"/>
      <c r="P128" s="9"/>
      <c r="Q128" s="14">
        <v>0.32</v>
      </c>
      <c r="R128" s="1">
        <f t="shared" si="34"/>
        <v>48000</v>
      </c>
      <c r="S128" s="2">
        <v>76800</v>
      </c>
      <c r="T128" s="2">
        <f t="shared" si="35"/>
        <v>150000</v>
      </c>
      <c r="U128" s="9"/>
      <c r="V128" s="9"/>
      <c r="W128" s="9"/>
      <c r="X128" s="9"/>
      <c r="Y128" s="24">
        <v>30000</v>
      </c>
      <c r="Z128" s="24">
        <v>30000</v>
      </c>
      <c r="AA128" s="24">
        <v>30000</v>
      </c>
      <c r="AB128" s="24">
        <v>30000</v>
      </c>
      <c r="AC128" s="24">
        <v>30000</v>
      </c>
      <c r="AD128" s="24">
        <v>30000</v>
      </c>
      <c r="AE128" s="24">
        <v>30000</v>
      </c>
      <c r="AF128" s="24">
        <v>30000</v>
      </c>
      <c r="AG128" s="24">
        <v>30000</v>
      </c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 t="s">
        <v>1106</v>
      </c>
      <c r="AV128" s="4" t="s">
        <v>1218</v>
      </c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>
        <f t="shared" si="50"/>
        <v>9600</v>
      </c>
      <c r="BN128" s="9">
        <f t="shared" si="36"/>
        <v>9600</v>
      </c>
      <c r="BO128" s="9">
        <f t="shared" si="37"/>
        <v>9600</v>
      </c>
      <c r="BP128" s="9">
        <f t="shared" si="38"/>
        <v>9600</v>
      </c>
      <c r="BQ128" s="9">
        <f t="shared" si="39"/>
        <v>9600</v>
      </c>
      <c r="BR128" s="9">
        <f t="shared" si="40"/>
        <v>9600</v>
      </c>
      <c r="BS128" s="9">
        <f t="shared" si="41"/>
        <v>9600</v>
      </c>
      <c r="BT128" s="9">
        <f t="shared" si="42"/>
        <v>9600</v>
      </c>
    </row>
    <row r="129" spans="1:72" hidden="1" x14ac:dyDescent="0.25">
      <c r="A129" s="11">
        <f t="shared" si="33"/>
        <v>128</v>
      </c>
      <c r="B129" s="4" t="s">
        <v>496</v>
      </c>
      <c r="C129" s="4" t="s">
        <v>59</v>
      </c>
      <c r="D129" s="4" t="s">
        <v>490</v>
      </c>
      <c r="E129" s="4" t="s">
        <v>1322</v>
      </c>
      <c r="F129" s="4" t="s">
        <v>479</v>
      </c>
      <c r="G129" s="4" t="s">
        <v>497</v>
      </c>
      <c r="H129" s="4" t="s">
        <v>498</v>
      </c>
      <c r="I129" s="4">
        <v>2642</v>
      </c>
      <c r="J129" s="4"/>
      <c r="K129" s="4" t="s">
        <v>499</v>
      </c>
      <c r="L129" s="9"/>
      <c r="M129" s="9"/>
      <c r="N129" s="9"/>
      <c r="O129" s="9"/>
      <c r="P129" s="9"/>
      <c r="Q129" s="61">
        <v>0.32</v>
      </c>
      <c r="R129" s="1">
        <f t="shared" si="34"/>
        <v>121920</v>
      </c>
      <c r="S129" s="2">
        <v>0</v>
      </c>
      <c r="T129" s="2">
        <f t="shared" si="35"/>
        <v>381000</v>
      </c>
      <c r="U129" s="9"/>
      <c r="V129" s="9"/>
      <c r="W129" s="9"/>
      <c r="X129" s="9"/>
      <c r="Y129" s="24">
        <v>60000</v>
      </c>
      <c r="Z129" s="24"/>
      <c r="AA129" s="24"/>
      <c r="AB129" s="24">
        <v>381000</v>
      </c>
      <c r="AC129" s="24"/>
      <c r="AD129" s="24"/>
      <c r="AE129" s="24"/>
      <c r="AF129" s="24"/>
      <c r="AG129" s="13">
        <f t="shared" ref="AG129:AG130" si="51">AF129</f>
        <v>0</v>
      </c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 t="s">
        <v>1106</v>
      </c>
      <c r="AV129" s="4" t="s">
        <v>1218</v>
      </c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>
        <f t="shared" si="50"/>
        <v>19200</v>
      </c>
      <c r="BN129" s="9">
        <f t="shared" si="36"/>
        <v>0</v>
      </c>
      <c r="BO129" s="9">
        <f t="shared" si="37"/>
        <v>0</v>
      </c>
      <c r="BP129" s="9">
        <f t="shared" si="38"/>
        <v>121920</v>
      </c>
      <c r="BQ129" s="9">
        <f t="shared" si="39"/>
        <v>0</v>
      </c>
      <c r="BR129" s="9">
        <f t="shared" si="40"/>
        <v>0</v>
      </c>
      <c r="BS129" s="9">
        <f t="shared" si="41"/>
        <v>0</v>
      </c>
      <c r="BT129" s="9">
        <f t="shared" si="42"/>
        <v>0</v>
      </c>
    </row>
    <row r="130" spans="1:72" hidden="1" x14ac:dyDescent="0.25">
      <c r="A130" s="11">
        <f t="shared" si="33"/>
        <v>129</v>
      </c>
      <c r="B130" s="4" t="s">
        <v>500</v>
      </c>
      <c r="C130" s="4" t="s">
        <v>59</v>
      </c>
      <c r="D130" s="4" t="s">
        <v>490</v>
      </c>
      <c r="E130" s="4" t="s">
        <v>1322</v>
      </c>
      <c r="F130" s="4" t="s">
        <v>479</v>
      </c>
      <c r="G130" s="4" t="s">
        <v>501</v>
      </c>
      <c r="H130" s="4"/>
      <c r="I130" s="4"/>
      <c r="J130" s="4"/>
      <c r="K130" s="4" t="s">
        <v>502</v>
      </c>
      <c r="L130" s="9"/>
      <c r="M130" s="9"/>
      <c r="N130" s="9"/>
      <c r="O130" s="9"/>
      <c r="P130" s="9"/>
      <c r="Q130" s="10"/>
      <c r="R130" s="1">
        <f t="shared" si="34"/>
        <v>0</v>
      </c>
      <c r="S130" s="2">
        <v>0</v>
      </c>
      <c r="T130" s="2">
        <f t="shared" si="35"/>
        <v>0</v>
      </c>
      <c r="U130" s="9"/>
      <c r="V130" s="9"/>
      <c r="W130" s="9"/>
      <c r="X130" s="9"/>
      <c r="Y130" s="24"/>
      <c r="Z130" s="24"/>
      <c r="AA130" s="24"/>
      <c r="AB130" s="24"/>
      <c r="AC130" s="24"/>
      <c r="AD130" s="24"/>
      <c r="AE130" s="24"/>
      <c r="AF130" s="24"/>
      <c r="AG130" s="13">
        <f t="shared" si="51"/>
        <v>0</v>
      </c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 t="s">
        <v>1106</v>
      </c>
      <c r="AV130" s="4" t="s">
        <v>1218</v>
      </c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>
        <f t="shared" si="50"/>
        <v>0</v>
      </c>
      <c r="BN130" s="9">
        <f t="shared" si="36"/>
        <v>0</v>
      </c>
      <c r="BO130" s="9">
        <f t="shared" si="37"/>
        <v>0</v>
      </c>
      <c r="BP130" s="9">
        <f t="shared" si="38"/>
        <v>0</v>
      </c>
      <c r="BQ130" s="9">
        <f t="shared" si="39"/>
        <v>0</v>
      </c>
      <c r="BR130" s="9">
        <f t="shared" si="40"/>
        <v>0</v>
      </c>
      <c r="BS130" s="9">
        <f t="shared" si="41"/>
        <v>0</v>
      </c>
      <c r="BT130" s="9">
        <f t="shared" si="42"/>
        <v>0</v>
      </c>
    </row>
    <row r="131" spans="1:72" hidden="1" x14ac:dyDescent="0.25">
      <c r="A131" s="11">
        <f t="shared" ref="A131:A193" si="52">ROW()-1</f>
        <v>130</v>
      </c>
      <c r="B131" s="4" t="s">
        <v>503</v>
      </c>
      <c r="C131" s="4" t="s">
        <v>128</v>
      </c>
      <c r="D131" s="4" t="s">
        <v>490</v>
      </c>
      <c r="E131" s="4" t="s">
        <v>1322</v>
      </c>
      <c r="F131" s="4" t="s">
        <v>479</v>
      </c>
      <c r="G131" s="4" t="s">
        <v>441</v>
      </c>
      <c r="H131" s="4" t="s">
        <v>175</v>
      </c>
      <c r="I131" s="4"/>
      <c r="J131" s="4"/>
      <c r="K131" s="4" t="s">
        <v>420</v>
      </c>
      <c r="L131" s="9"/>
      <c r="M131" s="9"/>
      <c r="N131" s="9"/>
      <c r="O131" s="9"/>
      <c r="P131" s="9"/>
      <c r="Q131" s="14">
        <v>2.0699999999999998</v>
      </c>
      <c r="R131" s="1">
        <f t="shared" ref="R131:R194" si="53">Q131*T131</f>
        <v>1304100</v>
      </c>
      <c r="S131" s="2">
        <v>1987199.9999999998</v>
      </c>
      <c r="T131" s="2">
        <f t="shared" ref="T131:T194" si="54">SUM(AB131:AF131)</f>
        <v>630000</v>
      </c>
      <c r="U131" s="9"/>
      <c r="V131" s="9"/>
      <c r="W131" s="9"/>
      <c r="X131" s="9"/>
      <c r="Y131" s="24">
        <v>110000</v>
      </c>
      <c r="Z131" s="24">
        <v>110000</v>
      </c>
      <c r="AA131" s="24">
        <v>110000</v>
      </c>
      <c r="AB131" s="24">
        <v>110000</v>
      </c>
      <c r="AC131" s="24">
        <v>130000</v>
      </c>
      <c r="AD131" s="24">
        <v>130000</v>
      </c>
      <c r="AE131" s="24">
        <v>130000</v>
      </c>
      <c r="AF131" s="24">
        <v>130000</v>
      </c>
      <c r="AG131" s="24">
        <v>130000</v>
      </c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 t="s">
        <v>1106</v>
      </c>
      <c r="AV131" s="4" t="s">
        <v>1220</v>
      </c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>
        <f t="shared" si="50"/>
        <v>227699.99999999997</v>
      </c>
      <c r="BN131" s="9">
        <f t="shared" ref="BN131:BN193" si="55">$Q131*Z131</f>
        <v>227699.99999999997</v>
      </c>
      <c r="BO131" s="9">
        <f t="shared" ref="BO131:BO193" si="56">$Q131*AA131</f>
        <v>227699.99999999997</v>
      </c>
      <c r="BP131" s="9">
        <f t="shared" ref="BP131:BP194" si="57">$Q131*AB131</f>
        <v>227699.99999999997</v>
      </c>
      <c r="BQ131" s="9">
        <f t="shared" ref="BQ131:BQ194" si="58">$Q131*AC131</f>
        <v>269100</v>
      </c>
      <c r="BR131" s="9">
        <f t="shared" ref="BR131:BR194" si="59">$Q131*AD131</f>
        <v>269100</v>
      </c>
      <c r="BS131" s="9">
        <f t="shared" ref="BS131:BS194" si="60">$Q131*AE131</f>
        <v>269100</v>
      </c>
      <c r="BT131" s="9">
        <f t="shared" ref="BT131:BT194" si="61">$Q131*AF131</f>
        <v>269100</v>
      </c>
    </row>
    <row r="132" spans="1:72" hidden="1" x14ac:dyDescent="0.25">
      <c r="A132" s="11">
        <f t="shared" si="52"/>
        <v>131</v>
      </c>
      <c r="B132" s="4" t="s">
        <v>503</v>
      </c>
      <c r="C132" s="4" t="s">
        <v>128</v>
      </c>
      <c r="D132" s="4" t="s">
        <v>490</v>
      </c>
      <c r="E132" s="4" t="s">
        <v>1322</v>
      </c>
      <c r="F132" s="4" t="s">
        <v>479</v>
      </c>
      <c r="G132" s="4" t="s">
        <v>504</v>
      </c>
      <c r="H132" s="4" t="s">
        <v>596</v>
      </c>
      <c r="I132" s="4"/>
      <c r="J132" s="4"/>
      <c r="K132" s="4" t="s">
        <v>420</v>
      </c>
      <c r="L132" s="9"/>
      <c r="M132" s="9"/>
      <c r="N132" s="9"/>
      <c r="O132" s="9"/>
      <c r="P132" s="9"/>
      <c r="Q132" s="10"/>
      <c r="R132" s="1">
        <f t="shared" si="53"/>
        <v>0</v>
      </c>
      <c r="S132" s="2">
        <v>0</v>
      </c>
      <c r="T132" s="2">
        <f t="shared" si="54"/>
        <v>0</v>
      </c>
      <c r="U132" s="9"/>
      <c r="V132" s="9"/>
      <c r="W132" s="9"/>
      <c r="X132" s="9"/>
      <c r="Y132" s="24"/>
      <c r="Z132" s="24"/>
      <c r="AA132" s="24"/>
      <c r="AB132" s="24"/>
      <c r="AC132" s="24"/>
      <c r="AD132" s="24"/>
      <c r="AE132" s="24"/>
      <c r="AF132" s="24"/>
      <c r="AG132" s="13">
        <f>AF132</f>
        <v>0</v>
      </c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 t="s">
        <v>1106</v>
      </c>
      <c r="AV132" s="4" t="s">
        <v>1220</v>
      </c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>
        <f t="shared" si="50"/>
        <v>0</v>
      </c>
      <c r="BN132" s="9">
        <f t="shared" si="55"/>
        <v>0</v>
      </c>
      <c r="BO132" s="9">
        <f t="shared" si="56"/>
        <v>0</v>
      </c>
      <c r="BP132" s="9">
        <f t="shared" si="57"/>
        <v>0</v>
      </c>
      <c r="BQ132" s="9">
        <f t="shared" si="58"/>
        <v>0</v>
      </c>
      <c r="BR132" s="9">
        <f t="shared" si="59"/>
        <v>0</v>
      </c>
      <c r="BS132" s="9">
        <f t="shared" si="60"/>
        <v>0</v>
      </c>
      <c r="BT132" s="9">
        <f t="shared" si="61"/>
        <v>0</v>
      </c>
    </row>
    <row r="133" spans="1:72" hidden="1" x14ac:dyDescent="0.25">
      <c r="A133" s="11">
        <f t="shared" si="52"/>
        <v>132</v>
      </c>
      <c r="B133" s="4" t="s">
        <v>503</v>
      </c>
      <c r="C133" s="4" t="s">
        <v>128</v>
      </c>
      <c r="D133" s="4" t="s">
        <v>490</v>
      </c>
      <c r="E133" s="4" t="s">
        <v>1322</v>
      </c>
      <c r="F133" s="4" t="s">
        <v>479</v>
      </c>
      <c r="G133" s="4" t="s">
        <v>1150</v>
      </c>
      <c r="H133" s="4" t="s">
        <v>597</v>
      </c>
      <c r="I133" s="4"/>
      <c r="J133" s="4"/>
      <c r="K133" s="4" t="s">
        <v>420</v>
      </c>
      <c r="L133" s="9"/>
      <c r="M133" s="9"/>
      <c r="N133" s="9"/>
      <c r="O133" s="9"/>
      <c r="P133" s="9"/>
      <c r="Q133" s="10">
        <v>2.0699999999999998</v>
      </c>
      <c r="R133" s="1">
        <f t="shared" si="53"/>
        <v>310500</v>
      </c>
      <c r="S133" s="2">
        <v>0</v>
      </c>
      <c r="T133" s="2">
        <f t="shared" si="54"/>
        <v>150000</v>
      </c>
      <c r="U133" s="9"/>
      <c r="V133" s="9"/>
      <c r="W133" s="9"/>
      <c r="X133" s="9"/>
      <c r="Y133" s="24"/>
      <c r="Z133" s="24"/>
      <c r="AA133" s="24"/>
      <c r="AB133" s="24">
        <v>30000</v>
      </c>
      <c r="AC133" s="24">
        <v>30000</v>
      </c>
      <c r="AD133" s="24">
        <v>30000</v>
      </c>
      <c r="AE133" s="24">
        <v>30000</v>
      </c>
      <c r="AF133" s="24">
        <v>30000</v>
      </c>
      <c r="AG133" s="24">
        <v>30000</v>
      </c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 t="s">
        <v>1106</v>
      </c>
      <c r="AV133" s="4" t="s">
        <v>1220</v>
      </c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>
        <f t="shared" si="50"/>
        <v>0</v>
      </c>
      <c r="BN133" s="9">
        <f t="shared" si="55"/>
        <v>0</v>
      </c>
      <c r="BO133" s="9">
        <f t="shared" si="56"/>
        <v>0</v>
      </c>
      <c r="BP133" s="9">
        <f t="shared" si="57"/>
        <v>62099.999999999993</v>
      </c>
      <c r="BQ133" s="9">
        <f t="shared" si="58"/>
        <v>62099.999999999993</v>
      </c>
      <c r="BR133" s="9">
        <f t="shared" si="59"/>
        <v>62099.999999999993</v>
      </c>
      <c r="BS133" s="9">
        <f t="shared" si="60"/>
        <v>62099.999999999993</v>
      </c>
      <c r="BT133" s="9">
        <f t="shared" si="61"/>
        <v>62099.999999999993</v>
      </c>
    </row>
    <row r="134" spans="1:72" hidden="1" x14ac:dyDescent="0.25">
      <c r="A134" s="11">
        <f t="shared" si="52"/>
        <v>133</v>
      </c>
      <c r="B134" s="4" t="s">
        <v>505</v>
      </c>
      <c r="C134" s="4" t="s">
        <v>59</v>
      </c>
      <c r="D134" s="4" t="s">
        <v>490</v>
      </c>
      <c r="E134" s="4" t="s">
        <v>1322</v>
      </c>
      <c r="F134" s="4" t="s">
        <v>479</v>
      </c>
      <c r="G134" s="4" t="s">
        <v>539</v>
      </c>
      <c r="H134" s="4" t="s">
        <v>467</v>
      </c>
      <c r="I134" s="4"/>
      <c r="J134" s="4"/>
      <c r="K134" s="4" t="s">
        <v>420</v>
      </c>
      <c r="L134" s="9"/>
      <c r="M134" s="9"/>
      <c r="N134" s="9"/>
      <c r="O134" s="9"/>
      <c r="P134" s="9"/>
      <c r="Q134" s="14">
        <v>2.1800000000000002</v>
      </c>
      <c r="R134" s="1">
        <f t="shared" si="53"/>
        <v>0</v>
      </c>
      <c r="S134" s="2">
        <v>1133600</v>
      </c>
      <c r="T134" s="2">
        <f t="shared" si="54"/>
        <v>0</v>
      </c>
      <c r="U134" s="9"/>
      <c r="V134" s="9"/>
      <c r="W134" s="9"/>
      <c r="X134" s="9"/>
      <c r="Y134" s="24">
        <v>50000</v>
      </c>
      <c r="Z134" s="24">
        <v>24000</v>
      </c>
      <c r="AA134" s="24">
        <v>24000</v>
      </c>
      <c r="AB134" s="24"/>
      <c r="AC134" s="24"/>
      <c r="AD134" s="24"/>
      <c r="AE134" s="24"/>
      <c r="AF134" s="24"/>
      <c r="AG134" s="13">
        <f t="shared" ref="AG134:AG135" si="62">AF134</f>
        <v>0</v>
      </c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 t="s">
        <v>1106</v>
      </c>
      <c r="AV134" s="4" t="s">
        <v>1220</v>
      </c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>
        <f t="shared" si="50"/>
        <v>109000.00000000001</v>
      </c>
      <c r="BN134" s="9">
        <f t="shared" si="55"/>
        <v>52320.000000000007</v>
      </c>
      <c r="BO134" s="9">
        <f t="shared" si="56"/>
        <v>52320.000000000007</v>
      </c>
      <c r="BP134" s="9">
        <f t="shared" si="57"/>
        <v>0</v>
      </c>
      <c r="BQ134" s="9">
        <f t="shared" si="58"/>
        <v>0</v>
      </c>
      <c r="BR134" s="9">
        <f t="shared" si="59"/>
        <v>0</v>
      </c>
      <c r="BS134" s="9">
        <f t="shared" si="60"/>
        <v>0</v>
      </c>
      <c r="BT134" s="9">
        <f t="shared" si="61"/>
        <v>0</v>
      </c>
    </row>
    <row r="135" spans="1:72" hidden="1" x14ac:dyDescent="0.25">
      <c r="A135" s="11">
        <f t="shared" si="52"/>
        <v>134</v>
      </c>
      <c r="B135" s="4" t="s">
        <v>505</v>
      </c>
      <c r="C135" s="4" t="s">
        <v>59</v>
      </c>
      <c r="D135" s="4" t="s">
        <v>490</v>
      </c>
      <c r="E135" s="4" t="s">
        <v>1322</v>
      </c>
      <c r="F135" s="4" t="s">
        <v>479</v>
      </c>
      <c r="G135" s="4" t="s">
        <v>1150</v>
      </c>
      <c r="H135" s="4" t="s">
        <v>419</v>
      </c>
      <c r="I135" s="4"/>
      <c r="J135" s="4"/>
      <c r="K135" s="4" t="s">
        <v>420</v>
      </c>
      <c r="L135" s="9"/>
      <c r="M135" s="9"/>
      <c r="N135" s="9"/>
      <c r="O135" s="9"/>
      <c r="P135" s="9"/>
      <c r="Q135" s="14">
        <v>2.2999999999999998</v>
      </c>
      <c r="R135" s="1">
        <f t="shared" si="53"/>
        <v>0</v>
      </c>
      <c r="S135" s="2">
        <v>2357500</v>
      </c>
      <c r="T135" s="2">
        <f t="shared" si="54"/>
        <v>0</v>
      </c>
      <c r="U135" s="9"/>
      <c r="V135" s="9"/>
      <c r="W135" s="9"/>
      <c r="X135" s="9"/>
      <c r="Y135" s="24">
        <v>100000</v>
      </c>
      <c r="Z135" s="24"/>
      <c r="AA135" s="24"/>
      <c r="AB135" s="24"/>
      <c r="AC135" s="24"/>
      <c r="AD135" s="24"/>
      <c r="AE135" s="24"/>
      <c r="AF135" s="24"/>
      <c r="AG135" s="13">
        <f t="shared" si="62"/>
        <v>0</v>
      </c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 t="s">
        <v>1106</v>
      </c>
      <c r="AV135" s="4" t="s">
        <v>1220</v>
      </c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>
        <f t="shared" si="50"/>
        <v>229999.99999999997</v>
      </c>
      <c r="BN135" s="9">
        <f t="shared" si="55"/>
        <v>0</v>
      </c>
      <c r="BO135" s="9">
        <f t="shared" si="56"/>
        <v>0</v>
      </c>
      <c r="BP135" s="9">
        <f t="shared" si="57"/>
        <v>0</v>
      </c>
      <c r="BQ135" s="9">
        <f t="shared" si="58"/>
        <v>0</v>
      </c>
      <c r="BR135" s="9">
        <f t="shared" si="59"/>
        <v>0</v>
      </c>
      <c r="BS135" s="9">
        <f t="shared" si="60"/>
        <v>0</v>
      </c>
      <c r="BT135" s="9">
        <f t="shared" si="61"/>
        <v>0</v>
      </c>
    </row>
    <row r="136" spans="1:72" hidden="1" x14ac:dyDescent="0.25">
      <c r="A136" s="11">
        <f t="shared" si="52"/>
        <v>135</v>
      </c>
      <c r="B136" s="4" t="s">
        <v>507</v>
      </c>
      <c r="C136" s="4" t="s">
        <v>128</v>
      </c>
      <c r="D136" s="4" t="s">
        <v>490</v>
      </c>
      <c r="E136" s="4" t="s">
        <v>1322</v>
      </c>
      <c r="F136" s="4" t="s">
        <v>479</v>
      </c>
      <c r="G136" s="4" t="s">
        <v>856</v>
      </c>
      <c r="H136" s="4" t="s">
        <v>473</v>
      </c>
      <c r="I136" s="4"/>
      <c r="J136" s="4"/>
      <c r="K136" s="4" t="s">
        <v>420</v>
      </c>
      <c r="L136" s="9"/>
      <c r="M136" s="9"/>
      <c r="N136" s="9"/>
      <c r="O136" s="9"/>
      <c r="P136" s="9"/>
      <c r="Q136" s="14">
        <v>2.02</v>
      </c>
      <c r="R136" s="1">
        <f t="shared" si="53"/>
        <v>909000</v>
      </c>
      <c r="S136" s="2">
        <v>1454400</v>
      </c>
      <c r="T136" s="2">
        <f t="shared" si="54"/>
        <v>450000</v>
      </c>
      <c r="U136" s="9">
        <v>90000</v>
      </c>
      <c r="V136" s="9">
        <v>90000</v>
      </c>
      <c r="W136" s="9">
        <v>90000</v>
      </c>
      <c r="X136" s="9">
        <v>90000</v>
      </c>
      <c r="Y136" s="24">
        <v>90000</v>
      </c>
      <c r="Z136" s="24">
        <v>90000</v>
      </c>
      <c r="AA136" s="24">
        <v>90000</v>
      </c>
      <c r="AB136" s="24">
        <v>90000</v>
      </c>
      <c r="AC136" s="24">
        <v>90000</v>
      </c>
      <c r="AD136" s="24">
        <v>90000</v>
      </c>
      <c r="AE136" s="24">
        <v>90000</v>
      </c>
      <c r="AF136" s="24">
        <v>90000</v>
      </c>
      <c r="AG136" s="24">
        <v>90000</v>
      </c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 t="s">
        <v>1106</v>
      </c>
      <c r="AV136" s="4" t="s">
        <v>1220</v>
      </c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>
        <f t="shared" si="50"/>
        <v>181800</v>
      </c>
      <c r="BN136" s="9">
        <f t="shared" si="55"/>
        <v>181800</v>
      </c>
      <c r="BO136" s="9">
        <f t="shared" si="56"/>
        <v>181800</v>
      </c>
      <c r="BP136" s="9">
        <f t="shared" si="57"/>
        <v>181800</v>
      </c>
      <c r="BQ136" s="9">
        <f t="shared" si="58"/>
        <v>181800</v>
      </c>
      <c r="BR136" s="9">
        <f t="shared" si="59"/>
        <v>181800</v>
      </c>
      <c r="BS136" s="9">
        <f t="shared" si="60"/>
        <v>181800</v>
      </c>
      <c r="BT136" s="9">
        <f t="shared" si="61"/>
        <v>181800</v>
      </c>
    </row>
    <row r="137" spans="1:72" hidden="1" x14ac:dyDescent="0.25">
      <c r="A137" s="11">
        <f t="shared" si="52"/>
        <v>136</v>
      </c>
      <c r="B137" s="4" t="s">
        <v>508</v>
      </c>
      <c r="C137" s="4" t="s">
        <v>128</v>
      </c>
      <c r="D137" s="4" t="s">
        <v>490</v>
      </c>
      <c r="E137" s="4" t="s">
        <v>1322</v>
      </c>
      <c r="F137" s="4" t="s">
        <v>479</v>
      </c>
      <c r="G137" s="4" t="s">
        <v>539</v>
      </c>
      <c r="H137" s="4" t="s">
        <v>467</v>
      </c>
      <c r="I137" s="4"/>
      <c r="J137" s="4"/>
      <c r="K137" s="4" t="s">
        <v>420</v>
      </c>
      <c r="L137" s="9"/>
      <c r="M137" s="9"/>
      <c r="N137" s="9"/>
      <c r="O137" s="9"/>
      <c r="P137" s="9"/>
      <c r="Q137" s="14">
        <v>2.1800000000000002</v>
      </c>
      <c r="R137" s="1">
        <f t="shared" si="53"/>
        <v>2092800.0000000002</v>
      </c>
      <c r="S137" s="2">
        <v>3270000.0000000005</v>
      </c>
      <c r="T137" s="2">
        <f t="shared" si="54"/>
        <v>960000</v>
      </c>
      <c r="U137" s="9"/>
      <c r="V137" s="9"/>
      <c r="W137" s="9"/>
      <c r="X137" s="9"/>
      <c r="Y137" s="24">
        <v>180000</v>
      </c>
      <c r="Z137" s="24">
        <v>180000</v>
      </c>
      <c r="AA137" s="24">
        <v>180000</v>
      </c>
      <c r="AB137" s="24">
        <v>180000</v>
      </c>
      <c r="AC137" s="24">
        <v>195000</v>
      </c>
      <c r="AD137" s="24">
        <v>195000</v>
      </c>
      <c r="AE137" s="24">
        <v>195000</v>
      </c>
      <c r="AF137" s="24">
        <v>195000</v>
      </c>
      <c r="AG137" s="24">
        <v>195000</v>
      </c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 t="s">
        <v>1106</v>
      </c>
      <c r="AV137" s="4" t="s">
        <v>1220</v>
      </c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>
        <f t="shared" si="50"/>
        <v>392400</v>
      </c>
      <c r="BN137" s="9">
        <f t="shared" si="55"/>
        <v>392400</v>
      </c>
      <c r="BO137" s="9">
        <f t="shared" si="56"/>
        <v>392400</v>
      </c>
      <c r="BP137" s="9">
        <f t="shared" si="57"/>
        <v>392400</v>
      </c>
      <c r="BQ137" s="9">
        <f t="shared" si="58"/>
        <v>425100.00000000006</v>
      </c>
      <c r="BR137" s="9">
        <f t="shared" si="59"/>
        <v>425100.00000000006</v>
      </c>
      <c r="BS137" s="9">
        <f t="shared" si="60"/>
        <v>425100.00000000006</v>
      </c>
      <c r="BT137" s="9">
        <f t="shared" si="61"/>
        <v>425100.00000000006</v>
      </c>
    </row>
    <row r="138" spans="1:72" hidden="1" x14ac:dyDescent="0.25">
      <c r="A138" s="11">
        <f t="shared" si="52"/>
        <v>137</v>
      </c>
      <c r="B138" s="4" t="s">
        <v>509</v>
      </c>
      <c r="C138" s="4" t="s">
        <v>59</v>
      </c>
      <c r="D138" s="4" t="s">
        <v>490</v>
      </c>
      <c r="E138" s="4" t="s">
        <v>1322</v>
      </c>
      <c r="F138" s="4" t="s">
        <v>479</v>
      </c>
      <c r="G138" s="4" t="s">
        <v>401</v>
      </c>
      <c r="H138" s="4" t="s">
        <v>318</v>
      </c>
      <c r="I138" s="4"/>
      <c r="J138" s="4"/>
      <c r="K138" s="4" t="s">
        <v>402</v>
      </c>
      <c r="L138" s="9"/>
      <c r="M138" s="9"/>
      <c r="N138" s="9"/>
      <c r="O138" s="9"/>
      <c r="P138" s="9"/>
      <c r="Q138" s="14">
        <v>6.5</v>
      </c>
      <c r="R138" s="1">
        <f t="shared" si="53"/>
        <v>325000</v>
      </c>
      <c r="S138" s="2">
        <v>520000</v>
      </c>
      <c r="T138" s="2">
        <f t="shared" si="54"/>
        <v>50000</v>
      </c>
      <c r="U138" s="9"/>
      <c r="V138" s="9"/>
      <c r="W138" s="9"/>
      <c r="X138" s="9"/>
      <c r="Y138" s="24">
        <v>10000</v>
      </c>
      <c r="Z138" s="24">
        <v>10000</v>
      </c>
      <c r="AA138" s="24">
        <v>10000</v>
      </c>
      <c r="AB138" s="24">
        <v>10000</v>
      </c>
      <c r="AC138" s="24">
        <v>10000</v>
      </c>
      <c r="AD138" s="24">
        <v>10000</v>
      </c>
      <c r="AE138" s="24">
        <v>10000</v>
      </c>
      <c r="AF138" s="24">
        <v>10000</v>
      </c>
      <c r="AG138" s="24">
        <v>10000</v>
      </c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 t="s">
        <v>1106</v>
      </c>
      <c r="AV138" s="4" t="s">
        <v>1220</v>
      </c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>
        <f t="shared" si="50"/>
        <v>65000</v>
      </c>
      <c r="BN138" s="9">
        <f t="shared" si="55"/>
        <v>65000</v>
      </c>
      <c r="BO138" s="9">
        <f t="shared" si="56"/>
        <v>65000</v>
      </c>
      <c r="BP138" s="9">
        <f t="shared" si="57"/>
        <v>65000</v>
      </c>
      <c r="BQ138" s="9">
        <f t="shared" si="58"/>
        <v>65000</v>
      </c>
      <c r="BR138" s="9">
        <f t="shared" si="59"/>
        <v>65000</v>
      </c>
      <c r="BS138" s="9">
        <f t="shared" si="60"/>
        <v>65000</v>
      </c>
      <c r="BT138" s="9">
        <f t="shared" si="61"/>
        <v>65000</v>
      </c>
    </row>
    <row r="139" spans="1:72" hidden="1" x14ac:dyDescent="0.25">
      <c r="A139" s="11">
        <f t="shared" si="52"/>
        <v>138</v>
      </c>
      <c r="B139" s="4" t="s">
        <v>510</v>
      </c>
      <c r="C139" s="4" t="s">
        <v>59</v>
      </c>
      <c r="D139" s="4" t="s">
        <v>490</v>
      </c>
      <c r="E139" s="4" t="s">
        <v>1322</v>
      </c>
      <c r="F139" s="4" t="s">
        <v>479</v>
      </c>
      <c r="G139" s="4" t="s">
        <v>511</v>
      </c>
      <c r="H139" s="4" t="s">
        <v>512</v>
      </c>
      <c r="I139" s="4"/>
      <c r="J139" s="4"/>
      <c r="K139" s="4" t="s">
        <v>513</v>
      </c>
      <c r="L139" s="9"/>
      <c r="M139" s="9"/>
      <c r="N139" s="9"/>
      <c r="O139" s="9"/>
      <c r="P139" s="9"/>
      <c r="Q139" s="14">
        <v>2.7</v>
      </c>
      <c r="R139" s="1">
        <f t="shared" si="53"/>
        <v>189000</v>
      </c>
      <c r="S139" s="2">
        <v>265950</v>
      </c>
      <c r="T139" s="2">
        <f t="shared" si="54"/>
        <v>70000</v>
      </c>
      <c r="U139" s="9"/>
      <c r="V139" s="9"/>
      <c r="W139" s="9"/>
      <c r="X139" s="9"/>
      <c r="Y139" s="24">
        <v>8000</v>
      </c>
      <c r="Z139" s="24">
        <v>8000</v>
      </c>
      <c r="AA139" s="24">
        <v>12500</v>
      </c>
      <c r="AB139" s="24">
        <v>12500</v>
      </c>
      <c r="AC139" s="24">
        <v>12500</v>
      </c>
      <c r="AD139" s="24">
        <v>15000</v>
      </c>
      <c r="AE139" s="24">
        <v>15000</v>
      </c>
      <c r="AF139" s="24">
        <v>15000</v>
      </c>
      <c r="AG139" s="24">
        <v>15000</v>
      </c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 t="s">
        <v>1106</v>
      </c>
      <c r="AV139" s="4" t="s">
        <v>1217</v>
      </c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>
        <f t="shared" si="50"/>
        <v>21600</v>
      </c>
      <c r="BN139" s="9">
        <f t="shared" si="55"/>
        <v>21600</v>
      </c>
      <c r="BO139" s="9">
        <f t="shared" si="56"/>
        <v>33750</v>
      </c>
      <c r="BP139" s="9">
        <f t="shared" si="57"/>
        <v>33750</v>
      </c>
      <c r="BQ139" s="9">
        <f t="shared" si="58"/>
        <v>33750</v>
      </c>
      <c r="BR139" s="9">
        <f t="shared" si="59"/>
        <v>40500</v>
      </c>
      <c r="BS139" s="9">
        <f t="shared" si="60"/>
        <v>40500</v>
      </c>
      <c r="BT139" s="9">
        <f t="shared" si="61"/>
        <v>40500</v>
      </c>
    </row>
    <row r="140" spans="1:72" hidden="1" x14ac:dyDescent="0.25">
      <c r="A140" s="11">
        <f t="shared" si="52"/>
        <v>139</v>
      </c>
      <c r="B140" s="4" t="s">
        <v>514</v>
      </c>
      <c r="C140" s="4" t="s">
        <v>59</v>
      </c>
      <c r="D140" s="4" t="s">
        <v>490</v>
      </c>
      <c r="E140" s="4" t="s">
        <v>1322</v>
      </c>
      <c r="F140" s="4" t="s">
        <v>479</v>
      </c>
      <c r="G140" s="4" t="s">
        <v>515</v>
      </c>
      <c r="H140" s="4" t="s">
        <v>516</v>
      </c>
      <c r="I140" s="4"/>
      <c r="J140" s="4"/>
      <c r="K140" s="4" t="s">
        <v>420</v>
      </c>
      <c r="L140" s="9"/>
      <c r="M140" s="9"/>
      <c r="N140" s="9"/>
      <c r="O140" s="9"/>
      <c r="P140" s="9"/>
      <c r="Q140" s="14">
        <v>1.3</v>
      </c>
      <c r="R140" s="1">
        <f t="shared" si="53"/>
        <v>0</v>
      </c>
      <c r="S140" s="2">
        <v>1040000</v>
      </c>
      <c r="T140" s="2">
        <f t="shared" si="54"/>
        <v>0</v>
      </c>
      <c r="U140" s="9"/>
      <c r="V140" s="9"/>
      <c r="W140" s="9"/>
      <c r="X140" s="9"/>
      <c r="Y140" s="24">
        <v>100000</v>
      </c>
      <c r="Z140" s="24">
        <v>100000</v>
      </c>
      <c r="AA140" s="24">
        <v>100000</v>
      </c>
      <c r="AB140" s="24"/>
      <c r="AC140" s="24"/>
      <c r="AD140" s="24"/>
      <c r="AE140" s="24"/>
      <c r="AF140" s="24"/>
      <c r="AG140" s="13">
        <f>AF140</f>
        <v>0</v>
      </c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 t="s">
        <v>1106</v>
      </c>
      <c r="AV140" s="4" t="s">
        <v>1220</v>
      </c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>
        <f t="shared" si="50"/>
        <v>130000</v>
      </c>
      <c r="BN140" s="9">
        <f t="shared" si="55"/>
        <v>130000</v>
      </c>
      <c r="BO140" s="9">
        <f t="shared" si="56"/>
        <v>130000</v>
      </c>
      <c r="BP140" s="9">
        <f t="shared" si="57"/>
        <v>0</v>
      </c>
      <c r="BQ140" s="9">
        <f t="shared" si="58"/>
        <v>0</v>
      </c>
      <c r="BR140" s="9">
        <f t="shared" si="59"/>
        <v>0</v>
      </c>
      <c r="BS140" s="9">
        <f t="shared" si="60"/>
        <v>0</v>
      </c>
      <c r="BT140" s="9">
        <f t="shared" si="61"/>
        <v>0</v>
      </c>
    </row>
    <row r="141" spans="1:72" hidden="1" x14ac:dyDescent="0.25">
      <c r="A141" s="11">
        <f t="shared" si="52"/>
        <v>140</v>
      </c>
      <c r="B141" s="4" t="s">
        <v>517</v>
      </c>
      <c r="C141" s="4" t="s">
        <v>128</v>
      </c>
      <c r="D141" s="4" t="s">
        <v>490</v>
      </c>
      <c r="E141" s="4" t="s">
        <v>1322</v>
      </c>
      <c r="F141" s="4" t="s">
        <v>479</v>
      </c>
      <c r="G141" s="6" t="s">
        <v>404</v>
      </c>
      <c r="H141" s="4" t="s">
        <v>405</v>
      </c>
      <c r="I141" s="4"/>
      <c r="J141" s="4"/>
      <c r="K141" s="4" t="s">
        <v>406</v>
      </c>
      <c r="L141" s="9"/>
      <c r="M141" s="9"/>
      <c r="N141" s="9"/>
      <c r="O141" s="9"/>
      <c r="P141" s="9"/>
      <c r="Q141" s="14">
        <v>1.7</v>
      </c>
      <c r="R141" s="1">
        <f t="shared" si="53"/>
        <v>722500</v>
      </c>
      <c r="S141" s="2">
        <v>1156000</v>
      </c>
      <c r="T141" s="2">
        <f t="shared" si="54"/>
        <v>425000</v>
      </c>
      <c r="U141" s="9"/>
      <c r="V141" s="9"/>
      <c r="W141" s="9"/>
      <c r="X141" s="9"/>
      <c r="Y141" s="24">
        <v>85000</v>
      </c>
      <c r="Z141" s="24">
        <v>85000</v>
      </c>
      <c r="AA141" s="24">
        <v>85000</v>
      </c>
      <c r="AB141" s="24">
        <v>85000</v>
      </c>
      <c r="AC141" s="24">
        <v>85000</v>
      </c>
      <c r="AD141" s="24">
        <v>85000</v>
      </c>
      <c r="AE141" s="24">
        <v>85000</v>
      </c>
      <c r="AF141" s="24">
        <v>85000</v>
      </c>
      <c r="AG141" s="24">
        <v>85000</v>
      </c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 t="s">
        <v>1106</v>
      </c>
      <c r="AV141" s="4" t="s">
        <v>1220</v>
      </c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>
        <f t="shared" si="50"/>
        <v>144500</v>
      </c>
      <c r="BN141" s="9">
        <f t="shared" si="55"/>
        <v>144500</v>
      </c>
      <c r="BO141" s="9">
        <f t="shared" si="56"/>
        <v>144500</v>
      </c>
      <c r="BP141" s="9">
        <f t="shared" si="57"/>
        <v>144500</v>
      </c>
      <c r="BQ141" s="9">
        <f t="shared" si="58"/>
        <v>144500</v>
      </c>
      <c r="BR141" s="9">
        <f t="shared" si="59"/>
        <v>144500</v>
      </c>
      <c r="BS141" s="9">
        <f t="shared" si="60"/>
        <v>144500</v>
      </c>
      <c r="BT141" s="9">
        <f t="shared" si="61"/>
        <v>144500</v>
      </c>
    </row>
    <row r="142" spans="1:72" hidden="1" x14ac:dyDescent="0.25">
      <c r="A142" s="11">
        <f t="shared" si="52"/>
        <v>141</v>
      </c>
      <c r="B142" s="4" t="s">
        <v>518</v>
      </c>
      <c r="C142" s="4" t="s">
        <v>59</v>
      </c>
      <c r="D142" s="4" t="s">
        <v>490</v>
      </c>
      <c r="E142" s="4" t="s">
        <v>1322</v>
      </c>
      <c r="F142" s="4" t="s">
        <v>479</v>
      </c>
      <c r="G142" s="4" t="s">
        <v>515</v>
      </c>
      <c r="H142" s="4" t="s">
        <v>516</v>
      </c>
      <c r="I142" s="4"/>
      <c r="J142" s="4"/>
      <c r="K142" s="4" t="s">
        <v>420</v>
      </c>
      <c r="L142" s="9"/>
      <c r="M142" s="9"/>
      <c r="N142" s="9"/>
      <c r="O142" s="9"/>
      <c r="P142" s="9"/>
      <c r="Q142" s="14">
        <v>1.3</v>
      </c>
      <c r="R142" s="1">
        <f t="shared" si="53"/>
        <v>0</v>
      </c>
      <c r="S142" s="2">
        <v>1300000</v>
      </c>
      <c r="T142" s="2">
        <f t="shared" si="54"/>
        <v>0</v>
      </c>
      <c r="U142" s="9"/>
      <c r="V142" s="9"/>
      <c r="W142" s="9"/>
      <c r="X142" s="9"/>
      <c r="Y142" s="24">
        <v>125000</v>
      </c>
      <c r="Z142" s="24">
        <v>125000</v>
      </c>
      <c r="AA142" s="24">
        <v>125000</v>
      </c>
      <c r="AB142" s="24"/>
      <c r="AC142" s="24"/>
      <c r="AD142" s="24"/>
      <c r="AE142" s="24"/>
      <c r="AF142" s="24"/>
      <c r="AG142" s="13">
        <f>AF142</f>
        <v>0</v>
      </c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 t="s">
        <v>1106</v>
      </c>
      <c r="AV142" s="4" t="s">
        <v>1220</v>
      </c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>
        <f t="shared" si="50"/>
        <v>162500</v>
      </c>
      <c r="BN142" s="9">
        <f t="shared" si="55"/>
        <v>162500</v>
      </c>
      <c r="BO142" s="9">
        <f t="shared" si="56"/>
        <v>162500</v>
      </c>
      <c r="BP142" s="9">
        <f t="shared" si="57"/>
        <v>0</v>
      </c>
      <c r="BQ142" s="9">
        <f t="shared" si="58"/>
        <v>0</v>
      </c>
      <c r="BR142" s="9">
        <f t="shared" si="59"/>
        <v>0</v>
      </c>
      <c r="BS142" s="9">
        <f t="shared" si="60"/>
        <v>0</v>
      </c>
      <c r="BT142" s="9">
        <f t="shared" si="61"/>
        <v>0</v>
      </c>
    </row>
    <row r="143" spans="1:72" hidden="1" x14ac:dyDescent="0.25">
      <c r="A143" s="11">
        <f t="shared" si="52"/>
        <v>142</v>
      </c>
      <c r="B143" s="4" t="s">
        <v>519</v>
      </c>
      <c r="C143" s="4" t="s">
        <v>128</v>
      </c>
      <c r="D143" s="4" t="s">
        <v>520</v>
      </c>
      <c r="E143" s="4" t="s">
        <v>1322</v>
      </c>
      <c r="F143" s="4" t="s">
        <v>521</v>
      </c>
      <c r="G143" s="4" t="s">
        <v>856</v>
      </c>
      <c r="H143" s="4" t="s">
        <v>1756</v>
      </c>
      <c r="I143" s="4"/>
      <c r="J143" s="4"/>
      <c r="K143" s="4" t="s">
        <v>420</v>
      </c>
      <c r="L143" s="9"/>
      <c r="M143" s="9"/>
      <c r="N143" s="9"/>
      <c r="O143" s="9"/>
      <c r="P143" s="9"/>
      <c r="Q143" s="14">
        <v>2.0299999999999998</v>
      </c>
      <c r="R143" s="1">
        <f t="shared" si="53"/>
        <v>1014999.9999999999</v>
      </c>
      <c r="S143" s="2">
        <v>4263000</v>
      </c>
      <c r="T143" s="2">
        <f t="shared" si="54"/>
        <v>500000</v>
      </c>
      <c r="U143" s="9">
        <v>300000</v>
      </c>
      <c r="V143" s="9">
        <v>200000</v>
      </c>
      <c r="W143" s="9">
        <v>200000</v>
      </c>
      <c r="X143" s="9">
        <v>200000</v>
      </c>
      <c r="Y143" s="13">
        <v>200000</v>
      </c>
      <c r="Z143" s="13">
        <v>200000</v>
      </c>
      <c r="AA143" s="13">
        <v>200000</v>
      </c>
      <c r="AB143" s="13">
        <v>100000</v>
      </c>
      <c r="AC143" s="13">
        <v>100000</v>
      </c>
      <c r="AD143" s="13">
        <v>100000</v>
      </c>
      <c r="AE143" s="13">
        <v>100000</v>
      </c>
      <c r="AF143" s="13">
        <v>100000</v>
      </c>
      <c r="AG143" s="13">
        <v>100000</v>
      </c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 t="s">
        <v>1106</v>
      </c>
      <c r="AV143" s="4" t="s">
        <v>1220</v>
      </c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>
        <f t="shared" si="50"/>
        <v>405999.99999999994</v>
      </c>
      <c r="BN143" s="9">
        <f t="shared" si="55"/>
        <v>405999.99999999994</v>
      </c>
      <c r="BO143" s="9">
        <f t="shared" si="56"/>
        <v>405999.99999999994</v>
      </c>
      <c r="BP143" s="9">
        <f t="shared" si="57"/>
        <v>202999.99999999997</v>
      </c>
      <c r="BQ143" s="9">
        <f t="shared" si="58"/>
        <v>202999.99999999997</v>
      </c>
      <c r="BR143" s="9">
        <f t="shared" si="59"/>
        <v>202999.99999999997</v>
      </c>
      <c r="BS143" s="9">
        <f t="shared" si="60"/>
        <v>202999.99999999997</v>
      </c>
      <c r="BT143" s="9">
        <f t="shared" si="61"/>
        <v>202999.99999999997</v>
      </c>
    </row>
    <row r="144" spans="1:72" hidden="1" x14ac:dyDescent="0.25">
      <c r="A144" s="11">
        <f t="shared" si="52"/>
        <v>143</v>
      </c>
      <c r="B144" s="4" t="s">
        <v>519</v>
      </c>
      <c r="C144" s="4" t="s">
        <v>128</v>
      </c>
      <c r="D144" s="4" t="s">
        <v>520</v>
      </c>
      <c r="E144" s="4" t="s">
        <v>1322</v>
      </c>
      <c r="F144" s="4" t="s">
        <v>521</v>
      </c>
      <c r="G144" s="4" t="s">
        <v>408</v>
      </c>
      <c r="H144" s="4" t="s">
        <v>409</v>
      </c>
      <c r="I144" s="4"/>
      <c r="J144" s="4"/>
      <c r="K144" s="4" t="s">
        <v>402</v>
      </c>
      <c r="L144" s="9"/>
      <c r="M144" s="9"/>
      <c r="N144" s="9"/>
      <c r="O144" s="9"/>
      <c r="P144" s="9"/>
      <c r="Q144" s="14">
        <v>1.5</v>
      </c>
      <c r="R144" s="1">
        <f t="shared" si="53"/>
        <v>0</v>
      </c>
      <c r="S144" s="2">
        <v>240000</v>
      </c>
      <c r="T144" s="2">
        <f t="shared" si="54"/>
        <v>0</v>
      </c>
      <c r="U144" s="9"/>
      <c r="V144" s="9"/>
      <c r="W144" s="9"/>
      <c r="X144" s="9"/>
      <c r="Y144" s="13">
        <v>20000</v>
      </c>
      <c r="Z144" s="13">
        <v>20000</v>
      </c>
      <c r="AA144" s="13">
        <v>20000</v>
      </c>
      <c r="AB144" s="13"/>
      <c r="AC144" s="13"/>
      <c r="AD144" s="13"/>
      <c r="AE144" s="13"/>
      <c r="AF144" s="13"/>
      <c r="AG144" s="13">
        <f>AF144</f>
        <v>0</v>
      </c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 t="s">
        <v>1106</v>
      </c>
      <c r="AV144" s="4" t="s">
        <v>1220</v>
      </c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>
        <f t="shared" si="50"/>
        <v>30000</v>
      </c>
      <c r="BN144" s="9">
        <f t="shared" si="55"/>
        <v>30000</v>
      </c>
      <c r="BO144" s="9">
        <f t="shared" si="56"/>
        <v>30000</v>
      </c>
      <c r="BP144" s="9">
        <f t="shared" si="57"/>
        <v>0</v>
      </c>
      <c r="BQ144" s="9">
        <f t="shared" si="58"/>
        <v>0</v>
      </c>
      <c r="BR144" s="9">
        <f t="shared" si="59"/>
        <v>0</v>
      </c>
      <c r="BS144" s="9">
        <f t="shared" si="60"/>
        <v>0</v>
      </c>
      <c r="BT144" s="9">
        <f t="shared" si="61"/>
        <v>0</v>
      </c>
    </row>
    <row r="145" spans="1:72" hidden="1" x14ac:dyDescent="0.25">
      <c r="A145" s="11">
        <f t="shared" si="52"/>
        <v>144</v>
      </c>
      <c r="B145" s="4" t="s">
        <v>522</v>
      </c>
      <c r="C145" s="4" t="s">
        <v>128</v>
      </c>
      <c r="D145" s="4" t="s">
        <v>520</v>
      </c>
      <c r="E145" s="4" t="s">
        <v>1322</v>
      </c>
      <c r="F145" s="4" t="s">
        <v>521</v>
      </c>
      <c r="G145" s="4" t="s">
        <v>116</v>
      </c>
      <c r="H145" s="4" t="s">
        <v>117</v>
      </c>
      <c r="I145" s="4"/>
      <c r="J145" s="4"/>
      <c r="K145" s="4" t="s">
        <v>523</v>
      </c>
      <c r="L145" s="9"/>
      <c r="M145" s="9"/>
      <c r="N145" s="9"/>
      <c r="O145" s="9"/>
      <c r="P145" s="9"/>
      <c r="Q145" s="14">
        <v>0.35</v>
      </c>
      <c r="R145" s="1">
        <f t="shared" si="53"/>
        <v>392000</v>
      </c>
      <c r="S145" s="2">
        <v>546000</v>
      </c>
      <c r="T145" s="2">
        <f t="shared" si="54"/>
        <v>1120000</v>
      </c>
      <c r="U145" s="9"/>
      <c r="V145" s="9"/>
      <c r="W145" s="9"/>
      <c r="X145" s="9"/>
      <c r="Y145" s="13">
        <v>120000</v>
      </c>
      <c r="Z145" s="13">
        <v>120000</v>
      </c>
      <c r="AA145" s="13">
        <v>120000</v>
      </c>
      <c r="AB145" s="13">
        <v>120000</v>
      </c>
      <c r="AC145" s="13">
        <v>200000</v>
      </c>
      <c r="AD145" s="13">
        <v>200000</v>
      </c>
      <c r="AE145" s="13">
        <v>300000</v>
      </c>
      <c r="AF145" s="13">
        <v>300000</v>
      </c>
      <c r="AG145" s="13">
        <v>300000</v>
      </c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 t="s">
        <v>1106</v>
      </c>
      <c r="AV145" s="4" t="s">
        <v>1218</v>
      </c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>
        <f t="shared" si="50"/>
        <v>42000</v>
      </c>
      <c r="BN145" s="9">
        <f t="shared" si="55"/>
        <v>42000</v>
      </c>
      <c r="BO145" s="9">
        <f t="shared" si="56"/>
        <v>42000</v>
      </c>
      <c r="BP145" s="9">
        <f t="shared" si="57"/>
        <v>42000</v>
      </c>
      <c r="BQ145" s="9">
        <f t="shared" si="58"/>
        <v>70000</v>
      </c>
      <c r="BR145" s="9">
        <f t="shared" si="59"/>
        <v>70000</v>
      </c>
      <c r="BS145" s="9">
        <f t="shared" si="60"/>
        <v>105000</v>
      </c>
      <c r="BT145" s="9">
        <f t="shared" si="61"/>
        <v>105000</v>
      </c>
    </row>
    <row r="146" spans="1:72" hidden="1" x14ac:dyDescent="0.25">
      <c r="A146" s="11">
        <f t="shared" si="52"/>
        <v>145</v>
      </c>
      <c r="B146" s="4" t="s">
        <v>524</v>
      </c>
      <c r="C146" s="4" t="s">
        <v>59</v>
      </c>
      <c r="D146" s="4" t="s">
        <v>525</v>
      </c>
      <c r="E146" s="4" t="s">
        <v>1322</v>
      </c>
      <c r="F146" s="4" t="s">
        <v>526</v>
      </c>
      <c r="G146" s="4" t="s">
        <v>441</v>
      </c>
      <c r="H146" s="4" t="s">
        <v>175</v>
      </c>
      <c r="I146" s="4"/>
      <c r="J146" s="4"/>
      <c r="K146" s="4" t="s">
        <v>420</v>
      </c>
      <c r="L146" s="9"/>
      <c r="M146" s="9"/>
      <c r="N146" s="9"/>
      <c r="O146" s="9"/>
      <c r="P146" s="9"/>
      <c r="Q146" s="14">
        <v>1.8</v>
      </c>
      <c r="R146" s="1">
        <f t="shared" si="53"/>
        <v>180000</v>
      </c>
      <c r="S146" s="2">
        <v>288000</v>
      </c>
      <c r="T146" s="2">
        <f t="shared" si="54"/>
        <v>100000</v>
      </c>
      <c r="U146" s="9"/>
      <c r="V146" s="9"/>
      <c r="W146" s="9"/>
      <c r="X146" s="9"/>
      <c r="Y146" s="13">
        <v>20000</v>
      </c>
      <c r="Z146" s="13">
        <v>20000</v>
      </c>
      <c r="AA146" s="13">
        <v>20000</v>
      </c>
      <c r="AB146" s="13">
        <v>20000</v>
      </c>
      <c r="AC146" s="13">
        <v>20000</v>
      </c>
      <c r="AD146" s="13">
        <v>20000</v>
      </c>
      <c r="AE146" s="13">
        <v>20000</v>
      </c>
      <c r="AF146" s="13">
        <v>20000</v>
      </c>
      <c r="AG146" s="13">
        <v>20000</v>
      </c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 t="s">
        <v>1106</v>
      </c>
      <c r="AV146" s="4" t="s">
        <v>1220</v>
      </c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>
        <f t="shared" si="50"/>
        <v>36000</v>
      </c>
      <c r="BN146" s="9">
        <f t="shared" si="55"/>
        <v>36000</v>
      </c>
      <c r="BO146" s="9">
        <f t="shared" si="56"/>
        <v>36000</v>
      </c>
      <c r="BP146" s="9">
        <f t="shared" si="57"/>
        <v>36000</v>
      </c>
      <c r="BQ146" s="9">
        <f t="shared" si="58"/>
        <v>36000</v>
      </c>
      <c r="BR146" s="9">
        <f t="shared" si="59"/>
        <v>36000</v>
      </c>
      <c r="BS146" s="9">
        <f t="shared" si="60"/>
        <v>36000</v>
      </c>
      <c r="BT146" s="9">
        <f t="shared" si="61"/>
        <v>36000</v>
      </c>
    </row>
    <row r="147" spans="1:72" hidden="1" x14ac:dyDescent="0.25">
      <c r="A147" s="11">
        <f t="shared" si="52"/>
        <v>146</v>
      </c>
      <c r="B147" s="4" t="s">
        <v>527</v>
      </c>
      <c r="C147" s="4" t="s">
        <v>59</v>
      </c>
      <c r="D147" s="4" t="s">
        <v>525</v>
      </c>
      <c r="E147" s="4" t="s">
        <v>1322</v>
      </c>
      <c r="F147" s="4" t="s">
        <v>526</v>
      </c>
      <c r="G147" s="6" t="s">
        <v>404</v>
      </c>
      <c r="H147" s="4" t="s">
        <v>405</v>
      </c>
      <c r="I147" s="4"/>
      <c r="J147" s="4"/>
      <c r="K147" s="4" t="s">
        <v>406</v>
      </c>
      <c r="L147" s="9"/>
      <c r="M147" s="9"/>
      <c r="N147" s="9"/>
      <c r="O147" s="9"/>
      <c r="P147" s="9"/>
      <c r="Q147" s="14">
        <v>1.6</v>
      </c>
      <c r="R147" s="1">
        <f t="shared" si="53"/>
        <v>320000</v>
      </c>
      <c r="S147" s="2">
        <v>512000</v>
      </c>
      <c r="T147" s="2">
        <f t="shared" si="54"/>
        <v>200000</v>
      </c>
      <c r="U147" s="9"/>
      <c r="V147" s="9"/>
      <c r="W147" s="9"/>
      <c r="X147" s="9"/>
      <c r="Y147" s="13">
        <v>40000</v>
      </c>
      <c r="Z147" s="13">
        <v>40000</v>
      </c>
      <c r="AA147" s="13">
        <v>40000</v>
      </c>
      <c r="AB147" s="13">
        <v>40000</v>
      </c>
      <c r="AC147" s="13">
        <v>40000</v>
      </c>
      <c r="AD147" s="13">
        <v>40000</v>
      </c>
      <c r="AE147" s="13">
        <v>40000</v>
      </c>
      <c r="AF147" s="13">
        <v>40000</v>
      </c>
      <c r="AG147" s="13">
        <v>40000</v>
      </c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 t="s">
        <v>1106</v>
      </c>
      <c r="AV147" s="4" t="s">
        <v>1220</v>
      </c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>
        <f t="shared" si="50"/>
        <v>64000</v>
      </c>
      <c r="BN147" s="9">
        <f t="shared" si="55"/>
        <v>64000</v>
      </c>
      <c r="BO147" s="9">
        <f t="shared" si="56"/>
        <v>64000</v>
      </c>
      <c r="BP147" s="9">
        <f t="shared" si="57"/>
        <v>64000</v>
      </c>
      <c r="BQ147" s="9">
        <f t="shared" si="58"/>
        <v>64000</v>
      </c>
      <c r="BR147" s="9">
        <f t="shared" si="59"/>
        <v>64000</v>
      </c>
      <c r="BS147" s="9">
        <f t="shared" si="60"/>
        <v>64000</v>
      </c>
      <c r="BT147" s="9">
        <f t="shared" si="61"/>
        <v>64000</v>
      </c>
    </row>
    <row r="148" spans="1:72" hidden="1" x14ac:dyDescent="0.25">
      <c r="A148" s="11">
        <f t="shared" si="52"/>
        <v>147</v>
      </c>
      <c r="B148" s="4" t="s">
        <v>528</v>
      </c>
      <c r="C148" s="4" t="s">
        <v>59</v>
      </c>
      <c r="D148" s="4" t="s">
        <v>525</v>
      </c>
      <c r="E148" s="4" t="s">
        <v>1322</v>
      </c>
      <c r="F148" s="4" t="s">
        <v>526</v>
      </c>
      <c r="G148" s="4" t="s">
        <v>904</v>
      </c>
      <c r="H148" s="4" t="s">
        <v>529</v>
      </c>
      <c r="I148" s="4"/>
      <c r="J148" s="4"/>
      <c r="K148" s="4" t="s">
        <v>513</v>
      </c>
      <c r="L148" s="9"/>
      <c r="M148" s="9"/>
      <c r="N148" s="9"/>
      <c r="O148" s="9"/>
      <c r="P148" s="9"/>
      <c r="Q148" s="14">
        <v>7</v>
      </c>
      <c r="R148" s="1">
        <f t="shared" si="53"/>
        <v>525000</v>
      </c>
      <c r="S148" s="2">
        <v>525000</v>
      </c>
      <c r="T148" s="2">
        <f t="shared" si="54"/>
        <v>75000</v>
      </c>
      <c r="U148" s="9"/>
      <c r="V148" s="9"/>
      <c r="W148" s="9"/>
      <c r="X148" s="9"/>
      <c r="Y148" s="13">
        <v>0</v>
      </c>
      <c r="Z148" s="13">
        <v>0</v>
      </c>
      <c r="AA148" s="13">
        <v>0</v>
      </c>
      <c r="AB148" s="13">
        <v>0</v>
      </c>
      <c r="AC148" s="13">
        <v>5000</v>
      </c>
      <c r="AD148" s="13">
        <v>10000</v>
      </c>
      <c r="AE148" s="13">
        <v>30000</v>
      </c>
      <c r="AF148" s="13">
        <v>30000</v>
      </c>
      <c r="AG148" s="13">
        <v>30000</v>
      </c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 t="s">
        <v>1106</v>
      </c>
      <c r="AV148" s="4" t="s">
        <v>1217</v>
      </c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>
        <f t="shared" si="50"/>
        <v>0</v>
      </c>
      <c r="BN148" s="9">
        <f t="shared" si="55"/>
        <v>0</v>
      </c>
      <c r="BO148" s="9">
        <f t="shared" si="56"/>
        <v>0</v>
      </c>
      <c r="BP148" s="9">
        <f t="shared" si="57"/>
        <v>0</v>
      </c>
      <c r="BQ148" s="9">
        <f t="shared" si="58"/>
        <v>35000</v>
      </c>
      <c r="BR148" s="9">
        <f t="shared" si="59"/>
        <v>70000</v>
      </c>
      <c r="BS148" s="9">
        <f t="shared" si="60"/>
        <v>210000</v>
      </c>
      <c r="BT148" s="9">
        <f t="shared" si="61"/>
        <v>210000</v>
      </c>
    </row>
    <row r="149" spans="1:72" hidden="1" x14ac:dyDescent="0.25">
      <c r="A149" s="11">
        <f t="shared" si="52"/>
        <v>148</v>
      </c>
      <c r="B149" s="4" t="s">
        <v>530</v>
      </c>
      <c r="C149" s="4" t="s">
        <v>59</v>
      </c>
      <c r="D149" s="4" t="s">
        <v>525</v>
      </c>
      <c r="E149" s="4" t="s">
        <v>1322</v>
      </c>
      <c r="F149" s="4" t="s">
        <v>526</v>
      </c>
      <c r="G149" s="4" t="s">
        <v>324</v>
      </c>
      <c r="H149" s="4" t="s">
        <v>531</v>
      </c>
      <c r="I149" s="4"/>
      <c r="J149" s="4"/>
      <c r="K149" s="4" t="s">
        <v>402</v>
      </c>
      <c r="L149" s="9"/>
      <c r="M149" s="9"/>
      <c r="N149" s="9"/>
      <c r="O149" s="9"/>
      <c r="P149" s="9"/>
      <c r="Q149" s="14">
        <v>0.97</v>
      </c>
      <c r="R149" s="1">
        <f t="shared" si="53"/>
        <v>97000</v>
      </c>
      <c r="S149" s="2">
        <v>155200</v>
      </c>
      <c r="T149" s="2">
        <f t="shared" si="54"/>
        <v>100000</v>
      </c>
      <c r="U149" s="9"/>
      <c r="V149" s="9"/>
      <c r="W149" s="9"/>
      <c r="X149" s="9"/>
      <c r="Y149" s="13">
        <v>20000</v>
      </c>
      <c r="Z149" s="13">
        <v>20000</v>
      </c>
      <c r="AA149" s="13">
        <v>20000</v>
      </c>
      <c r="AB149" s="13">
        <v>20000</v>
      </c>
      <c r="AC149" s="13">
        <v>20000</v>
      </c>
      <c r="AD149" s="13">
        <v>20000</v>
      </c>
      <c r="AE149" s="13">
        <v>20000</v>
      </c>
      <c r="AF149" s="13">
        <v>20000</v>
      </c>
      <c r="AG149" s="13">
        <v>20000</v>
      </c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 t="s">
        <v>1106</v>
      </c>
      <c r="AV149" s="4" t="s">
        <v>1220</v>
      </c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>
        <f t="shared" si="50"/>
        <v>19400</v>
      </c>
      <c r="BN149" s="9">
        <f t="shared" si="55"/>
        <v>19400</v>
      </c>
      <c r="BO149" s="9">
        <f t="shared" si="56"/>
        <v>19400</v>
      </c>
      <c r="BP149" s="9">
        <f t="shared" si="57"/>
        <v>19400</v>
      </c>
      <c r="BQ149" s="9">
        <f t="shared" si="58"/>
        <v>19400</v>
      </c>
      <c r="BR149" s="9">
        <f t="shared" si="59"/>
        <v>19400</v>
      </c>
      <c r="BS149" s="9">
        <f t="shared" si="60"/>
        <v>19400</v>
      </c>
      <c r="BT149" s="9">
        <f t="shared" si="61"/>
        <v>19400</v>
      </c>
    </row>
    <row r="150" spans="1:72" hidden="1" x14ac:dyDescent="0.25">
      <c r="A150" s="11">
        <f t="shared" si="52"/>
        <v>149</v>
      </c>
      <c r="B150" s="4" t="s">
        <v>530</v>
      </c>
      <c r="C150" s="4" t="s">
        <v>59</v>
      </c>
      <c r="D150" s="4" t="s">
        <v>525</v>
      </c>
      <c r="E150" s="4" t="s">
        <v>1322</v>
      </c>
      <c r="F150" s="4" t="s">
        <v>526</v>
      </c>
      <c r="G150" s="4" t="s">
        <v>397</v>
      </c>
      <c r="H150" s="4" t="s">
        <v>398</v>
      </c>
      <c r="I150" s="4"/>
      <c r="J150" s="4"/>
      <c r="K150" s="4" t="s">
        <v>513</v>
      </c>
      <c r="L150" s="9"/>
      <c r="M150" s="9"/>
      <c r="N150" s="9"/>
      <c r="O150" s="9"/>
      <c r="P150" s="9"/>
      <c r="Q150" s="14">
        <v>2.6</v>
      </c>
      <c r="R150" s="1">
        <f t="shared" si="53"/>
        <v>78000</v>
      </c>
      <c r="S150" s="2">
        <v>124800</v>
      </c>
      <c r="T150" s="2">
        <f t="shared" si="54"/>
        <v>30000</v>
      </c>
      <c r="U150" s="9"/>
      <c r="V150" s="9"/>
      <c r="W150" s="9"/>
      <c r="X150" s="9"/>
      <c r="Y150" s="13">
        <v>6000</v>
      </c>
      <c r="Z150" s="13">
        <v>6000</v>
      </c>
      <c r="AA150" s="13">
        <v>6000</v>
      </c>
      <c r="AB150" s="13">
        <v>6000</v>
      </c>
      <c r="AC150" s="13">
        <v>6000</v>
      </c>
      <c r="AD150" s="13">
        <v>6000</v>
      </c>
      <c r="AE150" s="13">
        <v>6000</v>
      </c>
      <c r="AF150" s="13">
        <v>6000</v>
      </c>
      <c r="AG150" s="13">
        <v>6000</v>
      </c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 t="s">
        <v>1106</v>
      </c>
      <c r="AV150" s="4" t="s">
        <v>1217</v>
      </c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>
        <f t="shared" si="50"/>
        <v>15600</v>
      </c>
      <c r="BN150" s="9">
        <f t="shared" si="55"/>
        <v>15600</v>
      </c>
      <c r="BO150" s="9">
        <f t="shared" si="56"/>
        <v>15600</v>
      </c>
      <c r="BP150" s="9">
        <f t="shared" si="57"/>
        <v>15600</v>
      </c>
      <c r="BQ150" s="9">
        <f t="shared" si="58"/>
        <v>15600</v>
      </c>
      <c r="BR150" s="9">
        <f t="shared" si="59"/>
        <v>15600</v>
      </c>
      <c r="BS150" s="9">
        <f t="shared" si="60"/>
        <v>15600</v>
      </c>
      <c r="BT150" s="9">
        <f t="shared" si="61"/>
        <v>15600</v>
      </c>
    </row>
    <row r="151" spans="1:72" hidden="1" x14ac:dyDescent="0.25">
      <c r="A151" s="11">
        <f t="shared" si="52"/>
        <v>150</v>
      </c>
      <c r="B151" s="4" t="s">
        <v>532</v>
      </c>
      <c r="C151" s="4" t="s">
        <v>59</v>
      </c>
      <c r="D151" s="4" t="s">
        <v>525</v>
      </c>
      <c r="E151" s="4" t="s">
        <v>1322</v>
      </c>
      <c r="F151" s="4" t="s">
        <v>526</v>
      </c>
      <c r="G151" s="6" t="s">
        <v>404</v>
      </c>
      <c r="H151" s="4" t="s">
        <v>405</v>
      </c>
      <c r="I151" s="4"/>
      <c r="J151" s="4"/>
      <c r="K151" s="4" t="s">
        <v>406</v>
      </c>
      <c r="L151" s="9"/>
      <c r="M151" s="9"/>
      <c r="N151" s="9"/>
      <c r="O151" s="9"/>
      <c r="P151" s="9"/>
      <c r="Q151" s="14">
        <v>1.6</v>
      </c>
      <c r="R151" s="1">
        <f t="shared" si="53"/>
        <v>432000</v>
      </c>
      <c r="S151" s="2">
        <v>656000</v>
      </c>
      <c r="T151" s="2">
        <f t="shared" si="54"/>
        <v>270000</v>
      </c>
      <c r="U151" s="9"/>
      <c r="V151" s="9"/>
      <c r="W151" s="9"/>
      <c r="X151" s="9"/>
      <c r="Y151" s="13">
        <v>130000</v>
      </c>
      <c r="Z151" s="13">
        <v>100000</v>
      </c>
      <c r="AA151" s="13">
        <v>30000</v>
      </c>
      <c r="AB151" s="13">
        <v>150000</v>
      </c>
      <c r="AC151" s="13">
        <v>30000</v>
      </c>
      <c r="AD151" s="13">
        <v>30000</v>
      </c>
      <c r="AE151" s="13">
        <v>30000</v>
      </c>
      <c r="AF151" s="13">
        <v>30000</v>
      </c>
      <c r="AG151" s="13">
        <v>30000</v>
      </c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 t="s">
        <v>1106</v>
      </c>
      <c r="AV151" s="4" t="s">
        <v>1220</v>
      </c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>
        <f t="shared" si="50"/>
        <v>208000</v>
      </c>
      <c r="BN151" s="9">
        <f t="shared" si="55"/>
        <v>160000</v>
      </c>
      <c r="BO151" s="9">
        <f t="shared" si="56"/>
        <v>48000</v>
      </c>
      <c r="BP151" s="9">
        <f t="shared" si="57"/>
        <v>240000</v>
      </c>
      <c r="BQ151" s="9">
        <f t="shared" si="58"/>
        <v>48000</v>
      </c>
      <c r="BR151" s="9">
        <f t="shared" si="59"/>
        <v>48000</v>
      </c>
      <c r="BS151" s="9">
        <f t="shared" si="60"/>
        <v>48000</v>
      </c>
      <c r="BT151" s="9">
        <f t="shared" si="61"/>
        <v>48000</v>
      </c>
    </row>
    <row r="152" spans="1:72" hidden="1" x14ac:dyDescent="0.25">
      <c r="A152" s="11">
        <f t="shared" si="52"/>
        <v>151</v>
      </c>
      <c r="B152" s="4" t="s">
        <v>532</v>
      </c>
      <c r="C152" s="4" t="s">
        <v>59</v>
      </c>
      <c r="D152" s="4" t="s">
        <v>525</v>
      </c>
      <c r="E152" s="4" t="s">
        <v>1322</v>
      </c>
      <c r="F152" s="4" t="s">
        <v>526</v>
      </c>
      <c r="G152" s="4" t="s">
        <v>533</v>
      </c>
      <c r="H152" s="4" t="s">
        <v>534</v>
      </c>
      <c r="I152" s="4"/>
      <c r="J152" s="4"/>
      <c r="K152" s="4" t="s">
        <v>535</v>
      </c>
      <c r="L152" s="9"/>
      <c r="M152" s="9"/>
      <c r="N152" s="9"/>
      <c r="O152" s="9"/>
      <c r="P152" s="9"/>
      <c r="Q152" s="14">
        <v>3.3</v>
      </c>
      <c r="R152" s="1">
        <f t="shared" si="53"/>
        <v>148500</v>
      </c>
      <c r="S152" s="2">
        <v>207900</v>
      </c>
      <c r="T152" s="2">
        <f t="shared" si="54"/>
        <v>45000</v>
      </c>
      <c r="U152" s="9"/>
      <c r="V152" s="9"/>
      <c r="W152" s="9"/>
      <c r="X152" s="9"/>
      <c r="Y152" s="13">
        <v>6000</v>
      </c>
      <c r="Z152" s="13">
        <v>6000</v>
      </c>
      <c r="AA152" s="13">
        <v>6000</v>
      </c>
      <c r="AB152" s="13">
        <v>9000</v>
      </c>
      <c r="AC152" s="13">
        <v>9000</v>
      </c>
      <c r="AD152" s="13">
        <v>9000</v>
      </c>
      <c r="AE152" s="13">
        <v>9000</v>
      </c>
      <c r="AF152" s="13">
        <v>9000</v>
      </c>
      <c r="AG152" s="13">
        <v>9000</v>
      </c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 t="s">
        <v>1106</v>
      </c>
      <c r="AV152" s="4" t="s">
        <v>1217</v>
      </c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>
        <f t="shared" si="50"/>
        <v>19800</v>
      </c>
      <c r="BN152" s="9">
        <f t="shared" si="55"/>
        <v>19800</v>
      </c>
      <c r="BO152" s="9">
        <f t="shared" si="56"/>
        <v>19800</v>
      </c>
      <c r="BP152" s="9">
        <f t="shared" si="57"/>
        <v>29700</v>
      </c>
      <c r="BQ152" s="9">
        <f t="shared" si="58"/>
        <v>29700</v>
      </c>
      <c r="BR152" s="9">
        <f t="shared" si="59"/>
        <v>29700</v>
      </c>
      <c r="BS152" s="9">
        <f t="shared" si="60"/>
        <v>29700</v>
      </c>
      <c r="BT152" s="9">
        <f t="shared" si="61"/>
        <v>29700</v>
      </c>
    </row>
    <row r="153" spans="1:72" hidden="1" x14ac:dyDescent="0.25">
      <c r="A153" s="11">
        <f t="shared" si="52"/>
        <v>152</v>
      </c>
      <c r="B153" s="4" t="s">
        <v>532</v>
      </c>
      <c r="C153" s="4" t="s">
        <v>59</v>
      </c>
      <c r="D153" s="4" t="s">
        <v>525</v>
      </c>
      <c r="E153" s="4" t="s">
        <v>1322</v>
      </c>
      <c r="F153" s="4" t="s">
        <v>526</v>
      </c>
      <c r="G153" s="4" t="s">
        <v>1327</v>
      </c>
      <c r="H153" s="4" t="s">
        <v>235</v>
      </c>
      <c r="I153" s="4"/>
      <c r="J153" s="4"/>
      <c r="K153" s="4"/>
      <c r="L153" s="9"/>
      <c r="M153" s="9"/>
      <c r="N153" s="9"/>
      <c r="O153" s="9"/>
      <c r="P153" s="9"/>
      <c r="Q153" s="14">
        <v>0.28000000000000003</v>
      </c>
      <c r="R153" s="1">
        <f t="shared" si="53"/>
        <v>14000.000000000002</v>
      </c>
      <c r="S153" s="2">
        <v>14000.000000000002</v>
      </c>
      <c r="T153" s="2">
        <f t="shared" si="54"/>
        <v>50000</v>
      </c>
      <c r="U153" s="9"/>
      <c r="V153" s="9"/>
      <c r="W153" s="9"/>
      <c r="X153" s="9"/>
      <c r="Y153" s="13">
        <v>50000</v>
      </c>
      <c r="Z153" s="13"/>
      <c r="AA153" s="13"/>
      <c r="AB153" s="13">
        <v>50000</v>
      </c>
      <c r="AC153" s="13"/>
      <c r="AD153" s="13"/>
      <c r="AE153" s="13"/>
      <c r="AF153" s="13"/>
      <c r="AG153" s="13">
        <f t="shared" ref="AG153:AG159" si="63">AF153</f>
        <v>0</v>
      </c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 t="s">
        <v>1106</v>
      </c>
      <c r="AV153" s="4" t="s">
        <v>1218</v>
      </c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>
        <f t="shared" si="50"/>
        <v>14000.000000000002</v>
      </c>
      <c r="BN153" s="9">
        <f t="shared" si="55"/>
        <v>0</v>
      </c>
      <c r="BO153" s="9">
        <f t="shared" si="56"/>
        <v>0</v>
      </c>
      <c r="BP153" s="9">
        <f t="shared" si="57"/>
        <v>14000.000000000002</v>
      </c>
      <c r="BQ153" s="9">
        <f t="shared" si="58"/>
        <v>0</v>
      </c>
      <c r="BR153" s="9">
        <f t="shared" si="59"/>
        <v>0</v>
      </c>
      <c r="BS153" s="9">
        <f t="shared" si="60"/>
        <v>0</v>
      </c>
      <c r="BT153" s="9">
        <f t="shared" si="61"/>
        <v>0</v>
      </c>
    </row>
    <row r="154" spans="1:72" hidden="1" x14ac:dyDescent="0.25">
      <c r="A154" s="11">
        <f t="shared" si="52"/>
        <v>153</v>
      </c>
      <c r="B154" s="4" t="s">
        <v>532</v>
      </c>
      <c r="C154" s="4" t="s">
        <v>59</v>
      </c>
      <c r="D154" s="4" t="s">
        <v>525</v>
      </c>
      <c r="E154" s="4" t="s">
        <v>1322</v>
      </c>
      <c r="F154" s="4" t="s">
        <v>526</v>
      </c>
      <c r="G154" s="4" t="s">
        <v>243</v>
      </c>
      <c r="H154" s="4" t="s">
        <v>599</v>
      </c>
      <c r="I154" s="33">
        <v>2442</v>
      </c>
      <c r="J154" s="4"/>
      <c r="K154" s="4"/>
      <c r="L154" s="9"/>
      <c r="M154" s="9"/>
      <c r="N154" s="9"/>
      <c r="O154" s="9"/>
      <c r="P154" s="9"/>
      <c r="Q154" s="14">
        <v>0.28000000000000003</v>
      </c>
      <c r="R154" s="1">
        <f t="shared" si="53"/>
        <v>14000.000000000002</v>
      </c>
      <c r="S154" s="2">
        <v>14000.000000000002</v>
      </c>
      <c r="T154" s="2">
        <f t="shared" si="54"/>
        <v>50000</v>
      </c>
      <c r="U154" s="9"/>
      <c r="V154" s="9"/>
      <c r="W154" s="9"/>
      <c r="X154" s="9"/>
      <c r="Y154" s="13">
        <v>50000</v>
      </c>
      <c r="Z154" s="13"/>
      <c r="AA154" s="13"/>
      <c r="AB154" s="13">
        <v>50000</v>
      </c>
      <c r="AC154" s="13"/>
      <c r="AD154" s="13"/>
      <c r="AE154" s="13"/>
      <c r="AF154" s="13"/>
      <c r="AG154" s="13">
        <f t="shared" si="63"/>
        <v>0</v>
      </c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 t="s">
        <v>1106</v>
      </c>
      <c r="AV154" s="4" t="s">
        <v>1218</v>
      </c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>
        <f t="shared" si="50"/>
        <v>14000.000000000002</v>
      </c>
      <c r="BN154" s="9">
        <f t="shared" si="55"/>
        <v>0</v>
      </c>
      <c r="BO154" s="9">
        <f t="shared" si="56"/>
        <v>0</v>
      </c>
      <c r="BP154" s="9">
        <f t="shared" si="57"/>
        <v>14000.000000000002</v>
      </c>
      <c r="BQ154" s="9">
        <f t="shared" si="58"/>
        <v>0</v>
      </c>
      <c r="BR154" s="9">
        <f t="shared" si="59"/>
        <v>0</v>
      </c>
      <c r="BS154" s="9">
        <f t="shared" si="60"/>
        <v>0</v>
      </c>
      <c r="BT154" s="9">
        <f t="shared" si="61"/>
        <v>0</v>
      </c>
    </row>
    <row r="155" spans="1:72" hidden="1" x14ac:dyDescent="0.25">
      <c r="A155" s="11">
        <f t="shared" si="52"/>
        <v>154</v>
      </c>
      <c r="B155" s="4" t="s">
        <v>536</v>
      </c>
      <c r="C155" s="4" t="s">
        <v>59</v>
      </c>
      <c r="D155" s="4" t="s">
        <v>525</v>
      </c>
      <c r="E155" s="4" t="s">
        <v>1322</v>
      </c>
      <c r="F155" s="4" t="s">
        <v>526</v>
      </c>
      <c r="G155" s="4" t="s">
        <v>563</v>
      </c>
      <c r="H155" s="4" t="s">
        <v>1815</v>
      </c>
      <c r="I155" s="4"/>
      <c r="J155" s="4"/>
      <c r="K155" s="4" t="s">
        <v>420</v>
      </c>
      <c r="L155" s="9"/>
      <c r="M155" s="9"/>
      <c r="N155" s="9"/>
      <c r="O155" s="9"/>
      <c r="P155" s="9"/>
      <c r="Q155" s="14">
        <v>1.6</v>
      </c>
      <c r="R155" s="1">
        <f t="shared" si="53"/>
        <v>0</v>
      </c>
      <c r="S155" s="2">
        <v>640000</v>
      </c>
      <c r="T155" s="2">
        <f t="shared" si="54"/>
        <v>0</v>
      </c>
      <c r="U155" s="9"/>
      <c r="V155" s="9"/>
      <c r="W155" s="9"/>
      <c r="X155" s="9"/>
      <c r="Y155" s="13">
        <v>50000</v>
      </c>
      <c r="Z155" s="13">
        <v>50000</v>
      </c>
      <c r="AA155" s="13">
        <v>50000</v>
      </c>
      <c r="AB155" s="13"/>
      <c r="AC155" s="13"/>
      <c r="AD155" s="13"/>
      <c r="AE155" s="13"/>
      <c r="AF155" s="13"/>
      <c r="AG155" s="13">
        <f t="shared" si="63"/>
        <v>0</v>
      </c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 t="s">
        <v>1106</v>
      </c>
      <c r="AV155" s="4" t="s">
        <v>1220</v>
      </c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>
        <f t="shared" si="50"/>
        <v>80000</v>
      </c>
      <c r="BN155" s="9">
        <f t="shared" si="55"/>
        <v>80000</v>
      </c>
      <c r="BO155" s="9">
        <f t="shared" si="56"/>
        <v>80000</v>
      </c>
      <c r="BP155" s="9">
        <f t="shared" si="57"/>
        <v>0</v>
      </c>
      <c r="BQ155" s="9">
        <f t="shared" si="58"/>
        <v>0</v>
      </c>
      <c r="BR155" s="9">
        <f t="shared" si="59"/>
        <v>0</v>
      </c>
      <c r="BS155" s="9">
        <f t="shared" si="60"/>
        <v>0</v>
      </c>
      <c r="BT155" s="9">
        <f t="shared" si="61"/>
        <v>0</v>
      </c>
    </row>
    <row r="156" spans="1:72" hidden="1" x14ac:dyDescent="0.25">
      <c r="A156" s="11">
        <f t="shared" si="52"/>
        <v>155</v>
      </c>
      <c r="B156" s="4" t="s">
        <v>536</v>
      </c>
      <c r="C156" s="4" t="s">
        <v>59</v>
      </c>
      <c r="D156" s="4" t="s">
        <v>525</v>
      </c>
      <c r="E156" s="4" t="s">
        <v>1322</v>
      </c>
      <c r="F156" s="4" t="s">
        <v>526</v>
      </c>
      <c r="G156" s="4" t="s">
        <v>515</v>
      </c>
      <c r="H156" s="4" t="s">
        <v>516</v>
      </c>
      <c r="I156" s="4"/>
      <c r="J156" s="4"/>
      <c r="K156" s="4" t="s">
        <v>420</v>
      </c>
      <c r="L156" s="9"/>
      <c r="M156" s="9"/>
      <c r="N156" s="9"/>
      <c r="O156" s="9"/>
      <c r="P156" s="9"/>
      <c r="Q156" s="14">
        <v>1.35</v>
      </c>
      <c r="R156" s="1">
        <f t="shared" si="53"/>
        <v>0</v>
      </c>
      <c r="S156" s="2">
        <v>864000</v>
      </c>
      <c r="T156" s="2">
        <f t="shared" si="54"/>
        <v>0</v>
      </c>
      <c r="U156" s="9"/>
      <c r="V156" s="9"/>
      <c r="W156" s="9"/>
      <c r="X156" s="9"/>
      <c r="Y156" s="13">
        <v>80000</v>
      </c>
      <c r="Z156" s="13">
        <v>80000</v>
      </c>
      <c r="AA156" s="13">
        <v>80000</v>
      </c>
      <c r="AB156" s="13"/>
      <c r="AC156" s="13"/>
      <c r="AD156" s="13"/>
      <c r="AE156" s="13"/>
      <c r="AF156" s="13"/>
      <c r="AG156" s="13">
        <f t="shared" si="63"/>
        <v>0</v>
      </c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 t="s">
        <v>1106</v>
      </c>
      <c r="AV156" s="4" t="s">
        <v>1220</v>
      </c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>
        <f t="shared" si="50"/>
        <v>108000</v>
      </c>
      <c r="BN156" s="9">
        <f t="shared" si="55"/>
        <v>108000</v>
      </c>
      <c r="BO156" s="9">
        <f t="shared" si="56"/>
        <v>108000</v>
      </c>
      <c r="BP156" s="9">
        <f t="shared" si="57"/>
        <v>0</v>
      </c>
      <c r="BQ156" s="9">
        <f t="shared" si="58"/>
        <v>0</v>
      </c>
      <c r="BR156" s="9">
        <f t="shared" si="59"/>
        <v>0</v>
      </c>
      <c r="BS156" s="9">
        <f t="shared" si="60"/>
        <v>0</v>
      </c>
      <c r="BT156" s="9">
        <f t="shared" si="61"/>
        <v>0</v>
      </c>
    </row>
    <row r="157" spans="1:72" hidden="1" x14ac:dyDescent="0.25">
      <c r="A157" s="11">
        <f t="shared" si="52"/>
        <v>156</v>
      </c>
      <c r="B157" s="4" t="s">
        <v>536</v>
      </c>
      <c r="C157" s="4" t="s">
        <v>59</v>
      </c>
      <c r="D157" s="4" t="s">
        <v>525</v>
      </c>
      <c r="E157" s="4" t="s">
        <v>1322</v>
      </c>
      <c r="F157" s="4" t="s">
        <v>526</v>
      </c>
      <c r="G157" s="4" t="s">
        <v>537</v>
      </c>
      <c r="H157" s="4" t="s">
        <v>538</v>
      </c>
      <c r="I157" s="4"/>
      <c r="J157" s="4"/>
      <c r="K157" s="4" t="s">
        <v>420</v>
      </c>
      <c r="L157" s="9"/>
      <c r="M157" s="9"/>
      <c r="N157" s="9"/>
      <c r="O157" s="9"/>
      <c r="P157" s="9"/>
      <c r="Q157" s="10"/>
      <c r="R157" s="1">
        <f t="shared" si="53"/>
        <v>0</v>
      </c>
      <c r="S157" s="2">
        <v>0</v>
      </c>
      <c r="T157" s="2">
        <f t="shared" si="54"/>
        <v>0</v>
      </c>
      <c r="U157" s="9"/>
      <c r="V157" s="9"/>
      <c r="W157" s="9"/>
      <c r="X157" s="9"/>
      <c r="Y157" s="13"/>
      <c r="Z157" s="13"/>
      <c r="AA157" s="13"/>
      <c r="AB157" s="13"/>
      <c r="AC157" s="13"/>
      <c r="AD157" s="13"/>
      <c r="AE157" s="13"/>
      <c r="AF157" s="13"/>
      <c r="AG157" s="13">
        <f t="shared" si="63"/>
        <v>0</v>
      </c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 t="s">
        <v>1106</v>
      </c>
      <c r="AV157" s="4" t="s">
        <v>1220</v>
      </c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>
        <f t="shared" si="50"/>
        <v>0</v>
      </c>
      <c r="BN157" s="9">
        <f t="shared" si="55"/>
        <v>0</v>
      </c>
      <c r="BO157" s="9">
        <f t="shared" si="56"/>
        <v>0</v>
      </c>
      <c r="BP157" s="9">
        <f t="shared" si="57"/>
        <v>0</v>
      </c>
      <c r="BQ157" s="9">
        <f t="shared" si="58"/>
        <v>0</v>
      </c>
      <c r="BR157" s="9">
        <f t="shared" si="59"/>
        <v>0</v>
      </c>
      <c r="BS157" s="9">
        <f t="shared" si="60"/>
        <v>0</v>
      </c>
      <c r="BT157" s="9">
        <f t="shared" si="61"/>
        <v>0</v>
      </c>
    </row>
    <row r="158" spans="1:72" hidden="1" x14ac:dyDescent="0.25">
      <c r="A158" s="11">
        <f t="shared" si="52"/>
        <v>157</v>
      </c>
      <c r="B158" s="4" t="s">
        <v>536</v>
      </c>
      <c r="C158" s="4" t="s">
        <v>59</v>
      </c>
      <c r="D158" s="4" t="s">
        <v>525</v>
      </c>
      <c r="E158" s="4" t="s">
        <v>1322</v>
      </c>
      <c r="F158" s="4" t="s">
        <v>526</v>
      </c>
      <c r="G158" s="4" t="s">
        <v>539</v>
      </c>
      <c r="H158" s="4" t="s">
        <v>467</v>
      </c>
      <c r="I158" s="4"/>
      <c r="J158" s="4"/>
      <c r="K158" s="4" t="s">
        <v>420</v>
      </c>
      <c r="L158" s="9"/>
      <c r="M158" s="9"/>
      <c r="N158" s="9"/>
      <c r="O158" s="9"/>
      <c r="P158" s="9"/>
      <c r="Q158" s="14">
        <v>1.8</v>
      </c>
      <c r="R158" s="1">
        <f t="shared" si="53"/>
        <v>0</v>
      </c>
      <c r="S158" s="2">
        <v>468000</v>
      </c>
      <c r="T158" s="2">
        <f t="shared" si="54"/>
        <v>0</v>
      </c>
      <c r="U158" s="9"/>
      <c r="V158" s="9"/>
      <c r="W158" s="9"/>
      <c r="X158" s="9"/>
      <c r="Y158" s="13">
        <v>30000</v>
      </c>
      <c r="Z158" s="13">
        <v>40000</v>
      </c>
      <c r="AA158" s="13">
        <v>40000</v>
      </c>
      <c r="AB158" s="13"/>
      <c r="AC158" s="13"/>
      <c r="AD158" s="13"/>
      <c r="AE158" s="13"/>
      <c r="AF158" s="13"/>
      <c r="AG158" s="13">
        <f t="shared" si="63"/>
        <v>0</v>
      </c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 t="s">
        <v>1106</v>
      </c>
      <c r="AV158" s="4" t="s">
        <v>1220</v>
      </c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>
        <f t="shared" si="50"/>
        <v>54000</v>
      </c>
      <c r="BN158" s="9">
        <f t="shared" si="55"/>
        <v>72000</v>
      </c>
      <c r="BO158" s="9">
        <f t="shared" si="56"/>
        <v>72000</v>
      </c>
      <c r="BP158" s="9">
        <f t="shared" si="57"/>
        <v>0</v>
      </c>
      <c r="BQ158" s="9">
        <f t="shared" si="58"/>
        <v>0</v>
      </c>
      <c r="BR158" s="9">
        <f t="shared" si="59"/>
        <v>0</v>
      </c>
      <c r="BS158" s="9">
        <f t="shared" si="60"/>
        <v>0</v>
      </c>
      <c r="BT158" s="9">
        <f t="shared" si="61"/>
        <v>0</v>
      </c>
    </row>
    <row r="159" spans="1:72" hidden="1" x14ac:dyDescent="0.25">
      <c r="A159" s="11">
        <f t="shared" si="52"/>
        <v>158</v>
      </c>
      <c r="B159" s="4" t="s">
        <v>536</v>
      </c>
      <c r="C159" s="4" t="s">
        <v>59</v>
      </c>
      <c r="D159" s="4" t="s">
        <v>525</v>
      </c>
      <c r="E159" s="4" t="s">
        <v>1322</v>
      </c>
      <c r="F159" s="4" t="s">
        <v>526</v>
      </c>
      <c r="G159" s="4" t="s">
        <v>540</v>
      </c>
      <c r="H159" s="4" t="s">
        <v>541</v>
      </c>
      <c r="I159" s="4"/>
      <c r="J159" s="4"/>
      <c r="K159" s="4" t="s">
        <v>542</v>
      </c>
      <c r="L159" s="9"/>
      <c r="M159" s="9"/>
      <c r="N159" s="9"/>
      <c r="O159" s="9"/>
      <c r="P159" s="9"/>
      <c r="Q159" s="10"/>
      <c r="R159" s="1">
        <f t="shared" si="53"/>
        <v>0</v>
      </c>
      <c r="S159" s="2">
        <v>0</v>
      </c>
      <c r="T159" s="2">
        <f t="shared" si="54"/>
        <v>0</v>
      </c>
      <c r="U159" s="9"/>
      <c r="V159" s="9"/>
      <c r="W159" s="9"/>
      <c r="X159" s="9"/>
      <c r="Y159" s="13"/>
      <c r="Z159" s="13"/>
      <c r="AA159" s="13"/>
      <c r="AB159" s="13"/>
      <c r="AC159" s="13"/>
      <c r="AD159" s="13"/>
      <c r="AE159" s="13"/>
      <c r="AF159" s="13"/>
      <c r="AG159" s="13">
        <f t="shared" si="63"/>
        <v>0</v>
      </c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 t="s">
        <v>1106</v>
      </c>
      <c r="AV159" s="4" t="s">
        <v>1218</v>
      </c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>
        <f t="shared" si="50"/>
        <v>0</v>
      </c>
      <c r="BN159" s="9">
        <f t="shared" si="55"/>
        <v>0</v>
      </c>
      <c r="BO159" s="9">
        <f t="shared" si="56"/>
        <v>0</v>
      </c>
      <c r="BP159" s="9">
        <f t="shared" si="57"/>
        <v>0</v>
      </c>
      <c r="BQ159" s="9">
        <f t="shared" si="58"/>
        <v>0</v>
      </c>
      <c r="BR159" s="9">
        <f t="shared" si="59"/>
        <v>0</v>
      </c>
      <c r="BS159" s="9">
        <f t="shared" si="60"/>
        <v>0</v>
      </c>
      <c r="BT159" s="9">
        <f t="shared" si="61"/>
        <v>0</v>
      </c>
    </row>
    <row r="160" spans="1:72" hidden="1" x14ac:dyDescent="0.25">
      <c r="A160" s="11">
        <f t="shared" si="52"/>
        <v>159</v>
      </c>
      <c r="B160" s="4" t="s">
        <v>543</v>
      </c>
      <c r="C160" s="4" t="s">
        <v>59</v>
      </c>
      <c r="D160" s="4" t="s">
        <v>525</v>
      </c>
      <c r="E160" s="4" t="s">
        <v>1322</v>
      </c>
      <c r="F160" s="4" t="s">
        <v>526</v>
      </c>
      <c r="G160" s="4" t="s">
        <v>515</v>
      </c>
      <c r="H160" s="4" t="s">
        <v>516</v>
      </c>
      <c r="I160" s="4"/>
      <c r="J160" s="4"/>
      <c r="K160" s="4" t="s">
        <v>420</v>
      </c>
      <c r="L160" s="9"/>
      <c r="M160" s="9"/>
      <c r="N160" s="9"/>
      <c r="O160" s="9"/>
      <c r="P160" s="9"/>
      <c r="Q160" s="14">
        <v>1.35</v>
      </c>
      <c r="R160" s="1">
        <f t="shared" si="53"/>
        <v>121500.00000000001</v>
      </c>
      <c r="S160" s="2">
        <v>108000</v>
      </c>
      <c r="T160" s="2">
        <f t="shared" si="54"/>
        <v>90000</v>
      </c>
      <c r="U160" s="9"/>
      <c r="V160" s="9"/>
      <c r="W160" s="9"/>
      <c r="X160" s="9"/>
      <c r="Y160" s="13">
        <v>10000</v>
      </c>
      <c r="Z160" s="13">
        <v>10000</v>
      </c>
      <c r="AA160" s="13">
        <v>10000</v>
      </c>
      <c r="AB160" s="13">
        <v>10000</v>
      </c>
      <c r="AC160" s="13">
        <v>20000</v>
      </c>
      <c r="AD160" s="13">
        <v>20000</v>
      </c>
      <c r="AE160" s="13">
        <v>20000</v>
      </c>
      <c r="AF160" s="13">
        <v>20000</v>
      </c>
      <c r="AG160" s="13">
        <v>20000</v>
      </c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 t="s">
        <v>1106</v>
      </c>
      <c r="AV160" s="4" t="s">
        <v>1220</v>
      </c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>
        <f t="shared" si="50"/>
        <v>13500</v>
      </c>
      <c r="BN160" s="9">
        <f t="shared" si="55"/>
        <v>13500</v>
      </c>
      <c r="BO160" s="9">
        <f t="shared" si="56"/>
        <v>13500</v>
      </c>
      <c r="BP160" s="9">
        <f t="shared" si="57"/>
        <v>13500</v>
      </c>
      <c r="BQ160" s="9">
        <f t="shared" si="58"/>
        <v>27000</v>
      </c>
      <c r="BR160" s="9">
        <f t="shared" si="59"/>
        <v>27000</v>
      </c>
      <c r="BS160" s="9">
        <f t="shared" si="60"/>
        <v>27000</v>
      </c>
      <c r="BT160" s="9">
        <f t="shared" si="61"/>
        <v>27000</v>
      </c>
    </row>
    <row r="161" spans="1:72" hidden="1" x14ac:dyDescent="0.25">
      <c r="A161" s="11">
        <f t="shared" si="52"/>
        <v>160</v>
      </c>
      <c r="B161" s="4" t="s">
        <v>544</v>
      </c>
      <c r="C161" s="4" t="s">
        <v>59</v>
      </c>
      <c r="D161" s="4" t="s">
        <v>525</v>
      </c>
      <c r="E161" s="4" t="s">
        <v>1322</v>
      </c>
      <c r="F161" s="4" t="s">
        <v>526</v>
      </c>
      <c r="G161" s="4" t="s">
        <v>144</v>
      </c>
      <c r="H161" s="33" t="s">
        <v>545</v>
      </c>
      <c r="I161" s="4"/>
      <c r="J161" s="4"/>
      <c r="K161" s="4" t="s">
        <v>499</v>
      </c>
      <c r="L161" s="9"/>
      <c r="M161" s="9"/>
      <c r="N161" s="9"/>
      <c r="O161" s="9"/>
      <c r="P161" s="9"/>
      <c r="Q161" s="14">
        <v>0.16</v>
      </c>
      <c r="R161" s="1">
        <f t="shared" si="53"/>
        <v>0</v>
      </c>
      <c r="S161" s="2">
        <v>38400</v>
      </c>
      <c r="T161" s="2">
        <f t="shared" si="54"/>
        <v>0</v>
      </c>
      <c r="U161" s="9"/>
      <c r="V161" s="9"/>
      <c r="W161" s="9"/>
      <c r="X161" s="9"/>
      <c r="Y161" s="13">
        <v>120000</v>
      </c>
      <c r="Z161" s="13">
        <v>120000</v>
      </c>
      <c r="AA161" s="13"/>
      <c r="AB161" s="13"/>
      <c r="AC161" s="13"/>
      <c r="AD161" s="13"/>
      <c r="AE161" s="13"/>
      <c r="AF161" s="13"/>
      <c r="AG161" s="13">
        <f t="shared" ref="AG161:AG162" si="64">AF161</f>
        <v>0</v>
      </c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 t="s">
        <v>1106</v>
      </c>
      <c r="AV161" s="4" t="s">
        <v>1218</v>
      </c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>
        <f t="shared" si="50"/>
        <v>19200</v>
      </c>
      <c r="BN161" s="9">
        <f t="shared" si="55"/>
        <v>19200</v>
      </c>
      <c r="BO161" s="9">
        <f t="shared" si="56"/>
        <v>0</v>
      </c>
      <c r="BP161" s="9">
        <f t="shared" si="57"/>
        <v>0</v>
      </c>
      <c r="BQ161" s="9">
        <f t="shared" si="58"/>
        <v>0</v>
      </c>
      <c r="BR161" s="9">
        <f t="shared" si="59"/>
        <v>0</v>
      </c>
      <c r="BS161" s="9">
        <f t="shared" si="60"/>
        <v>0</v>
      </c>
      <c r="BT161" s="9">
        <f t="shared" si="61"/>
        <v>0</v>
      </c>
    </row>
    <row r="162" spans="1:72" hidden="1" x14ac:dyDescent="0.25">
      <c r="A162" s="11">
        <f t="shared" si="52"/>
        <v>161</v>
      </c>
      <c r="B162" s="4" t="s">
        <v>544</v>
      </c>
      <c r="C162" s="4" t="s">
        <v>59</v>
      </c>
      <c r="D162" s="4" t="s">
        <v>525</v>
      </c>
      <c r="E162" s="4" t="s">
        <v>1322</v>
      </c>
      <c r="F162" s="4" t="s">
        <v>526</v>
      </c>
      <c r="G162" s="4" t="s">
        <v>443</v>
      </c>
      <c r="H162" s="4" t="s">
        <v>1814</v>
      </c>
      <c r="I162" s="4"/>
      <c r="J162" s="4"/>
      <c r="K162" s="4" t="s">
        <v>499</v>
      </c>
      <c r="L162" s="9"/>
      <c r="M162" s="9"/>
      <c r="N162" s="9"/>
      <c r="O162" s="9"/>
      <c r="P162" s="9"/>
      <c r="Q162" s="10"/>
      <c r="R162" s="1">
        <f t="shared" si="53"/>
        <v>0</v>
      </c>
      <c r="S162" s="2">
        <v>0</v>
      </c>
      <c r="T162" s="2">
        <f t="shared" si="54"/>
        <v>0</v>
      </c>
      <c r="U162" s="9"/>
      <c r="V162" s="9"/>
      <c r="W162" s="9"/>
      <c r="X162" s="9"/>
      <c r="Y162" s="13"/>
      <c r="Z162" s="13"/>
      <c r="AA162" s="13"/>
      <c r="AB162" s="13"/>
      <c r="AC162" s="13"/>
      <c r="AD162" s="13"/>
      <c r="AE162" s="13"/>
      <c r="AF162" s="13"/>
      <c r="AG162" s="13">
        <f t="shared" si="64"/>
        <v>0</v>
      </c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 t="s">
        <v>1106</v>
      </c>
      <c r="AV162" s="4" t="s">
        <v>1218</v>
      </c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>
        <f t="shared" si="50"/>
        <v>0</v>
      </c>
      <c r="BN162" s="9">
        <f t="shared" si="55"/>
        <v>0</v>
      </c>
      <c r="BO162" s="9">
        <f t="shared" si="56"/>
        <v>0</v>
      </c>
      <c r="BP162" s="9">
        <f t="shared" si="57"/>
        <v>0</v>
      </c>
      <c r="BQ162" s="9">
        <f t="shared" si="58"/>
        <v>0</v>
      </c>
      <c r="BR162" s="9">
        <f t="shared" si="59"/>
        <v>0</v>
      </c>
      <c r="BS162" s="9">
        <f t="shared" si="60"/>
        <v>0</v>
      </c>
      <c r="BT162" s="9">
        <f t="shared" si="61"/>
        <v>0</v>
      </c>
    </row>
    <row r="163" spans="1:72" hidden="1" x14ac:dyDescent="0.25">
      <c r="A163" s="11">
        <f t="shared" si="52"/>
        <v>162</v>
      </c>
      <c r="B163" s="4" t="s">
        <v>546</v>
      </c>
      <c r="C163" s="4" t="s">
        <v>128</v>
      </c>
      <c r="D163" s="4" t="s">
        <v>383</v>
      </c>
      <c r="E163" s="4" t="s">
        <v>1322</v>
      </c>
      <c r="F163" s="4" t="s">
        <v>377</v>
      </c>
      <c r="G163" s="4" t="s">
        <v>563</v>
      </c>
      <c r="H163" s="4" t="s">
        <v>1815</v>
      </c>
      <c r="I163" s="4"/>
      <c r="J163" s="4"/>
      <c r="K163" s="4" t="s">
        <v>420</v>
      </c>
      <c r="L163" s="9"/>
      <c r="M163" s="9"/>
      <c r="N163" s="9"/>
      <c r="O163" s="9"/>
      <c r="P163" s="9"/>
      <c r="Q163" s="14">
        <v>1.53</v>
      </c>
      <c r="R163" s="1">
        <f t="shared" si="53"/>
        <v>2907000</v>
      </c>
      <c r="S163" s="2">
        <v>4896000</v>
      </c>
      <c r="T163" s="2">
        <f t="shared" si="54"/>
        <v>1900000</v>
      </c>
      <c r="U163" s="9">
        <v>150000</v>
      </c>
      <c r="V163" s="9">
        <v>150000</v>
      </c>
      <c r="W163" s="9">
        <v>300000</v>
      </c>
      <c r="X163" s="9">
        <v>400000</v>
      </c>
      <c r="Y163" s="13">
        <v>400000</v>
      </c>
      <c r="Z163" s="13">
        <v>300000</v>
      </c>
      <c r="AA163" s="13">
        <v>300000</v>
      </c>
      <c r="AB163" s="13">
        <v>400000</v>
      </c>
      <c r="AC163" s="13">
        <v>400000</v>
      </c>
      <c r="AD163" s="13">
        <v>300000</v>
      </c>
      <c r="AE163" s="13">
        <v>400000</v>
      </c>
      <c r="AF163" s="13">
        <v>400000</v>
      </c>
      <c r="AG163" s="13">
        <v>400000</v>
      </c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 t="s">
        <v>1106</v>
      </c>
      <c r="AV163" s="4" t="s">
        <v>1220</v>
      </c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>
        <f t="shared" si="50"/>
        <v>612000</v>
      </c>
      <c r="BN163" s="9">
        <f t="shared" si="55"/>
        <v>459000</v>
      </c>
      <c r="BO163" s="9">
        <f t="shared" si="56"/>
        <v>459000</v>
      </c>
      <c r="BP163" s="9">
        <f t="shared" si="57"/>
        <v>612000</v>
      </c>
      <c r="BQ163" s="9">
        <f t="shared" si="58"/>
        <v>612000</v>
      </c>
      <c r="BR163" s="9">
        <f t="shared" si="59"/>
        <v>459000</v>
      </c>
      <c r="BS163" s="9">
        <f t="shared" si="60"/>
        <v>612000</v>
      </c>
      <c r="BT163" s="9">
        <f t="shared" si="61"/>
        <v>612000</v>
      </c>
    </row>
    <row r="164" spans="1:72" hidden="1" x14ac:dyDescent="0.25">
      <c r="A164" s="11">
        <f t="shared" si="52"/>
        <v>163</v>
      </c>
      <c r="B164" s="4" t="s">
        <v>546</v>
      </c>
      <c r="C164" s="4" t="s">
        <v>128</v>
      </c>
      <c r="D164" s="4" t="s">
        <v>383</v>
      </c>
      <c r="E164" s="4" t="s">
        <v>1322</v>
      </c>
      <c r="F164" s="4" t="s">
        <v>377</v>
      </c>
      <c r="G164" s="4" t="s">
        <v>1150</v>
      </c>
      <c r="H164" s="4" t="s">
        <v>419</v>
      </c>
      <c r="I164" s="4"/>
      <c r="J164" s="4"/>
      <c r="K164" s="4" t="s">
        <v>420</v>
      </c>
      <c r="L164" s="9"/>
      <c r="M164" s="9"/>
      <c r="N164" s="9"/>
      <c r="O164" s="9"/>
      <c r="P164" s="9"/>
      <c r="Q164" s="10"/>
      <c r="R164" s="1">
        <f t="shared" si="53"/>
        <v>0</v>
      </c>
      <c r="S164" s="2">
        <v>0</v>
      </c>
      <c r="T164" s="2">
        <f t="shared" si="54"/>
        <v>0</v>
      </c>
      <c r="U164" s="9"/>
      <c r="V164" s="9"/>
      <c r="W164" s="9"/>
      <c r="X164" s="9"/>
      <c r="Y164" s="13"/>
      <c r="Z164" s="13"/>
      <c r="AA164" s="13"/>
      <c r="AB164" s="13"/>
      <c r="AC164" s="13"/>
      <c r="AD164" s="13"/>
      <c r="AE164" s="13"/>
      <c r="AF164" s="13"/>
      <c r="AG164" s="13">
        <f>AF164</f>
        <v>0</v>
      </c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 t="s">
        <v>1106</v>
      </c>
      <c r="AV164" s="4" t="s">
        <v>1220</v>
      </c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>
        <f t="shared" si="50"/>
        <v>0</v>
      </c>
      <c r="BN164" s="9">
        <f t="shared" si="55"/>
        <v>0</v>
      </c>
      <c r="BO164" s="9">
        <f t="shared" si="56"/>
        <v>0</v>
      </c>
      <c r="BP164" s="9">
        <f t="shared" si="57"/>
        <v>0</v>
      </c>
      <c r="BQ164" s="9">
        <f t="shared" si="58"/>
        <v>0</v>
      </c>
      <c r="BR164" s="9">
        <f t="shared" si="59"/>
        <v>0</v>
      </c>
      <c r="BS164" s="9">
        <f t="shared" si="60"/>
        <v>0</v>
      </c>
      <c r="BT164" s="9">
        <f t="shared" si="61"/>
        <v>0</v>
      </c>
    </row>
    <row r="165" spans="1:72" hidden="1" x14ac:dyDescent="0.25">
      <c r="A165" s="11">
        <f t="shared" si="52"/>
        <v>164</v>
      </c>
      <c r="B165" s="4" t="s">
        <v>547</v>
      </c>
      <c r="C165" s="4" t="s">
        <v>59</v>
      </c>
      <c r="D165" s="4" t="s">
        <v>383</v>
      </c>
      <c r="E165" s="4" t="s">
        <v>1322</v>
      </c>
      <c r="F165" s="4" t="s">
        <v>377</v>
      </c>
      <c r="G165" s="4" t="s">
        <v>515</v>
      </c>
      <c r="H165" s="4" t="s">
        <v>516</v>
      </c>
      <c r="I165" s="4"/>
      <c r="J165" s="4"/>
      <c r="K165" s="4" t="s">
        <v>420</v>
      </c>
      <c r="L165" s="9"/>
      <c r="M165" s="9"/>
      <c r="N165" s="9"/>
      <c r="O165" s="9"/>
      <c r="P165" s="9"/>
      <c r="Q165" s="14">
        <v>1.258</v>
      </c>
      <c r="R165" s="1">
        <f t="shared" si="53"/>
        <v>1509600</v>
      </c>
      <c r="S165" s="2">
        <v>6604500</v>
      </c>
      <c r="T165" s="2">
        <f t="shared" si="54"/>
        <v>1200000</v>
      </c>
      <c r="U165" s="9"/>
      <c r="V165" s="9"/>
      <c r="W165" s="9"/>
      <c r="X165" s="9"/>
      <c r="Y165" s="13">
        <v>600000</v>
      </c>
      <c r="Z165" s="13">
        <v>100000</v>
      </c>
      <c r="AA165" s="13">
        <v>100000</v>
      </c>
      <c r="AB165" s="13">
        <v>0</v>
      </c>
      <c r="AC165" s="13">
        <v>300000</v>
      </c>
      <c r="AD165" s="13">
        <v>300000</v>
      </c>
      <c r="AE165" s="13">
        <v>300000</v>
      </c>
      <c r="AF165" s="13">
        <v>300000</v>
      </c>
      <c r="AG165" s="13">
        <v>300000</v>
      </c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 t="s">
        <v>1106</v>
      </c>
      <c r="AV165" s="4" t="s">
        <v>1220</v>
      </c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>
        <f t="shared" si="50"/>
        <v>754800</v>
      </c>
      <c r="BN165" s="9">
        <f t="shared" si="55"/>
        <v>125800</v>
      </c>
      <c r="BO165" s="9">
        <f t="shared" si="56"/>
        <v>125800</v>
      </c>
      <c r="BP165" s="9">
        <f t="shared" si="57"/>
        <v>0</v>
      </c>
      <c r="BQ165" s="9">
        <f t="shared" si="58"/>
        <v>377400</v>
      </c>
      <c r="BR165" s="9">
        <f t="shared" si="59"/>
        <v>377400</v>
      </c>
      <c r="BS165" s="9">
        <f t="shared" si="60"/>
        <v>377400</v>
      </c>
      <c r="BT165" s="9">
        <f t="shared" si="61"/>
        <v>377400</v>
      </c>
    </row>
    <row r="166" spans="1:72" hidden="1" x14ac:dyDescent="0.25">
      <c r="A166" s="11">
        <f t="shared" si="52"/>
        <v>165</v>
      </c>
      <c r="B166" s="4" t="s">
        <v>548</v>
      </c>
      <c r="C166" s="4" t="s">
        <v>128</v>
      </c>
      <c r="D166" s="4" t="s">
        <v>383</v>
      </c>
      <c r="E166" s="4" t="s">
        <v>1322</v>
      </c>
      <c r="F166" s="4" t="s">
        <v>377</v>
      </c>
      <c r="G166" s="4" t="s">
        <v>549</v>
      </c>
      <c r="H166" s="4" t="s">
        <v>550</v>
      </c>
      <c r="I166" s="4"/>
      <c r="J166" s="4"/>
      <c r="K166" s="4" t="s">
        <v>406</v>
      </c>
      <c r="L166" s="9"/>
      <c r="M166" s="9"/>
      <c r="N166" s="9"/>
      <c r="O166" s="9"/>
      <c r="P166" s="9"/>
      <c r="Q166" s="14">
        <v>1.61</v>
      </c>
      <c r="R166" s="1">
        <f t="shared" si="53"/>
        <v>450800</v>
      </c>
      <c r="S166" s="2">
        <v>660100</v>
      </c>
      <c r="T166" s="2">
        <f t="shared" si="54"/>
        <v>280000</v>
      </c>
      <c r="U166" s="9"/>
      <c r="V166" s="9"/>
      <c r="W166" s="9"/>
      <c r="X166" s="9"/>
      <c r="Y166" s="13">
        <v>40000</v>
      </c>
      <c r="Z166" s="13">
        <v>15000</v>
      </c>
      <c r="AA166" s="13">
        <v>15000</v>
      </c>
      <c r="AB166" s="13">
        <v>50000</v>
      </c>
      <c r="AC166" s="13">
        <v>50000</v>
      </c>
      <c r="AD166" s="13">
        <v>60000</v>
      </c>
      <c r="AE166" s="13">
        <v>60000</v>
      </c>
      <c r="AF166" s="13">
        <v>60000</v>
      </c>
      <c r="AG166" s="13">
        <v>60000</v>
      </c>
      <c r="AH166" s="13">
        <v>60000</v>
      </c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 t="s">
        <v>1106</v>
      </c>
      <c r="AV166" s="4" t="s">
        <v>1220</v>
      </c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>
        <f t="shared" si="50"/>
        <v>64400.000000000007</v>
      </c>
      <c r="BN166" s="9">
        <f t="shared" si="55"/>
        <v>24150</v>
      </c>
      <c r="BO166" s="9">
        <f t="shared" si="56"/>
        <v>24150</v>
      </c>
      <c r="BP166" s="9">
        <f t="shared" si="57"/>
        <v>80500</v>
      </c>
      <c r="BQ166" s="9">
        <f t="shared" si="58"/>
        <v>80500</v>
      </c>
      <c r="BR166" s="9">
        <f t="shared" si="59"/>
        <v>96600</v>
      </c>
      <c r="BS166" s="9">
        <f t="shared" si="60"/>
        <v>96600</v>
      </c>
      <c r="BT166" s="9">
        <f t="shared" si="61"/>
        <v>96600</v>
      </c>
    </row>
    <row r="167" spans="1:72" hidden="1" x14ac:dyDescent="0.25">
      <c r="A167" s="11">
        <f t="shared" si="52"/>
        <v>166</v>
      </c>
      <c r="B167" s="4" t="s">
        <v>551</v>
      </c>
      <c r="C167" s="4" t="s">
        <v>59</v>
      </c>
      <c r="D167" s="4" t="s">
        <v>383</v>
      </c>
      <c r="E167" s="4" t="s">
        <v>1322</v>
      </c>
      <c r="F167" s="4" t="s">
        <v>377</v>
      </c>
      <c r="G167" s="4" t="s">
        <v>1328</v>
      </c>
      <c r="H167" s="4" t="s">
        <v>315</v>
      </c>
      <c r="I167" s="4"/>
      <c r="J167" s="4"/>
      <c r="K167" s="4" t="s">
        <v>406</v>
      </c>
      <c r="L167" s="9"/>
      <c r="M167" s="9"/>
      <c r="N167" s="9"/>
      <c r="O167" s="9"/>
      <c r="P167" s="9"/>
      <c r="Q167" s="14">
        <v>1.61</v>
      </c>
      <c r="R167" s="1">
        <f t="shared" si="53"/>
        <v>225400</v>
      </c>
      <c r="S167" s="2">
        <v>330050</v>
      </c>
      <c r="T167" s="2">
        <f t="shared" si="54"/>
        <v>140000</v>
      </c>
      <c r="U167" s="9"/>
      <c r="V167" s="9"/>
      <c r="W167" s="9"/>
      <c r="X167" s="9"/>
      <c r="Y167" s="13">
        <v>20000</v>
      </c>
      <c r="Z167" s="13">
        <v>20000</v>
      </c>
      <c r="AA167" s="13">
        <v>25000</v>
      </c>
      <c r="AB167" s="13">
        <v>25000</v>
      </c>
      <c r="AC167" s="13">
        <v>25000</v>
      </c>
      <c r="AD167" s="13">
        <v>30000</v>
      </c>
      <c r="AE167" s="13">
        <v>30000</v>
      </c>
      <c r="AF167" s="13">
        <v>30000</v>
      </c>
      <c r="AG167" s="13">
        <v>30000</v>
      </c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 t="s">
        <v>1106</v>
      </c>
      <c r="AV167" s="4" t="s">
        <v>1220</v>
      </c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>
        <f t="shared" si="50"/>
        <v>32200.000000000004</v>
      </c>
      <c r="BN167" s="9">
        <f t="shared" si="55"/>
        <v>32200.000000000004</v>
      </c>
      <c r="BO167" s="9">
        <f t="shared" si="56"/>
        <v>40250</v>
      </c>
      <c r="BP167" s="9">
        <f t="shared" si="57"/>
        <v>40250</v>
      </c>
      <c r="BQ167" s="9">
        <f t="shared" si="58"/>
        <v>40250</v>
      </c>
      <c r="BR167" s="9">
        <f t="shared" si="59"/>
        <v>48300</v>
      </c>
      <c r="BS167" s="9">
        <f t="shared" si="60"/>
        <v>48300</v>
      </c>
      <c r="BT167" s="9">
        <f t="shared" si="61"/>
        <v>48300</v>
      </c>
    </row>
    <row r="168" spans="1:72" hidden="1" x14ac:dyDescent="0.25">
      <c r="A168" s="11">
        <f t="shared" si="52"/>
        <v>167</v>
      </c>
      <c r="B168" s="4" t="s">
        <v>1725</v>
      </c>
      <c r="C168" s="4" t="s">
        <v>59</v>
      </c>
      <c r="D168" s="4" t="s">
        <v>383</v>
      </c>
      <c r="E168" s="4" t="s">
        <v>1322</v>
      </c>
      <c r="F168" s="4" t="s">
        <v>377</v>
      </c>
      <c r="G168" s="4" t="s">
        <v>324</v>
      </c>
      <c r="H168" s="4" t="s">
        <v>531</v>
      </c>
      <c r="I168" s="4"/>
      <c r="J168" s="4"/>
      <c r="K168" s="4" t="s">
        <v>402</v>
      </c>
      <c r="L168" s="9"/>
      <c r="M168" s="9"/>
      <c r="N168" s="9"/>
      <c r="O168" s="9"/>
      <c r="P168" s="9"/>
      <c r="Q168" s="14">
        <v>0.98</v>
      </c>
      <c r="R168" s="1">
        <f t="shared" si="53"/>
        <v>147000</v>
      </c>
      <c r="S168" s="2">
        <v>245000</v>
      </c>
      <c r="T168" s="2">
        <f t="shared" si="54"/>
        <v>150000</v>
      </c>
      <c r="U168" s="9"/>
      <c r="V168" s="9"/>
      <c r="W168" s="9"/>
      <c r="X168" s="9"/>
      <c r="Y168" s="13">
        <v>20000</v>
      </c>
      <c r="Z168" s="13">
        <v>30000</v>
      </c>
      <c r="AA168" s="13">
        <v>30000</v>
      </c>
      <c r="AB168" s="13">
        <v>30000</v>
      </c>
      <c r="AC168" s="13">
        <v>30000</v>
      </c>
      <c r="AD168" s="13">
        <v>30000</v>
      </c>
      <c r="AE168" s="13">
        <v>30000</v>
      </c>
      <c r="AF168" s="13">
        <v>30000</v>
      </c>
      <c r="AG168" s="13">
        <v>30000</v>
      </c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 t="s">
        <v>1106</v>
      </c>
      <c r="AV168" s="4" t="s">
        <v>1220</v>
      </c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>
        <f t="shared" si="50"/>
        <v>19600</v>
      </c>
      <c r="BN168" s="9">
        <f t="shared" si="55"/>
        <v>29400</v>
      </c>
      <c r="BO168" s="9">
        <f t="shared" si="56"/>
        <v>29400</v>
      </c>
      <c r="BP168" s="9">
        <f t="shared" si="57"/>
        <v>29400</v>
      </c>
      <c r="BQ168" s="9">
        <f t="shared" si="58"/>
        <v>29400</v>
      </c>
      <c r="BR168" s="9">
        <f t="shared" si="59"/>
        <v>29400</v>
      </c>
      <c r="BS168" s="9">
        <f t="shared" si="60"/>
        <v>29400</v>
      </c>
      <c r="BT168" s="9">
        <f t="shared" si="61"/>
        <v>29400</v>
      </c>
    </row>
    <row r="169" spans="1:72" hidden="1" x14ac:dyDescent="0.25">
      <c r="A169" s="11">
        <f t="shared" si="52"/>
        <v>168</v>
      </c>
      <c r="B169" s="4" t="s">
        <v>552</v>
      </c>
      <c r="C169" s="4" t="s">
        <v>59</v>
      </c>
      <c r="D169" s="4" t="s">
        <v>383</v>
      </c>
      <c r="E169" s="4" t="s">
        <v>1322</v>
      </c>
      <c r="F169" s="4" t="s">
        <v>377</v>
      </c>
      <c r="G169" s="4" t="s">
        <v>1329</v>
      </c>
      <c r="H169" s="4" t="s">
        <v>553</v>
      </c>
      <c r="I169" s="4"/>
      <c r="J169" s="4"/>
      <c r="K169" s="4" t="s">
        <v>402</v>
      </c>
      <c r="L169" s="9"/>
      <c r="M169" s="9"/>
      <c r="N169" s="9"/>
      <c r="O169" s="9"/>
      <c r="P169" s="9"/>
      <c r="Q169" s="14">
        <v>6.02</v>
      </c>
      <c r="R169" s="1">
        <f t="shared" si="53"/>
        <v>228759.99999999997</v>
      </c>
      <c r="S169" s="2">
        <v>150500</v>
      </c>
      <c r="T169" s="2">
        <f t="shared" si="54"/>
        <v>38000</v>
      </c>
      <c r="U169" s="9"/>
      <c r="V169" s="9"/>
      <c r="W169" s="9"/>
      <c r="X169" s="9"/>
      <c r="Y169" s="13">
        <v>2000</v>
      </c>
      <c r="Z169" s="13">
        <v>2000</v>
      </c>
      <c r="AA169" s="13">
        <v>3000</v>
      </c>
      <c r="AB169" s="13">
        <v>10000</v>
      </c>
      <c r="AC169" s="13">
        <v>10000</v>
      </c>
      <c r="AD169" s="13">
        <v>10000</v>
      </c>
      <c r="AE169" s="13">
        <v>4000</v>
      </c>
      <c r="AF169" s="13">
        <v>4000</v>
      </c>
      <c r="AG169" s="13">
        <v>4000</v>
      </c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 t="s">
        <v>1106</v>
      </c>
      <c r="AV169" s="4" t="s">
        <v>1220</v>
      </c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>
        <f t="shared" si="50"/>
        <v>12040</v>
      </c>
      <c r="BN169" s="9">
        <f t="shared" si="55"/>
        <v>12040</v>
      </c>
      <c r="BO169" s="9">
        <f t="shared" si="56"/>
        <v>18060</v>
      </c>
      <c r="BP169" s="9">
        <f t="shared" si="57"/>
        <v>60199.999999999993</v>
      </c>
      <c r="BQ169" s="9">
        <f t="shared" si="58"/>
        <v>60199.999999999993</v>
      </c>
      <c r="BR169" s="9">
        <f t="shared" si="59"/>
        <v>60199.999999999993</v>
      </c>
      <c r="BS169" s="9">
        <f t="shared" si="60"/>
        <v>24080</v>
      </c>
      <c r="BT169" s="9">
        <f t="shared" si="61"/>
        <v>24080</v>
      </c>
    </row>
    <row r="170" spans="1:72" hidden="1" x14ac:dyDescent="0.25">
      <c r="A170" s="11">
        <f t="shared" si="52"/>
        <v>169</v>
      </c>
      <c r="B170" s="4" t="s">
        <v>554</v>
      </c>
      <c r="C170" s="4" t="s">
        <v>59</v>
      </c>
      <c r="D170" s="4" t="s">
        <v>383</v>
      </c>
      <c r="E170" s="4" t="s">
        <v>1322</v>
      </c>
      <c r="F170" s="4" t="s">
        <v>377</v>
      </c>
      <c r="G170" s="4" t="s">
        <v>243</v>
      </c>
      <c r="H170" s="4" t="s">
        <v>599</v>
      </c>
      <c r="I170" s="33">
        <v>2442</v>
      </c>
      <c r="J170" s="4"/>
      <c r="K170" s="4" t="s">
        <v>555</v>
      </c>
      <c r="L170" s="9"/>
      <c r="M170" s="9"/>
      <c r="N170" s="9"/>
      <c r="O170" s="9"/>
      <c r="P170" s="9"/>
      <c r="Q170" s="14">
        <v>0.27200000000000002</v>
      </c>
      <c r="R170" s="1">
        <f t="shared" si="53"/>
        <v>76160</v>
      </c>
      <c r="S170" s="2">
        <v>111520.00000000001</v>
      </c>
      <c r="T170" s="2">
        <f t="shared" si="54"/>
        <v>280000</v>
      </c>
      <c r="U170" s="9"/>
      <c r="V170" s="9"/>
      <c r="W170" s="9"/>
      <c r="X170" s="9"/>
      <c r="Y170" s="13">
        <v>40000</v>
      </c>
      <c r="Z170" s="13">
        <v>40000</v>
      </c>
      <c r="AA170" s="13">
        <v>50000</v>
      </c>
      <c r="AB170" s="13">
        <v>50000</v>
      </c>
      <c r="AC170" s="13">
        <v>50000</v>
      </c>
      <c r="AD170" s="13">
        <v>60000</v>
      </c>
      <c r="AE170" s="13">
        <v>60000</v>
      </c>
      <c r="AF170" s="13">
        <v>60000</v>
      </c>
      <c r="AG170" s="13">
        <v>60000</v>
      </c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 t="s">
        <v>1106</v>
      </c>
      <c r="AV170" s="4" t="s">
        <v>1218</v>
      </c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>
        <f t="shared" si="50"/>
        <v>10880</v>
      </c>
      <c r="BN170" s="9">
        <f t="shared" si="55"/>
        <v>10880</v>
      </c>
      <c r="BO170" s="9">
        <f t="shared" si="56"/>
        <v>13600.000000000002</v>
      </c>
      <c r="BP170" s="9">
        <f t="shared" si="57"/>
        <v>13600.000000000002</v>
      </c>
      <c r="BQ170" s="9">
        <f t="shared" si="58"/>
        <v>13600.000000000002</v>
      </c>
      <c r="BR170" s="9">
        <f t="shared" si="59"/>
        <v>16320.000000000002</v>
      </c>
      <c r="BS170" s="9">
        <f t="shared" si="60"/>
        <v>16320.000000000002</v>
      </c>
      <c r="BT170" s="9">
        <f t="shared" si="61"/>
        <v>16320.000000000002</v>
      </c>
    </row>
    <row r="171" spans="1:72" hidden="1" x14ac:dyDescent="0.25">
      <c r="A171" s="11">
        <f t="shared" si="52"/>
        <v>170</v>
      </c>
      <c r="B171" s="4" t="s">
        <v>556</v>
      </c>
      <c r="C171" s="4" t="s">
        <v>59</v>
      </c>
      <c r="D171" s="4" t="s">
        <v>383</v>
      </c>
      <c r="E171" s="4" t="s">
        <v>1322</v>
      </c>
      <c r="F171" s="4" t="s">
        <v>377</v>
      </c>
      <c r="G171" s="4" t="s">
        <v>540</v>
      </c>
      <c r="H171" s="4" t="s">
        <v>541</v>
      </c>
      <c r="I171" s="4"/>
      <c r="J171" s="4"/>
      <c r="K171" s="4" t="s">
        <v>555</v>
      </c>
      <c r="L171" s="9"/>
      <c r="M171" s="9"/>
      <c r="N171" s="9"/>
      <c r="O171" s="9"/>
      <c r="P171" s="9"/>
      <c r="Q171" s="14">
        <v>0.27200000000000002</v>
      </c>
      <c r="R171" s="1">
        <f t="shared" si="53"/>
        <v>21760</v>
      </c>
      <c r="S171" s="2">
        <v>27200.000000000004</v>
      </c>
      <c r="T171" s="2">
        <f t="shared" si="54"/>
        <v>80000</v>
      </c>
      <c r="U171" s="9"/>
      <c r="V171" s="9"/>
      <c r="W171" s="9"/>
      <c r="X171" s="9"/>
      <c r="Y171" s="13">
        <v>5000</v>
      </c>
      <c r="Z171" s="13">
        <v>5000</v>
      </c>
      <c r="AA171" s="13">
        <v>10000</v>
      </c>
      <c r="AB171" s="13">
        <v>10000</v>
      </c>
      <c r="AC171" s="13">
        <v>10000</v>
      </c>
      <c r="AD171" s="13">
        <v>20000</v>
      </c>
      <c r="AE171" s="13">
        <v>20000</v>
      </c>
      <c r="AF171" s="13">
        <v>20000</v>
      </c>
      <c r="AG171" s="13">
        <v>20000</v>
      </c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 t="s">
        <v>1106</v>
      </c>
      <c r="AV171" s="4" t="s">
        <v>1218</v>
      </c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>
        <f t="shared" si="50"/>
        <v>1360</v>
      </c>
      <c r="BN171" s="9">
        <f t="shared" si="55"/>
        <v>1360</v>
      </c>
      <c r="BO171" s="9">
        <f t="shared" si="56"/>
        <v>2720</v>
      </c>
      <c r="BP171" s="9">
        <f t="shared" si="57"/>
        <v>2720</v>
      </c>
      <c r="BQ171" s="9">
        <f t="shared" si="58"/>
        <v>2720</v>
      </c>
      <c r="BR171" s="9">
        <f t="shared" si="59"/>
        <v>5440</v>
      </c>
      <c r="BS171" s="9">
        <f t="shared" si="60"/>
        <v>5440</v>
      </c>
      <c r="BT171" s="9">
        <f t="shared" si="61"/>
        <v>5440</v>
      </c>
    </row>
    <row r="172" spans="1:72" hidden="1" x14ac:dyDescent="0.25">
      <c r="A172" s="11">
        <f t="shared" si="52"/>
        <v>171</v>
      </c>
      <c r="B172" s="4"/>
      <c r="C172" s="4" t="s">
        <v>59</v>
      </c>
      <c r="D172" s="4" t="s">
        <v>383</v>
      </c>
      <c r="E172" s="4" t="s">
        <v>1322</v>
      </c>
      <c r="F172" s="4" t="s">
        <v>377</v>
      </c>
      <c r="G172" s="4" t="s">
        <v>397</v>
      </c>
      <c r="H172" s="4" t="s">
        <v>398</v>
      </c>
      <c r="I172" s="4"/>
      <c r="J172" s="4"/>
      <c r="K172" s="4" t="s">
        <v>535</v>
      </c>
      <c r="L172" s="9"/>
      <c r="M172" s="9"/>
      <c r="N172" s="9"/>
      <c r="O172" s="9"/>
      <c r="P172" s="9"/>
      <c r="Q172" s="14">
        <v>2.4700000000000002</v>
      </c>
      <c r="R172" s="1">
        <f t="shared" si="53"/>
        <v>51870.000000000007</v>
      </c>
      <c r="S172" s="2">
        <v>69160</v>
      </c>
      <c r="T172" s="2">
        <f t="shared" si="54"/>
        <v>21000</v>
      </c>
      <c r="U172" s="9"/>
      <c r="V172" s="9"/>
      <c r="W172" s="9"/>
      <c r="X172" s="9"/>
      <c r="Y172" s="13">
        <v>2000</v>
      </c>
      <c r="Z172" s="13">
        <v>20000</v>
      </c>
      <c r="AA172" s="13">
        <v>20000</v>
      </c>
      <c r="AB172" s="13">
        <v>3000</v>
      </c>
      <c r="AC172" s="13">
        <v>3000</v>
      </c>
      <c r="AD172" s="13">
        <v>5000</v>
      </c>
      <c r="AE172" s="13">
        <v>5000</v>
      </c>
      <c r="AF172" s="13">
        <v>5000</v>
      </c>
      <c r="AG172" s="13">
        <v>5000</v>
      </c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 t="s">
        <v>1106</v>
      </c>
      <c r="AV172" s="4" t="s">
        <v>1217</v>
      </c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>
        <f t="shared" si="50"/>
        <v>4940</v>
      </c>
      <c r="BN172" s="9">
        <f t="shared" si="55"/>
        <v>49400.000000000007</v>
      </c>
      <c r="BO172" s="9">
        <f t="shared" si="56"/>
        <v>49400.000000000007</v>
      </c>
      <c r="BP172" s="9">
        <f t="shared" si="57"/>
        <v>7410.0000000000009</v>
      </c>
      <c r="BQ172" s="9">
        <f t="shared" si="58"/>
        <v>7410.0000000000009</v>
      </c>
      <c r="BR172" s="9">
        <f t="shared" si="59"/>
        <v>12350.000000000002</v>
      </c>
      <c r="BS172" s="9">
        <f t="shared" si="60"/>
        <v>12350.000000000002</v>
      </c>
      <c r="BT172" s="9">
        <f t="shared" si="61"/>
        <v>12350.000000000002</v>
      </c>
    </row>
    <row r="173" spans="1:72" hidden="1" x14ac:dyDescent="0.25">
      <c r="A173" s="11">
        <f t="shared" si="52"/>
        <v>172</v>
      </c>
      <c r="B173" s="4" t="s">
        <v>557</v>
      </c>
      <c r="C173" s="4" t="s">
        <v>59</v>
      </c>
      <c r="D173" s="4" t="s">
        <v>383</v>
      </c>
      <c r="E173" s="4" t="s">
        <v>1322</v>
      </c>
      <c r="F173" s="4" t="s">
        <v>377</v>
      </c>
      <c r="G173" s="4" t="s">
        <v>533</v>
      </c>
      <c r="H173" s="4" t="s">
        <v>534</v>
      </c>
      <c r="I173" s="4"/>
      <c r="J173" s="4"/>
      <c r="K173" s="4" t="s">
        <v>535</v>
      </c>
      <c r="L173" s="9"/>
      <c r="M173" s="9"/>
      <c r="N173" s="9"/>
      <c r="O173" s="9"/>
      <c r="P173" s="9"/>
      <c r="Q173" s="14">
        <v>3.32</v>
      </c>
      <c r="R173" s="1">
        <f t="shared" si="53"/>
        <v>385120</v>
      </c>
      <c r="S173" s="2">
        <v>803440</v>
      </c>
      <c r="T173" s="2">
        <f t="shared" si="54"/>
        <v>116000</v>
      </c>
      <c r="U173" s="9"/>
      <c r="V173" s="9"/>
      <c r="W173" s="9"/>
      <c r="X173" s="9"/>
      <c r="Y173" s="13">
        <v>12000</v>
      </c>
      <c r="Z173" s="13">
        <v>12000</v>
      </c>
      <c r="AA173" s="13">
        <v>12000</v>
      </c>
      <c r="AB173" s="13">
        <v>12000</v>
      </c>
      <c r="AC173" s="13">
        <v>12000</v>
      </c>
      <c r="AD173" s="13">
        <v>12000</v>
      </c>
      <c r="AE173" s="13">
        <v>40000</v>
      </c>
      <c r="AF173" s="13">
        <v>40000</v>
      </c>
      <c r="AG173" s="13">
        <v>40000</v>
      </c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 t="s">
        <v>1106</v>
      </c>
      <c r="AV173" s="4" t="s">
        <v>1217</v>
      </c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>
        <f t="shared" si="50"/>
        <v>39840</v>
      </c>
      <c r="BN173" s="9">
        <f t="shared" si="55"/>
        <v>39840</v>
      </c>
      <c r="BO173" s="9">
        <f t="shared" si="56"/>
        <v>39840</v>
      </c>
      <c r="BP173" s="9">
        <f t="shared" si="57"/>
        <v>39840</v>
      </c>
      <c r="BQ173" s="9">
        <f t="shared" si="58"/>
        <v>39840</v>
      </c>
      <c r="BR173" s="9">
        <f t="shared" si="59"/>
        <v>39840</v>
      </c>
      <c r="BS173" s="9">
        <f t="shared" si="60"/>
        <v>132800</v>
      </c>
      <c r="BT173" s="9">
        <f t="shared" si="61"/>
        <v>132800</v>
      </c>
    </row>
    <row r="174" spans="1:72" hidden="1" x14ac:dyDescent="0.25">
      <c r="A174" s="11">
        <f t="shared" si="52"/>
        <v>173</v>
      </c>
      <c r="B174" s="4" t="s">
        <v>557</v>
      </c>
      <c r="C174" s="4" t="s">
        <v>59</v>
      </c>
      <c r="D174" s="4" t="s">
        <v>383</v>
      </c>
      <c r="E174" s="4" t="s">
        <v>1322</v>
      </c>
      <c r="F174" s="4" t="s">
        <v>377</v>
      </c>
      <c r="G174" s="4" t="s">
        <v>558</v>
      </c>
      <c r="H174" s="4" t="s">
        <v>559</v>
      </c>
      <c r="I174" s="4"/>
      <c r="J174" s="4"/>
      <c r="K174" s="4" t="s">
        <v>535</v>
      </c>
      <c r="L174" s="9"/>
      <c r="M174" s="9"/>
      <c r="N174" s="9"/>
      <c r="O174" s="9"/>
      <c r="P174" s="9"/>
      <c r="Q174" s="14">
        <v>7</v>
      </c>
      <c r="R174" s="1">
        <f t="shared" si="53"/>
        <v>434000</v>
      </c>
      <c r="S174" s="2">
        <v>735000</v>
      </c>
      <c r="T174" s="2">
        <f t="shared" si="54"/>
        <v>62000</v>
      </c>
      <c r="U174" s="9"/>
      <c r="V174" s="9"/>
      <c r="W174" s="9"/>
      <c r="X174" s="9"/>
      <c r="Y174" s="13">
        <v>6000</v>
      </c>
      <c r="Z174" s="13">
        <v>6000</v>
      </c>
      <c r="AA174" s="13">
        <v>6000</v>
      </c>
      <c r="AB174" s="13">
        <v>12000</v>
      </c>
      <c r="AC174" s="13">
        <v>7000</v>
      </c>
      <c r="AD174" s="13">
        <v>7000</v>
      </c>
      <c r="AE174" s="13">
        <v>18000</v>
      </c>
      <c r="AF174" s="13">
        <v>18000</v>
      </c>
      <c r="AG174" s="13">
        <v>18000</v>
      </c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 t="s">
        <v>1106</v>
      </c>
      <c r="AV174" s="4" t="s">
        <v>1217</v>
      </c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>
        <f t="shared" si="50"/>
        <v>42000</v>
      </c>
      <c r="BN174" s="9">
        <f t="shared" si="55"/>
        <v>42000</v>
      </c>
      <c r="BO174" s="9">
        <f t="shared" si="56"/>
        <v>42000</v>
      </c>
      <c r="BP174" s="9">
        <f t="shared" si="57"/>
        <v>84000</v>
      </c>
      <c r="BQ174" s="9">
        <f t="shared" si="58"/>
        <v>49000</v>
      </c>
      <c r="BR174" s="9">
        <f t="shared" si="59"/>
        <v>49000</v>
      </c>
      <c r="BS174" s="9">
        <f t="shared" si="60"/>
        <v>126000</v>
      </c>
      <c r="BT174" s="9">
        <f t="shared" si="61"/>
        <v>126000</v>
      </c>
    </row>
    <row r="175" spans="1:72" hidden="1" x14ac:dyDescent="0.25">
      <c r="A175" s="11">
        <f t="shared" si="52"/>
        <v>174</v>
      </c>
      <c r="B175" s="4"/>
      <c r="C175" s="4" t="s">
        <v>59</v>
      </c>
      <c r="D175" s="4" t="s">
        <v>383</v>
      </c>
      <c r="E175" s="4" t="s">
        <v>1322</v>
      </c>
      <c r="F175" s="4" t="s">
        <v>377</v>
      </c>
      <c r="G175" s="4" t="s">
        <v>560</v>
      </c>
      <c r="H175" s="4" t="s">
        <v>415</v>
      </c>
      <c r="I175" s="4"/>
      <c r="J175" s="4"/>
      <c r="K175" s="4" t="s">
        <v>402</v>
      </c>
      <c r="L175" s="9"/>
      <c r="M175" s="9"/>
      <c r="N175" s="9"/>
      <c r="O175" s="9"/>
      <c r="P175" s="9"/>
      <c r="Q175" s="10"/>
      <c r="R175" s="1">
        <f t="shared" si="53"/>
        <v>0</v>
      </c>
      <c r="S175" s="2">
        <v>0</v>
      </c>
      <c r="T175" s="2">
        <f t="shared" si="54"/>
        <v>0</v>
      </c>
      <c r="U175" s="9"/>
      <c r="V175" s="9"/>
      <c r="W175" s="9"/>
      <c r="X175" s="9"/>
      <c r="Y175" s="13"/>
      <c r="Z175" s="13"/>
      <c r="AA175" s="13"/>
      <c r="AB175" s="13"/>
      <c r="AC175" s="13"/>
      <c r="AD175" s="13"/>
      <c r="AE175" s="13"/>
      <c r="AF175" s="13"/>
      <c r="AG175" s="13">
        <f t="shared" ref="AG175:AG176" si="65">AF175</f>
        <v>0</v>
      </c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 t="s">
        <v>1106</v>
      </c>
      <c r="AV175" s="4" t="s">
        <v>1220</v>
      </c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>
        <f t="shared" si="50"/>
        <v>0</v>
      </c>
      <c r="BN175" s="9">
        <f t="shared" si="55"/>
        <v>0</v>
      </c>
      <c r="BO175" s="9">
        <f t="shared" si="56"/>
        <v>0</v>
      </c>
      <c r="BP175" s="9">
        <f t="shared" si="57"/>
        <v>0</v>
      </c>
      <c r="BQ175" s="9">
        <f t="shared" si="58"/>
        <v>0</v>
      </c>
      <c r="BR175" s="9">
        <f t="shared" si="59"/>
        <v>0</v>
      </c>
      <c r="BS175" s="9">
        <f t="shared" si="60"/>
        <v>0</v>
      </c>
      <c r="BT175" s="9">
        <f t="shared" si="61"/>
        <v>0</v>
      </c>
    </row>
    <row r="176" spans="1:72" hidden="1" x14ac:dyDescent="0.25">
      <c r="A176" s="11">
        <f t="shared" si="52"/>
        <v>175</v>
      </c>
      <c r="B176" s="4" t="s">
        <v>1330</v>
      </c>
      <c r="C176" s="4" t="s">
        <v>59</v>
      </c>
      <c r="D176" s="4" t="s">
        <v>561</v>
      </c>
      <c r="E176" s="4" t="s">
        <v>1322</v>
      </c>
      <c r="F176" s="4" t="s">
        <v>562</v>
      </c>
      <c r="G176" s="4" t="s">
        <v>324</v>
      </c>
      <c r="H176" s="4" t="s">
        <v>531</v>
      </c>
      <c r="I176" s="4"/>
      <c r="J176" s="4"/>
      <c r="K176" s="4" t="s">
        <v>402</v>
      </c>
      <c r="L176" s="9"/>
      <c r="M176" s="9"/>
      <c r="N176" s="9"/>
      <c r="O176" s="9"/>
      <c r="P176" s="9"/>
      <c r="Q176" s="14">
        <v>1.8</v>
      </c>
      <c r="R176" s="1">
        <f t="shared" si="53"/>
        <v>0</v>
      </c>
      <c r="S176" s="2">
        <v>144000</v>
      </c>
      <c r="T176" s="2">
        <f t="shared" si="54"/>
        <v>0</v>
      </c>
      <c r="U176" s="9"/>
      <c r="V176" s="9"/>
      <c r="W176" s="9"/>
      <c r="X176" s="9"/>
      <c r="Y176" s="13">
        <v>10000</v>
      </c>
      <c r="Z176" s="13">
        <v>10000</v>
      </c>
      <c r="AA176" s="13">
        <v>10000</v>
      </c>
      <c r="AB176" s="13"/>
      <c r="AC176" s="13"/>
      <c r="AD176" s="13"/>
      <c r="AE176" s="13"/>
      <c r="AF176" s="13"/>
      <c r="AG176" s="13">
        <f t="shared" si="65"/>
        <v>0</v>
      </c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 t="s">
        <v>1106</v>
      </c>
      <c r="AV176" s="4" t="s">
        <v>1220</v>
      </c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>
        <f t="shared" si="50"/>
        <v>18000</v>
      </c>
      <c r="BN176" s="9">
        <f t="shared" si="55"/>
        <v>18000</v>
      </c>
      <c r="BO176" s="9">
        <f t="shared" si="56"/>
        <v>18000</v>
      </c>
      <c r="BP176" s="9">
        <f t="shared" si="57"/>
        <v>0</v>
      </c>
      <c r="BQ176" s="9">
        <f t="shared" si="58"/>
        <v>0</v>
      </c>
      <c r="BR176" s="9">
        <f t="shared" si="59"/>
        <v>0</v>
      </c>
      <c r="BS176" s="9">
        <f t="shared" si="60"/>
        <v>0</v>
      </c>
      <c r="BT176" s="9">
        <f t="shared" si="61"/>
        <v>0</v>
      </c>
    </row>
    <row r="177" spans="1:72" hidden="1" x14ac:dyDescent="0.25">
      <c r="A177" s="11">
        <f t="shared" si="52"/>
        <v>176</v>
      </c>
      <c r="B177" s="4" t="s">
        <v>1330</v>
      </c>
      <c r="C177" s="4" t="s">
        <v>59</v>
      </c>
      <c r="D177" s="4" t="s">
        <v>561</v>
      </c>
      <c r="E177" s="4" t="s">
        <v>1322</v>
      </c>
      <c r="F177" s="4" t="s">
        <v>562</v>
      </c>
      <c r="G177" s="4" t="s">
        <v>549</v>
      </c>
      <c r="H177" s="4" t="s">
        <v>550</v>
      </c>
      <c r="I177" s="4"/>
      <c r="J177" s="4"/>
      <c r="K177" s="4" t="s">
        <v>406</v>
      </c>
      <c r="L177" s="9"/>
      <c r="M177" s="9"/>
      <c r="N177" s="9"/>
      <c r="O177" s="9"/>
      <c r="P177" s="9"/>
      <c r="Q177" s="14">
        <v>2.2000000000000002</v>
      </c>
      <c r="R177" s="1">
        <f t="shared" si="53"/>
        <v>550000</v>
      </c>
      <c r="S177" s="2">
        <v>198000.00000000003</v>
      </c>
      <c r="T177" s="2">
        <f t="shared" si="54"/>
        <v>250000</v>
      </c>
      <c r="U177" s="9"/>
      <c r="V177" s="9"/>
      <c r="W177" s="9"/>
      <c r="X177" s="9"/>
      <c r="Y177" s="13">
        <v>20000</v>
      </c>
      <c r="Z177" s="13">
        <v>50000</v>
      </c>
      <c r="AA177" s="13">
        <v>50000</v>
      </c>
      <c r="AB177" s="13">
        <v>50000</v>
      </c>
      <c r="AC177" s="13">
        <v>50000</v>
      </c>
      <c r="AD177" s="13">
        <v>50000</v>
      </c>
      <c r="AE177" s="13">
        <v>50000</v>
      </c>
      <c r="AF177" s="13">
        <v>50000</v>
      </c>
      <c r="AG177" s="13">
        <v>50000</v>
      </c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 t="s">
        <v>1106</v>
      </c>
      <c r="AV177" s="4" t="s">
        <v>1220</v>
      </c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>
        <f t="shared" si="50"/>
        <v>44000</v>
      </c>
      <c r="BN177" s="9">
        <f t="shared" si="55"/>
        <v>110000.00000000001</v>
      </c>
      <c r="BO177" s="9">
        <f t="shared" si="56"/>
        <v>110000.00000000001</v>
      </c>
      <c r="BP177" s="9">
        <f t="shared" si="57"/>
        <v>110000.00000000001</v>
      </c>
      <c r="BQ177" s="9">
        <f t="shared" si="58"/>
        <v>110000.00000000001</v>
      </c>
      <c r="BR177" s="9">
        <f t="shared" si="59"/>
        <v>110000.00000000001</v>
      </c>
      <c r="BS177" s="9">
        <f t="shared" si="60"/>
        <v>110000.00000000001</v>
      </c>
      <c r="BT177" s="9">
        <f t="shared" si="61"/>
        <v>110000.00000000001</v>
      </c>
    </row>
    <row r="178" spans="1:72" hidden="1" x14ac:dyDescent="0.25">
      <c r="A178" s="11">
        <f t="shared" si="52"/>
        <v>177</v>
      </c>
      <c r="B178" s="4" t="s">
        <v>1330</v>
      </c>
      <c r="C178" s="4" t="s">
        <v>59</v>
      </c>
      <c r="D178" s="4" t="s">
        <v>561</v>
      </c>
      <c r="E178" s="4" t="s">
        <v>1322</v>
      </c>
      <c r="F178" s="4" t="s">
        <v>562</v>
      </c>
      <c r="G178" s="4" t="s">
        <v>563</v>
      </c>
      <c r="H178" s="4" t="s">
        <v>1815</v>
      </c>
      <c r="I178" s="4"/>
      <c r="J178" s="4"/>
      <c r="K178" s="4" t="s">
        <v>420</v>
      </c>
      <c r="L178" s="9"/>
      <c r="M178" s="9"/>
      <c r="N178" s="9"/>
      <c r="O178" s="9"/>
      <c r="P178" s="9"/>
      <c r="Q178" s="14">
        <v>2.2999999999999998</v>
      </c>
      <c r="R178" s="1">
        <f t="shared" si="53"/>
        <v>0</v>
      </c>
      <c r="S178" s="2">
        <v>110399.99999999999</v>
      </c>
      <c r="T178" s="2">
        <f t="shared" si="54"/>
        <v>0</v>
      </c>
      <c r="U178" s="9">
        <v>1000</v>
      </c>
      <c r="V178" s="9">
        <v>1000</v>
      </c>
      <c r="W178" s="9">
        <v>6000</v>
      </c>
      <c r="X178" s="9">
        <v>6000</v>
      </c>
      <c r="Y178" s="24">
        <v>6000</v>
      </c>
      <c r="Z178" s="24">
        <v>6000</v>
      </c>
      <c r="AA178" s="24">
        <v>6000</v>
      </c>
      <c r="AB178" s="24"/>
      <c r="AC178" s="24"/>
      <c r="AD178" s="24"/>
      <c r="AE178" s="24"/>
      <c r="AF178" s="24"/>
      <c r="AG178" s="13">
        <f t="shared" ref="AG178:AG179" si="66">AF178</f>
        <v>0</v>
      </c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 t="s">
        <v>1106</v>
      </c>
      <c r="AV178" s="4" t="s">
        <v>1220</v>
      </c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>
        <f t="shared" si="50"/>
        <v>13799.999999999998</v>
      </c>
      <c r="BN178" s="9">
        <f t="shared" si="55"/>
        <v>13799.999999999998</v>
      </c>
      <c r="BO178" s="9">
        <f t="shared" si="56"/>
        <v>13799.999999999998</v>
      </c>
      <c r="BP178" s="9">
        <f t="shared" si="57"/>
        <v>0</v>
      </c>
      <c r="BQ178" s="9">
        <f t="shared" si="58"/>
        <v>0</v>
      </c>
      <c r="BR178" s="9">
        <f t="shared" si="59"/>
        <v>0</v>
      </c>
      <c r="BS178" s="9">
        <f t="shared" si="60"/>
        <v>0</v>
      </c>
      <c r="BT178" s="9">
        <f t="shared" si="61"/>
        <v>0</v>
      </c>
    </row>
    <row r="179" spans="1:72" hidden="1" x14ac:dyDescent="0.25">
      <c r="A179" s="11">
        <f t="shared" si="52"/>
        <v>178</v>
      </c>
      <c r="B179" s="4" t="s">
        <v>1330</v>
      </c>
      <c r="C179" s="4" t="s">
        <v>59</v>
      </c>
      <c r="D179" s="4" t="s">
        <v>561</v>
      </c>
      <c r="E179" s="4" t="s">
        <v>1322</v>
      </c>
      <c r="F179" s="4" t="s">
        <v>562</v>
      </c>
      <c r="G179" s="4" t="s">
        <v>243</v>
      </c>
      <c r="H179" s="4" t="s">
        <v>599</v>
      </c>
      <c r="I179" s="33">
        <v>2442</v>
      </c>
      <c r="J179" s="4"/>
      <c r="K179" s="4" t="s">
        <v>555</v>
      </c>
      <c r="L179" s="9"/>
      <c r="M179" s="9"/>
      <c r="N179" s="9"/>
      <c r="O179" s="9"/>
      <c r="P179" s="9"/>
      <c r="Q179" s="14">
        <v>0.36</v>
      </c>
      <c r="R179" s="1">
        <f t="shared" si="53"/>
        <v>0</v>
      </c>
      <c r="S179" s="2">
        <v>28800</v>
      </c>
      <c r="T179" s="2">
        <f t="shared" si="54"/>
        <v>0</v>
      </c>
      <c r="U179" s="9"/>
      <c r="V179" s="9"/>
      <c r="W179" s="9"/>
      <c r="X179" s="9"/>
      <c r="Y179" s="13">
        <v>10000</v>
      </c>
      <c r="Z179" s="13">
        <v>10000</v>
      </c>
      <c r="AA179" s="13">
        <v>10000</v>
      </c>
      <c r="AB179" s="13"/>
      <c r="AC179" s="13"/>
      <c r="AD179" s="13"/>
      <c r="AE179" s="13"/>
      <c r="AF179" s="13"/>
      <c r="AG179" s="13">
        <f t="shared" si="66"/>
        <v>0</v>
      </c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 t="s">
        <v>1106</v>
      </c>
      <c r="AV179" s="4" t="s">
        <v>1218</v>
      </c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>
        <f t="shared" si="50"/>
        <v>3600</v>
      </c>
      <c r="BN179" s="9">
        <f t="shared" si="55"/>
        <v>3600</v>
      </c>
      <c r="BO179" s="9">
        <f t="shared" si="56"/>
        <v>3600</v>
      </c>
      <c r="BP179" s="9">
        <f t="shared" si="57"/>
        <v>0</v>
      </c>
      <c r="BQ179" s="9">
        <f t="shared" si="58"/>
        <v>0</v>
      </c>
      <c r="BR179" s="9">
        <f t="shared" si="59"/>
        <v>0</v>
      </c>
      <c r="BS179" s="9">
        <f t="shared" si="60"/>
        <v>0</v>
      </c>
      <c r="BT179" s="9">
        <f t="shared" si="61"/>
        <v>0</v>
      </c>
    </row>
    <row r="180" spans="1:72" hidden="1" x14ac:dyDescent="0.25">
      <c r="A180" s="11">
        <f t="shared" si="52"/>
        <v>179</v>
      </c>
      <c r="B180" s="4" t="s">
        <v>564</v>
      </c>
      <c r="C180" s="4" t="s">
        <v>128</v>
      </c>
      <c r="D180" s="4" t="s">
        <v>561</v>
      </c>
      <c r="E180" s="4" t="s">
        <v>1322</v>
      </c>
      <c r="F180" s="4" t="s">
        <v>562</v>
      </c>
      <c r="G180" s="4" t="s">
        <v>515</v>
      </c>
      <c r="H180" s="4" t="s">
        <v>516</v>
      </c>
      <c r="I180" s="4"/>
      <c r="J180" s="4"/>
      <c r="K180" s="4" t="s">
        <v>420</v>
      </c>
      <c r="L180" s="9"/>
      <c r="M180" s="9"/>
      <c r="N180" s="9"/>
      <c r="O180" s="9"/>
      <c r="P180" s="9"/>
      <c r="Q180" s="14">
        <v>1.302</v>
      </c>
      <c r="R180" s="1">
        <f t="shared" si="53"/>
        <v>1296792</v>
      </c>
      <c r="S180" s="2">
        <v>632772</v>
      </c>
      <c r="T180" s="2">
        <f t="shared" si="54"/>
        <v>996000</v>
      </c>
      <c r="U180" s="9"/>
      <c r="V180" s="9"/>
      <c r="W180" s="9"/>
      <c r="X180" s="9"/>
      <c r="Y180" s="13">
        <v>150000</v>
      </c>
      <c r="Z180" s="13">
        <v>60000</v>
      </c>
      <c r="AA180" s="13">
        <v>120000</v>
      </c>
      <c r="AB180" s="13">
        <v>300000</v>
      </c>
      <c r="AC180" s="13">
        <v>300000</v>
      </c>
      <c r="AD180" s="13">
        <v>300000</v>
      </c>
      <c r="AE180" s="13">
        <v>48000</v>
      </c>
      <c r="AF180" s="13">
        <v>48000</v>
      </c>
      <c r="AG180" s="13">
        <v>48000</v>
      </c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 t="s">
        <v>1106</v>
      </c>
      <c r="AV180" s="4" t="s">
        <v>1220</v>
      </c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>
        <f t="shared" si="50"/>
        <v>195300</v>
      </c>
      <c r="BN180" s="9">
        <f t="shared" si="55"/>
        <v>78120</v>
      </c>
      <c r="BO180" s="9">
        <f t="shared" si="56"/>
        <v>156240</v>
      </c>
      <c r="BP180" s="9">
        <f t="shared" si="57"/>
        <v>390600</v>
      </c>
      <c r="BQ180" s="9">
        <f t="shared" si="58"/>
        <v>390600</v>
      </c>
      <c r="BR180" s="9">
        <f t="shared" si="59"/>
        <v>390600</v>
      </c>
      <c r="BS180" s="9">
        <f t="shared" si="60"/>
        <v>62496</v>
      </c>
      <c r="BT180" s="9">
        <f t="shared" si="61"/>
        <v>62496</v>
      </c>
    </row>
    <row r="181" spans="1:72" hidden="1" x14ac:dyDescent="0.25">
      <c r="A181" s="11">
        <f t="shared" si="52"/>
        <v>180</v>
      </c>
      <c r="B181" s="4" t="s">
        <v>564</v>
      </c>
      <c r="C181" s="4" t="s">
        <v>128</v>
      </c>
      <c r="D181" s="4" t="s">
        <v>561</v>
      </c>
      <c r="E181" s="4" t="s">
        <v>1322</v>
      </c>
      <c r="F181" s="4" t="s">
        <v>562</v>
      </c>
      <c r="G181" s="4" t="s">
        <v>441</v>
      </c>
      <c r="H181" s="4" t="s">
        <v>1308</v>
      </c>
      <c r="I181" s="4"/>
      <c r="J181" s="4"/>
      <c r="K181" s="4" t="s">
        <v>420</v>
      </c>
      <c r="L181" s="9"/>
      <c r="M181" s="9"/>
      <c r="N181" s="9"/>
      <c r="O181" s="9"/>
      <c r="P181" s="9"/>
      <c r="Q181" s="14">
        <v>2.2999999999999998</v>
      </c>
      <c r="R181" s="1">
        <f t="shared" si="53"/>
        <v>69000</v>
      </c>
      <c r="S181" s="2">
        <v>110399.99999999999</v>
      </c>
      <c r="T181" s="2">
        <f t="shared" si="54"/>
        <v>30000</v>
      </c>
      <c r="U181" s="9"/>
      <c r="V181" s="9"/>
      <c r="W181" s="9"/>
      <c r="X181" s="9"/>
      <c r="Y181" s="13">
        <v>6000</v>
      </c>
      <c r="Z181" s="13">
        <v>6000</v>
      </c>
      <c r="AA181" s="13">
        <v>6000</v>
      </c>
      <c r="AB181" s="13">
        <v>6000</v>
      </c>
      <c r="AC181" s="13">
        <v>6000</v>
      </c>
      <c r="AD181" s="13">
        <v>6000</v>
      </c>
      <c r="AE181" s="13">
        <v>6000</v>
      </c>
      <c r="AF181" s="13">
        <v>6000</v>
      </c>
      <c r="AG181" s="13">
        <v>6000</v>
      </c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 t="s">
        <v>1106</v>
      </c>
      <c r="AV181" s="4" t="s">
        <v>1220</v>
      </c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>
        <f t="shared" si="50"/>
        <v>13799.999999999998</v>
      </c>
      <c r="BN181" s="9">
        <f t="shared" si="55"/>
        <v>13799.999999999998</v>
      </c>
      <c r="BO181" s="9">
        <f t="shared" si="56"/>
        <v>13799.999999999998</v>
      </c>
      <c r="BP181" s="9">
        <f t="shared" si="57"/>
        <v>13799.999999999998</v>
      </c>
      <c r="BQ181" s="9">
        <f t="shared" si="58"/>
        <v>13799.999999999998</v>
      </c>
      <c r="BR181" s="9">
        <f t="shared" si="59"/>
        <v>13799.999999999998</v>
      </c>
      <c r="BS181" s="9">
        <f t="shared" si="60"/>
        <v>13799.999999999998</v>
      </c>
      <c r="BT181" s="9">
        <f t="shared" si="61"/>
        <v>13799.999999999998</v>
      </c>
    </row>
    <row r="182" spans="1:72" hidden="1" x14ac:dyDescent="0.25">
      <c r="A182" s="11">
        <f t="shared" si="52"/>
        <v>181</v>
      </c>
      <c r="B182" s="4" t="s">
        <v>564</v>
      </c>
      <c r="C182" s="4" t="s">
        <v>128</v>
      </c>
      <c r="D182" s="4" t="s">
        <v>561</v>
      </c>
      <c r="E182" s="4" t="s">
        <v>1322</v>
      </c>
      <c r="F182" s="4" t="s">
        <v>562</v>
      </c>
      <c r="G182" s="4" t="s">
        <v>563</v>
      </c>
      <c r="H182" s="4" t="s">
        <v>1815</v>
      </c>
      <c r="I182" s="4"/>
      <c r="J182" s="4"/>
      <c r="K182" s="4" t="s">
        <v>420</v>
      </c>
      <c r="L182" s="9"/>
      <c r="M182" s="9"/>
      <c r="N182" s="9"/>
      <c r="O182" s="9"/>
      <c r="P182" s="9"/>
      <c r="Q182" s="14">
        <v>2.2999999999999998</v>
      </c>
      <c r="R182" s="1">
        <f t="shared" si="53"/>
        <v>17250</v>
      </c>
      <c r="S182" s="2">
        <v>27599.999999999996</v>
      </c>
      <c r="T182" s="2">
        <f t="shared" si="54"/>
        <v>7500</v>
      </c>
      <c r="U182" s="9"/>
      <c r="V182" s="9"/>
      <c r="W182" s="9"/>
      <c r="X182" s="9"/>
      <c r="Y182" s="13">
        <v>1500</v>
      </c>
      <c r="Z182" s="13">
        <v>1500</v>
      </c>
      <c r="AA182" s="13">
        <v>1500</v>
      </c>
      <c r="AB182" s="13">
        <v>1500</v>
      </c>
      <c r="AC182" s="13">
        <v>1500</v>
      </c>
      <c r="AD182" s="13">
        <v>1500</v>
      </c>
      <c r="AE182" s="13">
        <v>1500</v>
      </c>
      <c r="AF182" s="13">
        <v>1500</v>
      </c>
      <c r="AG182" s="13">
        <v>1500</v>
      </c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 t="s">
        <v>1106</v>
      </c>
      <c r="AV182" s="4" t="s">
        <v>1220</v>
      </c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>
        <f t="shared" si="50"/>
        <v>3449.9999999999995</v>
      </c>
      <c r="BN182" s="9">
        <f t="shared" si="55"/>
        <v>3449.9999999999995</v>
      </c>
      <c r="BO182" s="9">
        <f t="shared" si="56"/>
        <v>3449.9999999999995</v>
      </c>
      <c r="BP182" s="9">
        <f t="shared" si="57"/>
        <v>3449.9999999999995</v>
      </c>
      <c r="BQ182" s="9">
        <f t="shared" si="58"/>
        <v>3449.9999999999995</v>
      </c>
      <c r="BR182" s="9">
        <f t="shared" si="59"/>
        <v>3449.9999999999995</v>
      </c>
      <c r="BS182" s="9">
        <f t="shared" si="60"/>
        <v>3449.9999999999995</v>
      </c>
      <c r="BT182" s="9">
        <f t="shared" si="61"/>
        <v>3449.9999999999995</v>
      </c>
    </row>
    <row r="183" spans="1:72" hidden="1" x14ac:dyDescent="0.25">
      <c r="A183" s="11">
        <f t="shared" si="52"/>
        <v>182</v>
      </c>
      <c r="B183" s="4" t="s">
        <v>565</v>
      </c>
      <c r="C183" s="4" t="s">
        <v>59</v>
      </c>
      <c r="D183" s="4" t="s">
        <v>561</v>
      </c>
      <c r="E183" s="4" t="s">
        <v>1322</v>
      </c>
      <c r="F183" s="4" t="s">
        <v>562</v>
      </c>
      <c r="G183" s="4" t="s">
        <v>397</v>
      </c>
      <c r="H183" s="4" t="s">
        <v>398</v>
      </c>
      <c r="I183" s="4"/>
      <c r="J183" s="4"/>
      <c r="K183" s="4" t="s">
        <v>513</v>
      </c>
      <c r="L183" s="9"/>
      <c r="M183" s="9"/>
      <c r="N183" s="9"/>
      <c r="O183" s="9"/>
      <c r="P183" s="9"/>
      <c r="Q183" s="14">
        <v>2.9</v>
      </c>
      <c r="R183" s="1">
        <f t="shared" si="53"/>
        <v>145000</v>
      </c>
      <c r="S183" s="2">
        <v>232000</v>
      </c>
      <c r="T183" s="2">
        <f t="shared" si="54"/>
        <v>50000</v>
      </c>
      <c r="U183" s="9"/>
      <c r="V183" s="9"/>
      <c r="W183" s="9"/>
      <c r="X183" s="9"/>
      <c r="Y183" s="13">
        <v>10000</v>
      </c>
      <c r="Z183" s="13">
        <v>10000</v>
      </c>
      <c r="AA183" s="13">
        <v>10000</v>
      </c>
      <c r="AB183" s="13">
        <v>10000</v>
      </c>
      <c r="AC183" s="13">
        <v>10000</v>
      </c>
      <c r="AD183" s="13">
        <v>10000</v>
      </c>
      <c r="AE183" s="13">
        <v>10000</v>
      </c>
      <c r="AF183" s="13">
        <v>10000</v>
      </c>
      <c r="AG183" s="13">
        <v>10000</v>
      </c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 t="s">
        <v>1106</v>
      </c>
      <c r="AV183" s="4" t="s">
        <v>1217</v>
      </c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>
        <f t="shared" si="50"/>
        <v>29000</v>
      </c>
      <c r="BN183" s="9">
        <f t="shared" si="55"/>
        <v>29000</v>
      </c>
      <c r="BO183" s="9">
        <f t="shared" si="56"/>
        <v>29000</v>
      </c>
      <c r="BP183" s="9">
        <f t="shared" si="57"/>
        <v>29000</v>
      </c>
      <c r="BQ183" s="9">
        <f t="shared" si="58"/>
        <v>29000</v>
      </c>
      <c r="BR183" s="9">
        <f t="shared" si="59"/>
        <v>29000</v>
      </c>
      <c r="BS183" s="9">
        <f t="shared" si="60"/>
        <v>29000</v>
      </c>
      <c r="BT183" s="9">
        <f t="shared" si="61"/>
        <v>29000</v>
      </c>
    </row>
    <row r="184" spans="1:72" hidden="1" x14ac:dyDescent="0.25">
      <c r="A184" s="11">
        <f t="shared" si="52"/>
        <v>183</v>
      </c>
      <c r="B184" s="4" t="s">
        <v>567</v>
      </c>
      <c r="C184" s="4" t="s">
        <v>59</v>
      </c>
      <c r="D184" s="4" t="s">
        <v>561</v>
      </c>
      <c r="E184" s="4" t="s">
        <v>1322</v>
      </c>
      <c r="F184" s="4" t="s">
        <v>562</v>
      </c>
      <c r="G184" s="4" t="s">
        <v>324</v>
      </c>
      <c r="H184" s="4" t="s">
        <v>531</v>
      </c>
      <c r="I184" s="4"/>
      <c r="J184" s="4"/>
      <c r="K184" s="4" t="s">
        <v>402</v>
      </c>
      <c r="L184" s="9"/>
      <c r="M184" s="9"/>
      <c r="N184" s="9"/>
      <c r="O184" s="9"/>
      <c r="P184" s="9"/>
      <c r="Q184" s="14">
        <v>1.8</v>
      </c>
      <c r="R184" s="1">
        <f t="shared" si="53"/>
        <v>45000</v>
      </c>
      <c r="S184" s="2">
        <v>72000</v>
      </c>
      <c r="T184" s="2">
        <f t="shared" si="54"/>
        <v>25000</v>
      </c>
      <c r="U184" s="9"/>
      <c r="V184" s="9"/>
      <c r="W184" s="9"/>
      <c r="X184" s="9"/>
      <c r="Y184" s="13">
        <v>5000</v>
      </c>
      <c r="Z184" s="13">
        <v>5000</v>
      </c>
      <c r="AA184" s="13">
        <v>5000</v>
      </c>
      <c r="AB184" s="13">
        <v>5000</v>
      </c>
      <c r="AC184" s="13">
        <v>5000</v>
      </c>
      <c r="AD184" s="13">
        <v>5000</v>
      </c>
      <c r="AE184" s="13">
        <v>5000</v>
      </c>
      <c r="AF184" s="13">
        <v>5000</v>
      </c>
      <c r="AG184" s="13">
        <v>5000</v>
      </c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 t="s">
        <v>1106</v>
      </c>
      <c r="AV184" s="4" t="s">
        <v>1220</v>
      </c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>
        <f t="shared" si="50"/>
        <v>9000</v>
      </c>
      <c r="BN184" s="9">
        <f t="shared" si="55"/>
        <v>9000</v>
      </c>
      <c r="BO184" s="9">
        <f t="shared" si="56"/>
        <v>9000</v>
      </c>
      <c r="BP184" s="9">
        <f t="shared" si="57"/>
        <v>9000</v>
      </c>
      <c r="BQ184" s="9">
        <f t="shared" si="58"/>
        <v>9000</v>
      </c>
      <c r="BR184" s="9">
        <f t="shared" si="59"/>
        <v>9000</v>
      </c>
      <c r="BS184" s="9">
        <f t="shared" si="60"/>
        <v>9000</v>
      </c>
      <c r="BT184" s="9">
        <f t="shared" si="61"/>
        <v>9000</v>
      </c>
    </row>
    <row r="185" spans="1:72" hidden="1" x14ac:dyDescent="0.25">
      <c r="A185" s="11">
        <f t="shared" si="52"/>
        <v>184</v>
      </c>
      <c r="B185" s="4" t="s">
        <v>567</v>
      </c>
      <c r="C185" s="4" t="s">
        <v>59</v>
      </c>
      <c r="D185" s="4" t="s">
        <v>561</v>
      </c>
      <c r="E185" s="4" t="s">
        <v>1322</v>
      </c>
      <c r="F185" s="4" t="s">
        <v>562</v>
      </c>
      <c r="G185" s="6" t="s">
        <v>404</v>
      </c>
      <c r="H185" s="4" t="s">
        <v>405</v>
      </c>
      <c r="I185" s="4"/>
      <c r="J185" s="4"/>
      <c r="K185" s="4" t="s">
        <v>406</v>
      </c>
      <c r="L185" s="9"/>
      <c r="M185" s="9"/>
      <c r="N185" s="9"/>
      <c r="O185" s="9"/>
      <c r="P185" s="9"/>
      <c r="Q185" s="14">
        <v>1.6</v>
      </c>
      <c r="R185" s="1">
        <f t="shared" si="53"/>
        <v>40000</v>
      </c>
      <c r="S185" s="2">
        <v>64000</v>
      </c>
      <c r="T185" s="2">
        <f t="shared" si="54"/>
        <v>25000</v>
      </c>
      <c r="U185" s="9"/>
      <c r="V185" s="9"/>
      <c r="W185" s="9"/>
      <c r="X185" s="9"/>
      <c r="Y185" s="13">
        <v>5000</v>
      </c>
      <c r="Z185" s="13">
        <v>5000</v>
      </c>
      <c r="AA185" s="13">
        <v>5000</v>
      </c>
      <c r="AB185" s="13">
        <v>5000</v>
      </c>
      <c r="AC185" s="13">
        <v>5000</v>
      </c>
      <c r="AD185" s="13">
        <v>5000</v>
      </c>
      <c r="AE185" s="13">
        <v>5000</v>
      </c>
      <c r="AF185" s="13">
        <v>5000</v>
      </c>
      <c r="AG185" s="13">
        <v>5000</v>
      </c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 t="s">
        <v>1106</v>
      </c>
      <c r="AV185" s="4" t="s">
        <v>1220</v>
      </c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>
        <f t="shared" si="50"/>
        <v>8000</v>
      </c>
      <c r="BN185" s="9">
        <f t="shared" si="55"/>
        <v>8000</v>
      </c>
      <c r="BO185" s="9">
        <f t="shared" si="56"/>
        <v>8000</v>
      </c>
      <c r="BP185" s="9">
        <f t="shared" si="57"/>
        <v>8000</v>
      </c>
      <c r="BQ185" s="9">
        <f t="shared" si="58"/>
        <v>8000</v>
      </c>
      <c r="BR185" s="9">
        <f t="shared" si="59"/>
        <v>8000</v>
      </c>
      <c r="BS185" s="9">
        <f t="shared" si="60"/>
        <v>8000</v>
      </c>
      <c r="BT185" s="9">
        <f t="shared" si="61"/>
        <v>8000</v>
      </c>
    </row>
    <row r="186" spans="1:72" hidden="1" x14ac:dyDescent="0.25">
      <c r="A186" s="11">
        <f t="shared" si="52"/>
        <v>185</v>
      </c>
      <c r="B186" s="4" t="s">
        <v>568</v>
      </c>
      <c r="C186" s="4" t="s">
        <v>59</v>
      </c>
      <c r="D186" s="4" t="s">
        <v>561</v>
      </c>
      <c r="E186" s="4" t="s">
        <v>1322</v>
      </c>
      <c r="F186" s="4" t="s">
        <v>562</v>
      </c>
      <c r="G186" s="4" t="s">
        <v>515</v>
      </c>
      <c r="H186" s="4" t="s">
        <v>516</v>
      </c>
      <c r="I186" s="4"/>
      <c r="J186" s="4"/>
      <c r="K186" s="4" t="s">
        <v>420</v>
      </c>
      <c r="L186" s="9"/>
      <c r="M186" s="9"/>
      <c r="N186" s="9"/>
      <c r="O186" s="9"/>
      <c r="P186" s="9"/>
      <c r="Q186" s="14">
        <v>1.302</v>
      </c>
      <c r="R186" s="1">
        <f t="shared" si="53"/>
        <v>78120</v>
      </c>
      <c r="S186" s="2">
        <v>338520</v>
      </c>
      <c r="T186" s="2">
        <f t="shared" si="54"/>
        <v>60000</v>
      </c>
      <c r="U186" s="9"/>
      <c r="V186" s="9"/>
      <c r="W186" s="9"/>
      <c r="X186" s="9"/>
      <c r="Y186" s="13">
        <v>50000</v>
      </c>
      <c r="Z186" s="13">
        <v>30000</v>
      </c>
      <c r="AA186" s="13">
        <v>30000</v>
      </c>
      <c r="AB186" s="13">
        <v>0</v>
      </c>
      <c r="AC186" s="13">
        <v>0</v>
      </c>
      <c r="AD186" s="13">
        <v>0</v>
      </c>
      <c r="AE186" s="13">
        <v>30000</v>
      </c>
      <c r="AF186" s="13">
        <v>30000</v>
      </c>
      <c r="AG186" s="13">
        <v>30000</v>
      </c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 t="s">
        <v>1106</v>
      </c>
      <c r="AV186" s="4" t="s">
        <v>1220</v>
      </c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>
        <f t="shared" ref="BM186:BM238" si="67">$Q186*Y186</f>
        <v>65100</v>
      </c>
      <c r="BN186" s="9">
        <f t="shared" si="55"/>
        <v>39060</v>
      </c>
      <c r="BO186" s="9">
        <f t="shared" si="56"/>
        <v>39060</v>
      </c>
      <c r="BP186" s="9">
        <f t="shared" si="57"/>
        <v>0</v>
      </c>
      <c r="BQ186" s="9">
        <f t="shared" si="58"/>
        <v>0</v>
      </c>
      <c r="BR186" s="9">
        <f t="shared" si="59"/>
        <v>0</v>
      </c>
      <c r="BS186" s="9">
        <f t="shared" si="60"/>
        <v>39060</v>
      </c>
      <c r="BT186" s="9">
        <f t="shared" si="61"/>
        <v>39060</v>
      </c>
    </row>
    <row r="187" spans="1:72" hidden="1" x14ac:dyDescent="0.25">
      <c r="A187" s="11">
        <f t="shared" si="52"/>
        <v>186</v>
      </c>
      <c r="B187" s="4" t="s">
        <v>568</v>
      </c>
      <c r="C187" s="4" t="s">
        <v>59</v>
      </c>
      <c r="D187" s="4" t="s">
        <v>561</v>
      </c>
      <c r="E187" s="4" t="s">
        <v>1322</v>
      </c>
      <c r="F187" s="4" t="s">
        <v>562</v>
      </c>
      <c r="G187" s="4" t="s">
        <v>324</v>
      </c>
      <c r="H187" s="4" t="s">
        <v>531</v>
      </c>
      <c r="I187" s="4"/>
      <c r="J187" s="4"/>
      <c r="K187" s="4" t="s">
        <v>402</v>
      </c>
      <c r="L187" s="9"/>
      <c r="M187" s="9"/>
      <c r="N187" s="9"/>
      <c r="O187" s="9"/>
      <c r="P187" s="9"/>
      <c r="Q187" s="14">
        <v>1.8</v>
      </c>
      <c r="R187" s="1">
        <f t="shared" si="53"/>
        <v>9000</v>
      </c>
      <c r="S187" s="2">
        <v>14400</v>
      </c>
      <c r="T187" s="2">
        <f t="shared" si="54"/>
        <v>5000</v>
      </c>
      <c r="U187" s="9"/>
      <c r="V187" s="9"/>
      <c r="W187" s="9"/>
      <c r="X187" s="9"/>
      <c r="Y187" s="13">
        <v>1000</v>
      </c>
      <c r="Z187" s="13">
        <v>1000</v>
      </c>
      <c r="AA187" s="13">
        <v>1000</v>
      </c>
      <c r="AB187" s="13">
        <v>1000</v>
      </c>
      <c r="AC187" s="13">
        <v>1000</v>
      </c>
      <c r="AD187" s="13">
        <v>1000</v>
      </c>
      <c r="AE187" s="13">
        <v>1000</v>
      </c>
      <c r="AF187" s="13">
        <v>1000</v>
      </c>
      <c r="AG187" s="13">
        <v>1000</v>
      </c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 t="s">
        <v>1106</v>
      </c>
      <c r="AV187" s="4" t="s">
        <v>1220</v>
      </c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>
        <f t="shared" si="67"/>
        <v>1800</v>
      </c>
      <c r="BN187" s="9">
        <f t="shared" si="55"/>
        <v>1800</v>
      </c>
      <c r="BO187" s="9">
        <f t="shared" si="56"/>
        <v>1800</v>
      </c>
      <c r="BP187" s="9">
        <f t="shared" si="57"/>
        <v>1800</v>
      </c>
      <c r="BQ187" s="9">
        <f t="shared" si="58"/>
        <v>1800</v>
      </c>
      <c r="BR187" s="9">
        <f t="shared" si="59"/>
        <v>1800</v>
      </c>
      <c r="BS187" s="9">
        <f t="shared" si="60"/>
        <v>1800</v>
      </c>
      <c r="BT187" s="9">
        <f t="shared" si="61"/>
        <v>1800</v>
      </c>
    </row>
    <row r="188" spans="1:72" hidden="1" x14ac:dyDescent="0.25">
      <c r="A188" s="11">
        <f t="shared" si="52"/>
        <v>187</v>
      </c>
      <c r="B188" s="4" t="s">
        <v>569</v>
      </c>
      <c r="C188" s="4" t="s">
        <v>59</v>
      </c>
      <c r="D188" s="4" t="s">
        <v>561</v>
      </c>
      <c r="E188" s="4" t="s">
        <v>1322</v>
      </c>
      <c r="F188" s="4" t="s">
        <v>562</v>
      </c>
      <c r="G188" s="4" t="s">
        <v>324</v>
      </c>
      <c r="H188" s="4" t="s">
        <v>531</v>
      </c>
      <c r="I188" s="4"/>
      <c r="J188" s="4"/>
      <c r="K188" s="4" t="s">
        <v>402</v>
      </c>
      <c r="L188" s="9"/>
      <c r="M188" s="9"/>
      <c r="N188" s="9"/>
      <c r="O188" s="9"/>
      <c r="P188" s="9"/>
      <c r="Q188" s="14">
        <v>1.8</v>
      </c>
      <c r="R188" s="1">
        <f t="shared" si="53"/>
        <v>27000</v>
      </c>
      <c r="S188" s="2">
        <v>43200</v>
      </c>
      <c r="T188" s="2">
        <f t="shared" si="54"/>
        <v>15000</v>
      </c>
      <c r="U188" s="9"/>
      <c r="V188" s="9"/>
      <c r="W188" s="9"/>
      <c r="X188" s="9"/>
      <c r="Y188" s="13">
        <v>3000</v>
      </c>
      <c r="Z188" s="13">
        <v>3000</v>
      </c>
      <c r="AA188" s="13">
        <v>3000</v>
      </c>
      <c r="AB188" s="13">
        <v>3000</v>
      </c>
      <c r="AC188" s="13">
        <v>3000</v>
      </c>
      <c r="AD188" s="13">
        <v>3000</v>
      </c>
      <c r="AE188" s="13">
        <v>3000</v>
      </c>
      <c r="AF188" s="13">
        <v>3000</v>
      </c>
      <c r="AG188" s="13">
        <v>3000</v>
      </c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 t="s">
        <v>1106</v>
      </c>
      <c r="AV188" s="4" t="s">
        <v>1220</v>
      </c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>
        <f t="shared" si="67"/>
        <v>5400</v>
      </c>
      <c r="BN188" s="9">
        <f t="shared" si="55"/>
        <v>5400</v>
      </c>
      <c r="BO188" s="9">
        <f t="shared" si="56"/>
        <v>5400</v>
      </c>
      <c r="BP188" s="9">
        <f t="shared" si="57"/>
        <v>5400</v>
      </c>
      <c r="BQ188" s="9">
        <f t="shared" si="58"/>
        <v>5400</v>
      </c>
      <c r="BR188" s="9">
        <f t="shared" si="59"/>
        <v>5400</v>
      </c>
      <c r="BS188" s="9">
        <f t="shared" si="60"/>
        <v>5400</v>
      </c>
      <c r="BT188" s="9">
        <f t="shared" si="61"/>
        <v>5400</v>
      </c>
    </row>
    <row r="189" spans="1:72" hidden="1" x14ac:dyDescent="0.25">
      <c r="A189" s="11">
        <f t="shared" si="52"/>
        <v>188</v>
      </c>
      <c r="B189" s="4" t="s">
        <v>569</v>
      </c>
      <c r="C189" s="4" t="s">
        <v>59</v>
      </c>
      <c r="D189" s="4" t="s">
        <v>561</v>
      </c>
      <c r="E189" s="4" t="s">
        <v>1322</v>
      </c>
      <c r="F189" s="4" t="s">
        <v>562</v>
      </c>
      <c r="G189" s="6" t="s">
        <v>404</v>
      </c>
      <c r="H189" s="4" t="s">
        <v>405</v>
      </c>
      <c r="I189" s="4"/>
      <c r="J189" s="4"/>
      <c r="K189" s="4" t="s">
        <v>406</v>
      </c>
      <c r="L189" s="9"/>
      <c r="M189" s="9"/>
      <c r="N189" s="9"/>
      <c r="O189" s="9"/>
      <c r="P189" s="9"/>
      <c r="Q189" s="14">
        <v>1.6</v>
      </c>
      <c r="R189" s="1">
        <f t="shared" si="53"/>
        <v>12000</v>
      </c>
      <c r="S189" s="2">
        <v>19200</v>
      </c>
      <c r="T189" s="2">
        <f t="shared" si="54"/>
        <v>7500</v>
      </c>
      <c r="U189" s="9"/>
      <c r="V189" s="9"/>
      <c r="W189" s="9"/>
      <c r="X189" s="9"/>
      <c r="Y189" s="13">
        <v>1500</v>
      </c>
      <c r="Z189" s="13">
        <v>1500</v>
      </c>
      <c r="AA189" s="13">
        <v>1500</v>
      </c>
      <c r="AB189" s="13">
        <v>1500</v>
      </c>
      <c r="AC189" s="13">
        <v>1500</v>
      </c>
      <c r="AD189" s="13">
        <v>1500</v>
      </c>
      <c r="AE189" s="13">
        <v>1500</v>
      </c>
      <c r="AF189" s="13">
        <v>1500</v>
      </c>
      <c r="AG189" s="13">
        <v>1500</v>
      </c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 t="s">
        <v>1106</v>
      </c>
      <c r="AV189" s="4" t="s">
        <v>1220</v>
      </c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>
        <f t="shared" si="67"/>
        <v>2400</v>
      </c>
      <c r="BN189" s="9">
        <f t="shared" si="55"/>
        <v>2400</v>
      </c>
      <c r="BO189" s="9">
        <f t="shared" si="56"/>
        <v>2400</v>
      </c>
      <c r="BP189" s="9">
        <f t="shared" si="57"/>
        <v>2400</v>
      </c>
      <c r="BQ189" s="9">
        <f t="shared" si="58"/>
        <v>2400</v>
      </c>
      <c r="BR189" s="9">
        <f t="shared" si="59"/>
        <v>2400</v>
      </c>
      <c r="BS189" s="9">
        <f t="shared" si="60"/>
        <v>2400</v>
      </c>
      <c r="BT189" s="9">
        <f t="shared" si="61"/>
        <v>2400</v>
      </c>
    </row>
    <row r="190" spans="1:72" hidden="1" x14ac:dyDescent="0.25">
      <c r="A190" s="11">
        <f t="shared" si="52"/>
        <v>189</v>
      </c>
      <c r="B190" s="4" t="s">
        <v>570</v>
      </c>
      <c r="C190" s="4" t="s">
        <v>59</v>
      </c>
      <c r="D190" s="4" t="s">
        <v>561</v>
      </c>
      <c r="E190" s="4" t="s">
        <v>1322</v>
      </c>
      <c r="F190" s="4" t="s">
        <v>562</v>
      </c>
      <c r="G190" s="4" t="s">
        <v>243</v>
      </c>
      <c r="H190" s="4" t="s">
        <v>599</v>
      </c>
      <c r="I190" s="33">
        <v>2442</v>
      </c>
      <c r="J190" s="4"/>
      <c r="K190" s="4" t="s">
        <v>1331</v>
      </c>
      <c r="L190" s="9"/>
      <c r="M190" s="9"/>
      <c r="N190" s="9"/>
      <c r="O190" s="9"/>
      <c r="P190" s="9"/>
      <c r="Q190" s="14">
        <v>0.36</v>
      </c>
      <c r="R190" s="1">
        <f t="shared" si="53"/>
        <v>3600</v>
      </c>
      <c r="S190" s="2">
        <v>5760</v>
      </c>
      <c r="T190" s="2">
        <f t="shared" si="54"/>
        <v>10000</v>
      </c>
      <c r="U190" s="9"/>
      <c r="V190" s="9"/>
      <c r="W190" s="9"/>
      <c r="X190" s="9"/>
      <c r="Y190" s="13">
        <v>2000</v>
      </c>
      <c r="Z190" s="13">
        <v>2000</v>
      </c>
      <c r="AA190" s="13">
        <v>2000</v>
      </c>
      <c r="AB190" s="13">
        <v>2000</v>
      </c>
      <c r="AC190" s="13">
        <v>2000</v>
      </c>
      <c r="AD190" s="13">
        <v>2000</v>
      </c>
      <c r="AE190" s="13">
        <v>2000</v>
      </c>
      <c r="AF190" s="13">
        <v>2000</v>
      </c>
      <c r="AG190" s="13">
        <v>2000</v>
      </c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 t="s">
        <v>1106</v>
      </c>
      <c r="AV190" s="4" t="s">
        <v>1218</v>
      </c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>
        <f t="shared" si="67"/>
        <v>720</v>
      </c>
      <c r="BN190" s="9">
        <f t="shared" si="55"/>
        <v>720</v>
      </c>
      <c r="BO190" s="9">
        <f t="shared" si="56"/>
        <v>720</v>
      </c>
      <c r="BP190" s="9">
        <f t="shared" si="57"/>
        <v>720</v>
      </c>
      <c r="BQ190" s="9">
        <f t="shared" si="58"/>
        <v>720</v>
      </c>
      <c r="BR190" s="9">
        <f t="shared" si="59"/>
        <v>720</v>
      </c>
      <c r="BS190" s="9">
        <f t="shared" si="60"/>
        <v>720</v>
      </c>
      <c r="BT190" s="9">
        <f t="shared" si="61"/>
        <v>720</v>
      </c>
    </row>
    <row r="191" spans="1:72" hidden="1" x14ac:dyDescent="0.25">
      <c r="A191" s="11">
        <f t="shared" si="52"/>
        <v>190</v>
      </c>
      <c r="B191" s="4" t="s">
        <v>571</v>
      </c>
      <c r="C191" s="4" t="s">
        <v>59</v>
      </c>
      <c r="D191" s="4" t="s">
        <v>561</v>
      </c>
      <c r="E191" s="4" t="s">
        <v>1322</v>
      </c>
      <c r="F191" s="4" t="s">
        <v>562</v>
      </c>
      <c r="G191" s="4" t="s">
        <v>397</v>
      </c>
      <c r="H191" s="4" t="s">
        <v>398</v>
      </c>
      <c r="I191" s="4"/>
      <c r="J191" s="4"/>
      <c r="K191" s="4" t="s">
        <v>535</v>
      </c>
      <c r="L191" s="9"/>
      <c r="M191" s="9"/>
      <c r="N191" s="9"/>
      <c r="O191" s="9"/>
      <c r="P191" s="9"/>
      <c r="Q191" s="14">
        <v>2.9</v>
      </c>
      <c r="R191" s="1">
        <f t="shared" si="53"/>
        <v>145000</v>
      </c>
      <c r="S191" s="2">
        <v>46400</v>
      </c>
      <c r="T191" s="2">
        <f t="shared" si="54"/>
        <v>50000</v>
      </c>
      <c r="U191" s="9"/>
      <c r="V191" s="9"/>
      <c r="W191" s="9"/>
      <c r="X191" s="9"/>
      <c r="Y191" s="13">
        <v>2000</v>
      </c>
      <c r="Z191" s="13">
        <v>2000</v>
      </c>
      <c r="AA191" s="13">
        <v>2000</v>
      </c>
      <c r="AB191" s="13">
        <v>10000</v>
      </c>
      <c r="AC191" s="13">
        <v>10000</v>
      </c>
      <c r="AD191" s="13">
        <v>10000</v>
      </c>
      <c r="AE191" s="13">
        <v>10000</v>
      </c>
      <c r="AF191" s="13">
        <v>10000</v>
      </c>
      <c r="AG191" s="13">
        <v>10000</v>
      </c>
      <c r="AH191" s="13">
        <v>10000</v>
      </c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 t="s">
        <v>1106</v>
      </c>
      <c r="AV191" s="4" t="s">
        <v>1217</v>
      </c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>
        <f t="shared" si="67"/>
        <v>5800</v>
      </c>
      <c r="BN191" s="9">
        <f t="shared" si="55"/>
        <v>5800</v>
      </c>
      <c r="BO191" s="9">
        <f t="shared" si="56"/>
        <v>5800</v>
      </c>
      <c r="BP191" s="9">
        <f t="shared" si="57"/>
        <v>29000</v>
      </c>
      <c r="BQ191" s="9">
        <f t="shared" si="58"/>
        <v>29000</v>
      </c>
      <c r="BR191" s="9">
        <f t="shared" si="59"/>
        <v>29000</v>
      </c>
      <c r="BS191" s="9">
        <f t="shared" si="60"/>
        <v>29000</v>
      </c>
      <c r="BT191" s="9">
        <f t="shared" si="61"/>
        <v>29000</v>
      </c>
    </row>
    <row r="192" spans="1:72" hidden="1" x14ac:dyDescent="0.25">
      <c r="A192" s="11">
        <f t="shared" si="52"/>
        <v>191</v>
      </c>
      <c r="B192" s="4" t="s">
        <v>573</v>
      </c>
      <c r="C192" s="4" t="s">
        <v>59</v>
      </c>
      <c r="D192" s="4" t="s">
        <v>561</v>
      </c>
      <c r="E192" s="4" t="s">
        <v>1322</v>
      </c>
      <c r="F192" s="4" t="s">
        <v>562</v>
      </c>
      <c r="G192" s="4" t="s">
        <v>243</v>
      </c>
      <c r="H192" s="4" t="s">
        <v>599</v>
      </c>
      <c r="I192" s="33">
        <v>2442</v>
      </c>
      <c r="J192" s="4"/>
      <c r="K192" s="4" t="s">
        <v>555</v>
      </c>
      <c r="L192" s="9"/>
      <c r="M192" s="9"/>
      <c r="N192" s="9"/>
      <c r="O192" s="9"/>
      <c r="P192" s="9"/>
      <c r="Q192" s="14">
        <v>0.36</v>
      </c>
      <c r="R192" s="1">
        <f t="shared" si="53"/>
        <v>36000</v>
      </c>
      <c r="S192" s="2">
        <v>57600</v>
      </c>
      <c r="T192" s="2">
        <f t="shared" si="54"/>
        <v>100000</v>
      </c>
      <c r="U192" s="9"/>
      <c r="V192" s="9"/>
      <c r="W192" s="9"/>
      <c r="X192" s="9"/>
      <c r="Y192" s="13">
        <v>20000</v>
      </c>
      <c r="Z192" s="13">
        <v>20000</v>
      </c>
      <c r="AA192" s="13">
        <v>20000</v>
      </c>
      <c r="AB192" s="13">
        <v>20000</v>
      </c>
      <c r="AC192" s="13">
        <v>20000</v>
      </c>
      <c r="AD192" s="13">
        <v>20000</v>
      </c>
      <c r="AE192" s="13">
        <v>20000</v>
      </c>
      <c r="AF192" s="13">
        <v>20000</v>
      </c>
      <c r="AG192" s="13">
        <v>20000</v>
      </c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 t="s">
        <v>1106</v>
      </c>
      <c r="AV192" s="4" t="s">
        <v>1218</v>
      </c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>
        <f t="shared" si="67"/>
        <v>7200</v>
      </c>
      <c r="BN192" s="9">
        <f t="shared" si="55"/>
        <v>7200</v>
      </c>
      <c r="BO192" s="9">
        <f t="shared" si="56"/>
        <v>7200</v>
      </c>
      <c r="BP192" s="9">
        <f t="shared" si="57"/>
        <v>7200</v>
      </c>
      <c r="BQ192" s="9">
        <f t="shared" si="58"/>
        <v>7200</v>
      </c>
      <c r="BR192" s="9">
        <f t="shared" si="59"/>
        <v>7200</v>
      </c>
      <c r="BS192" s="9">
        <f t="shared" si="60"/>
        <v>7200</v>
      </c>
      <c r="BT192" s="9">
        <f t="shared" si="61"/>
        <v>7200</v>
      </c>
    </row>
    <row r="193" spans="1:72" hidden="1" x14ac:dyDescent="0.25">
      <c r="A193" s="11">
        <f t="shared" si="52"/>
        <v>192</v>
      </c>
      <c r="B193" s="4" t="s">
        <v>573</v>
      </c>
      <c r="C193" s="4" t="s">
        <v>59</v>
      </c>
      <c r="D193" s="4" t="s">
        <v>561</v>
      </c>
      <c r="E193" s="4" t="s">
        <v>1322</v>
      </c>
      <c r="F193" s="4" t="s">
        <v>562</v>
      </c>
      <c r="G193" s="4" t="s">
        <v>533</v>
      </c>
      <c r="H193" s="4" t="s">
        <v>534</v>
      </c>
      <c r="I193" s="4"/>
      <c r="J193" s="4"/>
      <c r="K193" s="4" t="s">
        <v>535</v>
      </c>
      <c r="L193" s="9"/>
      <c r="M193" s="9"/>
      <c r="N193" s="9"/>
      <c r="O193" s="9"/>
      <c r="P193" s="9"/>
      <c r="Q193" s="14">
        <v>4.2</v>
      </c>
      <c r="R193" s="1">
        <f t="shared" si="53"/>
        <v>4200</v>
      </c>
      <c r="S193" s="2">
        <v>8400</v>
      </c>
      <c r="T193" s="2">
        <f t="shared" si="54"/>
        <v>1000</v>
      </c>
      <c r="U193" s="9"/>
      <c r="V193" s="9"/>
      <c r="W193" s="9"/>
      <c r="X193" s="9"/>
      <c r="Y193" s="13">
        <v>500</v>
      </c>
      <c r="Z193" s="13">
        <v>0</v>
      </c>
      <c r="AA193" s="13">
        <v>500</v>
      </c>
      <c r="AB193" s="13">
        <v>0</v>
      </c>
      <c r="AC193" s="13">
        <v>500</v>
      </c>
      <c r="AD193" s="13">
        <v>0</v>
      </c>
      <c r="AE193" s="13">
        <v>500</v>
      </c>
      <c r="AF193" s="13">
        <v>0</v>
      </c>
      <c r="AG193" s="13">
        <f>AF193</f>
        <v>0</v>
      </c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 t="s">
        <v>1106</v>
      </c>
      <c r="AV193" s="4" t="s">
        <v>1217</v>
      </c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>
        <f t="shared" si="67"/>
        <v>2100</v>
      </c>
      <c r="BN193" s="9">
        <f t="shared" si="55"/>
        <v>0</v>
      </c>
      <c r="BO193" s="9">
        <f t="shared" si="56"/>
        <v>2100</v>
      </c>
      <c r="BP193" s="9">
        <f t="shared" si="57"/>
        <v>0</v>
      </c>
      <c r="BQ193" s="9">
        <f t="shared" si="58"/>
        <v>2100</v>
      </c>
      <c r="BR193" s="9">
        <f t="shared" si="59"/>
        <v>0</v>
      </c>
      <c r="BS193" s="9">
        <f t="shared" si="60"/>
        <v>2100</v>
      </c>
      <c r="BT193" s="9">
        <f t="shared" si="61"/>
        <v>0</v>
      </c>
    </row>
    <row r="194" spans="1:72" hidden="1" x14ac:dyDescent="0.25">
      <c r="A194" s="11">
        <f t="shared" ref="A194:A257" si="68">ROW()-1</f>
        <v>193</v>
      </c>
      <c r="B194" s="4" t="s">
        <v>574</v>
      </c>
      <c r="C194" s="4" t="s">
        <v>59</v>
      </c>
      <c r="D194" s="4" t="s">
        <v>561</v>
      </c>
      <c r="E194" s="4" t="s">
        <v>1322</v>
      </c>
      <c r="F194" s="4" t="s">
        <v>562</v>
      </c>
      <c r="G194" s="4" t="s">
        <v>300</v>
      </c>
      <c r="H194" s="4" t="s">
        <v>437</v>
      </c>
      <c r="I194" s="4"/>
      <c r="J194" s="4"/>
      <c r="K194" s="4" t="s">
        <v>1332</v>
      </c>
      <c r="L194" s="9"/>
      <c r="M194" s="9"/>
      <c r="N194" s="9"/>
      <c r="O194" s="9"/>
      <c r="P194" s="9"/>
      <c r="Q194" s="14">
        <v>2.5</v>
      </c>
      <c r="R194" s="1">
        <f t="shared" si="53"/>
        <v>250000</v>
      </c>
      <c r="S194" s="2">
        <v>400000</v>
      </c>
      <c r="T194" s="2">
        <f t="shared" si="54"/>
        <v>100000</v>
      </c>
      <c r="U194" s="9"/>
      <c r="V194" s="9"/>
      <c r="W194" s="9"/>
      <c r="X194" s="9"/>
      <c r="Y194" s="13">
        <v>20000</v>
      </c>
      <c r="Z194" s="13">
        <v>20000</v>
      </c>
      <c r="AA194" s="13">
        <v>20000</v>
      </c>
      <c r="AB194" s="13">
        <v>20000</v>
      </c>
      <c r="AC194" s="13">
        <v>20000</v>
      </c>
      <c r="AD194" s="13">
        <v>20000</v>
      </c>
      <c r="AE194" s="13">
        <v>20000</v>
      </c>
      <c r="AF194" s="13">
        <v>20000</v>
      </c>
      <c r="AG194" s="13">
        <v>20000</v>
      </c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 t="s">
        <v>1106</v>
      </c>
      <c r="AV194" s="4" t="s">
        <v>1217</v>
      </c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>
        <f t="shared" si="67"/>
        <v>50000</v>
      </c>
      <c r="BN194" s="9">
        <f t="shared" ref="BN194:BN257" si="69">$Q194*Z194</f>
        <v>50000</v>
      </c>
      <c r="BO194" s="9">
        <f t="shared" ref="BO194:BO257" si="70">$Q194*AA194</f>
        <v>50000</v>
      </c>
      <c r="BP194" s="9">
        <f t="shared" si="57"/>
        <v>50000</v>
      </c>
      <c r="BQ194" s="9">
        <f t="shared" si="58"/>
        <v>50000</v>
      </c>
      <c r="BR194" s="9">
        <f t="shared" si="59"/>
        <v>50000</v>
      </c>
      <c r="BS194" s="9">
        <f t="shared" si="60"/>
        <v>50000</v>
      </c>
      <c r="BT194" s="9">
        <f t="shared" si="61"/>
        <v>50000</v>
      </c>
    </row>
    <row r="195" spans="1:72" hidden="1" x14ac:dyDescent="0.25">
      <c r="A195" s="11">
        <f t="shared" si="68"/>
        <v>194</v>
      </c>
      <c r="B195" s="4" t="s">
        <v>575</v>
      </c>
      <c r="C195" s="4" t="s">
        <v>59</v>
      </c>
      <c r="D195" s="4" t="s">
        <v>561</v>
      </c>
      <c r="E195" s="4" t="s">
        <v>1322</v>
      </c>
      <c r="F195" s="4" t="s">
        <v>562</v>
      </c>
      <c r="G195" s="4" t="s">
        <v>300</v>
      </c>
      <c r="H195" s="4" t="s">
        <v>437</v>
      </c>
      <c r="I195" s="4"/>
      <c r="J195" s="4"/>
      <c r="K195" s="4" t="s">
        <v>1332</v>
      </c>
      <c r="L195" s="9"/>
      <c r="M195" s="9"/>
      <c r="N195" s="9"/>
      <c r="O195" s="9"/>
      <c r="P195" s="9"/>
      <c r="Q195" s="14">
        <v>2.5</v>
      </c>
      <c r="R195" s="1">
        <f t="shared" ref="R195:R258" si="71">Q195*T195</f>
        <v>150000</v>
      </c>
      <c r="S195" s="2">
        <v>260000</v>
      </c>
      <c r="T195" s="2">
        <f t="shared" ref="T195:T258" si="72">SUM(AB195:AF195)</f>
        <v>60000</v>
      </c>
      <c r="U195" s="9"/>
      <c r="V195" s="9"/>
      <c r="W195" s="9"/>
      <c r="X195" s="9"/>
      <c r="Y195" s="13">
        <v>20000</v>
      </c>
      <c r="Z195" s="13">
        <v>12000</v>
      </c>
      <c r="AA195" s="13">
        <v>12000</v>
      </c>
      <c r="AB195" s="13">
        <v>12000</v>
      </c>
      <c r="AC195" s="13">
        <v>12000</v>
      </c>
      <c r="AD195" s="13">
        <v>12000</v>
      </c>
      <c r="AE195" s="13">
        <v>12000</v>
      </c>
      <c r="AF195" s="13">
        <v>12000</v>
      </c>
      <c r="AG195" s="13">
        <v>12000</v>
      </c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 t="s">
        <v>1106</v>
      </c>
      <c r="AV195" s="4" t="s">
        <v>1217</v>
      </c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>
        <f t="shared" si="67"/>
        <v>50000</v>
      </c>
      <c r="BN195" s="9">
        <f t="shared" si="69"/>
        <v>30000</v>
      </c>
      <c r="BO195" s="9">
        <f t="shared" si="70"/>
        <v>30000</v>
      </c>
      <c r="BP195" s="9">
        <f t="shared" ref="BP195:BP258" si="73">$Q195*AB195</f>
        <v>30000</v>
      </c>
      <c r="BQ195" s="9">
        <f t="shared" ref="BQ195:BQ258" si="74">$Q195*AC195</f>
        <v>30000</v>
      </c>
      <c r="BR195" s="9">
        <f t="shared" ref="BR195:BR258" si="75">$Q195*AD195</f>
        <v>30000</v>
      </c>
      <c r="BS195" s="9">
        <f t="shared" ref="BS195:BS258" si="76">$Q195*AE195</f>
        <v>30000</v>
      </c>
      <c r="BT195" s="9">
        <f t="shared" ref="BT195:BT258" si="77">$Q195*AF195</f>
        <v>30000</v>
      </c>
    </row>
    <row r="196" spans="1:72" hidden="1" x14ac:dyDescent="0.25">
      <c r="A196" s="11">
        <f t="shared" si="68"/>
        <v>195</v>
      </c>
      <c r="B196" s="4" t="s">
        <v>576</v>
      </c>
      <c r="C196" s="4" t="s">
        <v>59</v>
      </c>
      <c r="D196" s="4" t="s">
        <v>561</v>
      </c>
      <c r="E196" s="4" t="s">
        <v>1322</v>
      </c>
      <c r="F196" s="4" t="s">
        <v>562</v>
      </c>
      <c r="G196" s="4" t="s">
        <v>397</v>
      </c>
      <c r="H196" s="4" t="s">
        <v>398</v>
      </c>
      <c r="I196" s="4"/>
      <c r="J196" s="4"/>
      <c r="K196" s="4" t="s">
        <v>1333</v>
      </c>
      <c r="L196" s="9"/>
      <c r="M196" s="9"/>
      <c r="N196" s="9"/>
      <c r="O196" s="9"/>
      <c r="P196" s="9"/>
      <c r="Q196" s="14">
        <v>2.9</v>
      </c>
      <c r="R196" s="1">
        <f t="shared" si="71"/>
        <v>58000</v>
      </c>
      <c r="S196" s="2">
        <v>92800</v>
      </c>
      <c r="T196" s="2">
        <f t="shared" si="72"/>
        <v>20000</v>
      </c>
      <c r="U196" s="9"/>
      <c r="V196" s="9"/>
      <c r="W196" s="9"/>
      <c r="X196" s="9"/>
      <c r="Y196" s="13">
        <v>4000</v>
      </c>
      <c r="Z196" s="13">
        <v>4000</v>
      </c>
      <c r="AA196" s="13">
        <v>4000</v>
      </c>
      <c r="AB196" s="13">
        <v>4000</v>
      </c>
      <c r="AC196" s="13">
        <v>4000</v>
      </c>
      <c r="AD196" s="13">
        <v>4000</v>
      </c>
      <c r="AE196" s="13">
        <v>4000</v>
      </c>
      <c r="AF196" s="13">
        <v>4000</v>
      </c>
      <c r="AG196" s="13">
        <v>4000</v>
      </c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 t="s">
        <v>1106</v>
      </c>
      <c r="AV196" s="4" t="s">
        <v>1217</v>
      </c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>
        <f t="shared" si="67"/>
        <v>11600</v>
      </c>
      <c r="BN196" s="9">
        <f t="shared" si="69"/>
        <v>11600</v>
      </c>
      <c r="BO196" s="9">
        <f t="shared" si="70"/>
        <v>11600</v>
      </c>
      <c r="BP196" s="9">
        <f t="shared" si="73"/>
        <v>11600</v>
      </c>
      <c r="BQ196" s="9">
        <f t="shared" si="74"/>
        <v>11600</v>
      </c>
      <c r="BR196" s="9">
        <f t="shared" si="75"/>
        <v>11600</v>
      </c>
      <c r="BS196" s="9">
        <f t="shared" si="76"/>
        <v>11600</v>
      </c>
      <c r="BT196" s="9">
        <f t="shared" si="77"/>
        <v>11600</v>
      </c>
    </row>
    <row r="197" spans="1:72" hidden="1" x14ac:dyDescent="0.25">
      <c r="A197" s="11">
        <f t="shared" si="68"/>
        <v>196</v>
      </c>
      <c r="B197" s="4" t="s">
        <v>577</v>
      </c>
      <c r="C197" s="4" t="s">
        <v>59</v>
      </c>
      <c r="D197" s="4" t="s">
        <v>561</v>
      </c>
      <c r="E197" s="4" t="s">
        <v>1322</v>
      </c>
      <c r="F197" s="4" t="s">
        <v>562</v>
      </c>
      <c r="G197" s="4" t="s">
        <v>563</v>
      </c>
      <c r="H197" s="4" t="s">
        <v>1815</v>
      </c>
      <c r="I197" s="4"/>
      <c r="J197" s="4"/>
      <c r="K197" s="4" t="s">
        <v>420</v>
      </c>
      <c r="L197" s="9"/>
      <c r="M197" s="9"/>
      <c r="N197" s="9"/>
      <c r="O197" s="9"/>
      <c r="P197" s="9"/>
      <c r="Q197" s="14">
        <v>2.2999999999999998</v>
      </c>
      <c r="R197" s="1">
        <f t="shared" si="71"/>
        <v>17250</v>
      </c>
      <c r="S197" s="2">
        <v>27599.999999999996</v>
      </c>
      <c r="T197" s="2">
        <f t="shared" si="72"/>
        <v>7500</v>
      </c>
      <c r="U197" s="9"/>
      <c r="V197" s="9"/>
      <c r="W197" s="9"/>
      <c r="X197" s="9"/>
      <c r="Y197" s="13">
        <v>1500</v>
      </c>
      <c r="Z197" s="13">
        <v>1500</v>
      </c>
      <c r="AA197" s="13">
        <v>1500</v>
      </c>
      <c r="AB197" s="13">
        <v>1500</v>
      </c>
      <c r="AC197" s="13">
        <v>1500</v>
      </c>
      <c r="AD197" s="13">
        <v>1500</v>
      </c>
      <c r="AE197" s="13">
        <v>1500</v>
      </c>
      <c r="AF197" s="13">
        <v>1500</v>
      </c>
      <c r="AG197" s="13">
        <v>1500</v>
      </c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 t="s">
        <v>1106</v>
      </c>
      <c r="AV197" s="4" t="s">
        <v>1220</v>
      </c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>
        <f t="shared" si="67"/>
        <v>3449.9999999999995</v>
      </c>
      <c r="BN197" s="9">
        <f t="shared" si="69"/>
        <v>3449.9999999999995</v>
      </c>
      <c r="BO197" s="9">
        <f t="shared" si="70"/>
        <v>3449.9999999999995</v>
      </c>
      <c r="BP197" s="9">
        <f t="shared" si="73"/>
        <v>3449.9999999999995</v>
      </c>
      <c r="BQ197" s="9">
        <f t="shared" si="74"/>
        <v>3449.9999999999995</v>
      </c>
      <c r="BR197" s="9">
        <f t="shared" si="75"/>
        <v>3449.9999999999995</v>
      </c>
      <c r="BS197" s="9">
        <f t="shared" si="76"/>
        <v>3449.9999999999995</v>
      </c>
      <c r="BT197" s="9">
        <f t="shared" si="77"/>
        <v>3449.9999999999995</v>
      </c>
    </row>
    <row r="198" spans="1:72" hidden="1" x14ac:dyDescent="0.25">
      <c r="A198" s="11">
        <f t="shared" si="68"/>
        <v>197</v>
      </c>
      <c r="B198" s="4" t="s">
        <v>578</v>
      </c>
      <c r="C198" s="4" t="s">
        <v>59</v>
      </c>
      <c r="D198" s="4" t="s">
        <v>561</v>
      </c>
      <c r="E198" s="4" t="s">
        <v>1322</v>
      </c>
      <c r="F198" s="4" t="s">
        <v>562</v>
      </c>
      <c r="G198" s="4" t="s">
        <v>563</v>
      </c>
      <c r="H198" s="4" t="s">
        <v>1815</v>
      </c>
      <c r="I198" s="4"/>
      <c r="J198" s="4"/>
      <c r="K198" s="4" t="s">
        <v>420</v>
      </c>
      <c r="L198" s="9"/>
      <c r="M198" s="9"/>
      <c r="N198" s="9"/>
      <c r="O198" s="9"/>
      <c r="P198" s="9"/>
      <c r="Q198" s="14">
        <v>2.2999999999999998</v>
      </c>
      <c r="R198" s="1">
        <f t="shared" si="71"/>
        <v>34500</v>
      </c>
      <c r="S198" s="2">
        <v>55199.999999999993</v>
      </c>
      <c r="T198" s="2">
        <f t="shared" si="72"/>
        <v>15000</v>
      </c>
      <c r="U198" s="9"/>
      <c r="V198" s="9"/>
      <c r="W198" s="9"/>
      <c r="X198" s="9"/>
      <c r="Y198" s="13">
        <v>3000</v>
      </c>
      <c r="Z198" s="13">
        <v>3000</v>
      </c>
      <c r="AA198" s="13">
        <v>3000</v>
      </c>
      <c r="AB198" s="13">
        <v>3000</v>
      </c>
      <c r="AC198" s="13">
        <v>3000</v>
      </c>
      <c r="AD198" s="13">
        <v>3000</v>
      </c>
      <c r="AE198" s="13">
        <v>3000</v>
      </c>
      <c r="AF198" s="13">
        <v>3000</v>
      </c>
      <c r="AG198" s="13">
        <v>3000</v>
      </c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 t="s">
        <v>1106</v>
      </c>
      <c r="AV198" s="4" t="s">
        <v>1220</v>
      </c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>
        <f t="shared" si="67"/>
        <v>6899.9999999999991</v>
      </c>
      <c r="BN198" s="9">
        <f t="shared" si="69"/>
        <v>6899.9999999999991</v>
      </c>
      <c r="BO198" s="9">
        <f t="shared" si="70"/>
        <v>6899.9999999999991</v>
      </c>
      <c r="BP198" s="9">
        <f t="shared" si="73"/>
        <v>6899.9999999999991</v>
      </c>
      <c r="BQ198" s="9">
        <f t="shared" si="74"/>
        <v>6899.9999999999991</v>
      </c>
      <c r="BR198" s="9">
        <f t="shared" si="75"/>
        <v>6899.9999999999991</v>
      </c>
      <c r="BS198" s="9">
        <f t="shared" si="76"/>
        <v>6899.9999999999991</v>
      </c>
      <c r="BT198" s="9">
        <f t="shared" si="77"/>
        <v>6899.9999999999991</v>
      </c>
    </row>
    <row r="199" spans="1:72" hidden="1" x14ac:dyDescent="0.25">
      <c r="A199" s="11">
        <f t="shared" si="68"/>
        <v>198</v>
      </c>
      <c r="B199" s="4" t="s">
        <v>578</v>
      </c>
      <c r="C199" s="4" t="s">
        <v>59</v>
      </c>
      <c r="D199" s="4" t="s">
        <v>561</v>
      </c>
      <c r="E199" s="4" t="s">
        <v>1322</v>
      </c>
      <c r="F199" s="4" t="s">
        <v>562</v>
      </c>
      <c r="G199" s="6" t="s">
        <v>404</v>
      </c>
      <c r="H199" s="4" t="s">
        <v>405</v>
      </c>
      <c r="I199" s="4"/>
      <c r="J199" s="4"/>
      <c r="K199" s="4" t="s">
        <v>1334</v>
      </c>
      <c r="L199" s="9"/>
      <c r="M199" s="9"/>
      <c r="N199" s="9"/>
      <c r="O199" s="9"/>
      <c r="P199" s="9"/>
      <c r="Q199" s="14">
        <v>1.6</v>
      </c>
      <c r="R199" s="1">
        <f t="shared" si="71"/>
        <v>16000</v>
      </c>
      <c r="S199" s="2">
        <v>25600</v>
      </c>
      <c r="T199" s="2">
        <f t="shared" si="72"/>
        <v>10000</v>
      </c>
      <c r="U199" s="9"/>
      <c r="V199" s="9"/>
      <c r="W199" s="9"/>
      <c r="X199" s="9"/>
      <c r="Y199" s="13">
        <v>2000</v>
      </c>
      <c r="Z199" s="13">
        <v>2000</v>
      </c>
      <c r="AA199" s="13">
        <v>2000</v>
      </c>
      <c r="AB199" s="13">
        <v>2000</v>
      </c>
      <c r="AC199" s="13">
        <v>2000</v>
      </c>
      <c r="AD199" s="13">
        <v>2000</v>
      </c>
      <c r="AE199" s="13">
        <v>2000</v>
      </c>
      <c r="AF199" s="13">
        <v>2000</v>
      </c>
      <c r="AG199" s="13">
        <v>2000</v>
      </c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 t="s">
        <v>1106</v>
      </c>
      <c r="AV199" s="4" t="s">
        <v>1220</v>
      </c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>
        <f t="shared" si="67"/>
        <v>3200</v>
      </c>
      <c r="BN199" s="9">
        <f t="shared" si="69"/>
        <v>3200</v>
      </c>
      <c r="BO199" s="9">
        <f t="shared" si="70"/>
        <v>3200</v>
      </c>
      <c r="BP199" s="9">
        <f t="shared" si="73"/>
        <v>3200</v>
      </c>
      <c r="BQ199" s="9">
        <f t="shared" si="74"/>
        <v>3200</v>
      </c>
      <c r="BR199" s="9">
        <f t="shared" si="75"/>
        <v>3200</v>
      </c>
      <c r="BS199" s="9">
        <f t="shared" si="76"/>
        <v>3200</v>
      </c>
      <c r="BT199" s="9">
        <f t="shared" si="77"/>
        <v>3200</v>
      </c>
    </row>
    <row r="200" spans="1:72" hidden="1" x14ac:dyDescent="0.25">
      <c r="A200" s="11">
        <f t="shared" si="68"/>
        <v>199</v>
      </c>
      <c r="B200" s="4" t="s">
        <v>579</v>
      </c>
      <c r="C200" s="4" t="s">
        <v>59</v>
      </c>
      <c r="D200" s="4" t="s">
        <v>561</v>
      </c>
      <c r="E200" s="4" t="s">
        <v>1322</v>
      </c>
      <c r="F200" s="4" t="s">
        <v>562</v>
      </c>
      <c r="G200" s="4" t="s">
        <v>324</v>
      </c>
      <c r="H200" s="4" t="s">
        <v>531</v>
      </c>
      <c r="I200" s="4"/>
      <c r="J200" s="4"/>
      <c r="K200" s="4" t="s">
        <v>402</v>
      </c>
      <c r="L200" s="9"/>
      <c r="M200" s="9"/>
      <c r="N200" s="9"/>
      <c r="O200" s="9"/>
      <c r="P200" s="9"/>
      <c r="Q200" s="14">
        <v>1.8</v>
      </c>
      <c r="R200" s="1">
        <f t="shared" si="71"/>
        <v>18000</v>
      </c>
      <c r="S200" s="2">
        <v>28800</v>
      </c>
      <c r="T200" s="2">
        <f t="shared" si="72"/>
        <v>10000</v>
      </c>
      <c r="U200" s="9"/>
      <c r="V200" s="9"/>
      <c r="W200" s="9"/>
      <c r="X200" s="9"/>
      <c r="Y200" s="13">
        <v>2000</v>
      </c>
      <c r="Z200" s="13">
        <v>2000</v>
      </c>
      <c r="AA200" s="13">
        <v>2000</v>
      </c>
      <c r="AB200" s="13">
        <v>2000</v>
      </c>
      <c r="AC200" s="13">
        <v>2000</v>
      </c>
      <c r="AD200" s="13">
        <v>2000</v>
      </c>
      <c r="AE200" s="13">
        <v>2000</v>
      </c>
      <c r="AF200" s="13">
        <v>2000</v>
      </c>
      <c r="AG200" s="13">
        <v>2000</v>
      </c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 t="s">
        <v>1106</v>
      </c>
      <c r="AV200" s="4" t="s">
        <v>1220</v>
      </c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>
        <f t="shared" si="67"/>
        <v>3600</v>
      </c>
      <c r="BN200" s="9">
        <f t="shared" si="69"/>
        <v>3600</v>
      </c>
      <c r="BO200" s="9">
        <f t="shared" si="70"/>
        <v>3600</v>
      </c>
      <c r="BP200" s="9">
        <f t="shared" si="73"/>
        <v>3600</v>
      </c>
      <c r="BQ200" s="9">
        <f t="shared" si="74"/>
        <v>3600</v>
      </c>
      <c r="BR200" s="9">
        <f t="shared" si="75"/>
        <v>3600</v>
      </c>
      <c r="BS200" s="9">
        <f t="shared" si="76"/>
        <v>3600</v>
      </c>
      <c r="BT200" s="9">
        <f t="shared" si="77"/>
        <v>3600</v>
      </c>
    </row>
    <row r="201" spans="1:72" hidden="1" x14ac:dyDescent="0.25">
      <c r="A201" s="11">
        <f t="shared" si="68"/>
        <v>200</v>
      </c>
      <c r="B201" s="4" t="s">
        <v>580</v>
      </c>
      <c r="C201" s="4" t="s">
        <v>59</v>
      </c>
      <c r="D201" s="4" t="s">
        <v>561</v>
      </c>
      <c r="E201" s="4" t="s">
        <v>1322</v>
      </c>
      <c r="F201" s="4" t="s">
        <v>562</v>
      </c>
      <c r="G201" s="4" t="s">
        <v>397</v>
      </c>
      <c r="H201" s="4" t="s">
        <v>398</v>
      </c>
      <c r="I201" s="4"/>
      <c r="J201" s="4"/>
      <c r="K201" s="4" t="s">
        <v>1335</v>
      </c>
      <c r="L201" s="9"/>
      <c r="M201" s="9"/>
      <c r="N201" s="9"/>
      <c r="O201" s="9"/>
      <c r="P201" s="9"/>
      <c r="Q201" s="14">
        <v>2.9</v>
      </c>
      <c r="R201" s="1">
        <f t="shared" si="71"/>
        <v>43500</v>
      </c>
      <c r="S201" s="2">
        <v>69600</v>
      </c>
      <c r="T201" s="2">
        <f t="shared" si="72"/>
        <v>15000</v>
      </c>
      <c r="U201" s="9"/>
      <c r="V201" s="9"/>
      <c r="W201" s="9"/>
      <c r="X201" s="9"/>
      <c r="Y201" s="13">
        <v>3000</v>
      </c>
      <c r="Z201" s="13">
        <v>3000</v>
      </c>
      <c r="AA201" s="13">
        <v>3000</v>
      </c>
      <c r="AB201" s="13">
        <v>3000</v>
      </c>
      <c r="AC201" s="13">
        <v>3000</v>
      </c>
      <c r="AD201" s="13">
        <v>3000</v>
      </c>
      <c r="AE201" s="13">
        <v>3000</v>
      </c>
      <c r="AF201" s="13">
        <v>3000</v>
      </c>
      <c r="AG201" s="13">
        <v>3000</v>
      </c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 t="s">
        <v>1106</v>
      </c>
      <c r="AV201" s="4" t="s">
        <v>1217</v>
      </c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>
        <f t="shared" si="67"/>
        <v>8700</v>
      </c>
      <c r="BN201" s="9">
        <f t="shared" si="69"/>
        <v>8700</v>
      </c>
      <c r="BO201" s="9">
        <f t="shared" si="70"/>
        <v>8700</v>
      </c>
      <c r="BP201" s="9">
        <f t="shared" si="73"/>
        <v>8700</v>
      </c>
      <c r="BQ201" s="9">
        <f t="shared" si="74"/>
        <v>8700</v>
      </c>
      <c r="BR201" s="9">
        <f t="shared" si="75"/>
        <v>8700</v>
      </c>
      <c r="BS201" s="9">
        <f t="shared" si="76"/>
        <v>8700</v>
      </c>
      <c r="BT201" s="9">
        <f t="shared" si="77"/>
        <v>8700</v>
      </c>
    </row>
    <row r="202" spans="1:72" hidden="1" x14ac:dyDescent="0.25">
      <c r="A202" s="11">
        <f t="shared" si="68"/>
        <v>201</v>
      </c>
      <c r="B202" s="4" t="s">
        <v>581</v>
      </c>
      <c r="C202" s="4" t="s">
        <v>59</v>
      </c>
      <c r="D202" s="4" t="s">
        <v>582</v>
      </c>
      <c r="E202" s="4" t="s">
        <v>1322</v>
      </c>
      <c r="F202" s="4" t="s">
        <v>583</v>
      </c>
      <c r="G202" s="4" t="s">
        <v>225</v>
      </c>
      <c r="H202" s="4" t="s">
        <v>226</v>
      </c>
      <c r="I202" s="4"/>
      <c r="J202" s="4"/>
      <c r="K202" s="4" t="s">
        <v>492</v>
      </c>
      <c r="L202" s="9"/>
      <c r="M202" s="9"/>
      <c r="N202" s="9"/>
      <c r="O202" s="9"/>
      <c r="P202" s="9"/>
      <c r="Q202" s="14">
        <v>0.25</v>
      </c>
      <c r="R202" s="1">
        <f t="shared" si="71"/>
        <v>12500</v>
      </c>
      <c r="S202" s="2">
        <v>18750</v>
      </c>
      <c r="T202" s="2">
        <f t="shared" si="72"/>
        <v>50000</v>
      </c>
      <c r="U202" s="9"/>
      <c r="V202" s="9"/>
      <c r="W202" s="9"/>
      <c r="X202" s="9"/>
      <c r="Y202" s="13">
        <v>0</v>
      </c>
      <c r="Z202" s="13">
        <v>25000</v>
      </c>
      <c r="AA202" s="13">
        <v>0</v>
      </c>
      <c r="AB202" s="13">
        <v>0</v>
      </c>
      <c r="AC202" s="13">
        <v>25000</v>
      </c>
      <c r="AD202" s="13">
        <v>0</v>
      </c>
      <c r="AE202" s="13">
        <v>0</v>
      </c>
      <c r="AF202" s="13">
        <v>25000</v>
      </c>
      <c r="AG202" s="13">
        <f t="shared" ref="AG202:AG203" si="78">AF202</f>
        <v>25000</v>
      </c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 t="s">
        <v>1106</v>
      </c>
      <c r="AV202" s="4" t="s">
        <v>1218</v>
      </c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>
        <f t="shared" si="67"/>
        <v>0</v>
      </c>
      <c r="BN202" s="9">
        <f t="shared" si="69"/>
        <v>6250</v>
      </c>
      <c r="BO202" s="9">
        <f t="shared" si="70"/>
        <v>0</v>
      </c>
      <c r="BP202" s="9">
        <f t="shared" si="73"/>
        <v>0</v>
      </c>
      <c r="BQ202" s="9">
        <f t="shared" si="74"/>
        <v>6250</v>
      </c>
      <c r="BR202" s="9">
        <f t="shared" si="75"/>
        <v>0</v>
      </c>
      <c r="BS202" s="9">
        <f t="shared" si="76"/>
        <v>0</v>
      </c>
      <c r="BT202" s="9">
        <f t="shared" si="77"/>
        <v>6250</v>
      </c>
    </row>
    <row r="203" spans="1:72" hidden="1" x14ac:dyDescent="0.25">
      <c r="A203" s="11">
        <f t="shared" si="68"/>
        <v>202</v>
      </c>
      <c r="B203" s="4" t="s">
        <v>584</v>
      </c>
      <c r="C203" s="4" t="s">
        <v>59</v>
      </c>
      <c r="D203" s="4" t="s">
        <v>582</v>
      </c>
      <c r="E203" s="4" t="s">
        <v>1322</v>
      </c>
      <c r="F203" s="4" t="s">
        <v>583</v>
      </c>
      <c r="G203" s="4"/>
      <c r="H203" s="4"/>
      <c r="I203" s="4"/>
      <c r="J203" s="4"/>
      <c r="K203" s="4" t="s">
        <v>585</v>
      </c>
      <c r="L203" s="9"/>
      <c r="M203" s="9"/>
      <c r="N203" s="9"/>
      <c r="O203" s="9"/>
      <c r="P203" s="9"/>
      <c r="Q203" s="14">
        <v>0</v>
      </c>
      <c r="R203" s="1">
        <f t="shared" si="71"/>
        <v>0</v>
      </c>
      <c r="S203" s="2">
        <v>0</v>
      </c>
      <c r="T203" s="2">
        <f t="shared" si="72"/>
        <v>0</v>
      </c>
      <c r="U203" s="9"/>
      <c r="V203" s="9"/>
      <c r="W203" s="9"/>
      <c r="X203" s="9"/>
      <c r="Y203" s="13">
        <v>0</v>
      </c>
      <c r="Z203" s="13">
        <v>0</v>
      </c>
      <c r="AA203" s="13">
        <v>0</v>
      </c>
      <c r="AB203" s="13"/>
      <c r="AC203" s="13"/>
      <c r="AD203" s="13"/>
      <c r="AE203" s="13"/>
      <c r="AF203" s="13"/>
      <c r="AG203" s="13">
        <f t="shared" si="78"/>
        <v>0</v>
      </c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 t="s">
        <v>1106</v>
      </c>
      <c r="AV203" s="4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>
        <f t="shared" si="67"/>
        <v>0</v>
      </c>
      <c r="BN203" s="9">
        <f t="shared" si="69"/>
        <v>0</v>
      </c>
      <c r="BO203" s="9">
        <f t="shared" si="70"/>
        <v>0</v>
      </c>
      <c r="BP203" s="9">
        <f t="shared" si="73"/>
        <v>0</v>
      </c>
      <c r="BQ203" s="9">
        <f t="shared" si="74"/>
        <v>0</v>
      </c>
      <c r="BR203" s="9">
        <f t="shared" si="75"/>
        <v>0</v>
      </c>
      <c r="BS203" s="9">
        <f t="shared" si="76"/>
        <v>0</v>
      </c>
      <c r="BT203" s="9">
        <f t="shared" si="77"/>
        <v>0</v>
      </c>
    </row>
    <row r="204" spans="1:72" hidden="1" x14ac:dyDescent="0.25">
      <c r="A204" s="11">
        <f t="shared" si="68"/>
        <v>203</v>
      </c>
      <c r="B204" s="4" t="s">
        <v>586</v>
      </c>
      <c r="C204" s="4" t="s">
        <v>59</v>
      </c>
      <c r="D204" s="4" t="s">
        <v>582</v>
      </c>
      <c r="E204" s="4" t="s">
        <v>1322</v>
      </c>
      <c r="F204" s="4" t="s">
        <v>583</v>
      </c>
      <c r="G204" s="4" t="s">
        <v>397</v>
      </c>
      <c r="H204" s="4" t="s">
        <v>398</v>
      </c>
      <c r="I204" s="4"/>
      <c r="J204" s="4"/>
      <c r="K204" s="4" t="s">
        <v>587</v>
      </c>
      <c r="L204" s="9"/>
      <c r="M204" s="9"/>
      <c r="N204" s="9"/>
      <c r="O204" s="9"/>
      <c r="P204" s="9"/>
      <c r="Q204" s="14">
        <v>2.5</v>
      </c>
      <c r="R204" s="1">
        <f t="shared" si="71"/>
        <v>625000</v>
      </c>
      <c r="S204" s="2">
        <v>1000000</v>
      </c>
      <c r="T204" s="2">
        <f t="shared" si="72"/>
        <v>250000</v>
      </c>
      <c r="U204" s="9"/>
      <c r="V204" s="9"/>
      <c r="W204" s="9"/>
      <c r="X204" s="9"/>
      <c r="Y204" s="13">
        <v>50000</v>
      </c>
      <c r="Z204" s="13">
        <v>50000</v>
      </c>
      <c r="AA204" s="13">
        <v>50000</v>
      </c>
      <c r="AB204" s="13">
        <v>50000</v>
      </c>
      <c r="AC204" s="13">
        <v>50000</v>
      </c>
      <c r="AD204" s="13">
        <v>50000</v>
      </c>
      <c r="AE204" s="13">
        <v>50000</v>
      </c>
      <c r="AF204" s="13">
        <v>50000</v>
      </c>
      <c r="AG204" s="13">
        <v>50000</v>
      </c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 t="s">
        <v>1106</v>
      </c>
      <c r="AV204" s="4" t="s">
        <v>1217</v>
      </c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>
        <f t="shared" si="67"/>
        <v>125000</v>
      </c>
      <c r="BN204" s="9">
        <f t="shared" si="69"/>
        <v>125000</v>
      </c>
      <c r="BO204" s="9">
        <f t="shared" si="70"/>
        <v>125000</v>
      </c>
      <c r="BP204" s="9">
        <f t="shared" si="73"/>
        <v>125000</v>
      </c>
      <c r="BQ204" s="9">
        <f t="shared" si="74"/>
        <v>125000</v>
      </c>
      <c r="BR204" s="9">
        <f t="shared" si="75"/>
        <v>125000</v>
      </c>
      <c r="BS204" s="9">
        <f t="shared" si="76"/>
        <v>125000</v>
      </c>
      <c r="BT204" s="9">
        <f t="shared" si="77"/>
        <v>125000</v>
      </c>
    </row>
    <row r="205" spans="1:72" hidden="1" x14ac:dyDescent="0.25">
      <c r="A205" s="11">
        <f t="shared" si="68"/>
        <v>204</v>
      </c>
      <c r="B205" s="4" t="s">
        <v>588</v>
      </c>
      <c r="C205" s="4" t="s">
        <v>59</v>
      </c>
      <c r="D205" s="4" t="s">
        <v>582</v>
      </c>
      <c r="E205" s="4" t="s">
        <v>1322</v>
      </c>
      <c r="F205" s="4" t="s">
        <v>583</v>
      </c>
      <c r="G205" s="4" t="s">
        <v>549</v>
      </c>
      <c r="H205" s="4" t="s">
        <v>550</v>
      </c>
      <c r="I205" s="4"/>
      <c r="J205" s="4"/>
      <c r="K205" s="4" t="s">
        <v>406</v>
      </c>
      <c r="L205" s="9"/>
      <c r="M205" s="9"/>
      <c r="N205" s="9"/>
      <c r="O205" s="9"/>
      <c r="P205" s="9"/>
      <c r="Q205" s="14">
        <v>2</v>
      </c>
      <c r="R205" s="1">
        <f t="shared" si="71"/>
        <v>100000</v>
      </c>
      <c r="S205" s="2">
        <v>160000</v>
      </c>
      <c r="T205" s="2">
        <f t="shared" si="72"/>
        <v>50000</v>
      </c>
      <c r="U205" s="9"/>
      <c r="V205" s="9"/>
      <c r="W205" s="9"/>
      <c r="X205" s="9"/>
      <c r="Y205" s="13">
        <v>10000</v>
      </c>
      <c r="Z205" s="13">
        <v>10000</v>
      </c>
      <c r="AA205" s="13">
        <v>10000</v>
      </c>
      <c r="AB205" s="13">
        <v>10000</v>
      </c>
      <c r="AC205" s="13">
        <v>10000</v>
      </c>
      <c r="AD205" s="13">
        <v>10000</v>
      </c>
      <c r="AE205" s="13">
        <v>10000</v>
      </c>
      <c r="AF205" s="13">
        <v>10000</v>
      </c>
      <c r="AG205" s="13">
        <v>10000</v>
      </c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 t="s">
        <v>1106</v>
      </c>
      <c r="AV205" s="4" t="s">
        <v>1220</v>
      </c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>
        <f t="shared" si="67"/>
        <v>20000</v>
      </c>
      <c r="BN205" s="9">
        <f t="shared" si="69"/>
        <v>20000</v>
      </c>
      <c r="BO205" s="9">
        <f t="shared" si="70"/>
        <v>20000</v>
      </c>
      <c r="BP205" s="9">
        <f t="shared" si="73"/>
        <v>20000</v>
      </c>
      <c r="BQ205" s="9">
        <f t="shared" si="74"/>
        <v>20000</v>
      </c>
      <c r="BR205" s="9">
        <f t="shared" si="75"/>
        <v>20000</v>
      </c>
      <c r="BS205" s="9">
        <f t="shared" si="76"/>
        <v>20000</v>
      </c>
      <c r="BT205" s="9">
        <f t="shared" si="77"/>
        <v>20000</v>
      </c>
    </row>
    <row r="206" spans="1:72" hidden="1" x14ac:dyDescent="0.25">
      <c r="A206" s="11">
        <f t="shared" si="68"/>
        <v>205</v>
      </c>
      <c r="B206" s="4" t="s">
        <v>589</v>
      </c>
      <c r="C206" s="4" t="s">
        <v>59</v>
      </c>
      <c r="D206" s="4" t="s">
        <v>582</v>
      </c>
      <c r="E206" s="4" t="s">
        <v>1322</v>
      </c>
      <c r="F206" s="4" t="s">
        <v>583</v>
      </c>
      <c r="G206" s="4" t="s">
        <v>540</v>
      </c>
      <c r="H206" s="4" t="s">
        <v>541</v>
      </c>
      <c r="I206" s="4"/>
      <c r="J206" s="4"/>
      <c r="K206" s="4" t="s">
        <v>590</v>
      </c>
      <c r="L206" s="9"/>
      <c r="M206" s="9"/>
      <c r="N206" s="9"/>
      <c r="O206" s="9"/>
      <c r="P206" s="9"/>
      <c r="Q206" s="14">
        <v>0.32</v>
      </c>
      <c r="R206" s="1">
        <f t="shared" si="71"/>
        <v>128000</v>
      </c>
      <c r="S206" s="2">
        <v>192000</v>
      </c>
      <c r="T206" s="2">
        <f t="shared" si="72"/>
        <v>400000</v>
      </c>
      <c r="U206" s="9"/>
      <c r="V206" s="9"/>
      <c r="W206" s="9"/>
      <c r="X206" s="9"/>
      <c r="Y206" s="13">
        <v>0</v>
      </c>
      <c r="Z206" s="13">
        <v>200000</v>
      </c>
      <c r="AA206" s="13">
        <v>0</v>
      </c>
      <c r="AB206" s="13">
        <v>0</v>
      </c>
      <c r="AC206" s="13">
        <v>200000</v>
      </c>
      <c r="AD206" s="13">
        <v>0</v>
      </c>
      <c r="AE206" s="13">
        <v>0</v>
      </c>
      <c r="AF206" s="13">
        <v>200000</v>
      </c>
      <c r="AG206" s="13">
        <f t="shared" ref="AG206:AG207" si="79">AF206</f>
        <v>200000</v>
      </c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 t="s">
        <v>1106</v>
      </c>
      <c r="AV206" s="4" t="s">
        <v>1218</v>
      </c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>
        <f t="shared" si="67"/>
        <v>0</v>
      </c>
      <c r="BN206" s="9">
        <f t="shared" si="69"/>
        <v>64000</v>
      </c>
      <c r="BO206" s="9">
        <f t="shared" si="70"/>
        <v>0</v>
      </c>
      <c r="BP206" s="9">
        <f t="shared" si="73"/>
        <v>0</v>
      </c>
      <c r="BQ206" s="9">
        <f t="shared" si="74"/>
        <v>64000</v>
      </c>
      <c r="BR206" s="9">
        <f t="shared" si="75"/>
        <v>0</v>
      </c>
      <c r="BS206" s="9">
        <f t="shared" si="76"/>
        <v>0</v>
      </c>
      <c r="BT206" s="9">
        <f t="shared" si="77"/>
        <v>64000</v>
      </c>
    </row>
    <row r="207" spans="1:72" hidden="1" x14ac:dyDescent="0.25">
      <c r="A207" s="11">
        <f t="shared" si="68"/>
        <v>206</v>
      </c>
      <c r="B207" s="4" t="s">
        <v>591</v>
      </c>
      <c r="C207" s="4" t="s">
        <v>59</v>
      </c>
      <c r="D207" s="4" t="s">
        <v>582</v>
      </c>
      <c r="E207" s="4" t="s">
        <v>1322</v>
      </c>
      <c r="F207" s="4" t="s">
        <v>583</v>
      </c>
      <c r="G207" s="4" t="s">
        <v>515</v>
      </c>
      <c r="H207" s="4" t="s">
        <v>516</v>
      </c>
      <c r="I207" s="4"/>
      <c r="J207" s="4"/>
      <c r="K207" s="4" t="s">
        <v>406</v>
      </c>
      <c r="L207" s="9"/>
      <c r="M207" s="9"/>
      <c r="N207" s="9"/>
      <c r="O207" s="9"/>
      <c r="P207" s="9"/>
      <c r="Q207" s="14">
        <v>1.35</v>
      </c>
      <c r="R207" s="1">
        <f t="shared" si="71"/>
        <v>0</v>
      </c>
      <c r="S207" s="2">
        <v>2160000</v>
      </c>
      <c r="T207" s="2">
        <f t="shared" si="72"/>
        <v>0</v>
      </c>
      <c r="U207" s="9"/>
      <c r="V207" s="9"/>
      <c r="W207" s="9"/>
      <c r="X207" s="9"/>
      <c r="Y207" s="13">
        <v>200000</v>
      </c>
      <c r="Z207" s="13">
        <v>200000</v>
      </c>
      <c r="AA207" s="13">
        <v>200000</v>
      </c>
      <c r="AB207" s="13"/>
      <c r="AC207" s="13"/>
      <c r="AD207" s="13"/>
      <c r="AE207" s="13"/>
      <c r="AF207" s="13"/>
      <c r="AG207" s="13">
        <f t="shared" si="79"/>
        <v>0</v>
      </c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 t="s">
        <v>1106</v>
      </c>
      <c r="AV207" s="4" t="s">
        <v>1220</v>
      </c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>
        <f t="shared" si="67"/>
        <v>270000</v>
      </c>
      <c r="BN207" s="9">
        <f t="shared" si="69"/>
        <v>270000</v>
      </c>
      <c r="BO207" s="9">
        <f t="shared" si="70"/>
        <v>270000</v>
      </c>
      <c r="BP207" s="9">
        <f t="shared" si="73"/>
        <v>0</v>
      </c>
      <c r="BQ207" s="9">
        <f t="shared" si="74"/>
        <v>0</v>
      </c>
      <c r="BR207" s="9">
        <f t="shared" si="75"/>
        <v>0</v>
      </c>
      <c r="BS207" s="9">
        <f t="shared" si="76"/>
        <v>0</v>
      </c>
      <c r="BT207" s="9">
        <f t="shared" si="77"/>
        <v>0</v>
      </c>
    </row>
    <row r="208" spans="1:72" hidden="1" x14ac:dyDescent="0.25">
      <c r="A208" s="11">
        <f t="shared" si="68"/>
        <v>207</v>
      </c>
      <c r="B208" s="4" t="s">
        <v>592</v>
      </c>
      <c r="C208" s="4" t="s">
        <v>59</v>
      </c>
      <c r="D208" s="4" t="s">
        <v>582</v>
      </c>
      <c r="E208" s="4" t="s">
        <v>1322</v>
      </c>
      <c r="F208" s="4" t="s">
        <v>583</v>
      </c>
      <c r="G208" s="4" t="s">
        <v>533</v>
      </c>
      <c r="H208" s="4" t="s">
        <v>534</v>
      </c>
      <c r="I208" s="4"/>
      <c r="J208" s="4"/>
      <c r="K208" s="4" t="s">
        <v>593</v>
      </c>
      <c r="L208" s="9"/>
      <c r="M208" s="9"/>
      <c r="N208" s="9"/>
      <c r="O208" s="9"/>
      <c r="P208" s="9"/>
      <c r="Q208" s="14">
        <v>3.8</v>
      </c>
      <c r="R208" s="1">
        <f t="shared" si="71"/>
        <v>190000</v>
      </c>
      <c r="S208" s="2">
        <v>304000</v>
      </c>
      <c r="T208" s="2">
        <f t="shared" si="72"/>
        <v>50000</v>
      </c>
      <c r="U208" s="9"/>
      <c r="V208" s="9"/>
      <c r="W208" s="9"/>
      <c r="X208" s="9"/>
      <c r="Y208" s="13">
        <v>10000</v>
      </c>
      <c r="Z208" s="13">
        <v>10000</v>
      </c>
      <c r="AA208" s="13">
        <v>10000</v>
      </c>
      <c r="AB208" s="13">
        <v>10000</v>
      </c>
      <c r="AC208" s="13">
        <v>10000</v>
      </c>
      <c r="AD208" s="13">
        <v>10000</v>
      </c>
      <c r="AE208" s="13">
        <v>10000</v>
      </c>
      <c r="AF208" s="13">
        <v>10000</v>
      </c>
      <c r="AG208" s="13">
        <v>10000</v>
      </c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 t="s">
        <v>1106</v>
      </c>
      <c r="AV208" s="4" t="s">
        <v>1217</v>
      </c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>
        <f t="shared" si="67"/>
        <v>38000</v>
      </c>
      <c r="BN208" s="9">
        <f t="shared" si="69"/>
        <v>38000</v>
      </c>
      <c r="BO208" s="9">
        <f t="shared" si="70"/>
        <v>38000</v>
      </c>
      <c r="BP208" s="9">
        <f t="shared" si="73"/>
        <v>38000</v>
      </c>
      <c r="BQ208" s="9">
        <f t="shared" si="74"/>
        <v>38000</v>
      </c>
      <c r="BR208" s="9">
        <f t="shared" si="75"/>
        <v>38000</v>
      </c>
      <c r="BS208" s="9">
        <f t="shared" si="76"/>
        <v>38000</v>
      </c>
      <c r="BT208" s="9">
        <f t="shared" si="77"/>
        <v>38000</v>
      </c>
    </row>
    <row r="209" spans="1:72" hidden="1" x14ac:dyDescent="0.25">
      <c r="A209" s="11">
        <f t="shared" si="68"/>
        <v>208</v>
      </c>
      <c r="B209" s="4" t="s">
        <v>594</v>
      </c>
      <c r="C209" s="4" t="s">
        <v>59</v>
      </c>
      <c r="D209" s="4" t="s">
        <v>594</v>
      </c>
      <c r="E209" s="4" t="s">
        <v>1322</v>
      </c>
      <c r="F209" s="4" t="s">
        <v>595</v>
      </c>
      <c r="G209" s="4" t="s">
        <v>539</v>
      </c>
      <c r="H209" s="4" t="s">
        <v>467</v>
      </c>
      <c r="I209" s="4"/>
      <c r="J209" s="4"/>
      <c r="K209" s="4" t="s">
        <v>420</v>
      </c>
      <c r="L209" s="9"/>
      <c r="M209" s="9"/>
      <c r="N209" s="9"/>
      <c r="O209" s="9"/>
      <c r="P209" s="9"/>
      <c r="Q209" s="14">
        <v>2.2799999999999998</v>
      </c>
      <c r="R209" s="1">
        <f t="shared" si="71"/>
        <v>0</v>
      </c>
      <c r="S209" s="2">
        <v>934799.99999999988</v>
      </c>
      <c r="T209" s="2">
        <f t="shared" si="72"/>
        <v>0</v>
      </c>
      <c r="U209" s="9"/>
      <c r="V209" s="9"/>
      <c r="W209" s="9"/>
      <c r="X209" s="9"/>
      <c r="Y209" s="13">
        <v>200000</v>
      </c>
      <c r="Z209" s="13">
        <v>30000</v>
      </c>
      <c r="AA209" s="13">
        <v>30000</v>
      </c>
      <c r="AB209" s="13"/>
      <c r="AC209" s="13"/>
      <c r="AD209" s="13"/>
      <c r="AE209" s="13"/>
      <c r="AF209" s="13"/>
      <c r="AG209" s="13">
        <f>AF209</f>
        <v>0</v>
      </c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 t="s">
        <v>1106</v>
      </c>
      <c r="AV209" s="4" t="s">
        <v>1220</v>
      </c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>
        <f t="shared" si="67"/>
        <v>455999.99999999994</v>
      </c>
      <c r="BN209" s="9">
        <f t="shared" si="69"/>
        <v>68400</v>
      </c>
      <c r="BO209" s="9">
        <f t="shared" si="70"/>
        <v>68400</v>
      </c>
      <c r="BP209" s="9">
        <f t="shared" si="73"/>
        <v>0</v>
      </c>
      <c r="BQ209" s="9">
        <f t="shared" si="74"/>
        <v>0</v>
      </c>
      <c r="BR209" s="9">
        <f t="shared" si="75"/>
        <v>0</v>
      </c>
      <c r="BS209" s="9">
        <f t="shared" si="76"/>
        <v>0</v>
      </c>
      <c r="BT209" s="9">
        <f t="shared" si="77"/>
        <v>0</v>
      </c>
    </row>
    <row r="210" spans="1:72" hidden="1" x14ac:dyDescent="0.25">
      <c r="A210" s="11">
        <f t="shared" si="68"/>
        <v>209</v>
      </c>
      <c r="B210" s="4" t="s">
        <v>594</v>
      </c>
      <c r="C210" s="4" t="s">
        <v>59</v>
      </c>
      <c r="D210" s="4" t="s">
        <v>594</v>
      </c>
      <c r="E210" s="4" t="s">
        <v>1322</v>
      </c>
      <c r="F210" s="4" t="s">
        <v>595</v>
      </c>
      <c r="G210" s="4" t="s">
        <v>260</v>
      </c>
      <c r="H210" s="4" t="s">
        <v>1750</v>
      </c>
      <c r="I210" s="4"/>
      <c r="J210" s="4"/>
      <c r="K210" s="4" t="s">
        <v>1336</v>
      </c>
      <c r="L210" s="9"/>
      <c r="M210" s="9"/>
      <c r="N210" s="9"/>
      <c r="O210" s="9"/>
      <c r="P210" s="9"/>
      <c r="Q210" s="14">
        <v>0.52</v>
      </c>
      <c r="R210" s="1">
        <f t="shared" si="71"/>
        <v>13000</v>
      </c>
      <c r="S210" s="2">
        <v>20800</v>
      </c>
      <c r="T210" s="2">
        <f t="shared" si="72"/>
        <v>25000</v>
      </c>
      <c r="U210" s="9"/>
      <c r="V210" s="9"/>
      <c r="W210" s="9"/>
      <c r="X210" s="9"/>
      <c r="Y210" s="13">
        <v>5000</v>
      </c>
      <c r="Z210" s="13">
        <v>5000</v>
      </c>
      <c r="AA210" s="13">
        <v>5000</v>
      </c>
      <c r="AB210" s="13">
        <v>5000</v>
      </c>
      <c r="AC210" s="13">
        <v>5000</v>
      </c>
      <c r="AD210" s="13">
        <v>5000</v>
      </c>
      <c r="AE210" s="13">
        <v>5000</v>
      </c>
      <c r="AF210" s="13">
        <v>5000</v>
      </c>
      <c r="AG210" s="13">
        <v>5000</v>
      </c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 t="s">
        <v>1106</v>
      </c>
      <c r="AV210" s="4" t="s">
        <v>1218</v>
      </c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>
        <f t="shared" si="67"/>
        <v>2600</v>
      </c>
      <c r="BN210" s="9">
        <f t="shared" si="69"/>
        <v>2600</v>
      </c>
      <c r="BO210" s="9">
        <f t="shared" si="70"/>
        <v>2600</v>
      </c>
      <c r="BP210" s="9">
        <f t="shared" si="73"/>
        <v>2600</v>
      </c>
      <c r="BQ210" s="9">
        <f t="shared" si="74"/>
        <v>2600</v>
      </c>
      <c r="BR210" s="9">
        <f t="shared" si="75"/>
        <v>2600</v>
      </c>
      <c r="BS210" s="9">
        <f t="shared" si="76"/>
        <v>2600</v>
      </c>
      <c r="BT210" s="9">
        <f t="shared" si="77"/>
        <v>2600</v>
      </c>
    </row>
    <row r="211" spans="1:72" hidden="1" x14ac:dyDescent="0.25">
      <c r="A211" s="11">
        <f t="shared" si="68"/>
        <v>210</v>
      </c>
      <c r="B211" s="4" t="s">
        <v>1337</v>
      </c>
      <c r="C211" s="4" t="s">
        <v>59</v>
      </c>
      <c r="D211" s="4"/>
      <c r="E211" s="4" t="s">
        <v>610</v>
      </c>
      <c r="F211" s="4"/>
      <c r="G211" s="4" t="s">
        <v>1338</v>
      </c>
      <c r="H211" s="4" t="s">
        <v>611</v>
      </c>
      <c r="I211" s="12">
        <v>8602</v>
      </c>
      <c r="J211" s="12"/>
      <c r="K211" s="4" t="s">
        <v>612</v>
      </c>
      <c r="L211" s="13"/>
      <c r="M211" s="4" t="s">
        <v>297</v>
      </c>
      <c r="N211" s="4"/>
      <c r="O211" s="4"/>
      <c r="P211" s="3"/>
      <c r="Q211" s="14">
        <v>3</v>
      </c>
      <c r="R211" s="1">
        <f t="shared" si="71"/>
        <v>222000</v>
      </c>
      <c r="S211" s="2">
        <v>528000</v>
      </c>
      <c r="T211" s="2">
        <f t="shared" si="72"/>
        <v>74000</v>
      </c>
      <c r="U211" s="13"/>
      <c r="V211" s="13"/>
      <c r="W211" s="13"/>
      <c r="X211" s="13">
        <v>0</v>
      </c>
      <c r="Y211" s="13">
        <v>0</v>
      </c>
      <c r="Z211" s="13">
        <v>2000</v>
      </c>
      <c r="AA211" s="13">
        <v>4000</v>
      </c>
      <c r="AB211" s="13">
        <v>4000</v>
      </c>
      <c r="AC211" s="13">
        <v>10000</v>
      </c>
      <c r="AD211" s="8">
        <v>20000</v>
      </c>
      <c r="AE211" s="8">
        <v>20000</v>
      </c>
      <c r="AF211" s="8">
        <v>20000</v>
      </c>
      <c r="AG211" s="13">
        <f t="shared" ref="AG211:AG228" si="80">AF211</f>
        <v>20000</v>
      </c>
      <c r="AH211" s="15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9"/>
      <c r="AU211" s="9" t="s">
        <v>1105</v>
      </c>
      <c r="AV211" s="4" t="s">
        <v>1215</v>
      </c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>
        <f t="shared" si="67"/>
        <v>0</v>
      </c>
      <c r="BN211" s="9">
        <f t="shared" si="69"/>
        <v>6000</v>
      </c>
      <c r="BO211" s="9">
        <f t="shared" si="70"/>
        <v>12000</v>
      </c>
      <c r="BP211" s="9">
        <f t="shared" si="73"/>
        <v>12000</v>
      </c>
      <c r="BQ211" s="9">
        <f t="shared" si="74"/>
        <v>30000</v>
      </c>
      <c r="BR211" s="9">
        <f t="shared" si="75"/>
        <v>60000</v>
      </c>
      <c r="BS211" s="9">
        <f t="shared" si="76"/>
        <v>60000</v>
      </c>
      <c r="BT211" s="9">
        <f t="shared" si="77"/>
        <v>60000</v>
      </c>
    </row>
    <row r="212" spans="1:72" hidden="1" x14ac:dyDescent="0.25">
      <c r="A212" s="11">
        <f t="shared" si="68"/>
        <v>211</v>
      </c>
      <c r="B212" s="4" t="s">
        <v>1339</v>
      </c>
      <c r="C212" s="4" t="s">
        <v>59</v>
      </c>
      <c r="D212" s="4"/>
      <c r="E212" s="4" t="s">
        <v>610</v>
      </c>
      <c r="F212" s="4"/>
      <c r="G212" s="4" t="s">
        <v>1340</v>
      </c>
      <c r="H212" s="4" t="s">
        <v>613</v>
      </c>
      <c r="I212" s="12">
        <v>8602</v>
      </c>
      <c r="J212" s="12"/>
      <c r="K212" s="4" t="s">
        <v>614</v>
      </c>
      <c r="L212" s="13"/>
      <c r="M212" s="4" t="s">
        <v>74</v>
      </c>
      <c r="N212" s="4"/>
      <c r="O212" s="4"/>
      <c r="P212" s="3"/>
      <c r="Q212" s="14">
        <v>3</v>
      </c>
      <c r="R212" s="1">
        <f t="shared" si="71"/>
        <v>54000</v>
      </c>
      <c r="S212" s="2">
        <v>276000</v>
      </c>
      <c r="T212" s="2">
        <f t="shared" si="72"/>
        <v>18000</v>
      </c>
      <c r="U212" s="13"/>
      <c r="V212" s="13"/>
      <c r="W212" s="13"/>
      <c r="X212" s="13">
        <v>0</v>
      </c>
      <c r="Y212" s="13">
        <v>0</v>
      </c>
      <c r="Z212" s="13">
        <v>0</v>
      </c>
      <c r="AA212" s="13">
        <v>1000</v>
      </c>
      <c r="AB212" s="13">
        <v>2000</v>
      </c>
      <c r="AC212" s="13">
        <v>4000</v>
      </c>
      <c r="AD212" s="13">
        <v>4000</v>
      </c>
      <c r="AE212" s="13">
        <v>4000</v>
      </c>
      <c r="AF212" s="13">
        <v>4000</v>
      </c>
      <c r="AG212" s="13">
        <f t="shared" si="80"/>
        <v>4000</v>
      </c>
      <c r="AH212" s="15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9"/>
      <c r="AU212" s="9" t="s">
        <v>1105</v>
      </c>
      <c r="AV212" s="4" t="s">
        <v>1215</v>
      </c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>
        <f t="shared" si="67"/>
        <v>0</v>
      </c>
      <c r="BN212" s="9">
        <f t="shared" si="69"/>
        <v>0</v>
      </c>
      <c r="BO212" s="9">
        <f t="shared" si="70"/>
        <v>3000</v>
      </c>
      <c r="BP212" s="9">
        <f t="shared" si="73"/>
        <v>6000</v>
      </c>
      <c r="BQ212" s="9">
        <f t="shared" si="74"/>
        <v>12000</v>
      </c>
      <c r="BR212" s="9">
        <f t="shared" si="75"/>
        <v>12000</v>
      </c>
      <c r="BS212" s="9">
        <f t="shared" si="76"/>
        <v>12000</v>
      </c>
      <c r="BT212" s="9">
        <f t="shared" si="77"/>
        <v>12000</v>
      </c>
    </row>
    <row r="213" spans="1:72" hidden="1" x14ac:dyDescent="0.25">
      <c r="A213" s="11">
        <f t="shared" si="68"/>
        <v>212</v>
      </c>
      <c r="B213" s="4" t="s">
        <v>601</v>
      </c>
      <c r="C213" s="4" t="s">
        <v>59</v>
      </c>
      <c r="D213" s="4"/>
      <c r="E213" s="4" t="s">
        <v>610</v>
      </c>
      <c r="F213" s="4"/>
      <c r="G213" s="4" t="s">
        <v>1340</v>
      </c>
      <c r="H213" s="4" t="s">
        <v>613</v>
      </c>
      <c r="I213" s="12">
        <v>8602</v>
      </c>
      <c r="J213" s="12"/>
      <c r="K213" s="4" t="s">
        <v>615</v>
      </c>
      <c r="L213" s="13"/>
      <c r="M213" s="4" t="s">
        <v>74</v>
      </c>
      <c r="N213" s="4"/>
      <c r="O213" s="4"/>
      <c r="P213" s="3"/>
      <c r="Q213" s="14">
        <v>2.5</v>
      </c>
      <c r="R213" s="1">
        <f t="shared" si="71"/>
        <v>185000</v>
      </c>
      <c r="S213" s="2">
        <v>245000</v>
      </c>
      <c r="T213" s="2">
        <f t="shared" si="72"/>
        <v>74000</v>
      </c>
      <c r="U213" s="13"/>
      <c r="V213" s="13"/>
      <c r="W213" s="13"/>
      <c r="X213" s="13">
        <v>0</v>
      </c>
      <c r="Y213" s="13">
        <v>0</v>
      </c>
      <c r="Z213" s="13">
        <v>0</v>
      </c>
      <c r="AA213" s="8">
        <v>1000</v>
      </c>
      <c r="AB213" s="8">
        <v>4000</v>
      </c>
      <c r="AC213" s="8">
        <v>10000</v>
      </c>
      <c r="AD213" s="8">
        <v>20000</v>
      </c>
      <c r="AE213" s="8">
        <v>20000</v>
      </c>
      <c r="AF213" s="8">
        <v>20000</v>
      </c>
      <c r="AG213" s="13">
        <f t="shared" si="80"/>
        <v>20000</v>
      </c>
      <c r="AH213" s="15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9"/>
      <c r="AU213" s="9" t="s">
        <v>1105</v>
      </c>
      <c r="AV213" s="4" t="s">
        <v>1215</v>
      </c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>
        <f t="shared" si="67"/>
        <v>0</v>
      </c>
      <c r="BN213" s="9">
        <f t="shared" si="69"/>
        <v>0</v>
      </c>
      <c r="BO213" s="9">
        <f t="shared" si="70"/>
        <v>2500</v>
      </c>
      <c r="BP213" s="9">
        <f t="shared" si="73"/>
        <v>10000</v>
      </c>
      <c r="BQ213" s="9">
        <f t="shared" si="74"/>
        <v>25000</v>
      </c>
      <c r="BR213" s="9">
        <f t="shared" si="75"/>
        <v>50000</v>
      </c>
      <c r="BS213" s="9">
        <f t="shared" si="76"/>
        <v>50000</v>
      </c>
      <c r="BT213" s="9">
        <f t="shared" si="77"/>
        <v>50000</v>
      </c>
    </row>
    <row r="214" spans="1:72" hidden="1" x14ac:dyDescent="0.25">
      <c r="A214" s="11">
        <f t="shared" si="68"/>
        <v>213</v>
      </c>
      <c r="B214" s="4" t="s">
        <v>608</v>
      </c>
      <c r="C214" s="4" t="s">
        <v>59</v>
      </c>
      <c r="D214" s="4"/>
      <c r="E214" s="4" t="s">
        <v>610</v>
      </c>
      <c r="F214" s="4"/>
      <c r="G214" s="4" t="s">
        <v>1340</v>
      </c>
      <c r="H214" s="4" t="s">
        <v>613</v>
      </c>
      <c r="I214" s="12">
        <v>8602</v>
      </c>
      <c r="J214" s="12"/>
      <c r="K214" s="4" t="s">
        <v>616</v>
      </c>
      <c r="L214" s="13"/>
      <c r="M214" s="4" t="s">
        <v>74</v>
      </c>
      <c r="N214" s="4"/>
      <c r="O214" s="4"/>
      <c r="P214" s="3"/>
      <c r="Q214" s="14">
        <v>2.5</v>
      </c>
      <c r="R214" s="1">
        <f t="shared" si="71"/>
        <v>45000</v>
      </c>
      <c r="S214" s="2">
        <v>230000</v>
      </c>
      <c r="T214" s="2">
        <f t="shared" si="72"/>
        <v>18000</v>
      </c>
      <c r="U214" s="13"/>
      <c r="V214" s="13"/>
      <c r="W214" s="13"/>
      <c r="X214" s="13">
        <v>0</v>
      </c>
      <c r="Y214" s="13">
        <v>0</v>
      </c>
      <c r="Z214" s="13">
        <v>0</v>
      </c>
      <c r="AA214" s="8">
        <v>1000</v>
      </c>
      <c r="AB214" s="8">
        <v>2000</v>
      </c>
      <c r="AC214" s="8">
        <v>4000</v>
      </c>
      <c r="AD214" s="8">
        <v>4000</v>
      </c>
      <c r="AE214" s="8">
        <v>4000</v>
      </c>
      <c r="AF214" s="8">
        <v>4000</v>
      </c>
      <c r="AG214" s="13">
        <f t="shared" si="80"/>
        <v>4000</v>
      </c>
      <c r="AH214" s="15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9"/>
      <c r="AU214" s="9" t="s">
        <v>1105</v>
      </c>
      <c r="AV214" s="4" t="s">
        <v>1215</v>
      </c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>
        <f t="shared" si="67"/>
        <v>0</v>
      </c>
      <c r="BN214" s="9">
        <f t="shared" si="69"/>
        <v>0</v>
      </c>
      <c r="BO214" s="9">
        <f t="shared" si="70"/>
        <v>2500</v>
      </c>
      <c r="BP214" s="9">
        <f t="shared" si="73"/>
        <v>5000</v>
      </c>
      <c r="BQ214" s="9">
        <f t="shared" si="74"/>
        <v>10000</v>
      </c>
      <c r="BR214" s="9">
        <f t="shared" si="75"/>
        <v>10000</v>
      </c>
      <c r="BS214" s="9">
        <f t="shared" si="76"/>
        <v>10000</v>
      </c>
      <c r="BT214" s="9">
        <f t="shared" si="77"/>
        <v>10000</v>
      </c>
    </row>
    <row r="215" spans="1:72" hidden="1" x14ac:dyDescent="0.25">
      <c r="A215" s="11">
        <f t="shared" si="68"/>
        <v>214</v>
      </c>
      <c r="B215" s="4" t="s">
        <v>605</v>
      </c>
      <c r="C215" s="4" t="s">
        <v>59</v>
      </c>
      <c r="D215" s="4"/>
      <c r="E215" s="4" t="s">
        <v>610</v>
      </c>
      <c r="F215" s="4"/>
      <c r="G215" s="4" t="s">
        <v>1340</v>
      </c>
      <c r="H215" s="4" t="s">
        <v>613</v>
      </c>
      <c r="I215" s="12">
        <v>8602</v>
      </c>
      <c r="J215" s="12"/>
      <c r="K215" s="4" t="s">
        <v>617</v>
      </c>
      <c r="L215" s="13"/>
      <c r="M215" s="4" t="s">
        <v>297</v>
      </c>
      <c r="N215" s="4"/>
      <c r="O215" s="4"/>
      <c r="P215" s="3"/>
      <c r="Q215" s="14">
        <v>2.5</v>
      </c>
      <c r="R215" s="1">
        <f t="shared" si="71"/>
        <v>45000</v>
      </c>
      <c r="S215" s="2">
        <v>230000</v>
      </c>
      <c r="T215" s="2">
        <f t="shared" si="72"/>
        <v>18000</v>
      </c>
      <c r="U215" s="13"/>
      <c r="V215" s="13"/>
      <c r="W215" s="13"/>
      <c r="X215" s="13">
        <v>0</v>
      </c>
      <c r="Y215" s="13">
        <v>0</v>
      </c>
      <c r="Z215" s="13">
        <v>0</v>
      </c>
      <c r="AA215" s="8">
        <v>1000</v>
      </c>
      <c r="AB215" s="8">
        <v>2000</v>
      </c>
      <c r="AC215" s="8">
        <v>4000</v>
      </c>
      <c r="AD215" s="8">
        <v>4000</v>
      </c>
      <c r="AE215" s="8">
        <v>4000</v>
      </c>
      <c r="AF215" s="8">
        <v>4000</v>
      </c>
      <c r="AG215" s="13">
        <f t="shared" si="80"/>
        <v>4000</v>
      </c>
      <c r="AH215" s="15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9"/>
      <c r="AU215" s="9" t="s">
        <v>1105</v>
      </c>
      <c r="AV215" s="4" t="s">
        <v>1215</v>
      </c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>
        <f t="shared" si="67"/>
        <v>0</v>
      </c>
      <c r="BN215" s="9">
        <f t="shared" si="69"/>
        <v>0</v>
      </c>
      <c r="BO215" s="9">
        <f t="shared" si="70"/>
        <v>2500</v>
      </c>
      <c r="BP215" s="9">
        <f t="shared" si="73"/>
        <v>5000</v>
      </c>
      <c r="BQ215" s="9">
        <f t="shared" si="74"/>
        <v>10000</v>
      </c>
      <c r="BR215" s="9">
        <f t="shared" si="75"/>
        <v>10000</v>
      </c>
      <c r="BS215" s="9">
        <f t="shared" si="76"/>
        <v>10000</v>
      </c>
      <c r="BT215" s="9">
        <f t="shared" si="77"/>
        <v>10000</v>
      </c>
    </row>
    <row r="216" spans="1:72" hidden="1" x14ac:dyDescent="0.25">
      <c r="A216" s="11">
        <f t="shared" si="68"/>
        <v>215</v>
      </c>
      <c r="B216" s="4" t="s">
        <v>606</v>
      </c>
      <c r="C216" s="4" t="s">
        <v>59</v>
      </c>
      <c r="D216" s="4"/>
      <c r="E216" s="4" t="s">
        <v>610</v>
      </c>
      <c r="F216" s="4"/>
      <c r="G216" s="4" t="s">
        <v>1340</v>
      </c>
      <c r="H216" s="4" t="s">
        <v>613</v>
      </c>
      <c r="I216" s="12">
        <v>8602</v>
      </c>
      <c r="J216" s="12"/>
      <c r="K216" s="4" t="s">
        <v>616</v>
      </c>
      <c r="L216" s="13"/>
      <c r="M216" s="4" t="s">
        <v>74</v>
      </c>
      <c r="N216" s="4"/>
      <c r="O216" s="4"/>
      <c r="P216" s="3"/>
      <c r="Q216" s="14">
        <v>2.5</v>
      </c>
      <c r="R216" s="1">
        <f t="shared" si="71"/>
        <v>45000</v>
      </c>
      <c r="S216" s="2">
        <v>145000</v>
      </c>
      <c r="T216" s="2">
        <f t="shared" si="72"/>
        <v>18000</v>
      </c>
      <c r="U216" s="13"/>
      <c r="V216" s="13"/>
      <c r="W216" s="13"/>
      <c r="X216" s="13">
        <v>0</v>
      </c>
      <c r="Y216" s="13">
        <v>0</v>
      </c>
      <c r="Z216" s="13">
        <v>0</v>
      </c>
      <c r="AA216" s="8">
        <v>1000</v>
      </c>
      <c r="AB216" s="8">
        <v>2000</v>
      </c>
      <c r="AC216" s="8">
        <v>4000</v>
      </c>
      <c r="AD216" s="8">
        <v>4000</v>
      </c>
      <c r="AE216" s="8">
        <v>4000</v>
      </c>
      <c r="AF216" s="8">
        <v>4000</v>
      </c>
      <c r="AG216" s="13">
        <f t="shared" si="80"/>
        <v>4000</v>
      </c>
      <c r="AH216" s="15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9"/>
      <c r="AU216" s="9" t="s">
        <v>1105</v>
      </c>
      <c r="AV216" s="4" t="s">
        <v>1215</v>
      </c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>
        <f t="shared" si="67"/>
        <v>0</v>
      </c>
      <c r="BN216" s="9">
        <f t="shared" si="69"/>
        <v>0</v>
      </c>
      <c r="BO216" s="9">
        <f t="shared" si="70"/>
        <v>2500</v>
      </c>
      <c r="BP216" s="9">
        <f t="shared" si="73"/>
        <v>5000</v>
      </c>
      <c r="BQ216" s="9">
        <f t="shared" si="74"/>
        <v>10000</v>
      </c>
      <c r="BR216" s="9">
        <f t="shared" si="75"/>
        <v>10000</v>
      </c>
      <c r="BS216" s="9">
        <f t="shared" si="76"/>
        <v>10000</v>
      </c>
      <c r="BT216" s="9">
        <f t="shared" si="77"/>
        <v>10000</v>
      </c>
    </row>
    <row r="217" spans="1:72" hidden="1" x14ac:dyDescent="0.25">
      <c r="A217" s="11">
        <f t="shared" si="68"/>
        <v>216</v>
      </c>
      <c r="B217" s="4" t="s">
        <v>618</v>
      </c>
      <c r="C217" s="4" t="s">
        <v>59</v>
      </c>
      <c r="D217" s="4"/>
      <c r="E217" s="4" t="s">
        <v>610</v>
      </c>
      <c r="F217" s="4"/>
      <c r="G217" s="4" t="s">
        <v>1340</v>
      </c>
      <c r="H217" s="4" t="s">
        <v>613</v>
      </c>
      <c r="I217" s="12">
        <v>8602</v>
      </c>
      <c r="J217" s="12"/>
      <c r="K217" s="4" t="s">
        <v>615</v>
      </c>
      <c r="L217" s="13"/>
      <c r="M217" s="4" t="s">
        <v>74</v>
      </c>
      <c r="N217" s="4"/>
      <c r="O217" s="4"/>
      <c r="P217" s="3"/>
      <c r="Q217" s="14">
        <v>2.5</v>
      </c>
      <c r="R217" s="1">
        <f t="shared" si="71"/>
        <v>0</v>
      </c>
      <c r="S217" s="2">
        <v>120000</v>
      </c>
      <c r="T217" s="2">
        <f t="shared" si="72"/>
        <v>0</v>
      </c>
      <c r="U217" s="13"/>
      <c r="V217" s="13"/>
      <c r="W217" s="13"/>
      <c r="X217" s="13">
        <v>0</v>
      </c>
      <c r="Y217" s="13">
        <v>0</v>
      </c>
      <c r="Z217" s="13">
        <v>0</v>
      </c>
      <c r="AA217" s="13"/>
      <c r="AB217" s="13"/>
      <c r="AC217" s="13"/>
      <c r="AD217" s="13"/>
      <c r="AE217" s="13"/>
      <c r="AF217" s="13"/>
      <c r="AG217" s="13">
        <f t="shared" si="80"/>
        <v>0</v>
      </c>
      <c r="AH217" s="15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9"/>
      <c r="AU217" s="9" t="s">
        <v>1105</v>
      </c>
      <c r="AV217" s="4" t="s">
        <v>1214</v>
      </c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>
        <f t="shared" si="67"/>
        <v>0</v>
      </c>
      <c r="BN217" s="9">
        <f t="shared" si="69"/>
        <v>0</v>
      </c>
      <c r="BO217" s="9">
        <f t="shared" si="70"/>
        <v>0</v>
      </c>
      <c r="BP217" s="9">
        <f t="shared" si="73"/>
        <v>0</v>
      </c>
      <c r="BQ217" s="9">
        <f t="shared" si="74"/>
        <v>0</v>
      </c>
      <c r="BR217" s="9">
        <f t="shared" si="75"/>
        <v>0</v>
      </c>
      <c r="BS217" s="9">
        <f t="shared" si="76"/>
        <v>0</v>
      </c>
      <c r="BT217" s="9">
        <f t="shared" si="77"/>
        <v>0</v>
      </c>
    </row>
    <row r="218" spans="1:72" hidden="1" x14ac:dyDescent="0.25">
      <c r="A218" s="11">
        <f t="shared" si="68"/>
        <v>217</v>
      </c>
      <c r="B218" s="4" t="s">
        <v>607</v>
      </c>
      <c r="C218" s="4" t="s">
        <v>59</v>
      </c>
      <c r="D218" s="4"/>
      <c r="E218" s="4" t="s">
        <v>610</v>
      </c>
      <c r="F218" s="4"/>
      <c r="G218" s="4" t="s">
        <v>1340</v>
      </c>
      <c r="H218" s="4" t="s">
        <v>613</v>
      </c>
      <c r="I218" s="12">
        <v>8602</v>
      </c>
      <c r="J218" s="12"/>
      <c r="K218" s="4" t="s">
        <v>615</v>
      </c>
      <c r="L218" s="13"/>
      <c r="M218" s="4" t="s">
        <v>74</v>
      </c>
      <c r="N218" s="4"/>
      <c r="O218" s="4"/>
      <c r="P218" s="3"/>
      <c r="Q218" s="14">
        <v>2.5</v>
      </c>
      <c r="R218" s="1">
        <f t="shared" si="71"/>
        <v>45000</v>
      </c>
      <c r="S218" s="2">
        <v>120000</v>
      </c>
      <c r="T218" s="2">
        <f t="shared" si="72"/>
        <v>18000</v>
      </c>
      <c r="U218" s="13"/>
      <c r="V218" s="13"/>
      <c r="W218" s="13"/>
      <c r="X218" s="13">
        <v>0</v>
      </c>
      <c r="Y218" s="13">
        <v>0</v>
      </c>
      <c r="Z218" s="13">
        <v>0</v>
      </c>
      <c r="AA218" s="8">
        <v>1000</v>
      </c>
      <c r="AB218" s="8">
        <v>2000</v>
      </c>
      <c r="AC218" s="8">
        <v>4000</v>
      </c>
      <c r="AD218" s="8">
        <v>4000</v>
      </c>
      <c r="AE218" s="8">
        <v>4000</v>
      </c>
      <c r="AF218" s="8">
        <v>4000</v>
      </c>
      <c r="AG218" s="13">
        <f t="shared" si="80"/>
        <v>4000</v>
      </c>
      <c r="AH218" s="15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9"/>
      <c r="AU218" s="9" t="s">
        <v>1105</v>
      </c>
      <c r="AV218" s="4" t="s">
        <v>1215</v>
      </c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>
        <f t="shared" si="67"/>
        <v>0</v>
      </c>
      <c r="BN218" s="9">
        <f t="shared" si="69"/>
        <v>0</v>
      </c>
      <c r="BO218" s="9">
        <f t="shared" si="70"/>
        <v>2500</v>
      </c>
      <c r="BP218" s="9">
        <f t="shared" si="73"/>
        <v>5000</v>
      </c>
      <c r="BQ218" s="9">
        <f t="shared" si="74"/>
        <v>10000</v>
      </c>
      <c r="BR218" s="9">
        <f t="shared" si="75"/>
        <v>10000</v>
      </c>
      <c r="BS218" s="9">
        <f t="shared" si="76"/>
        <v>10000</v>
      </c>
      <c r="BT218" s="9">
        <f t="shared" si="77"/>
        <v>10000</v>
      </c>
    </row>
    <row r="219" spans="1:72" hidden="1" x14ac:dyDescent="0.25">
      <c r="A219" s="11">
        <f t="shared" si="68"/>
        <v>218</v>
      </c>
      <c r="B219" s="4" t="s">
        <v>600</v>
      </c>
      <c r="C219" s="4" t="s">
        <v>59</v>
      </c>
      <c r="D219" s="4"/>
      <c r="E219" s="4" t="s">
        <v>610</v>
      </c>
      <c r="F219" s="4"/>
      <c r="G219" s="4" t="s">
        <v>1340</v>
      </c>
      <c r="H219" s="4" t="s">
        <v>613</v>
      </c>
      <c r="I219" s="12">
        <v>8602</v>
      </c>
      <c r="J219" s="12"/>
      <c r="K219" s="4" t="s">
        <v>615</v>
      </c>
      <c r="L219" s="13"/>
      <c r="M219" s="4" t="s">
        <v>74</v>
      </c>
      <c r="N219" s="4"/>
      <c r="O219" s="4"/>
      <c r="P219" s="3"/>
      <c r="Q219" s="14">
        <v>2.5</v>
      </c>
      <c r="R219" s="1">
        <f t="shared" si="71"/>
        <v>185000</v>
      </c>
      <c r="S219" s="2">
        <v>120000</v>
      </c>
      <c r="T219" s="2">
        <f t="shared" si="72"/>
        <v>74000</v>
      </c>
      <c r="U219" s="13"/>
      <c r="V219" s="13"/>
      <c r="W219" s="13"/>
      <c r="X219" s="13">
        <v>0</v>
      </c>
      <c r="Y219" s="13">
        <v>0</v>
      </c>
      <c r="Z219" s="13">
        <v>0</v>
      </c>
      <c r="AA219" s="13">
        <v>1000</v>
      </c>
      <c r="AB219" s="13">
        <v>4000</v>
      </c>
      <c r="AC219" s="13">
        <v>10000</v>
      </c>
      <c r="AD219" s="8">
        <v>20000</v>
      </c>
      <c r="AE219" s="8">
        <v>20000</v>
      </c>
      <c r="AF219" s="8">
        <v>20000</v>
      </c>
      <c r="AG219" s="13">
        <f t="shared" si="80"/>
        <v>20000</v>
      </c>
      <c r="AH219" s="15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9"/>
      <c r="AU219" s="9" t="s">
        <v>1105</v>
      </c>
      <c r="AV219" s="4" t="s">
        <v>1215</v>
      </c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>
        <f t="shared" si="67"/>
        <v>0</v>
      </c>
      <c r="BN219" s="9">
        <f t="shared" si="69"/>
        <v>0</v>
      </c>
      <c r="BO219" s="9">
        <f t="shared" si="70"/>
        <v>2500</v>
      </c>
      <c r="BP219" s="9">
        <f t="shared" si="73"/>
        <v>10000</v>
      </c>
      <c r="BQ219" s="9">
        <f t="shared" si="74"/>
        <v>25000</v>
      </c>
      <c r="BR219" s="9">
        <f t="shared" si="75"/>
        <v>50000</v>
      </c>
      <c r="BS219" s="9">
        <f t="shared" si="76"/>
        <v>50000</v>
      </c>
      <c r="BT219" s="9">
        <f t="shared" si="77"/>
        <v>50000</v>
      </c>
    </row>
    <row r="220" spans="1:72" hidden="1" x14ac:dyDescent="0.25">
      <c r="A220" s="11">
        <f t="shared" si="68"/>
        <v>219</v>
      </c>
      <c r="B220" s="4" t="s">
        <v>603</v>
      </c>
      <c r="C220" s="4" t="s">
        <v>59</v>
      </c>
      <c r="D220" s="4"/>
      <c r="E220" s="4" t="s">
        <v>610</v>
      </c>
      <c r="F220" s="4"/>
      <c r="G220" s="4" t="s">
        <v>1340</v>
      </c>
      <c r="H220" s="4" t="s">
        <v>613</v>
      </c>
      <c r="I220" s="12">
        <v>8602</v>
      </c>
      <c r="J220" s="12"/>
      <c r="K220" s="4" t="s">
        <v>615</v>
      </c>
      <c r="L220" s="13"/>
      <c r="M220" s="4" t="s">
        <v>74</v>
      </c>
      <c r="N220" s="4"/>
      <c r="O220" s="4"/>
      <c r="P220" s="3"/>
      <c r="Q220" s="14">
        <v>2.5</v>
      </c>
      <c r="R220" s="1">
        <f t="shared" si="71"/>
        <v>90000</v>
      </c>
      <c r="S220" s="2">
        <v>120000</v>
      </c>
      <c r="T220" s="2">
        <f t="shared" si="72"/>
        <v>36000</v>
      </c>
      <c r="U220" s="13"/>
      <c r="V220" s="13"/>
      <c r="W220" s="13"/>
      <c r="X220" s="13">
        <v>0</v>
      </c>
      <c r="Y220" s="13">
        <v>0</v>
      </c>
      <c r="Z220" s="13">
        <v>0</v>
      </c>
      <c r="AA220" s="8">
        <v>1000</v>
      </c>
      <c r="AB220" s="8">
        <v>2000</v>
      </c>
      <c r="AC220" s="8">
        <v>4000</v>
      </c>
      <c r="AD220" s="8">
        <v>10000</v>
      </c>
      <c r="AE220" s="8">
        <v>10000</v>
      </c>
      <c r="AF220" s="8">
        <v>10000</v>
      </c>
      <c r="AG220" s="13">
        <f t="shared" si="80"/>
        <v>10000</v>
      </c>
      <c r="AH220" s="15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9"/>
      <c r="AU220" s="9" t="s">
        <v>1105</v>
      </c>
      <c r="AV220" s="4" t="s">
        <v>1215</v>
      </c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>
        <f t="shared" si="67"/>
        <v>0</v>
      </c>
      <c r="BN220" s="9">
        <f t="shared" si="69"/>
        <v>0</v>
      </c>
      <c r="BO220" s="9">
        <f t="shared" si="70"/>
        <v>2500</v>
      </c>
      <c r="BP220" s="9">
        <f t="shared" si="73"/>
        <v>5000</v>
      </c>
      <c r="BQ220" s="9">
        <f t="shared" si="74"/>
        <v>10000</v>
      </c>
      <c r="BR220" s="9">
        <f t="shared" si="75"/>
        <v>25000</v>
      </c>
      <c r="BS220" s="9">
        <f t="shared" si="76"/>
        <v>25000</v>
      </c>
      <c r="BT220" s="9">
        <f t="shared" si="77"/>
        <v>25000</v>
      </c>
    </row>
    <row r="221" spans="1:72" hidden="1" x14ac:dyDescent="0.25">
      <c r="A221" s="11">
        <f t="shared" si="68"/>
        <v>220</v>
      </c>
      <c r="B221" s="4" t="s">
        <v>619</v>
      </c>
      <c r="C221" s="4" t="s">
        <v>59</v>
      </c>
      <c r="D221" s="4"/>
      <c r="E221" s="4" t="s">
        <v>610</v>
      </c>
      <c r="F221" s="4"/>
      <c r="G221" s="4" t="s">
        <v>1340</v>
      </c>
      <c r="H221" s="4" t="s">
        <v>613</v>
      </c>
      <c r="I221" s="12">
        <v>8602</v>
      </c>
      <c r="J221" s="12"/>
      <c r="K221" s="4" t="s">
        <v>615</v>
      </c>
      <c r="L221" s="13"/>
      <c r="M221" s="4" t="s">
        <v>74</v>
      </c>
      <c r="N221" s="4"/>
      <c r="O221" s="4"/>
      <c r="P221" s="3"/>
      <c r="Q221" s="14">
        <v>2.5</v>
      </c>
      <c r="R221" s="1">
        <f t="shared" si="71"/>
        <v>0</v>
      </c>
      <c r="S221" s="2">
        <v>120000</v>
      </c>
      <c r="T221" s="2">
        <f t="shared" si="72"/>
        <v>0</v>
      </c>
      <c r="U221" s="13"/>
      <c r="V221" s="13"/>
      <c r="W221" s="13"/>
      <c r="X221" s="13">
        <v>0</v>
      </c>
      <c r="Y221" s="13">
        <v>0</v>
      </c>
      <c r="Z221" s="13">
        <v>0</v>
      </c>
      <c r="AA221" s="13"/>
      <c r="AB221" s="13"/>
      <c r="AC221" s="13"/>
      <c r="AD221" s="13"/>
      <c r="AE221" s="13"/>
      <c r="AF221" s="13"/>
      <c r="AG221" s="13">
        <f t="shared" si="80"/>
        <v>0</v>
      </c>
      <c r="AH221" s="15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9"/>
      <c r="AU221" s="9" t="s">
        <v>1105</v>
      </c>
      <c r="AV221" s="4" t="s">
        <v>1214</v>
      </c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>
        <f t="shared" si="67"/>
        <v>0</v>
      </c>
      <c r="BN221" s="9">
        <f t="shared" si="69"/>
        <v>0</v>
      </c>
      <c r="BO221" s="9">
        <f t="shared" si="70"/>
        <v>0</v>
      </c>
      <c r="BP221" s="9">
        <f t="shared" si="73"/>
        <v>0</v>
      </c>
      <c r="BQ221" s="9">
        <f t="shared" si="74"/>
        <v>0</v>
      </c>
      <c r="BR221" s="9">
        <f t="shared" si="75"/>
        <v>0</v>
      </c>
      <c r="BS221" s="9">
        <f t="shared" si="76"/>
        <v>0</v>
      </c>
      <c r="BT221" s="9">
        <f t="shared" si="77"/>
        <v>0</v>
      </c>
    </row>
    <row r="222" spans="1:72" hidden="1" x14ac:dyDescent="0.25">
      <c r="A222" s="11">
        <f t="shared" si="68"/>
        <v>221</v>
      </c>
      <c r="B222" s="4" t="s">
        <v>609</v>
      </c>
      <c r="C222" s="4" t="s">
        <v>59</v>
      </c>
      <c r="D222" s="9"/>
      <c r="E222" s="4" t="s">
        <v>610</v>
      </c>
      <c r="F222" s="9"/>
      <c r="G222" s="4" t="s">
        <v>1340</v>
      </c>
      <c r="H222" s="4" t="s">
        <v>613</v>
      </c>
      <c r="I222" s="12">
        <v>8602</v>
      </c>
      <c r="J222" s="9"/>
      <c r="K222" s="4" t="s">
        <v>615</v>
      </c>
      <c r="L222" s="9"/>
      <c r="M222" s="4" t="s">
        <v>74</v>
      </c>
      <c r="N222" s="9"/>
      <c r="O222" s="9"/>
      <c r="P222" s="9"/>
      <c r="Q222" s="14">
        <v>2.5</v>
      </c>
      <c r="R222" s="1">
        <f t="shared" si="71"/>
        <v>125000</v>
      </c>
      <c r="S222" s="9"/>
      <c r="T222" s="2">
        <f t="shared" si="72"/>
        <v>50000</v>
      </c>
      <c r="U222" s="9"/>
      <c r="V222" s="9"/>
      <c r="W222" s="9"/>
      <c r="X222" s="9"/>
      <c r="Y222" s="9"/>
      <c r="Z222" s="9"/>
      <c r="AA222" s="8">
        <v>0</v>
      </c>
      <c r="AB222" s="8">
        <v>1000</v>
      </c>
      <c r="AC222" s="8">
        <v>4000</v>
      </c>
      <c r="AD222" s="8">
        <v>15000</v>
      </c>
      <c r="AE222" s="8">
        <v>15000</v>
      </c>
      <c r="AF222" s="8">
        <v>15000</v>
      </c>
      <c r="AG222" s="13">
        <f t="shared" si="80"/>
        <v>15000</v>
      </c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 t="s">
        <v>1105</v>
      </c>
      <c r="AV222" s="4" t="s">
        <v>1215</v>
      </c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>
        <f t="shared" si="67"/>
        <v>0</v>
      </c>
      <c r="BN222" s="9">
        <f t="shared" si="69"/>
        <v>0</v>
      </c>
      <c r="BO222" s="9">
        <f t="shared" si="70"/>
        <v>0</v>
      </c>
      <c r="BP222" s="9">
        <f t="shared" si="73"/>
        <v>2500</v>
      </c>
      <c r="BQ222" s="9">
        <f t="shared" si="74"/>
        <v>10000</v>
      </c>
      <c r="BR222" s="9">
        <f t="shared" si="75"/>
        <v>37500</v>
      </c>
      <c r="BS222" s="9">
        <f t="shared" si="76"/>
        <v>37500</v>
      </c>
      <c r="BT222" s="9">
        <f t="shared" si="77"/>
        <v>37500</v>
      </c>
    </row>
    <row r="223" spans="1:72" hidden="1" x14ac:dyDescent="0.25">
      <c r="A223" s="11">
        <f t="shared" si="68"/>
        <v>222</v>
      </c>
      <c r="B223" s="4" t="s">
        <v>604</v>
      </c>
      <c r="C223" s="4" t="s">
        <v>59</v>
      </c>
      <c r="D223" s="9"/>
      <c r="E223" s="4" t="s">
        <v>610</v>
      </c>
      <c r="F223" s="9"/>
      <c r="G223" s="4" t="s">
        <v>1340</v>
      </c>
      <c r="H223" s="4" t="s">
        <v>613</v>
      </c>
      <c r="I223" s="12">
        <v>8602</v>
      </c>
      <c r="J223" s="9"/>
      <c r="K223" s="4" t="s">
        <v>615</v>
      </c>
      <c r="L223" s="9"/>
      <c r="M223" s="4" t="s">
        <v>74</v>
      </c>
      <c r="N223" s="9"/>
      <c r="O223" s="9"/>
      <c r="P223" s="9"/>
      <c r="Q223" s="14">
        <v>2.5</v>
      </c>
      <c r="R223" s="1">
        <f t="shared" si="71"/>
        <v>95000</v>
      </c>
      <c r="S223" s="9"/>
      <c r="T223" s="2">
        <f t="shared" si="72"/>
        <v>38000</v>
      </c>
      <c r="U223" s="9"/>
      <c r="V223" s="9"/>
      <c r="W223" s="9"/>
      <c r="X223" s="9"/>
      <c r="Y223" s="9"/>
      <c r="Z223" s="9"/>
      <c r="AA223" s="8">
        <v>1000</v>
      </c>
      <c r="AB223" s="8">
        <v>4000</v>
      </c>
      <c r="AC223" s="8">
        <v>4000</v>
      </c>
      <c r="AD223" s="8">
        <v>10000</v>
      </c>
      <c r="AE223" s="8">
        <v>10000</v>
      </c>
      <c r="AF223" s="8">
        <v>10000</v>
      </c>
      <c r="AG223" s="13">
        <f t="shared" si="80"/>
        <v>10000</v>
      </c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 t="s">
        <v>1105</v>
      </c>
      <c r="AV223" s="4" t="s">
        <v>1215</v>
      </c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>
        <f t="shared" si="67"/>
        <v>0</v>
      </c>
      <c r="BN223" s="9">
        <f t="shared" si="69"/>
        <v>0</v>
      </c>
      <c r="BO223" s="9">
        <f t="shared" si="70"/>
        <v>2500</v>
      </c>
      <c r="BP223" s="9">
        <f t="shared" si="73"/>
        <v>10000</v>
      </c>
      <c r="BQ223" s="9">
        <f t="shared" si="74"/>
        <v>10000</v>
      </c>
      <c r="BR223" s="9">
        <f t="shared" si="75"/>
        <v>25000</v>
      </c>
      <c r="BS223" s="9">
        <f t="shared" si="76"/>
        <v>25000</v>
      </c>
      <c r="BT223" s="9">
        <f t="shared" si="77"/>
        <v>25000</v>
      </c>
    </row>
    <row r="224" spans="1:72" hidden="1" x14ac:dyDescent="0.25">
      <c r="A224" s="11">
        <f t="shared" si="68"/>
        <v>223</v>
      </c>
      <c r="B224" s="4" t="s">
        <v>602</v>
      </c>
      <c r="C224" s="4" t="s">
        <v>59</v>
      </c>
      <c r="D224" s="9"/>
      <c r="E224" s="4" t="s">
        <v>610</v>
      </c>
      <c r="F224" s="9"/>
      <c r="G224" s="4" t="s">
        <v>1340</v>
      </c>
      <c r="H224" s="4" t="s">
        <v>613</v>
      </c>
      <c r="I224" s="12">
        <v>8602</v>
      </c>
      <c r="J224" s="9"/>
      <c r="K224" s="4" t="s">
        <v>615</v>
      </c>
      <c r="L224" s="9"/>
      <c r="M224" s="4" t="s">
        <v>74</v>
      </c>
      <c r="N224" s="9"/>
      <c r="O224" s="9"/>
      <c r="P224" s="9"/>
      <c r="Q224" s="14">
        <v>2.5</v>
      </c>
      <c r="R224" s="1">
        <f t="shared" si="71"/>
        <v>90000</v>
      </c>
      <c r="S224" s="9"/>
      <c r="T224" s="2">
        <f t="shared" si="72"/>
        <v>36000</v>
      </c>
      <c r="U224" s="9"/>
      <c r="V224" s="9"/>
      <c r="W224" s="9"/>
      <c r="X224" s="9"/>
      <c r="Y224" s="9"/>
      <c r="Z224" s="9"/>
      <c r="AA224" s="8">
        <v>1000</v>
      </c>
      <c r="AB224" s="8">
        <v>2000</v>
      </c>
      <c r="AC224" s="8">
        <v>4000</v>
      </c>
      <c r="AD224" s="8">
        <v>10000</v>
      </c>
      <c r="AE224" s="8">
        <v>10000</v>
      </c>
      <c r="AF224" s="8">
        <v>10000</v>
      </c>
      <c r="AG224" s="13">
        <f t="shared" si="80"/>
        <v>10000</v>
      </c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 t="s">
        <v>1105</v>
      </c>
      <c r="AV224" s="4" t="s">
        <v>1215</v>
      </c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>
        <f t="shared" si="67"/>
        <v>0</v>
      </c>
      <c r="BN224" s="9">
        <f t="shared" si="69"/>
        <v>0</v>
      </c>
      <c r="BO224" s="9">
        <f t="shared" si="70"/>
        <v>2500</v>
      </c>
      <c r="BP224" s="9">
        <f t="shared" si="73"/>
        <v>5000</v>
      </c>
      <c r="BQ224" s="9">
        <f t="shared" si="74"/>
        <v>10000</v>
      </c>
      <c r="BR224" s="9">
        <f t="shared" si="75"/>
        <v>25000</v>
      </c>
      <c r="BS224" s="9">
        <f t="shared" si="76"/>
        <v>25000</v>
      </c>
      <c r="BT224" s="9">
        <f t="shared" si="77"/>
        <v>25000</v>
      </c>
    </row>
    <row r="225" spans="1:72" hidden="1" x14ac:dyDescent="0.25">
      <c r="A225" s="11">
        <f t="shared" si="68"/>
        <v>224</v>
      </c>
      <c r="B225" s="5" t="s">
        <v>1341</v>
      </c>
      <c r="C225" s="5" t="s">
        <v>128</v>
      </c>
      <c r="D225" s="4" t="s">
        <v>1342</v>
      </c>
      <c r="E225" s="4" t="s">
        <v>1343</v>
      </c>
      <c r="F225" s="4" t="s">
        <v>1344</v>
      </c>
      <c r="G225" s="33" t="s">
        <v>1785</v>
      </c>
      <c r="H225" s="33" t="s">
        <v>1794</v>
      </c>
      <c r="I225" s="33"/>
      <c r="J225" s="33"/>
      <c r="K225" s="5" t="s">
        <v>1345</v>
      </c>
      <c r="L225" s="24">
        <v>10800000</v>
      </c>
      <c r="M225" s="13" t="s">
        <v>74</v>
      </c>
      <c r="N225" s="5" t="s">
        <v>1346</v>
      </c>
      <c r="O225" s="4" t="s">
        <v>622</v>
      </c>
      <c r="P225" s="4">
        <v>0.33</v>
      </c>
      <c r="Q225" s="17">
        <v>0.26</v>
      </c>
      <c r="R225" s="1">
        <f t="shared" si="71"/>
        <v>468000</v>
      </c>
      <c r="S225" s="34"/>
      <c r="T225" s="2">
        <f t="shared" si="72"/>
        <v>1800000</v>
      </c>
      <c r="U225" s="24"/>
      <c r="V225" s="24"/>
      <c r="W225" s="24">
        <v>5000</v>
      </c>
      <c r="X225" s="24">
        <v>6000</v>
      </c>
      <c r="Y225" s="24">
        <v>12000</v>
      </c>
      <c r="Z225" s="24">
        <v>12000</v>
      </c>
      <c r="AA225" s="24">
        <v>12000</v>
      </c>
      <c r="AB225" s="24">
        <v>400000</v>
      </c>
      <c r="AC225" s="24">
        <v>400000</v>
      </c>
      <c r="AD225" s="24">
        <v>400000</v>
      </c>
      <c r="AE225" s="24">
        <v>300000</v>
      </c>
      <c r="AF225" s="24">
        <v>300000</v>
      </c>
      <c r="AG225" s="13">
        <f t="shared" si="80"/>
        <v>300000</v>
      </c>
      <c r="AH225" s="2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4" t="s">
        <v>620</v>
      </c>
      <c r="AU225" s="4" t="s">
        <v>1105</v>
      </c>
      <c r="AV225" s="4" t="s">
        <v>1218</v>
      </c>
      <c r="AW225" s="4" t="s">
        <v>623</v>
      </c>
      <c r="AX225" s="4" t="s">
        <v>624</v>
      </c>
      <c r="AY225" s="4" t="s">
        <v>625</v>
      </c>
      <c r="AZ225" s="4" t="s">
        <v>621</v>
      </c>
      <c r="BA225" s="4"/>
      <c r="BB225" s="4"/>
      <c r="BC225" s="4"/>
      <c r="BD225" s="23">
        <v>2</v>
      </c>
      <c r="BE225" s="4"/>
      <c r="BF225" s="18"/>
      <c r="BG225" s="18"/>
      <c r="BH225" s="18"/>
      <c r="BI225" s="18"/>
      <c r="BJ225" s="18"/>
      <c r="BK225" s="26"/>
      <c r="BL225" s="13"/>
      <c r="BM225" s="9">
        <f t="shared" si="67"/>
        <v>3120</v>
      </c>
      <c r="BN225" s="9">
        <f t="shared" si="69"/>
        <v>3120</v>
      </c>
      <c r="BO225" s="9">
        <f t="shared" si="70"/>
        <v>3120</v>
      </c>
      <c r="BP225" s="9">
        <f t="shared" si="73"/>
        <v>104000</v>
      </c>
      <c r="BQ225" s="9">
        <f t="shared" si="74"/>
        <v>104000</v>
      </c>
      <c r="BR225" s="9">
        <f t="shared" si="75"/>
        <v>104000</v>
      </c>
      <c r="BS225" s="9">
        <f t="shared" si="76"/>
        <v>78000</v>
      </c>
      <c r="BT225" s="9">
        <f t="shared" si="77"/>
        <v>78000</v>
      </c>
    </row>
    <row r="226" spans="1:72" hidden="1" x14ac:dyDescent="0.25">
      <c r="A226" s="11">
        <f t="shared" si="68"/>
        <v>225</v>
      </c>
      <c r="B226" s="5" t="s">
        <v>1347</v>
      </c>
      <c r="C226" s="5" t="s">
        <v>59</v>
      </c>
      <c r="D226" s="4" t="s">
        <v>1348</v>
      </c>
      <c r="E226" s="4" t="s">
        <v>1343</v>
      </c>
      <c r="F226" s="33" t="s">
        <v>1349</v>
      </c>
      <c r="G226" s="33" t="s">
        <v>157</v>
      </c>
      <c r="H226" s="33" t="s">
        <v>1046</v>
      </c>
      <c r="I226" s="33"/>
      <c r="J226" s="33"/>
      <c r="K226" s="33" t="s">
        <v>1350</v>
      </c>
      <c r="L226" s="35">
        <v>12000000</v>
      </c>
      <c r="M226" s="5" t="s">
        <v>291</v>
      </c>
      <c r="N226" s="5"/>
      <c r="O226" s="33" t="s">
        <v>626</v>
      </c>
      <c r="P226" s="5"/>
      <c r="Q226" s="36">
        <v>0.12</v>
      </c>
      <c r="R226" s="1">
        <f t="shared" si="71"/>
        <v>0</v>
      </c>
      <c r="S226" s="34"/>
      <c r="T226" s="2">
        <f t="shared" si="72"/>
        <v>0</v>
      </c>
      <c r="U226" s="24">
        <v>1000000</v>
      </c>
      <c r="V226" s="24">
        <v>1000000</v>
      </c>
      <c r="W226" s="24">
        <v>1000000</v>
      </c>
      <c r="X226" s="24">
        <v>0</v>
      </c>
      <c r="Y226" s="24">
        <v>0</v>
      </c>
      <c r="Z226" s="24">
        <v>0</v>
      </c>
      <c r="AA226" s="24">
        <v>0</v>
      </c>
      <c r="AB226" s="24">
        <v>0</v>
      </c>
      <c r="AC226" s="24">
        <v>0</v>
      </c>
      <c r="AD226" s="24">
        <v>0</v>
      </c>
      <c r="AE226" s="24">
        <v>0</v>
      </c>
      <c r="AF226" s="24">
        <v>0</v>
      </c>
      <c r="AG226" s="13">
        <f t="shared" si="80"/>
        <v>0</v>
      </c>
      <c r="AH226" s="2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4" t="s">
        <v>620</v>
      </c>
      <c r="AU226" s="4" t="s">
        <v>1105</v>
      </c>
      <c r="AV226" s="4" t="s">
        <v>1218</v>
      </c>
      <c r="AW226" s="4" t="s">
        <v>627</v>
      </c>
      <c r="AX226" s="4" t="s">
        <v>628</v>
      </c>
      <c r="AY226" s="4"/>
      <c r="AZ226" s="4"/>
      <c r="BA226" s="4"/>
      <c r="BB226" s="4"/>
      <c r="BC226" s="4"/>
      <c r="BD226" s="23"/>
      <c r="BE226" s="4"/>
      <c r="BF226" s="4"/>
      <c r="BG226" s="4"/>
      <c r="BH226" s="4"/>
      <c r="BI226" s="4"/>
      <c r="BJ226" s="4"/>
      <c r="BK226" s="5"/>
      <c r="BL226" s="5"/>
      <c r="BM226" s="9">
        <f t="shared" si="67"/>
        <v>0</v>
      </c>
      <c r="BN226" s="9">
        <f t="shared" si="69"/>
        <v>0</v>
      </c>
      <c r="BO226" s="9">
        <f t="shared" si="70"/>
        <v>0</v>
      </c>
      <c r="BP226" s="9">
        <f t="shared" si="73"/>
        <v>0</v>
      </c>
      <c r="BQ226" s="9">
        <f t="shared" si="74"/>
        <v>0</v>
      </c>
      <c r="BR226" s="9">
        <f t="shared" si="75"/>
        <v>0</v>
      </c>
      <c r="BS226" s="9">
        <f t="shared" si="76"/>
        <v>0</v>
      </c>
      <c r="BT226" s="9">
        <f t="shared" si="77"/>
        <v>0</v>
      </c>
    </row>
    <row r="227" spans="1:72" hidden="1" x14ac:dyDescent="0.25">
      <c r="A227" s="11">
        <f t="shared" si="68"/>
        <v>226</v>
      </c>
      <c r="B227" s="5" t="s">
        <v>1351</v>
      </c>
      <c r="C227" s="5" t="s">
        <v>186</v>
      </c>
      <c r="D227" s="4" t="s">
        <v>1348</v>
      </c>
      <c r="E227" s="4" t="s">
        <v>1343</v>
      </c>
      <c r="F227" s="33" t="s">
        <v>1349</v>
      </c>
      <c r="G227" s="33" t="s">
        <v>1211</v>
      </c>
      <c r="H227" s="33" t="s">
        <v>1213</v>
      </c>
      <c r="I227" s="33"/>
      <c r="J227" s="33"/>
      <c r="K227" s="33" t="s">
        <v>1352</v>
      </c>
      <c r="L227" s="35">
        <v>5000000</v>
      </c>
      <c r="M227" s="5" t="s">
        <v>74</v>
      </c>
      <c r="N227" s="5"/>
      <c r="O227" s="33" t="s">
        <v>109</v>
      </c>
      <c r="P227" s="4"/>
      <c r="Q227" s="36">
        <v>0.2</v>
      </c>
      <c r="R227" s="1">
        <f t="shared" si="71"/>
        <v>500000</v>
      </c>
      <c r="S227" s="34"/>
      <c r="T227" s="2">
        <f t="shared" si="72"/>
        <v>2500000</v>
      </c>
      <c r="U227" s="24">
        <v>500000</v>
      </c>
      <c r="V227" s="24">
        <v>500000</v>
      </c>
      <c r="W227" s="24">
        <v>0</v>
      </c>
      <c r="X227" s="24">
        <v>0</v>
      </c>
      <c r="Y227" s="24">
        <v>0</v>
      </c>
      <c r="Z227" s="24">
        <v>0</v>
      </c>
      <c r="AA227" s="24">
        <v>0</v>
      </c>
      <c r="AB227" s="24">
        <v>500000</v>
      </c>
      <c r="AC227" s="24">
        <v>500000</v>
      </c>
      <c r="AD227" s="24">
        <v>500000</v>
      </c>
      <c r="AE227" s="24">
        <v>500000</v>
      </c>
      <c r="AF227" s="24">
        <v>500000</v>
      </c>
      <c r="AG227" s="13">
        <f t="shared" si="80"/>
        <v>500000</v>
      </c>
      <c r="AH227" s="2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4"/>
      <c r="AU227" s="4" t="s">
        <v>1105</v>
      </c>
      <c r="AV227" s="4" t="s">
        <v>1218</v>
      </c>
      <c r="AW227" s="4"/>
      <c r="AX227" s="4"/>
      <c r="AY227" s="4"/>
      <c r="AZ227" s="4"/>
      <c r="BA227" s="4"/>
      <c r="BB227" s="4"/>
      <c r="BC227" s="4"/>
      <c r="BD227" s="23"/>
      <c r="BE227" s="4"/>
      <c r="BF227" s="18"/>
      <c r="BG227" s="18"/>
      <c r="BH227" s="18"/>
      <c r="BI227" s="18"/>
      <c r="BJ227" s="18"/>
      <c r="BK227" s="26"/>
      <c r="BL227" s="13"/>
      <c r="BM227" s="9">
        <f t="shared" si="67"/>
        <v>0</v>
      </c>
      <c r="BN227" s="9">
        <f t="shared" si="69"/>
        <v>0</v>
      </c>
      <c r="BO227" s="9">
        <f t="shared" si="70"/>
        <v>0</v>
      </c>
      <c r="BP227" s="9">
        <f t="shared" si="73"/>
        <v>100000</v>
      </c>
      <c r="BQ227" s="9">
        <f t="shared" si="74"/>
        <v>100000</v>
      </c>
      <c r="BR227" s="9">
        <f t="shared" si="75"/>
        <v>100000</v>
      </c>
      <c r="BS227" s="9">
        <f t="shared" si="76"/>
        <v>100000</v>
      </c>
      <c r="BT227" s="9">
        <f t="shared" si="77"/>
        <v>100000</v>
      </c>
    </row>
    <row r="228" spans="1:72" hidden="1" x14ac:dyDescent="0.25">
      <c r="A228" s="11">
        <f t="shared" si="68"/>
        <v>227</v>
      </c>
      <c r="B228" s="5" t="s">
        <v>1353</v>
      </c>
      <c r="C228" s="5" t="s">
        <v>59</v>
      </c>
      <c r="D228" s="4" t="s">
        <v>1348</v>
      </c>
      <c r="E228" s="4" t="s">
        <v>1343</v>
      </c>
      <c r="F228" s="33" t="s">
        <v>1349</v>
      </c>
      <c r="G228" s="33" t="s">
        <v>497</v>
      </c>
      <c r="H228" s="33" t="s">
        <v>857</v>
      </c>
      <c r="I228" s="33"/>
      <c r="J228" s="33"/>
      <c r="K228" s="33" t="s">
        <v>1354</v>
      </c>
      <c r="L228" s="35">
        <v>1800000</v>
      </c>
      <c r="M228" s="5" t="s">
        <v>291</v>
      </c>
      <c r="N228" s="5"/>
      <c r="O228" s="33" t="s">
        <v>109</v>
      </c>
      <c r="P228" s="5"/>
      <c r="Q228" s="36">
        <v>0.28000000000000003</v>
      </c>
      <c r="R228" s="1">
        <f t="shared" si="71"/>
        <v>420000.00000000006</v>
      </c>
      <c r="S228" s="34"/>
      <c r="T228" s="2">
        <f t="shared" si="72"/>
        <v>1500000</v>
      </c>
      <c r="U228" s="24">
        <v>300000</v>
      </c>
      <c r="V228" s="24">
        <v>300000</v>
      </c>
      <c r="W228" s="24">
        <v>300000</v>
      </c>
      <c r="X228" s="24">
        <v>300000</v>
      </c>
      <c r="Y228" s="24">
        <v>300000</v>
      </c>
      <c r="Z228" s="24">
        <v>300000</v>
      </c>
      <c r="AA228" s="24">
        <v>300000</v>
      </c>
      <c r="AB228" s="24">
        <v>300000</v>
      </c>
      <c r="AC228" s="24">
        <v>300000</v>
      </c>
      <c r="AD228" s="24">
        <v>300000</v>
      </c>
      <c r="AE228" s="24">
        <v>300000</v>
      </c>
      <c r="AF228" s="24">
        <v>300000</v>
      </c>
      <c r="AG228" s="13">
        <f t="shared" si="80"/>
        <v>300000</v>
      </c>
      <c r="AH228" s="2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4" t="s">
        <v>620</v>
      </c>
      <c r="AU228" s="4" t="s">
        <v>1105</v>
      </c>
      <c r="AV228" s="4" t="s">
        <v>1218</v>
      </c>
      <c r="AW228" s="4" t="s">
        <v>623</v>
      </c>
      <c r="AX228" s="4" t="s">
        <v>629</v>
      </c>
      <c r="AY228" s="4" t="s">
        <v>630</v>
      </c>
      <c r="AZ228" s="4"/>
      <c r="BA228" s="4"/>
      <c r="BB228" s="4"/>
      <c r="BC228" s="4"/>
      <c r="BD228" s="23"/>
      <c r="BE228" s="4"/>
      <c r="BF228" s="4"/>
      <c r="BG228" s="4"/>
      <c r="BH228" s="4"/>
      <c r="BI228" s="4"/>
      <c r="BJ228" s="4"/>
      <c r="BK228" s="5"/>
      <c r="BL228" s="5"/>
      <c r="BM228" s="9">
        <f t="shared" si="67"/>
        <v>84000.000000000015</v>
      </c>
      <c r="BN228" s="9">
        <f t="shared" si="69"/>
        <v>84000.000000000015</v>
      </c>
      <c r="BO228" s="9">
        <f t="shared" si="70"/>
        <v>84000.000000000015</v>
      </c>
      <c r="BP228" s="9">
        <f t="shared" si="73"/>
        <v>84000.000000000015</v>
      </c>
      <c r="BQ228" s="9">
        <f t="shared" si="74"/>
        <v>84000.000000000015</v>
      </c>
      <c r="BR228" s="9">
        <f t="shared" si="75"/>
        <v>84000.000000000015</v>
      </c>
      <c r="BS228" s="9">
        <f t="shared" si="76"/>
        <v>84000.000000000015</v>
      </c>
      <c r="BT228" s="9">
        <f t="shared" si="77"/>
        <v>84000.000000000015</v>
      </c>
    </row>
    <row r="229" spans="1:72" hidden="1" x14ac:dyDescent="0.25">
      <c r="A229" s="11">
        <f t="shared" si="68"/>
        <v>228</v>
      </c>
      <c r="B229" s="5" t="s">
        <v>1355</v>
      </c>
      <c r="C229" s="5" t="s">
        <v>59</v>
      </c>
      <c r="D229" s="4" t="s">
        <v>1342</v>
      </c>
      <c r="E229" s="4" t="s">
        <v>1343</v>
      </c>
      <c r="F229" s="4" t="s">
        <v>1356</v>
      </c>
      <c r="G229" s="4" t="s">
        <v>144</v>
      </c>
      <c r="H229" s="4" t="s">
        <v>545</v>
      </c>
      <c r="I229" s="4"/>
      <c r="J229" s="4"/>
      <c r="K229" s="4" t="s">
        <v>1357</v>
      </c>
      <c r="L229" s="24">
        <v>10000000</v>
      </c>
      <c r="M229" s="13" t="s">
        <v>74</v>
      </c>
      <c r="N229" s="5" t="s">
        <v>1358</v>
      </c>
      <c r="O229" s="4" t="s">
        <v>631</v>
      </c>
      <c r="P229" s="4">
        <v>0.35</v>
      </c>
      <c r="Q229" s="17">
        <v>0.22</v>
      </c>
      <c r="R229" s="1">
        <f t="shared" si="71"/>
        <v>0</v>
      </c>
      <c r="S229" s="34"/>
      <c r="T229" s="2">
        <f t="shared" si="72"/>
        <v>0</v>
      </c>
      <c r="U229" s="24">
        <v>0</v>
      </c>
      <c r="V229" s="24">
        <v>10000</v>
      </c>
      <c r="W229" s="24">
        <v>10000</v>
      </c>
      <c r="X229" s="24"/>
      <c r="Y229" s="24"/>
      <c r="Z229" s="24"/>
      <c r="AA229" s="24"/>
      <c r="AB229" s="24"/>
      <c r="AC229" s="24"/>
      <c r="AD229" s="24"/>
      <c r="AE229" s="24"/>
      <c r="AF229" s="24"/>
      <c r="AG229" s="13">
        <f>AF229</f>
        <v>0</v>
      </c>
      <c r="AH229" s="24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4" t="s">
        <v>620</v>
      </c>
      <c r="AU229" s="4" t="s">
        <v>1105</v>
      </c>
      <c r="AV229" s="4" t="s">
        <v>1218</v>
      </c>
      <c r="AW229" s="4" t="s">
        <v>627</v>
      </c>
      <c r="AX229" s="4" t="s">
        <v>628</v>
      </c>
      <c r="AY229" s="4" t="s">
        <v>632</v>
      </c>
      <c r="AZ229" s="4" t="s">
        <v>633</v>
      </c>
      <c r="BA229" s="4"/>
      <c r="BB229" s="4"/>
      <c r="BC229" s="4"/>
      <c r="BD229" s="23">
        <v>3</v>
      </c>
      <c r="BE229" s="4"/>
      <c r="BF229" s="18"/>
      <c r="BG229" s="18"/>
      <c r="BH229" s="18"/>
      <c r="BI229" s="18"/>
      <c r="BJ229" s="18"/>
      <c r="BK229" s="26"/>
      <c r="BL229" s="13"/>
      <c r="BM229" s="9">
        <f t="shared" si="67"/>
        <v>0</v>
      </c>
      <c r="BN229" s="9">
        <f t="shared" si="69"/>
        <v>0</v>
      </c>
      <c r="BO229" s="9">
        <f t="shared" si="70"/>
        <v>0</v>
      </c>
      <c r="BP229" s="9">
        <f t="shared" si="73"/>
        <v>0</v>
      </c>
      <c r="BQ229" s="9">
        <f t="shared" si="74"/>
        <v>0</v>
      </c>
      <c r="BR229" s="9">
        <f t="shared" si="75"/>
        <v>0</v>
      </c>
      <c r="BS229" s="9">
        <f t="shared" si="76"/>
        <v>0</v>
      </c>
      <c r="BT229" s="9">
        <f t="shared" si="77"/>
        <v>0</v>
      </c>
    </row>
    <row r="230" spans="1:72" hidden="1" x14ac:dyDescent="0.25">
      <c r="A230" s="11">
        <f t="shared" si="68"/>
        <v>229</v>
      </c>
      <c r="B230" s="4" t="s">
        <v>634</v>
      </c>
      <c r="C230" s="4" t="s">
        <v>59</v>
      </c>
      <c r="D230" s="4" t="s">
        <v>1157</v>
      </c>
      <c r="E230" s="4" t="s">
        <v>1343</v>
      </c>
      <c r="F230" s="4" t="s">
        <v>1359</v>
      </c>
      <c r="G230" s="4" t="s">
        <v>1747</v>
      </c>
      <c r="H230" s="4" t="s">
        <v>1748</v>
      </c>
      <c r="I230" s="4"/>
      <c r="J230" s="4"/>
      <c r="K230" s="4" t="s">
        <v>1360</v>
      </c>
      <c r="L230" s="24">
        <v>240000</v>
      </c>
      <c r="M230" s="4" t="s">
        <v>74</v>
      </c>
      <c r="N230" s="4" t="s">
        <v>1361</v>
      </c>
      <c r="O230" s="4"/>
      <c r="P230" s="4"/>
      <c r="Q230" s="36">
        <v>3.65</v>
      </c>
      <c r="R230" s="1">
        <f t="shared" si="71"/>
        <v>182500</v>
      </c>
      <c r="S230" s="4"/>
      <c r="T230" s="2">
        <f t="shared" si="72"/>
        <v>50000</v>
      </c>
      <c r="U230" s="24">
        <v>20000</v>
      </c>
      <c r="V230" s="24">
        <v>20000</v>
      </c>
      <c r="W230" s="24">
        <v>20000</v>
      </c>
      <c r="X230" s="24">
        <v>10000</v>
      </c>
      <c r="Y230" s="24">
        <v>10000</v>
      </c>
      <c r="Z230" s="24">
        <v>10000</v>
      </c>
      <c r="AA230" s="24">
        <v>10000</v>
      </c>
      <c r="AB230" s="24">
        <v>10000</v>
      </c>
      <c r="AC230" s="24">
        <v>10000</v>
      </c>
      <c r="AD230" s="24">
        <v>10000</v>
      </c>
      <c r="AE230" s="24">
        <v>10000</v>
      </c>
      <c r="AF230" s="24">
        <v>10000</v>
      </c>
      <c r="AG230" s="13">
        <f>AF230</f>
        <v>10000</v>
      </c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4" t="s">
        <v>620</v>
      </c>
      <c r="AU230" s="4" t="s">
        <v>1105</v>
      </c>
      <c r="AV230" s="4" t="s">
        <v>1216</v>
      </c>
      <c r="AW230" s="4" t="s">
        <v>635</v>
      </c>
      <c r="AX230" s="4" t="s">
        <v>636</v>
      </c>
      <c r="AY230" s="4" t="s">
        <v>637</v>
      </c>
      <c r="AZ230" s="4"/>
      <c r="BA230" s="5"/>
      <c r="BB230" s="5"/>
      <c r="BC230" s="5"/>
      <c r="BD230" s="5"/>
      <c r="BE230" s="37"/>
      <c r="BF230" s="37"/>
      <c r="BG230" s="37"/>
      <c r="BH230" s="37"/>
      <c r="BI230" s="37"/>
      <c r="BJ230" s="37"/>
      <c r="BK230" s="5"/>
      <c r="BL230" s="5"/>
      <c r="BM230" s="9">
        <f t="shared" si="67"/>
        <v>36500</v>
      </c>
      <c r="BN230" s="9">
        <f t="shared" si="69"/>
        <v>36500</v>
      </c>
      <c r="BO230" s="9">
        <f t="shared" si="70"/>
        <v>36500</v>
      </c>
      <c r="BP230" s="9">
        <f t="shared" si="73"/>
        <v>36500</v>
      </c>
      <c r="BQ230" s="9">
        <f t="shared" si="74"/>
        <v>36500</v>
      </c>
      <c r="BR230" s="9">
        <f t="shared" si="75"/>
        <v>36500</v>
      </c>
      <c r="BS230" s="9">
        <f t="shared" si="76"/>
        <v>36500</v>
      </c>
      <c r="BT230" s="9">
        <f t="shared" si="77"/>
        <v>36500</v>
      </c>
    </row>
    <row r="231" spans="1:72" hidden="1" x14ac:dyDescent="0.25">
      <c r="A231" s="11">
        <f t="shared" si="68"/>
        <v>230</v>
      </c>
      <c r="B231" s="3" t="s">
        <v>1362</v>
      </c>
      <c r="C231" s="4" t="s">
        <v>59</v>
      </c>
      <c r="D231" s="3" t="s">
        <v>1348</v>
      </c>
      <c r="E231" s="4" t="s">
        <v>1343</v>
      </c>
      <c r="F231" s="3" t="s">
        <v>1349</v>
      </c>
      <c r="G231" s="3" t="s">
        <v>234</v>
      </c>
      <c r="H231" s="3" t="s">
        <v>1842</v>
      </c>
      <c r="I231" s="3"/>
      <c r="J231" s="3"/>
      <c r="K231" s="3" t="s">
        <v>638</v>
      </c>
      <c r="L231" s="35">
        <v>2000000</v>
      </c>
      <c r="M231" s="5" t="s">
        <v>291</v>
      </c>
      <c r="N231" s="5"/>
      <c r="O231" s="4"/>
      <c r="P231" s="5"/>
      <c r="Q231" s="36">
        <v>0.19</v>
      </c>
      <c r="R231" s="1">
        <f t="shared" si="71"/>
        <v>95000</v>
      </c>
      <c r="S231" s="34"/>
      <c r="T231" s="2">
        <f t="shared" si="72"/>
        <v>500000</v>
      </c>
      <c r="U231" s="24">
        <v>100000</v>
      </c>
      <c r="V231" s="24">
        <v>100000</v>
      </c>
      <c r="W231" s="24">
        <v>100000</v>
      </c>
      <c r="X231" s="24">
        <v>100000</v>
      </c>
      <c r="Y231" s="24">
        <v>100000</v>
      </c>
      <c r="Z231" s="24">
        <v>100000</v>
      </c>
      <c r="AA231" s="24">
        <v>100000</v>
      </c>
      <c r="AB231" s="24">
        <v>100000</v>
      </c>
      <c r="AC231" s="24">
        <v>100000</v>
      </c>
      <c r="AD231" s="24">
        <v>100000</v>
      </c>
      <c r="AE231" s="24">
        <v>100000</v>
      </c>
      <c r="AF231" s="24">
        <v>100000</v>
      </c>
      <c r="AG231" s="24">
        <v>100000</v>
      </c>
      <c r="AH231" s="2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4" t="s">
        <v>620</v>
      </c>
      <c r="AU231" s="4" t="s">
        <v>1105</v>
      </c>
      <c r="AV231" s="4" t="s">
        <v>1218</v>
      </c>
      <c r="AW231" s="4" t="s">
        <v>623</v>
      </c>
      <c r="AX231" s="4"/>
      <c r="AY231" s="4"/>
      <c r="AZ231" s="4"/>
      <c r="BA231" s="4"/>
      <c r="BB231" s="4"/>
      <c r="BC231" s="4"/>
      <c r="BD231" s="23"/>
      <c r="BE231" s="4"/>
      <c r="BF231" s="18"/>
      <c r="BG231" s="18"/>
      <c r="BH231" s="18"/>
      <c r="BI231" s="18"/>
      <c r="BJ231" s="18"/>
      <c r="BK231" s="26"/>
      <c r="BL231" s="13"/>
      <c r="BM231" s="9">
        <f t="shared" si="67"/>
        <v>19000</v>
      </c>
      <c r="BN231" s="9">
        <f t="shared" si="69"/>
        <v>19000</v>
      </c>
      <c r="BO231" s="9">
        <f t="shared" si="70"/>
        <v>19000</v>
      </c>
      <c r="BP231" s="9">
        <f t="shared" si="73"/>
        <v>19000</v>
      </c>
      <c r="BQ231" s="9">
        <f t="shared" si="74"/>
        <v>19000</v>
      </c>
      <c r="BR231" s="9">
        <f t="shared" si="75"/>
        <v>19000</v>
      </c>
      <c r="BS231" s="9">
        <f t="shared" si="76"/>
        <v>19000</v>
      </c>
      <c r="BT231" s="9">
        <f t="shared" si="77"/>
        <v>19000</v>
      </c>
    </row>
    <row r="232" spans="1:72" hidden="1" x14ac:dyDescent="0.25">
      <c r="A232" s="11">
        <f t="shared" si="68"/>
        <v>231</v>
      </c>
      <c r="B232" s="3" t="s">
        <v>1362</v>
      </c>
      <c r="C232" s="4" t="s">
        <v>59</v>
      </c>
      <c r="D232" s="3" t="s">
        <v>1348</v>
      </c>
      <c r="E232" s="4" t="s">
        <v>1343</v>
      </c>
      <c r="F232" s="3" t="s">
        <v>1349</v>
      </c>
      <c r="G232" s="3" t="s">
        <v>234</v>
      </c>
      <c r="H232" s="3" t="s">
        <v>1843</v>
      </c>
      <c r="I232" s="3"/>
      <c r="J232" s="3"/>
      <c r="K232" s="3" t="s">
        <v>638</v>
      </c>
      <c r="L232" s="35">
        <v>2000000</v>
      </c>
      <c r="M232" s="5" t="s">
        <v>291</v>
      </c>
      <c r="N232" s="5"/>
      <c r="O232" s="4"/>
      <c r="P232" s="5"/>
      <c r="Q232" s="36">
        <v>0.19</v>
      </c>
      <c r="R232" s="1">
        <f t="shared" ref="R232" si="81">Q232*T232</f>
        <v>114000</v>
      </c>
      <c r="S232" s="34"/>
      <c r="T232" s="2">
        <f t="shared" ref="T232" si="82">SUM(AB232:AF232)</f>
        <v>600000</v>
      </c>
      <c r="U232" s="24">
        <v>100000</v>
      </c>
      <c r="V232" s="24">
        <v>100000</v>
      </c>
      <c r="W232" s="24">
        <v>100000</v>
      </c>
      <c r="X232" s="24">
        <v>120000</v>
      </c>
      <c r="Y232" s="24">
        <v>120000</v>
      </c>
      <c r="Z232" s="24">
        <v>120000</v>
      </c>
      <c r="AA232" s="24">
        <v>120000</v>
      </c>
      <c r="AB232" s="24">
        <v>120000</v>
      </c>
      <c r="AC232" s="24">
        <v>120000</v>
      </c>
      <c r="AD232" s="24">
        <v>120000</v>
      </c>
      <c r="AE232" s="24">
        <v>120000</v>
      </c>
      <c r="AF232" s="24">
        <v>120000</v>
      </c>
      <c r="AG232" s="24">
        <v>120000</v>
      </c>
      <c r="AH232" s="2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4" t="s">
        <v>620</v>
      </c>
      <c r="AU232" s="4" t="s">
        <v>1105</v>
      </c>
      <c r="AV232" s="4" t="s">
        <v>1218</v>
      </c>
      <c r="AW232" s="4" t="s">
        <v>623</v>
      </c>
      <c r="AX232" s="4"/>
      <c r="AY232" s="4"/>
      <c r="AZ232" s="4"/>
      <c r="BA232" s="4"/>
      <c r="BB232" s="4"/>
      <c r="BC232" s="4"/>
      <c r="BD232" s="23"/>
      <c r="BE232" s="4"/>
      <c r="BF232" s="18"/>
      <c r="BG232" s="18"/>
      <c r="BH232" s="18"/>
      <c r="BI232" s="18"/>
      <c r="BJ232" s="18"/>
      <c r="BK232" s="26"/>
      <c r="BL232" s="13"/>
      <c r="BM232" s="9">
        <f t="shared" ref="BM232" si="83">$Q232*Y232</f>
        <v>22800</v>
      </c>
      <c r="BN232" s="9">
        <f t="shared" ref="BN232" si="84">$Q232*Z232</f>
        <v>22800</v>
      </c>
      <c r="BO232" s="9">
        <f t="shared" ref="BO232" si="85">$Q232*AA232</f>
        <v>22800</v>
      </c>
      <c r="BP232" s="9">
        <f t="shared" si="73"/>
        <v>22800</v>
      </c>
      <c r="BQ232" s="9">
        <f t="shared" si="74"/>
        <v>22800</v>
      </c>
      <c r="BR232" s="9">
        <f t="shared" si="75"/>
        <v>22800</v>
      </c>
      <c r="BS232" s="9">
        <f t="shared" si="76"/>
        <v>22800</v>
      </c>
      <c r="BT232" s="9">
        <f t="shared" si="77"/>
        <v>22800</v>
      </c>
    </row>
    <row r="233" spans="1:72" hidden="1" x14ac:dyDescent="0.25">
      <c r="A233" s="11">
        <f t="shared" si="68"/>
        <v>232</v>
      </c>
      <c r="B233" s="3" t="s">
        <v>1362</v>
      </c>
      <c r="C233" s="4" t="s">
        <v>59</v>
      </c>
      <c r="D233" s="3" t="s">
        <v>1348</v>
      </c>
      <c r="E233" s="4" t="s">
        <v>1343</v>
      </c>
      <c r="F233" s="3" t="s">
        <v>1349</v>
      </c>
      <c r="G233" s="3" t="s">
        <v>234</v>
      </c>
      <c r="H233" s="3" t="s">
        <v>235</v>
      </c>
      <c r="I233" s="3"/>
      <c r="J233" s="3"/>
      <c r="K233" s="3" t="s">
        <v>638</v>
      </c>
      <c r="L233" s="35">
        <v>2000000</v>
      </c>
      <c r="M233" s="5" t="s">
        <v>291</v>
      </c>
      <c r="N233" s="5"/>
      <c r="O233" s="4"/>
      <c r="P233" s="5"/>
      <c r="Q233" s="36">
        <v>0.19</v>
      </c>
      <c r="R233" s="1">
        <f t="shared" si="71"/>
        <v>95000</v>
      </c>
      <c r="S233" s="34"/>
      <c r="T233" s="2">
        <f t="shared" si="72"/>
        <v>500000</v>
      </c>
      <c r="U233" s="24"/>
      <c r="V233" s="24"/>
      <c r="W233" s="24">
        <v>30000</v>
      </c>
      <c r="X233" s="24">
        <v>40000</v>
      </c>
      <c r="Y233" s="24">
        <v>100000</v>
      </c>
      <c r="Z233" s="24">
        <v>100000</v>
      </c>
      <c r="AA233" s="24">
        <v>100000</v>
      </c>
      <c r="AB233" s="24">
        <v>100000</v>
      </c>
      <c r="AC233" s="24">
        <v>100000</v>
      </c>
      <c r="AD233" s="24">
        <v>100000</v>
      </c>
      <c r="AE233" s="24">
        <v>100000</v>
      </c>
      <c r="AF233" s="24">
        <v>100000</v>
      </c>
      <c r="AG233" s="24">
        <v>100000</v>
      </c>
      <c r="AH233" s="2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4" t="s">
        <v>620</v>
      </c>
      <c r="AU233" s="4" t="s">
        <v>1105</v>
      </c>
      <c r="AV233" s="4" t="s">
        <v>1218</v>
      </c>
      <c r="AW233" s="4" t="s">
        <v>623</v>
      </c>
      <c r="AX233" s="4"/>
      <c r="AY233" s="4"/>
      <c r="AZ233" s="4"/>
      <c r="BA233" s="4"/>
      <c r="BB233" s="4"/>
      <c r="BC233" s="4"/>
      <c r="BD233" s="23"/>
      <c r="BE233" s="4"/>
      <c r="BF233" s="18"/>
      <c r="BG233" s="18"/>
      <c r="BH233" s="18"/>
      <c r="BI233" s="18"/>
      <c r="BJ233" s="18"/>
      <c r="BK233" s="26"/>
      <c r="BL233" s="13"/>
      <c r="BM233" s="9">
        <f t="shared" si="67"/>
        <v>19000</v>
      </c>
      <c r="BN233" s="9">
        <f t="shared" si="69"/>
        <v>19000</v>
      </c>
      <c r="BO233" s="9">
        <f t="shared" si="70"/>
        <v>19000</v>
      </c>
      <c r="BP233" s="9">
        <f t="shared" si="73"/>
        <v>19000</v>
      </c>
      <c r="BQ233" s="9">
        <f t="shared" si="74"/>
        <v>19000</v>
      </c>
      <c r="BR233" s="9">
        <f t="shared" si="75"/>
        <v>19000</v>
      </c>
      <c r="BS233" s="9">
        <f t="shared" si="76"/>
        <v>19000</v>
      </c>
      <c r="BT233" s="9">
        <f t="shared" si="77"/>
        <v>19000</v>
      </c>
    </row>
    <row r="234" spans="1:72" hidden="1" x14ac:dyDescent="0.25">
      <c r="A234" s="11">
        <f t="shared" si="68"/>
        <v>233</v>
      </c>
      <c r="B234" s="5" t="s">
        <v>1363</v>
      </c>
      <c r="C234" s="5" t="s">
        <v>128</v>
      </c>
      <c r="D234" s="4" t="s">
        <v>1364</v>
      </c>
      <c r="E234" s="4" t="s">
        <v>1343</v>
      </c>
      <c r="F234" s="4" t="s">
        <v>1365</v>
      </c>
      <c r="G234" s="4" t="s">
        <v>116</v>
      </c>
      <c r="H234" s="4" t="s">
        <v>117</v>
      </c>
      <c r="I234" s="4"/>
      <c r="J234" s="4"/>
      <c r="K234" s="4" t="s">
        <v>1366</v>
      </c>
      <c r="L234" s="24"/>
      <c r="M234" s="13" t="s">
        <v>291</v>
      </c>
      <c r="N234" s="5" t="s">
        <v>310</v>
      </c>
      <c r="O234" s="4"/>
      <c r="P234" s="4"/>
      <c r="Q234" s="17">
        <v>0.46</v>
      </c>
      <c r="R234" s="1">
        <f t="shared" si="71"/>
        <v>345000</v>
      </c>
      <c r="S234" s="34"/>
      <c r="T234" s="2">
        <f t="shared" si="72"/>
        <v>750000</v>
      </c>
      <c r="U234" s="24">
        <v>150000</v>
      </c>
      <c r="V234" s="24">
        <v>150000</v>
      </c>
      <c r="W234" s="24">
        <v>150000</v>
      </c>
      <c r="X234" s="24">
        <v>150000</v>
      </c>
      <c r="Y234" s="24">
        <v>150000</v>
      </c>
      <c r="Z234" s="24">
        <v>150000</v>
      </c>
      <c r="AA234" s="24">
        <v>150000</v>
      </c>
      <c r="AB234" s="24">
        <v>150000</v>
      </c>
      <c r="AC234" s="24">
        <v>150000</v>
      </c>
      <c r="AD234" s="24">
        <v>150000</v>
      </c>
      <c r="AE234" s="24">
        <v>150000</v>
      </c>
      <c r="AF234" s="24">
        <v>150000</v>
      </c>
      <c r="AG234" s="13">
        <f>AF234</f>
        <v>150000</v>
      </c>
      <c r="AH234" s="2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4" t="s">
        <v>620</v>
      </c>
      <c r="AU234" s="4" t="s">
        <v>1105</v>
      </c>
      <c r="AV234" s="4" t="s">
        <v>1218</v>
      </c>
      <c r="AW234" s="4" t="s">
        <v>639</v>
      </c>
      <c r="AX234" s="4" t="s">
        <v>640</v>
      </c>
      <c r="AY234" s="4" t="s">
        <v>641</v>
      </c>
      <c r="AZ234" s="4" t="s">
        <v>642</v>
      </c>
      <c r="BA234" s="4"/>
      <c r="BB234" s="4"/>
      <c r="BC234" s="4"/>
      <c r="BD234" s="23"/>
      <c r="BE234" s="4"/>
      <c r="BF234" s="18"/>
      <c r="BG234" s="18"/>
      <c r="BH234" s="18"/>
      <c r="BI234" s="18"/>
      <c r="BJ234" s="18"/>
      <c r="BK234" s="26"/>
      <c r="BL234" s="13"/>
      <c r="BM234" s="9">
        <f t="shared" si="67"/>
        <v>69000</v>
      </c>
      <c r="BN234" s="9">
        <f t="shared" si="69"/>
        <v>69000</v>
      </c>
      <c r="BO234" s="9">
        <f t="shared" si="70"/>
        <v>69000</v>
      </c>
      <c r="BP234" s="9">
        <f t="shared" si="73"/>
        <v>69000</v>
      </c>
      <c r="BQ234" s="9">
        <f t="shared" si="74"/>
        <v>69000</v>
      </c>
      <c r="BR234" s="9">
        <f t="shared" si="75"/>
        <v>69000</v>
      </c>
      <c r="BS234" s="9">
        <f t="shared" si="76"/>
        <v>69000</v>
      </c>
      <c r="BT234" s="9">
        <f t="shared" si="77"/>
        <v>69000</v>
      </c>
    </row>
    <row r="235" spans="1:72" hidden="1" x14ac:dyDescent="0.25">
      <c r="A235" s="11">
        <f t="shared" si="68"/>
        <v>234</v>
      </c>
      <c r="B235" s="4" t="s">
        <v>1362</v>
      </c>
      <c r="C235" s="4" t="s">
        <v>59</v>
      </c>
      <c r="D235" s="33" t="s">
        <v>1348</v>
      </c>
      <c r="E235" s="4" t="s">
        <v>1343</v>
      </c>
      <c r="F235" s="33" t="s">
        <v>1349</v>
      </c>
      <c r="G235" s="82" t="s">
        <v>1367</v>
      </c>
      <c r="H235" s="82" t="s">
        <v>1048</v>
      </c>
      <c r="I235" s="33"/>
      <c r="J235" s="33"/>
      <c r="K235" s="33" t="s">
        <v>643</v>
      </c>
      <c r="L235" s="35">
        <v>3000000</v>
      </c>
      <c r="M235" s="4" t="s">
        <v>320</v>
      </c>
      <c r="N235" s="5"/>
      <c r="O235" s="4"/>
      <c r="P235" s="5"/>
      <c r="Q235" s="36">
        <v>0.25</v>
      </c>
      <c r="R235" s="1">
        <f t="shared" si="71"/>
        <v>0</v>
      </c>
      <c r="S235" s="34"/>
      <c r="T235" s="2">
        <f t="shared" si="72"/>
        <v>0</v>
      </c>
      <c r="U235" s="24"/>
      <c r="V235" s="24"/>
      <c r="W235" s="24">
        <v>50000</v>
      </c>
      <c r="X235" s="24">
        <v>50000</v>
      </c>
      <c r="Y235" s="24">
        <v>50000</v>
      </c>
      <c r="Z235" s="24">
        <v>50000</v>
      </c>
      <c r="AA235" s="24">
        <v>300000</v>
      </c>
      <c r="AB235" s="24">
        <v>0</v>
      </c>
      <c r="AC235" s="24">
        <v>0</v>
      </c>
      <c r="AD235" s="24">
        <v>0</v>
      </c>
      <c r="AE235" s="24">
        <v>0</v>
      </c>
      <c r="AF235" s="24">
        <v>0</v>
      </c>
      <c r="AG235" s="13">
        <v>0</v>
      </c>
      <c r="AH235" s="24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4" t="s">
        <v>620</v>
      </c>
      <c r="AU235" s="4" t="s">
        <v>1105</v>
      </c>
      <c r="AV235" s="4" t="s">
        <v>1218</v>
      </c>
      <c r="AW235" s="4" t="s">
        <v>635</v>
      </c>
      <c r="AX235" s="4"/>
      <c r="AY235" s="4"/>
      <c r="AZ235" s="4"/>
      <c r="BA235" s="4"/>
      <c r="BB235" s="4"/>
      <c r="BC235" s="4"/>
      <c r="BD235" s="23"/>
      <c r="BE235" s="4"/>
      <c r="BF235" s="18"/>
      <c r="BG235" s="18"/>
      <c r="BH235" s="18"/>
      <c r="BI235" s="18"/>
      <c r="BJ235" s="18"/>
      <c r="BK235" s="26"/>
      <c r="BL235" s="13"/>
      <c r="BM235" s="9">
        <f t="shared" si="67"/>
        <v>12500</v>
      </c>
      <c r="BN235" s="9">
        <f t="shared" si="69"/>
        <v>12500</v>
      </c>
      <c r="BO235" s="9">
        <f t="shared" si="70"/>
        <v>75000</v>
      </c>
      <c r="BP235" s="9">
        <f t="shared" si="73"/>
        <v>0</v>
      </c>
      <c r="BQ235" s="9">
        <f t="shared" si="74"/>
        <v>0</v>
      </c>
      <c r="BR235" s="9">
        <f t="shared" si="75"/>
        <v>0</v>
      </c>
      <c r="BS235" s="9">
        <f t="shared" si="76"/>
        <v>0</v>
      </c>
      <c r="BT235" s="9">
        <f t="shared" si="77"/>
        <v>0</v>
      </c>
    </row>
    <row r="236" spans="1:72" hidden="1" x14ac:dyDescent="0.25">
      <c r="A236" s="11">
        <f t="shared" si="68"/>
        <v>235</v>
      </c>
      <c r="B236" s="5" t="s">
        <v>1368</v>
      </c>
      <c r="C236" s="5" t="s">
        <v>128</v>
      </c>
      <c r="D236" s="4" t="s">
        <v>1364</v>
      </c>
      <c r="E236" s="4" t="s">
        <v>1343</v>
      </c>
      <c r="F236" s="4" t="s">
        <v>1365</v>
      </c>
      <c r="G236" s="4" t="s">
        <v>1369</v>
      </c>
      <c r="H236" s="4" t="s">
        <v>1049</v>
      </c>
      <c r="I236" s="4"/>
      <c r="J236" s="4"/>
      <c r="K236" s="5" t="s">
        <v>1370</v>
      </c>
      <c r="L236" s="24">
        <v>2600000</v>
      </c>
      <c r="M236" s="13" t="s">
        <v>297</v>
      </c>
      <c r="N236" s="5" t="s">
        <v>1371</v>
      </c>
      <c r="O236" s="4" t="s">
        <v>644</v>
      </c>
      <c r="P236" s="4">
        <v>0.31</v>
      </c>
      <c r="Q236" s="17">
        <v>0.44</v>
      </c>
      <c r="R236" s="1">
        <f t="shared" si="71"/>
        <v>0</v>
      </c>
      <c r="S236" s="34"/>
      <c r="T236" s="2">
        <f t="shared" si="72"/>
        <v>0</v>
      </c>
      <c r="U236" s="24"/>
      <c r="V236" s="24">
        <v>0</v>
      </c>
      <c r="W236" s="24">
        <v>100000</v>
      </c>
      <c r="X236" s="24">
        <v>100000</v>
      </c>
      <c r="Y236" s="24">
        <v>200000</v>
      </c>
      <c r="Z236" s="24">
        <v>100000</v>
      </c>
      <c r="AA236" s="24">
        <v>100000</v>
      </c>
      <c r="AB236" s="24"/>
      <c r="AC236" s="24"/>
      <c r="AD236" s="24"/>
      <c r="AE236" s="24"/>
      <c r="AF236" s="24"/>
      <c r="AG236" s="13">
        <f t="shared" ref="AG235:AG238" si="86">AF236</f>
        <v>0</v>
      </c>
      <c r="AH236" s="2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4" t="s">
        <v>620</v>
      </c>
      <c r="AU236" s="4" t="s">
        <v>1105</v>
      </c>
      <c r="AV236" s="4" t="s">
        <v>1218</v>
      </c>
      <c r="AW236" s="4" t="s">
        <v>623</v>
      </c>
      <c r="AX236" s="4" t="s">
        <v>629</v>
      </c>
      <c r="AY236" s="4" t="s">
        <v>630</v>
      </c>
      <c r="AZ236" s="4" t="s">
        <v>645</v>
      </c>
      <c r="BA236" s="4"/>
      <c r="BB236" s="4"/>
      <c r="BC236" s="4"/>
      <c r="BD236" s="23">
        <v>1</v>
      </c>
      <c r="BE236" s="4"/>
      <c r="BF236" s="18"/>
      <c r="BG236" s="18"/>
      <c r="BH236" s="18"/>
      <c r="BI236" s="18"/>
      <c r="BJ236" s="18"/>
      <c r="BK236" s="26"/>
      <c r="BL236" s="13"/>
      <c r="BM236" s="9">
        <f t="shared" si="67"/>
        <v>88000</v>
      </c>
      <c r="BN236" s="9">
        <f t="shared" si="69"/>
        <v>44000</v>
      </c>
      <c r="BO236" s="9">
        <f t="shared" si="70"/>
        <v>44000</v>
      </c>
      <c r="BP236" s="9">
        <f t="shared" si="73"/>
        <v>0</v>
      </c>
      <c r="BQ236" s="9">
        <f t="shared" si="74"/>
        <v>0</v>
      </c>
      <c r="BR236" s="9">
        <f t="shared" si="75"/>
        <v>0</v>
      </c>
      <c r="BS236" s="9">
        <f t="shared" si="76"/>
        <v>0</v>
      </c>
      <c r="BT236" s="9">
        <f t="shared" si="77"/>
        <v>0</v>
      </c>
    </row>
    <row r="237" spans="1:72" hidden="1" x14ac:dyDescent="0.25">
      <c r="A237" s="11">
        <f t="shared" si="68"/>
        <v>236</v>
      </c>
      <c r="B237" s="5" t="s">
        <v>1372</v>
      </c>
      <c r="C237" s="4" t="s">
        <v>59</v>
      </c>
      <c r="D237" s="4" t="s">
        <v>1364</v>
      </c>
      <c r="E237" s="4" t="s">
        <v>1343</v>
      </c>
      <c r="F237" s="4" t="s">
        <v>1373</v>
      </c>
      <c r="G237" s="5" t="s">
        <v>194</v>
      </c>
      <c r="H237" s="5" t="s">
        <v>1050</v>
      </c>
      <c r="I237" s="5"/>
      <c r="J237" s="5"/>
      <c r="K237" s="4" t="s">
        <v>1374</v>
      </c>
      <c r="L237" s="24">
        <v>5000000</v>
      </c>
      <c r="M237" s="13" t="s">
        <v>74</v>
      </c>
      <c r="N237" s="5" t="s">
        <v>1375</v>
      </c>
      <c r="O237" s="4"/>
      <c r="P237" s="4"/>
      <c r="Q237" s="17">
        <v>0.62</v>
      </c>
      <c r="R237" s="1">
        <f t="shared" si="71"/>
        <v>0</v>
      </c>
      <c r="S237" s="34"/>
      <c r="T237" s="2">
        <f t="shared" si="72"/>
        <v>0</v>
      </c>
      <c r="U237" s="24">
        <v>50000</v>
      </c>
      <c r="V237" s="24">
        <v>50000</v>
      </c>
      <c r="W237" s="24">
        <v>100000</v>
      </c>
      <c r="X237" s="24"/>
      <c r="Y237" s="24"/>
      <c r="Z237" s="24"/>
      <c r="AA237" s="24"/>
      <c r="AB237" s="24"/>
      <c r="AC237" s="24"/>
      <c r="AD237" s="24"/>
      <c r="AE237" s="24"/>
      <c r="AF237" s="24"/>
      <c r="AG237" s="13">
        <f t="shared" si="86"/>
        <v>0</v>
      </c>
      <c r="AH237" s="2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4" t="s">
        <v>620</v>
      </c>
      <c r="AU237" s="4" t="s">
        <v>1105</v>
      </c>
      <c r="AV237" s="4" t="s">
        <v>1218</v>
      </c>
      <c r="AW237" s="4" t="s">
        <v>639</v>
      </c>
      <c r="AX237" s="4" t="s">
        <v>646</v>
      </c>
      <c r="AY237" s="4" t="s">
        <v>647</v>
      </c>
      <c r="AZ237" s="4" t="s">
        <v>648</v>
      </c>
      <c r="BA237" s="4"/>
      <c r="BB237" s="4"/>
      <c r="BC237" s="4"/>
      <c r="BD237" s="23"/>
      <c r="BE237" s="4"/>
      <c r="BF237" s="18"/>
      <c r="BG237" s="18"/>
      <c r="BH237" s="18"/>
      <c r="BI237" s="18"/>
      <c r="BJ237" s="18"/>
      <c r="BK237" s="26"/>
      <c r="BL237" s="13"/>
      <c r="BM237" s="9">
        <f t="shared" si="67"/>
        <v>0</v>
      </c>
      <c r="BN237" s="9">
        <f t="shared" si="69"/>
        <v>0</v>
      </c>
      <c r="BO237" s="9">
        <f t="shared" si="70"/>
        <v>0</v>
      </c>
      <c r="BP237" s="9">
        <f t="shared" si="73"/>
        <v>0</v>
      </c>
      <c r="BQ237" s="9">
        <f t="shared" si="74"/>
        <v>0</v>
      </c>
      <c r="BR237" s="9">
        <f t="shared" si="75"/>
        <v>0</v>
      </c>
      <c r="BS237" s="9">
        <f t="shared" si="76"/>
        <v>0</v>
      </c>
      <c r="BT237" s="9">
        <f t="shared" si="77"/>
        <v>0</v>
      </c>
    </row>
    <row r="238" spans="1:72" hidden="1" x14ac:dyDescent="0.25">
      <c r="A238" s="11">
        <f t="shared" si="68"/>
        <v>237</v>
      </c>
      <c r="B238" s="5" t="s">
        <v>1376</v>
      </c>
      <c r="C238" s="4" t="s">
        <v>59</v>
      </c>
      <c r="D238" s="4" t="s">
        <v>1377</v>
      </c>
      <c r="E238" s="4" t="s">
        <v>1343</v>
      </c>
      <c r="F238" s="33" t="s">
        <v>1378</v>
      </c>
      <c r="G238" s="4" t="s">
        <v>649</v>
      </c>
      <c r="H238" s="4" t="s">
        <v>649</v>
      </c>
      <c r="I238" s="4"/>
      <c r="J238" s="4"/>
      <c r="K238" s="4" t="s">
        <v>1379</v>
      </c>
      <c r="L238" s="24">
        <v>100000</v>
      </c>
      <c r="M238" s="13" t="s">
        <v>291</v>
      </c>
      <c r="N238" s="5" t="s">
        <v>1380</v>
      </c>
      <c r="O238" s="4" t="s">
        <v>109</v>
      </c>
      <c r="P238" s="4" t="s">
        <v>109</v>
      </c>
      <c r="Q238" s="14">
        <v>3</v>
      </c>
      <c r="R238" s="1">
        <f t="shared" si="71"/>
        <v>223200</v>
      </c>
      <c r="S238" s="38"/>
      <c r="T238" s="2">
        <f t="shared" si="72"/>
        <v>74400</v>
      </c>
      <c r="U238" s="24">
        <v>14880</v>
      </c>
      <c r="V238" s="24">
        <v>14880</v>
      </c>
      <c r="W238" s="24">
        <v>14880</v>
      </c>
      <c r="X238" s="24">
        <v>14880</v>
      </c>
      <c r="Y238" s="24">
        <v>14880</v>
      </c>
      <c r="Z238" s="24">
        <v>14880</v>
      </c>
      <c r="AA238" s="24">
        <v>14880</v>
      </c>
      <c r="AB238" s="24">
        <v>14880</v>
      </c>
      <c r="AC238" s="24">
        <v>14880</v>
      </c>
      <c r="AD238" s="24">
        <v>14880</v>
      </c>
      <c r="AE238" s="24">
        <v>14880</v>
      </c>
      <c r="AF238" s="24">
        <v>14880</v>
      </c>
      <c r="AG238" s="13">
        <f t="shared" si="86"/>
        <v>14880</v>
      </c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4" t="s">
        <v>620</v>
      </c>
      <c r="AU238" s="4" t="s">
        <v>1105</v>
      </c>
      <c r="AV238" s="4" t="s">
        <v>1216</v>
      </c>
      <c r="AW238" s="4" t="s">
        <v>623</v>
      </c>
      <c r="AX238" s="4"/>
      <c r="AY238" s="4"/>
      <c r="AZ238" s="4"/>
      <c r="BA238" s="5"/>
      <c r="BB238" s="5"/>
      <c r="BC238" s="5"/>
      <c r="BD238" s="5"/>
      <c r="BE238" s="37"/>
      <c r="BF238" s="37"/>
      <c r="BG238" s="37"/>
      <c r="BH238" s="37"/>
      <c r="BI238" s="37"/>
      <c r="BJ238" s="37"/>
      <c r="BK238" s="5"/>
      <c r="BL238" s="5"/>
      <c r="BM238" s="9">
        <f t="shared" si="67"/>
        <v>44640</v>
      </c>
      <c r="BN238" s="9">
        <f t="shared" si="69"/>
        <v>44640</v>
      </c>
      <c r="BO238" s="9">
        <f t="shared" si="70"/>
        <v>44640</v>
      </c>
      <c r="BP238" s="9">
        <f t="shared" si="73"/>
        <v>44640</v>
      </c>
      <c r="BQ238" s="9">
        <f t="shared" si="74"/>
        <v>44640</v>
      </c>
      <c r="BR238" s="9">
        <f t="shared" si="75"/>
        <v>44640</v>
      </c>
      <c r="BS238" s="9">
        <f t="shared" si="76"/>
        <v>44640</v>
      </c>
      <c r="BT238" s="9">
        <f t="shared" si="77"/>
        <v>44640</v>
      </c>
    </row>
    <row r="239" spans="1:72" hidden="1" x14ac:dyDescent="0.25">
      <c r="A239" s="11">
        <f t="shared" si="68"/>
        <v>238</v>
      </c>
      <c r="B239" s="5" t="s">
        <v>1363</v>
      </c>
      <c r="C239" s="5" t="s">
        <v>128</v>
      </c>
      <c r="D239" s="4" t="s">
        <v>1364</v>
      </c>
      <c r="E239" s="4" t="s">
        <v>1343</v>
      </c>
      <c r="F239" s="4" t="s">
        <v>1365</v>
      </c>
      <c r="G239" s="77" t="s">
        <v>116</v>
      </c>
      <c r="H239" s="77" t="s">
        <v>1828</v>
      </c>
      <c r="I239" s="4"/>
      <c r="J239" s="4"/>
      <c r="K239" s="4" t="s">
        <v>1366</v>
      </c>
      <c r="L239" s="24">
        <v>1000000</v>
      </c>
      <c r="M239" s="13" t="s">
        <v>291</v>
      </c>
      <c r="N239" s="5" t="s">
        <v>310</v>
      </c>
      <c r="O239" s="4" t="s">
        <v>650</v>
      </c>
      <c r="P239" s="4">
        <v>1.1000000000000001</v>
      </c>
      <c r="Q239" s="17">
        <v>0.52</v>
      </c>
      <c r="R239" s="1">
        <f t="shared" si="71"/>
        <v>312000</v>
      </c>
      <c r="S239" s="34"/>
      <c r="T239" s="2">
        <f t="shared" si="72"/>
        <v>600000</v>
      </c>
      <c r="U239" s="24">
        <v>10000</v>
      </c>
      <c r="V239" s="24">
        <v>10000</v>
      </c>
      <c r="W239" s="24">
        <v>10000</v>
      </c>
      <c r="X239" s="24">
        <v>100000</v>
      </c>
      <c r="Y239" s="24">
        <v>100000</v>
      </c>
      <c r="Z239" s="24">
        <v>100000</v>
      </c>
      <c r="AA239" s="24">
        <v>100000</v>
      </c>
      <c r="AB239" s="24">
        <v>120000</v>
      </c>
      <c r="AC239" s="24">
        <v>120000</v>
      </c>
      <c r="AD239" s="24">
        <v>120000</v>
      </c>
      <c r="AE239" s="24">
        <v>120000</v>
      </c>
      <c r="AF239" s="24">
        <v>120000</v>
      </c>
      <c r="AG239" s="24">
        <v>120000</v>
      </c>
      <c r="AH239" s="2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4" t="s">
        <v>620</v>
      </c>
      <c r="AU239" s="4" t="s">
        <v>1105</v>
      </c>
      <c r="AV239" s="4" t="s">
        <v>1218</v>
      </c>
      <c r="AW239" s="4" t="s">
        <v>639</v>
      </c>
      <c r="AX239" s="4" t="s">
        <v>640</v>
      </c>
      <c r="AY239" s="4" t="s">
        <v>641</v>
      </c>
      <c r="AZ239" s="4" t="s">
        <v>642</v>
      </c>
      <c r="BA239" s="4"/>
      <c r="BB239" s="4"/>
      <c r="BC239" s="4"/>
      <c r="BD239" s="23"/>
      <c r="BE239" s="4"/>
      <c r="BF239" s="18"/>
      <c r="BG239" s="18"/>
      <c r="BH239" s="18"/>
      <c r="BI239" s="18"/>
      <c r="BJ239" s="18"/>
      <c r="BK239" s="26"/>
      <c r="BL239" s="13"/>
      <c r="BM239" s="9">
        <f t="shared" ref="BM239:BM269" si="87">$Q239*Y239</f>
        <v>52000</v>
      </c>
      <c r="BN239" s="9">
        <f t="shared" si="69"/>
        <v>52000</v>
      </c>
      <c r="BO239" s="9">
        <f t="shared" si="70"/>
        <v>52000</v>
      </c>
      <c r="BP239" s="9">
        <f t="shared" si="73"/>
        <v>62400</v>
      </c>
      <c r="BQ239" s="9">
        <f t="shared" si="74"/>
        <v>62400</v>
      </c>
      <c r="BR239" s="9">
        <f t="shared" si="75"/>
        <v>62400</v>
      </c>
      <c r="BS239" s="9">
        <f t="shared" si="76"/>
        <v>62400</v>
      </c>
      <c r="BT239" s="9">
        <f t="shared" si="77"/>
        <v>62400</v>
      </c>
    </row>
    <row r="240" spans="1:72" hidden="1" x14ac:dyDescent="0.25">
      <c r="A240" s="11">
        <f t="shared" si="68"/>
        <v>239</v>
      </c>
      <c r="B240" s="5" t="s">
        <v>1382</v>
      </c>
      <c r="C240" s="4" t="s">
        <v>59</v>
      </c>
      <c r="D240" s="4" t="s">
        <v>1348</v>
      </c>
      <c r="E240" s="4" t="s">
        <v>1343</v>
      </c>
      <c r="F240" s="33" t="s">
        <v>1383</v>
      </c>
      <c r="G240" s="33" t="s">
        <v>286</v>
      </c>
      <c r="H240" s="33" t="s">
        <v>287</v>
      </c>
      <c r="I240" s="33"/>
      <c r="J240" s="33"/>
      <c r="K240" s="33" t="s">
        <v>1384</v>
      </c>
      <c r="L240" s="35">
        <v>1000000</v>
      </c>
      <c r="M240" s="5" t="s">
        <v>297</v>
      </c>
      <c r="N240" s="5"/>
      <c r="O240" s="33" t="s">
        <v>651</v>
      </c>
      <c r="P240" s="4"/>
      <c r="Q240" s="36">
        <v>0.35</v>
      </c>
      <c r="R240" s="1">
        <f t="shared" si="71"/>
        <v>175000</v>
      </c>
      <c r="S240" s="34"/>
      <c r="T240" s="2">
        <f t="shared" si="72"/>
        <v>500000</v>
      </c>
      <c r="U240" s="24">
        <v>100000</v>
      </c>
      <c r="V240" s="24">
        <v>100000</v>
      </c>
      <c r="W240" s="24">
        <v>100000</v>
      </c>
      <c r="X240" s="24">
        <v>100000</v>
      </c>
      <c r="Y240" s="24">
        <v>100000</v>
      </c>
      <c r="Z240" s="24">
        <v>100000</v>
      </c>
      <c r="AA240" s="24">
        <v>100000</v>
      </c>
      <c r="AB240" s="24">
        <v>100000</v>
      </c>
      <c r="AC240" s="24">
        <v>100000</v>
      </c>
      <c r="AD240" s="24">
        <v>100000</v>
      </c>
      <c r="AE240" s="24">
        <v>100000</v>
      </c>
      <c r="AF240" s="24">
        <v>100000</v>
      </c>
      <c r="AG240" s="13">
        <f t="shared" ref="AG240:AG244" si="88">AF240</f>
        <v>100000</v>
      </c>
      <c r="AH240" s="24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4" t="s">
        <v>620</v>
      </c>
      <c r="AU240" s="4" t="s">
        <v>1105</v>
      </c>
      <c r="AV240" s="4" t="s">
        <v>1218</v>
      </c>
      <c r="AW240" s="4" t="s">
        <v>623</v>
      </c>
      <c r="AX240" s="4"/>
      <c r="AY240" s="4"/>
      <c r="AZ240" s="4"/>
      <c r="BA240" s="4"/>
      <c r="BB240" s="4"/>
      <c r="BC240" s="4"/>
      <c r="BD240" s="23"/>
      <c r="BE240" s="4"/>
      <c r="BF240" s="18"/>
      <c r="BG240" s="18"/>
      <c r="BH240" s="18"/>
      <c r="BI240" s="18"/>
      <c r="BJ240" s="18"/>
      <c r="BK240" s="26"/>
      <c r="BL240" s="13"/>
      <c r="BM240" s="9">
        <f t="shared" si="87"/>
        <v>35000</v>
      </c>
      <c r="BN240" s="9">
        <f t="shared" si="69"/>
        <v>35000</v>
      </c>
      <c r="BO240" s="9">
        <f t="shared" si="70"/>
        <v>35000</v>
      </c>
      <c r="BP240" s="9">
        <f t="shared" si="73"/>
        <v>35000</v>
      </c>
      <c r="BQ240" s="9">
        <f t="shared" si="74"/>
        <v>35000</v>
      </c>
      <c r="BR240" s="9">
        <f t="shared" si="75"/>
        <v>35000</v>
      </c>
      <c r="BS240" s="9">
        <f t="shared" si="76"/>
        <v>35000</v>
      </c>
      <c r="BT240" s="9">
        <f t="shared" si="77"/>
        <v>35000</v>
      </c>
    </row>
    <row r="241" spans="1:72" hidden="1" x14ac:dyDescent="0.25">
      <c r="A241" s="11">
        <f t="shared" si="68"/>
        <v>240</v>
      </c>
      <c r="B241" s="3" t="s">
        <v>1385</v>
      </c>
      <c r="C241" s="5" t="s">
        <v>128</v>
      </c>
      <c r="D241" s="3" t="s">
        <v>1348</v>
      </c>
      <c r="E241" s="4" t="s">
        <v>1343</v>
      </c>
      <c r="F241" s="3" t="s">
        <v>1349</v>
      </c>
      <c r="G241" s="3" t="s">
        <v>1241</v>
      </c>
      <c r="H241" s="3" t="s">
        <v>1052</v>
      </c>
      <c r="I241" s="3"/>
      <c r="J241" s="3"/>
      <c r="K241" s="3" t="s">
        <v>1386</v>
      </c>
      <c r="L241" s="35">
        <v>1000000</v>
      </c>
      <c r="M241" s="5" t="s">
        <v>291</v>
      </c>
      <c r="N241" s="5"/>
      <c r="O241" s="4"/>
      <c r="P241" s="5"/>
      <c r="Q241" s="36">
        <v>0.35</v>
      </c>
      <c r="R241" s="1">
        <f t="shared" si="71"/>
        <v>175000</v>
      </c>
      <c r="S241" s="34"/>
      <c r="T241" s="2">
        <f t="shared" si="72"/>
        <v>500000</v>
      </c>
      <c r="U241" s="24">
        <v>100000</v>
      </c>
      <c r="V241" s="24">
        <v>100000</v>
      </c>
      <c r="W241" s="24">
        <v>100000</v>
      </c>
      <c r="X241" s="24">
        <v>100000</v>
      </c>
      <c r="Y241" s="24">
        <v>100000</v>
      </c>
      <c r="Z241" s="24">
        <v>100000</v>
      </c>
      <c r="AA241" s="24">
        <v>100000</v>
      </c>
      <c r="AB241" s="24">
        <v>100000</v>
      </c>
      <c r="AC241" s="24">
        <v>100000</v>
      </c>
      <c r="AD241" s="24">
        <v>100000</v>
      </c>
      <c r="AE241" s="24">
        <v>100000</v>
      </c>
      <c r="AF241" s="24">
        <v>100000</v>
      </c>
      <c r="AG241" s="13">
        <f t="shared" si="88"/>
        <v>100000</v>
      </c>
      <c r="AH241" s="2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4" t="s">
        <v>620</v>
      </c>
      <c r="AU241" s="4" t="s">
        <v>1105</v>
      </c>
      <c r="AV241" s="4" t="s">
        <v>1218</v>
      </c>
      <c r="AW241" s="4" t="s">
        <v>639</v>
      </c>
      <c r="AX241" s="4" t="s">
        <v>640</v>
      </c>
      <c r="AY241" s="4" t="s">
        <v>641</v>
      </c>
      <c r="AZ241" s="4" t="s">
        <v>642</v>
      </c>
      <c r="BA241" s="4"/>
      <c r="BB241" s="4"/>
      <c r="BC241" s="4"/>
      <c r="BD241" s="23"/>
      <c r="BE241" s="4"/>
      <c r="BF241" s="18"/>
      <c r="BG241" s="18"/>
      <c r="BH241" s="18"/>
      <c r="BI241" s="18"/>
      <c r="BJ241" s="18"/>
      <c r="BK241" s="26"/>
      <c r="BL241" s="13"/>
      <c r="BM241" s="9">
        <f t="shared" si="87"/>
        <v>35000</v>
      </c>
      <c r="BN241" s="9">
        <f t="shared" si="69"/>
        <v>35000</v>
      </c>
      <c r="BO241" s="9">
        <f t="shared" si="70"/>
        <v>35000</v>
      </c>
      <c r="BP241" s="9">
        <f t="shared" si="73"/>
        <v>35000</v>
      </c>
      <c r="BQ241" s="9">
        <f t="shared" si="74"/>
        <v>35000</v>
      </c>
      <c r="BR241" s="9">
        <f t="shared" si="75"/>
        <v>35000</v>
      </c>
      <c r="BS241" s="9">
        <f t="shared" si="76"/>
        <v>35000</v>
      </c>
      <c r="BT241" s="9">
        <f t="shared" si="77"/>
        <v>35000</v>
      </c>
    </row>
    <row r="242" spans="1:72" hidden="1" x14ac:dyDescent="0.25">
      <c r="A242" s="11">
        <f t="shared" si="68"/>
        <v>241</v>
      </c>
      <c r="B242" s="3" t="s">
        <v>1387</v>
      </c>
      <c r="C242" s="4" t="s">
        <v>59</v>
      </c>
      <c r="D242" s="3" t="s">
        <v>1348</v>
      </c>
      <c r="E242" s="4" t="s">
        <v>1343</v>
      </c>
      <c r="F242" s="3" t="s">
        <v>1349</v>
      </c>
      <c r="G242" s="3" t="s">
        <v>1241</v>
      </c>
      <c r="H242" s="3" t="s">
        <v>1052</v>
      </c>
      <c r="I242" s="3"/>
      <c r="J242" s="3"/>
      <c r="K242" s="33" t="s">
        <v>1386</v>
      </c>
      <c r="L242" s="35">
        <v>1000000</v>
      </c>
      <c r="M242" s="5" t="s">
        <v>291</v>
      </c>
      <c r="N242" s="5"/>
      <c r="O242" s="4"/>
      <c r="P242" s="5"/>
      <c r="Q242" s="36">
        <v>0.35</v>
      </c>
      <c r="R242" s="1">
        <f t="shared" si="71"/>
        <v>175000</v>
      </c>
      <c r="S242" s="34"/>
      <c r="T242" s="2">
        <f t="shared" si="72"/>
        <v>500000</v>
      </c>
      <c r="U242" s="24">
        <v>100000</v>
      </c>
      <c r="V242" s="24">
        <v>100000</v>
      </c>
      <c r="W242" s="24">
        <v>100000</v>
      </c>
      <c r="X242" s="24">
        <v>100000</v>
      </c>
      <c r="Y242" s="24">
        <v>100000</v>
      </c>
      <c r="Z242" s="24">
        <v>100000</v>
      </c>
      <c r="AA242" s="24">
        <v>100000</v>
      </c>
      <c r="AB242" s="24">
        <v>100000</v>
      </c>
      <c r="AC242" s="24">
        <v>100000</v>
      </c>
      <c r="AD242" s="24">
        <v>100000</v>
      </c>
      <c r="AE242" s="24">
        <v>100000</v>
      </c>
      <c r="AF242" s="24">
        <v>100000</v>
      </c>
      <c r="AG242" s="13">
        <f t="shared" si="88"/>
        <v>100000</v>
      </c>
      <c r="AH242" s="2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4" t="s">
        <v>620</v>
      </c>
      <c r="AU242" s="4" t="s">
        <v>1105</v>
      </c>
      <c r="AV242" s="4" t="s">
        <v>1218</v>
      </c>
      <c r="AW242" s="4" t="s">
        <v>639</v>
      </c>
      <c r="AX242" s="4" t="s">
        <v>640</v>
      </c>
      <c r="AY242" s="4" t="s">
        <v>641</v>
      </c>
      <c r="AZ242" s="4" t="s">
        <v>642</v>
      </c>
      <c r="BA242" s="4"/>
      <c r="BB242" s="4"/>
      <c r="BC242" s="4"/>
      <c r="BD242" s="23"/>
      <c r="BE242" s="4"/>
      <c r="BF242" s="18"/>
      <c r="BG242" s="18"/>
      <c r="BH242" s="18"/>
      <c r="BI242" s="18"/>
      <c r="BJ242" s="18"/>
      <c r="BK242" s="26"/>
      <c r="BL242" s="13"/>
      <c r="BM242" s="9">
        <f t="shared" si="87"/>
        <v>35000</v>
      </c>
      <c r="BN242" s="9">
        <f t="shared" si="69"/>
        <v>35000</v>
      </c>
      <c r="BO242" s="9">
        <f t="shared" si="70"/>
        <v>35000</v>
      </c>
      <c r="BP242" s="9">
        <f t="shared" si="73"/>
        <v>35000</v>
      </c>
      <c r="BQ242" s="9">
        <f t="shared" si="74"/>
        <v>35000</v>
      </c>
      <c r="BR242" s="9">
        <f t="shared" si="75"/>
        <v>35000</v>
      </c>
      <c r="BS242" s="9">
        <f t="shared" si="76"/>
        <v>35000</v>
      </c>
      <c r="BT242" s="9">
        <f t="shared" si="77"/>
        <v>35000</v>
      </c>
    </row>
    <row r="243" spans="1:72" hidden="1" x14ac:dyDescent="0.25">
      <c r="A243" s="11">
        <f t="shared" si="68"/>
        <v>242</v>
      </c>
      <c r="B243" s="4" t="s">
        <v>1388</v>
      </c>
      <c r="C243" s="4" t="s">
        <v>59</v>
      </c>
      <c r="D243" s="4" t="s">
        <v>1157</v>
      </c>
      <c r="E243" s="4" t="s">
        <v>1343</v>
      </c>
      <c r="F243" s="4" t="s">
        <v>1389</v>
      </c>
      <c r="G243" s="4" t="s">
        <v>1390</v>
      </c>
      <c r="H243" s="4" t="s">
        <v>661</v>
      </c>
      <c r="I243" s="4"/>
      <c r="J243" s="4"/>
      <c r="K243" s="4" t="s">
        <v>1391</v>
      </c>
      <c r="L243" s="24">
        <v>120000</v>
      </c>
      <c r="M243" s="4" t="s">
        <v>291</v>
      </c>
      <c r="N243" s="4" t="s">
        <v>1392</v>
      </c>
      <c r="O243" s="4"/>
      <c r="P243" s="4"/>
      <c r="Q243" s="36">
        <v>3.3</v>
      </c>
      <c r="R243" s="1">
        <f t="shared" si="71"/>
        <v>165000</v>
      </c>
      <c r="S243" s="4"/>
      <c r="T243" s="2">
        <f t="shared" si="72"/>
        <v>50000</v>
      </c>
      <c r="U243" s="24">
        <v>10000</v>
      </c>
      <c r="V243" s="24">
        <v>10000</v>
      </c>
      <c r="W243" s="24">
        <v>10000</v>
      </c>
      <c r="X243" s="24">
        <v>10000</v>
      </c>
      <c r="Y243" s="24">
        <v>10000</v>
      </c>
      <c r="Z243" s="24">
        <v>10000</v>
      </c>
      <c r="AA243" s="24">
        <v>10000</v>
      </c>
      <c r="AB243" s="24">
        <v>10000</v>
      </c>
      <c r="AC243" s="24">
        <v>10000</v>
      </c>
      <c r="AD243" s="24">
        <v>10000</v>
      </c>
      <c r="AE243" s="24">
        <v>10000</v>
      </c>
      <c r="AF243" s="24">
        <v>10000</v>
      </c>
      <c r="AG243" s="13">
        <f t="shared" si="88"/>
        <v>10000</v>
      </c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4" t="s">
        <v>620</v>
      </c>
      <c r="AU243" s="4" t="s">
        <v>1105</v>
      </c>
      <c r="AV243" s="4" t="s">
        <v>1216</v>
      </c>
      <c r="AW243" s="4" t="s">
        <v>635</v>
      </c>
      <c r="AX243" s="4"/>
      <c r="AY243" s="4"/>
      <c r="AZ243" s="4"/>
      <c r="BA243" s="5"/>
      <c r="BB243" s="5"/>
      <c r="BC243" s="5"/>
      <c r="BD243" s="5"/>
      <c r="BE243" s="37"/>
      <c r="BF243" s="37"/>
      <c r="BG243" s="37"/>
      <c r="BH243" s="37"/>
      <c r="BI243" s="37"/>
      <c r="BJ243" s="37"/>
      <c r="BK243" s="5"/>
      <c r="BL243" s="5"/>
      <c r="BM243" s="9">
        <f t="shared" si="87"/>
        <v>33000</v>
      </c>
      <c r="BN243" s="9">
        <f t="shared" si="69"/>
        <v>33000</v>
      </c>
      <c r="BO243" s="9">
        <f t="shared" si="70"/>
        <v>33000</v>
      </c>
      <c r="BP243" s="9">
        <f t="shared" si="73"/>
        <v>33000</v>
      </c>
      <c r="BQ243" s="9">
        <f t="shared" si="74"/>
        <v>33000</v>
      </c>
      <c r="BR243" s="9">
        <f t="shared" si="75"/>
        <v>33000</v>
      </c>
      <c r="BS243" s="9">
        <f t="shared" si="76"/>
        <v>33000</v>
      </c>
      <c r="BT243" s="9">
        <f t="shared" si="77"/>
        <v>33000</v>
      </c>
    </row>
    <row r="244" spans="1:72" hidden="1" x14ac:dyDescent="0.25">
      <c r="A244" s="11">
        <f t="shared" si="68"/>
        <v>243</v>
      </c>
      <c r="B244" s="4" t="s">
        <v>1393</v>
      </c>
      <c r="C244" s="4" t="s">
        <v>59</v>
      </c>
      <c r="D244" s="33" t="s">
        <v>1348</v>
      </c>
      <c r="E244" s="4" t="s">
        <v>1343</v>
      </c>
      <c r="F244" s="33" t="s">
        <v>1349</v>
      </c>
      <c r="G244" s="33" t="s">
        <v>225</v>
      </c>
      <c r="H244" s="33" t="s">
        <v>226</v>
      </c>
      <c r="I244" s="33"/>
      <c r="J244" s="33"/>
      <c r="K244" s="33" t="s">
        <v>1394</v>
      </c>
      <c r="L244" s="35">
        <v>2000000</v>
      </c>
      <c r="M244" s="4" t="s">
        <v>291</v>
      </c>
      <c r="N244" s="5"/>
      <c r="O244" s="4"/>
      <c r="P244" s="5"/>
      <c r="Q244" s="36">
        <v>0.21</v>
      </c>
      <c r="R244" s="1">
        <f t="shared" si="71"/>
        <v>157500</v>
      </c>
      <c r="S244" s="34"/>
      <c r="T244" s="2">
        <f t="shared" si="72"/>
        <v>750000</v>
      </c>
      <c r="U244" s="24">
        <v>150000</v>
      </c>
      <c r="V244" s="24">
        <v>150000</v>
      </c>
      <c r="W244" s="24">
        <v>150000</v>
      </c>
      <c r="X244" s="24">
        <v>150000</v>
      </c>
      <c r="Y244" s="24">
        <v>150000</v>
      </c>
      <c r="Z244" s="24">
        <v>150000</v>
      </c>
      <c r="AA244" s="24">
        <v>150000</v>
      </c>
      <c r="AB244" s="24">
        <v>150000</v>
      </c>
      <c r="AC244" s="24">
        <v>150000</v>
      </c>
      <c r="AD244" s="24">
        <v>150000</v>
      </c>
      <c r="AE244" s="24">
        <v>150000</v>
      </c>
      <c r="AF244" s="24">
        <v>150000</v>
      </c>
      <c r="AG244" s="13">
        <f t="shared" si="88"/>
        <v>150000</v>
      </c>
      <c r="AH244" s="24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4" t="s">
        <v>620</v>
      </c>
      <c r="AU244" s="4" t="s">
        <v>1105</v>
      </c>
      <c r="AV244" s="4" t="s">
        <v>1218</v>
      </c>
      <c r="AW244" s="4" t="s">
        <v>623</v>
      </c>
      <c r="AX244" s="4"/>
      <c r="AY244" s="4"/>
      <c r="AZ244" s="4"/>
      <c r="BA244" s="4"/>
      <c r="BB244" s="4"/>
      <c r="BC244" s="4"/>
      <c r="BD244" s="23"/>
      <c r="BE244" s="4"/>
      <c r="BF244" s="18"/>
      <c r="BG244" s="18"/>
      <c r="BH244" s="18"/>
      <c r="BI244" s="18"/>
      <c r="BJ244" s="18"/>
      <c r="BK244" s="26"/>
      <c r="BL244" s="13"/>
      <c r="BM244" s="9">
        <f t="shared" si="87"/>
        <v>31500</v>
      </c>
      <c r="BN244" s="9">
        <f t="shared" si="69"/>
        <v>31500</v>
      </c>
      <c r="BO244" s="9">
        <f t="shared" si="70"/>
        <v>31500</v>
      </c>
      <c r="BP244" s="9">
        <f t="shared" si="73"/>
        <v>31500</v>
      </c>
      <c r="BQ244" s="9">
        <f t="shared" si="74"/>
        <v>31500</v>
      </c>
      <c r="BR244" s="9">
        <f t="shared" si="75"/>
        <v>31500</v>
      </c>
      <c r="BS244" s="9">
        <f t="shared" si="76"/>
        <v>31500</v>
      </c>
      <c r="BT244" s="9">
        <f t="shared" si="77"/>
        <v>31500</v>
      </c>
    </row>
    <row r="245" spans="1:72" hidden="1" x14ac:dyDescent="0.25">
      <c r="A245" s="11">
        <f t="shared" si="68"/>
        <v>244</v>
      </c>
      <c r="B245" s="5" t="s">
        <v>1368</v>
      </c>
      <c r="C245" s="5" t="s">
        <v>128</v>
      </c>
      <c r="D245" s="4" t="s">
        <v>1364</v>
      </c>
      <c r="E245" s="4" t="s">
        <v>1343</v>
      </c>
      <c r="F245" s="4" t="s">
        <v>1365</v>
      </c>
      <c r="G245" s="4" t="s">
        <v>1369</v>
      </c>
      <c r="H245" s="4" t="s">
        <v>1049</v>
      </c>
      <c r="I245" s="4"/>
      <c r="J245" s="4"/>
      <c r="K245" s="4" t="s">
        <v>1395</v>
      </c>
      <c r="L245" s="24">
        <v>1000000</v>
      </c>
      <c r="M245" s="13" t="s">
        <v>320</v>
      </c>
      <c r="N245" s="5" t="s">
        <v>1396</v>
      </c>
      <c r="O245" s="4" t="s">
        <v>653</v>
      </c>
      <c r="P245" s="4">
        <v>0.31</v>
      </c>
      <c r="Q245" s="17">
        <v>0.44</v>
      </c>
      <c r="R245" s="1">
        <f t="shared" si="71"/>
        <v>0</v>
      </c>
      <c r="S245" s="34"/>
      <c r="T245" s="2">
        <f t="shared" si="72"/>
        <v>0</v>
      </c>
      <c r="U245" s="24">
        <v>0</v>
      </c>
      <c r="V245" s="24">
        <v>0</v>
      </c>
      <c r="W245" s="24">
        <v>0</v>
      </c>
      <c r="X245" s="24"/>
      <c r="Y245" s="24">
        <v>100000</v>
      </c>
      <c r="Z245" s="24">
        <v>100000</v>
      </c>
      <c r="AA245" s="24">
        <v>100000</v>
      </c>
      <c r="AB245" s="24"/>
      <c r="AC245" s="24"/>
      <c r="AD245" s="24"/>
      <c r="AE245" s="24"/>
      <c r="AF245" s="24"/>
      <c r="AG245" s="13">
        <f>AF245</f>
        <v>0</v>
      </c>
      <c r="AH245" s="24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4" t="s">
        <v>620</v>
      </c>
      <c r="AU245" s="4" t="s">
        <v>1105</v>
      </c>
      <c r="AV245" s="4" t="s">
        <v>1218</v>
      </c>
      <c r="AW245" s="4" t="s">
        <v>623</v>
      </c>
      <c r="AX245" s="4" t="s">
        <v>624</v>
      </c>
      <c r="AY245" s="4" t="s">
        <v>654</v>
      </c>
      <c r="AZ245" s="4" t="s">
        <v>652</v>
      </c>
      <c r="BA245" s="4"/>
      <c r="BB245" s="4"/>
      <c r="BC245" s="4"/>
      <c r="BD245" s="23">
        <v>1</v>
      </c>
      <c r="BE245" s="4"/>
      <c r="BF245" s="18"/>
      <c r="BG245" s="18"/>
      <c r="BH245" s="18"/>
      <c r="BI245" s="18"/>
      <c r="BJ245" s="18"/>
      <c r="BK245" s="26"/>
      <c r="BL245" s="13"/>
      <c r="BM245" s="9">
        <f t="shared" si="87"/>
        <v>44000</v>
      </c>
      <c r="BN245" s="9">
        <f t="shared" si="69"/>
        <v>44000</v>
      </c>
      <c r="BO245" s="9">
        <f t="shared" si="70"/>
        <v>44000</v>
      </c>
      <c r="BP245" s="9">
        <f t="shared" si="73"/>
        <v>0</v>
      </c>
      <c r="BQ245" s="9">
        <f t="shared" si="74"/>
        <v>0</v>
      </c>
      <c r="BR245" s="9">
        <f t="shared" si="75"/>
        <v>0</v>
      </c>
      <c r="BS245" s="9">
        <f t="shared" si="76"/>
        <v>0</v>
      </c>
      <c r="BT245" s="9">
        <f t="shared" si="77"/>
        <v>0</v>
      </c>
    </row>
    <row r="246" spans="1:72" hidden="1" x14ac:dyDescent="0.25">
      <c r="A246" s="11">
        <f t="shared" si="68"/>
        <v>245</v>
      </c>
      <c r="B246" s="4" t="s">
        <v>1835</v>
      </c>
      <c r="C246" s="4" t="s">
        <v>59</v>
      </c>
      <c r="D246" s="33" t="s">
        <v>1348</v>
      </c>
      <c r="E246" s="4" t="s">
        <v>1343</v>
      </c>
      <c r="F246" s="33" t="s">
        <v>1349</v>
      </c>
      <c r="G246" s="4" t="s">
        <v>136</v>
      </c>
      <c r="H246" s="4" t="s">
        <v>137</v>
      </c>
      <c r="I246" s="4"/>
      <c r="J246" s="4"/>
      <c r="K246" s="33" t="s">
        <v>1394</v>
      </c>
      <c r="L246" s="35">
        <v>1000000</v>
      </c>
      <c r="M246" s="5" t="s">
        <v>291</v>
      </c>
      <c r="N246" s="5"/>
      <c r="O246" s="4"/>
      <c r="P246" s="5"/>
      <c r="Q246" s="14">
        <v>0.25</v>
      </c>
      <c r="R246" s="1">
        <f t="shared" si="71"/>
        <v>375000</v>
      </c>
      <c r="S246" s="34"/>
      <c r="T246" s="2">
        <f t="shared" si="72"/>
        <v>1500000</v>
      </c>
      <c r="U246" s="24">
        <v>300000</v>
      </c>
      <c r="V246" s="24">
        <v>300000</v>
      </c>
      <c r="W246" s="24">
        <v>300000</v>
      </c>
      <c r="X246" s="24">
        <v>300000</v>
      </c>
      <c r="Y246" s="24">
        <v>300000</v>
      </c>
      <c r="Z246" s="24">
        <v>300000</v>
      </c>
      <c r="AA246" s="24">
        <v>300000</v>
      </c>
      <c r="AB246" s="24">
        <v>300000</v>
      </c>
      <c r="AC246" s="24">
        <v>300000</v>
      </c>
      <c r="AD246" s="24">
        <v>300000</v>
      </c>
      <c r="AE246" s="24">
        <v>300000</v>
      </c>
      <c r="AF246" s="24">
        <v>300000</v>
      </c>
      <c r="AG246" s="24">
        <v>300000</v>
      </c>
      <c r="AH246" s="2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4" t="s">
        <v>620</v>
      </c>
      <c r="AU246" s="4" t="s">
        <v>1105</v>
      </c>
      <c r="AV246" s="4" t="s">
        <v>1218</v>
      </c>
      <c r="AW246" s="4" t="s">
        <v>623</v>
      </c>
      <c r="AX246" s="4"/>
      <c r="AY246" s="4"/>
      <c r="AZ246" s="4"/>
      <c r="BA246" s="4"/>
      <c r="BB246" s="4"/>
      <c r="BC246" s="4"/>
      <c r="BD246" s="23"/>
      <c r="BE246" s="4"/>
      <c r="BF246" s="18"/>
      <c r="BG246" s="18"/>
      <c r="BH246" s="18"/>
      <c r="BI246" s="18"/>
      <c r="BJ246" s="18"/>
      <c r="BK246" s="26"/>
      <c r="BL246" s="13"/>
      <c r="BM246" s="9">
        <f t="shared" si="87"/>
        <v>75000</v>
      </c>
      <c r="BN246" s="9">
        <f t="shared" si="69"/>
        <v>75000</v>
      </c>
      <c r="BO246" s="9">
        <f t="shared" si="70"/>
        <v>75000</v>
      </c>
      <c r="BP246" s="9">
        <f t="shared" si="73"/>
        <v>75000</v>
      </c>
      <c r="BQ246" s="9">
        <f t="shared" si="74"/>
        <v>75000</v>
      </c>
      <c r="BR246" s="9">
        <f t="shared" si="75"/>
        <v>75000</v>
      </c>
      <c r="BS246" s="9">
        <f t="shared" si="76"/>
        <v>75000</v>
      </c>
      <c r="BT246" s="9">
        <f t="shared" si="77"/>
        <v>75000</v>
      </c>
    </row>
    <row r="247" spans="1:72" hidden="1" x14ac:dyDescent="0.25">
      <c r="A247" s="11">
        <f t="shared" si="68"/>
        <v>246</v>
      </c>
      <c r="B247" s="3" t="s">
        <v>1397</v>
      </c>
      <c r="C247" s="4" t="s">
        <v>59</v>
      </c>
      <c r="D247" s="33" t="s">
        <v>1348</v>
      </c>
      <c r="E247" s="4" t="s">
        <v>1343</v>
      </c>
      <c r="F247" s="33" t="s">
        <v>1349</v>
      </c>
      <c r="G247" s="33" t="s">
        <v>225</v>
      </c>
      <c r="H247" s="33" t="s">
        <v>226</v>
      </c>
      <c r="I247" s="33"/>
      <c r="J247" s="33"/>
      <c r="K247" s="33" t="s">
        <v>1394</v>
      </c>
      <c r="L247" s="24">
        <v>1200000</v>
      </c>
      <c r="M247" s="5" t="s">
        <v>291</v>
      </c>
      <c r="N247" s="5"/>
      <c r="O247" s="33" t="s">
        <v>109</v>
      </c>
      <c r="P247" s="36"/>
      <c r="Q247" s="36">
        <v>0.25</v>
      </c>
      <c r="R247" s="1">
        <f t="shared" si="71"/>
        <v>125000</v>
      </c>
      <c r="S247" s="5"/>
      <c r="T247" s="2">
        <f t="shared" si="72"/>
        <v>500000</v>
      </c>
      <c r="U247" s="24">
        <v>100000</v>
      </c>
      <c r="V247" s="24">
        <v>100000</v>
      </c>
      <c r="W247" s="24">
        <v>100000</v>
      </c>
      <c r="X247" s="24">
        <v>100000</v>
      </c>
      <c r="Y247" s="24">
        <v>100000</v>
      </c>
      <c r="Z247" s="24">
        <v>100000</v>
      </c>
      <c r="AA247" s="24">
        <v>100000</v>
      </c>
      <c r="AB247" s="24">
        <v>100000</v>
      </c>
      <c r="AC247" s="24">
        <v>100000</v>
      </c>
      <c r="AD247" s="24">
        <v>100000</v>
      </c>
      <c r="AE247" s="24">
        <v>100000</v>
      </c>
      <c r="AF247" s="24">
        <v>100000</v>
      </c>
      <c r="AG247" s="13">
        <f t="shared" ref="AG247:AG252" si="89">AF247</f>
        <v>100000</v>
      </c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4" t="s">
        <v>620</v>
      </c>
      <c r="AU247" s="4" t="s">
        <v>1105</v>
      </c>
      <c r="AV247" s="4" t="s">
        <v>1218</v>
      </c>
      <c r="AW247" s="4" t="s">
        <v>623</v>
      </c>
      <c r="AX247" s="4"/>
      <c r="AY247" s="4"/>
      <c r="AZ247" s="4"/>
      <c r="BA247" s="5"/>
      <c r="BB247" s="5"/>
      <c r="BC247" s="5"/>
      <c r="BD247" s="5"/>
      <c r="BE247" s="37"/>
      <c r="BF247" s="37"/>
      <c r="BG247" s="37"/>
      <c r="BH247" s="37"/>
      <c r="BI247" s="37"/>
      <c r="BJ247" s="37"/>
      <c r="BK247" s="5"/>
      <c r="BL247" s="5"/>
      <c r="BM247" s="9">
        <f t="shared" si="87"/>
        <v>25000</v>
      </c>
      <c r="BN247" s="9">
        <f t="shared" si="69"/>
        <v>25000</v>
      </c>
      <c r="BO247" s="9">
        <f t="shared" si="70"/>
        <v>25000</v>
      </c>
      <c r="BP247" s="9">
        <f t="shared" si="73"/>
        <v>25000</v>
      </c>
      <c r="BQ247" s="9">
        <f t="shared" si="74"/>
        <v>25000</v>
      </c>
      <c r="BR247" s="9">
        <f t="shared" si="75"/>
        <v>25000</v>
      </c>
      <c r="BS247" s="9">
        <f t="shared" si="76"/>
        <v>25000</v>
      </c>
      <c r="BT247" s="9">
        <f t="shared" si="77"/>
        <v>25000</v>
      </c>
    </row>
    <row r="248" spans="1:72" hidden="1" x14ac:dyDescent="0.25">
      <c r="A248" s="11">
        <f t="shared" si="68"/>
        <v>247</v>
      </c>
      <c r="B248" s="5" t="s">
        <v>1363</v>
      </c>
      <c r="C248" s="5" t="s">
        <v>128</v>
      </c>
      <c r="D248" s="4" t="s">
        <v>1364</v>
      </c>
      <c r="E248" s="4" t="s">
        <v>1343</v>
      </c>
      <c r="F248" s="4" t="s">
        <v>1365</v>
      </c>
      <c r="G248" s="5" t="s">
        <v>194</v>
      </c>
      <c r="H248" s="5" t="s">
        <v>1050</v>
      </c>
      <c r="I248" s="5"/>
      <c r="J248" s="5"/>
      <c r="K248" s="4" t="s">
        <v>1374</v>
      </c>
      <c r="L248" s="24"/>
      <c r="M248" s="13" t="s">
        <v>291</v>
      </c>
      <c r="N248" s="5" t="s">
        <v>310</v>
      </c>
      <c r="O248" s="4"/>
      <c r="P248" s="4"/>
      <c r="Q248" s="17">
        <v>0.62</v>
      </c>
      <c r="R248" s="1">
        <f t="shared" si="71"/>
        <v>124000</v>
      </c>
      <c r="S248" s="34"/>
      <c r="T248" s="2">
        <f t="shared" si="72"/>
        <v>200000</v>
      </c>
      <c r="U248" s="24">
        <v>40000</v>
      </c>
      <c r="V248" s="24">
        <v>40000</v>
      </c>
      <c r="W248" s="24">
        <v>40000</v>
      </c>
      <c r="X248" s="24">
        <v>40000</v>
      </c>
      <c r="Y248" s="24">
        <v>40000</v>
      </c>
      <c r="Z248" s="24">
        <v>40000</v>
      </c>
      <c r="AA248" s="24">
        <v>40000</v>
      </c>
      <c r="AB248" s="24">
        <v>40000</v>
      </c>
      <c r="AC248" s="24">
        <v>40000</v>
      </c>
      <c r="AD248" s="24">
        <v>40000</v>
      </c>
      <c r="AE248" s="24">
        <v>40000</v>
      </c>
      <c r="AF248" s="24">
        <v>40000</v>
      </c>
      <c r="AG248" s="13">
        <f t="shared" si="89"/>
        <v>40000</v>
      </c>
      <c r="AH248" s="24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4" t="s">
        <v>620</v>
      </c>
      <c r="AU248" s="4" t="s">
        <v>1105</v>
      </c>
      <c r="AV248" s="4" t="s">
        <v>1218</v>
      </c>
      <c r="AW248" s="4" t="s">
        <v>639</v>
      </c>
      <c r="AX248" s="4" t="s">
        <v>646</v>
      </c>
      <c r="AY248" s="4" t="s">
        <v>647</v>
      </c>
      <c r="AZ248" s="4" t="s">
        <v>648</v>
      </c>
      <c r="BA248" s="4"/>
      <c r="BB248" s="4"/>
      <c r="BC248" s="4"/>
      <c r="BD248" s="23"/>
      <c r="BE248" s="4"/>
      <c r="BF248" s="18"/>
      <c r="BG248" s="18"/>
      <c r="BH248" s="18"/>
      <c r="BI248" s="18"/>
      <c r="BJ248" s="18"/>
      <c r="BK248" s="26"/>
      <c r="BL248" s="13"/>
      <c r="BM248" s="9">
        <f t="shared" si="87"/>
        <v>24800</v>
      </c>
      <c r="BN248" s="9">
        <f t="shared" si="69"/>
        <v>24800</v>
      </c>
      <c r="BO248" s="9">
        <f t="shared" si="70"/>
        <v>24800</v>
      </c>
      <c r="BP248" s="9">
        <f t="shared" si="73"/>
        <v>24800</v>
      </c>
      <c r="BQ248" s="9">
        <f t="shared" si="74"/>
        <v>24800</v>
      </c>
      <c r="BR248" s="9">
        <f t="shared" si="75"/>
        <v>24800</v>
      </c>
      <c r="BS248" s="9">
        <f t="shared" si="76"/>
        <v>24800</v>
      </c>
      <c r="BT248" s="9">
        <f t="shared" si="77"/>
        <v>24800</v>
      </c>
    </row>
    <row r="249" spans="1:72" hidden="1" x14ac:dyDescent="0.25">
      <c r="A249" s="11">
        <f t="shared" si="68"/>
        <v>248</v>
      </c>
      <c r="B249" s="4" t="s">
        <v>1398</v>
      </c>
      <c r="C249" s="4" t="s">
        <v>59</v>
      </c>
      <c r="D249" s="33" t="s">
        <v>1348</v>
      </c>
      <c r="E249" s="4" t="s">
        <v>1343</v>
      </c>
      <c r="F249" s="33" t="s">
        <v>1383</v>
      </c>
      <c r="G249" s="33" t="s">
        <v>144</v>
      </c>
      <c r="H249" s="33" t="s">
        <v>545</v>
      </c>
      <c r="I249" s="33"/>
      <c r="J249" s="33"/>
      <c r="K249" s="33" t="s">
        <v>1399</v>
      </c>
      <c r="L249" s="35">
        <v>2000000</v>
      </c>
      <c r="M249" s="5" t="s">
        <v>291</v>
      </c>
      <c r="N249" s="5"/>
      <c r="O249" s="4"/>
      <c r="P249" s="5"/>
      <c r="Q249" s="36">
        <v>0.12</v>
      </c>
      <c r="R249" s="1">
        <f t="shared" si="71"/>
        <v>120000</v>
      </c>
      <c r="S249" s="34"/>
      <c r="T249" s="2">
        <f t="shared" si="72"/>
        <v>1000000</v>
      </c>
      <c r="U249" s="24">
        <v>200000</v>
      </c>
      <c r="V249" s="24">
        <v>200000</v>
      </c>
      <c r="W249" s="24">
        <v>200000</v>
      </c>
      <c r="X249" s="24">
        <v>200000</v>
      </c>
      <c r="Y249" s="24">
        <v>200000</v>
      </c>
      <c r="Z249" s="24">
        <v>200000</v>
      </c>
      <c r="AA249" s="24">
        <v>200000</v>
      </c>
      <c r="AB249" s="24">
        <v>200000</v>
      </c>
      <c r="AC249" s="24">
        <v>200000</v>
      </c>
      <c r="AD249" s="24">
        <v>200000</v>
      </c>
      <c r="AE249" s="24">
        <v>200000</v>
      </c>
      <c r="AF249" s="24">
        <v>200000</v>
      </c>
      <c r="AG249" s="13">
        <f t="shared" si="89"/>
        <v>200000</v>
      </c>
      <c r="AH249" s="24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4" t="s">
        <v>620</v>
      </c>
      <c r="AU249" s="4" t="s">
        <v>1105</v>
      </c>
      <c r="AV249" s="4" t="s">
        <v>1218</v>
      </c>
      <c r="AW249" s="4" t="s">
        <v>623</v>
      </c>
      <c r="AX249" s="4"/>
      <c r="AY249" s="4"/>
      <c r="AZ249" s="4"/>
      <c r="BA249" s="4"/>
      <c r="BB249" s="4"/>
      <c r="BC249" s="4"/>
      <c r="BD249" s="23"/>
      <c r="BE249" s="4"/>
      <c r="BF249" s="18"/>
      <c r="BG249" s="18"/>
      <c r="BH249" s="18"/>
      <c r="BI249" s="18"/>
      <c r="BJ249" s="18"/>
      <c r="BK249" s="26"/>
      <c r="BL249" s="13"/>
      <c r="BM249" s="9">
        <f t="shared" si="87"/>
        <v>24000</v>
      </c>
      <c r="BN249" s="9">
        <f t="shared" si="69"/>
        <v>24000</v>
      </c>
      <c r="BO249" s="9">
        <f t="shared" si="70"/>
        <v>24000</v>
      </c>
      <c r="BP249" s="9">
        <f t="shared" si="73"/>
        <v>24000</v>
      </c>
      <c r="BQ249" s="9">
        <f t="shared" si="74"/>
        <v>24000</v>
      </c>
      <c r="BR249" s="9">
        <f t="shared" si="75"/>
        <v>24000</v>
      </c>
      <c r="BS249" s="9">
        <f t="shared" si="76"/>
        <v>24000</v>
      </c>
      <c r="BT249" s="9">
        <f t="shared" si="77"/>
        <v>24000</v>
      </c>
    </row>
    <row r="250" spans="1:72" hidden="1" x14ac:dyDescent="0.25">
      <c r="A250" s="11">
        <f t="shared" si="68"/>
        <v>249</v>
      </c>
      <c r="B250" s="5" t="s">
        <v>1400</v>
      </c>
      <c r="C250" s="5" t="s">
        <v>128</v>
      </c>
      <c r="D250" s="4" t="s">
        <v>1348</v>
      </c>
      <c r="E250" s="4" t="s">
        <v>1343</v>
      </c>
      <c r="F250" s="33" t="s">
        <v>1349</v>
      </c>
      <c r="G250" s="33" t="s">
        <v>1401</v>
      </c>
      <c r="H250" s="33" t="s">
        <v>1212</v>
      </c>
      <c r="I250" s="33"/>
      <c r="J250" s="33"/>
      <c r="K250" s="33" t="s">
        <v>1402</v>
      </c>
      <c r="L250" s="35"/>
      <c r="M250" s="5" t="s">
        <v>297</v>
      </c>
      <c r="N250" s="5"/>
      <c r="O250" s="33" t="s">
        <v>655</v>
      </c>
      <c r="P250" s="4"/>
      <c r="Q250" s="36">
        <v>0.23</v>
      </c>
      <c r="R250" s="1">
        <f t="shared" si="71"/>
        <v>14950</v>
      </c>
      <c r="S250" s="34"/>
      <c r="T250" s="2">
        <f t="shared" si="72"/>
        <v>65000</v>
      </c>
      <c r="U250" s="24">
        <v>100000</v>
      </c>
      <c r="V250" s="24">
        <v>100000</v>
      </c>
      <c r="W250" s="24">
        <v>15000</v>
      </c>
      <c r="X250" s="24">
        <v>15000</v>
      </c>
      <c r="Y250" s="24">
        <v>15000</v>
      </c>
      <c r="Z250" s="24">
        <v>15000</v>
      </c>
      <c r="AA250" s="24">
        <v>15000</v>
      </c>
      <c r="AB250" s="24">
        <v>65000</v>
      </c>
      <c r="AC250" s="24"/>
      <c r="AD250" s="24"/>
      <c r="AE250" s="24"/>
      <c r="AF250" s="24"/>
      <c r="AG250" s="13">
        <f t="shared" si="89"/>
        <v>0</v>
      </c>
      <c r="AH250" s="2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4" t="s">
        <v>620</v>
      </c>
      <c r="AU250" s="4" t="s">
        <v>1105</v>
      </c>
      <c r="AV250" s="4" t="s">
        <v>1218</v>
      </c>
      <c r="AW250" s="4" t="s">
        <v>623</v>
      </c>
      <c r="AX250" s="4" t="s">
        <v>629</v>
      </c>
      <c r="AY250" s="4" t="s">
        <v>630</v>
      </c>
      <c r="AZ250" s="4"/>
      <c r="BA250" s="4"/>
      <c r="BB250" s="4"/>
      <c r="BC250" s="4"/>
      <c r="BD250" s="23"/>
      <c r="BE250" s="4"/>
      <c r="BF250" s="4"/>
      <c r="BG250" s="4"/>
      <c r="BH250" s="4"/>
      <c r="BI250" s="4"/>
      <c r="BJ250" s="4"/>
      <c r="BK250" s="5"/>
      <c r="BL250" s="5"/>
      <c r="BM250" s="9">
        <f t="shared" si="87"/>
        <v>3450</v>
      </c>
      <c r="BN250" s="9">
        <f t="shared" si="69"/>
        <v>3450</v>
      </c>
      <c r="BO250" s="9">
        <f t="shared" si="70"/>
        <v>3450</v>
      </c>
      <c r="BP250" s="9">
        <f t="shared" si="73"/>
        <v>14950</v>
      </c>
      <c r="BQ250" s="9">
        <f t="shared" si="74"/>
        <v>0</v>
      </c>
      <c r="BR250" s="9">
        <f t="shared" si="75"/>
        <v>0</v>
      </c>
      <c r="BS250" s="9">
        <f t="shared" si="76"/>
        <v>0</v>
      </c>
      <c r="BT250" s="9">
        <f t="shared" si="77"/>
        <v>0</v>
      </c>
    </row>
    <row r="251" spans="1:72" hidden="1" x14ac:dyDescent="0.25">
      <c r="A251" s="11">
        <f t="shared" si="68"/>
        <v>250</v>
      </c>
      <c r="B251" s="4" t="s">
        <v>1403</v>
      </c>
      <c r="C251" s="4" t="s">
        <v>59</v>
      </c>
      <c r="D251" s="4" t="s">
        <v>1157</v>
      </c>
      <c r="E251" s="4" t="s">
        <v>1343</v>
      </c>
      <c r="F251" s="4" t="s">
        <v>1389</v>
      </c>
      <c r="G251" s="4" t="s">
        <v>1327</v>
      </c>
      <c r="H251" s="4" t="s">
        <v>235</v>
      </c>
      <c r="I251" s="4"/>
      <c r="J251" s="4"/>
      <c r="K251" s="4" t="s">
        <v>1404</v>
      </c>
      <c r="L251" s="24">
        <v>1200000</v>
      </c>
      <c r="M251" s="4" t="s">
        <v>291</v>
      </c>
      <c r="N251" s="4" t="s">
        <v>1392</v>
      </c>
      <c r="O251" s="4"/>
      <c r="P251" s="4"/>
      <c r="Q251" s="36">
        <v>0.23</v>
      </c>
      <c r="R251" s="1">
        <f t="shared" si="71"/>
        <v>23000</v>
      </c>
      <c r="S251" s="4"/>
      <c r="T251" s="2">
        <f t="shared" si="72"/>
        <v>100000</v>
      </c>
      <c r="U251" s="24">
        <v>100000</v>
      </c>
      <c r="V251" s="24">
        <v>100000</v>
      </c>
      <c r="W251" s="24">
        <v>100000</v>
      </c>
      <c r="X251" s="24">
        <v>20000</v>
      </c>
      <c r="Y251" s="24">
        <v>20000</v>
      </c>
      <c r="Z251" s="24">
        <v>20000</v>
      </c>
      <c r="AA251" s="24">
        <v>20000</v>
      </c>
      <c r="AB251" s="24">
        <v>20000</v>
      </c>
      <c r="AC251" s="24">
        <v>20000</v>
      </c>
      <c r="AD251" s="24">
        <v>20000</v>
      </c>
      <c r="AE251" s="24">
        <v>20000</v>
      </c>
      <c r="AF251" s="24">
        <v>20000</v>
      </c>
      <c r="AG251" s="13">
        <f t="shared" si="89"/>
        <v>20000</v>
      </c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4" t="s">
        <v>620</v>
      </c>
      <c r="AU251" s="4" t="s">
        <v>1105</v>
      </c>
      <c r="AV251" s="4" t="s">
        <v>1218</v>
      </c>
      <c r="AW251" s="4" t="s">
        <v>623</v>
      </c>
      <c r="AX251" s="4"/>
      <c r="AY251" s="4"/>
      <c r="AZ251" s="4"/>
      <c r="BA251" s="5"/>
      <c r="BB251" s="5"/>
      <c r="BC251" s="5"/>
      <c r="BD251" s="5"/>
      <c r="BE251" s="37"/>
      <c r="BF251" s="37"/>
      <c r="BG251" s="37"/>
      <c r="BH251" s="37"/>
      <c r="BI251" s="37"/>
      <c r="BJ251" s="37"/>
      <c r="BK251" s="5"/>
      <c r="BL251" s="5"/>
      <c r="BM251" s="9">
        <f t="shared" si="87"/>
        <v>4600</v>
      </c>
      <c r="BN251" s="9">
        <f t="shared" si="69"/>
        <v>4600</v>
      </c>
      <c r="BO251" s="9">
        <f t="shared" si="70"/>
        <v>4600</v>
      </c>
      <c r="BP251" s="9">
        <f t="shared" si="73"/>
        <v>4600</v>
      </c>
      <c r="BQ251" s="9">
        <f t="shared" si="74"/>
        <v>4600</v>
      </c>
      <c r="BR251" s="9">
        <f t="shared" si="75"/>
        <v>4600</v>
      </c>
      <c r="BS251" s="9">
        <f t="shared" si="76"/>
        <v>4600</v>
      </c>
      <c r="BT251" s="9">
        <f t="shared" si="77"/>
        <v>4600</v>
      </c>
    </row>
    <row r="252" spans="1:72" hidden="1" x14ac:dyDescent="0.25">
      <c r="A252" s="11">
        <f t="shared" si="68"/>
        <v>251</v>
      </c>
      <c r="B252" s="4" t="s">
        <v>1398</v>
      </c>
      <c r="C252" s="4" t="s">
        <v>59</v>
      </c>
      <c r="D252" s="33" t="s">
        <v>1348</v>
      </c>
      <c r="E252" s="4" t="s">
        <v>1343</v>
      </c>
      <c r="F252" s="33" t="s">
        <v>1383</v>
      </c>
      <c r="G252" s="33" t="s">
        <v>225</v>
      </c>
      <c r="H252" s="33" t="s">
        <v>226</v>
      </c>
      <c r="I252" s="33"/>
      <c r="J252" s="33"/>
      <c r="K252" s="33" t="s">
        <v>1399</v>
      </c>
      <c r="L252" s="35">
        <v>1000000</v>
      </c>
      <c r="M252" s="5" t="s">
        <v>291</v>
      </c>
      <c r="N252" s="5"/>
      <c r="O252" s="4"/>
      <c r="P252" s="5"/>
      <c r="Q252" s="36">
        <v>0.20499999999999999</v>
      </c>
      <c r="R252" s="1">
        <f t="shared" si="71"/>
        <v>102500</v>
      </c>
      <c r="S252" s="34"/>
      <c r="T252" s="2">
        <f t="shared" si="72"/>
        <v>500000</v>
      </c>
      <c r="U252" s="24">
        <v>100000</v>
      </c>
      <c r="V252" s="24">
        <v>100000</v>
      </c>
      <c r="W252" s="24">
        <v>100000</v>
      </c>
      <c r="X252" s="24">
        <v>100000</v>
      </c>
      <c r="Y252" s="24">
        <v>100000</v>
      </c>
      <c r="Z252" s="24">
        <v>100000</v>
      </c>
      <c r="AA252" s="24">
        <v>100000</v>
      </c>
      <c r="AB252" s="24">
        <v>100000</v>
      </c>
      <c r="AC252" s="24">
        <v>100000</v>
      </c>
      <c r="AD252" s="24">
        <v>100000</v>
      </c>
      <c r="AE252" s="24">
        <v>100000</v>
      </c>
      <c r="AF252" s="24">
        <v>100000</v>
      </c>
      <c r="AG252" s="13">
        <f t="shared" si="89"/>
        <v>100000</v>
      </c>
      <c r="AH252" s="24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4" t="s">
        <v>620</v>
      </c>
      <c r="AU252" s="4" t="s">
        <v>1105</v>
      </c>
      <c r="AV252" s="4" t="s">
        <v>1218</v>
      </c>
      <c r="AW252" s="4" t="s">
        <v>623</v>
      </c>
      <c r="AX252" s="4"/>
      <c r="AY252" s="4"/>
      <c r="AZ252" s="4"/>
      <c r="BA252" s="4"/>
      <c r="BB252" s="4"/>
      <c r="BC252" s="4"/>
      <c r="BD252" s="23"/>
      <c r="BE252" s="4"/>
      <c r="BF252" s="18"/>
      <c r="BG252" s="18"/>
      <c r="BH252" s="18"/>
      <c r="BI252" s="18"/>
      <c r="BJ252" s="18"/>
      <c r="BK252" s="26"/>
      <c r="BL252" s="13"/>
      <c r="BM252" s="9">
        <f t="shared" si="87"/>
        <v>20500</v>
      </c>
      <c r="BN252" s="9">
        <f t="shared" si="69"/>
        <v>20500</v>
      </c>
      <c r="BO252" s="9">
        <f t="shared" si="70"/>
        <v>20500</v>
      </c>
      <c r="BP252" s="9">
        <f t="shared" si="73"/>
        <v>20500</v>
      </c>
      <c r="BQ252" s="9">
        <f t="shared" si="74"/>
        <v>20500</v>
      </c>
      <c r="BR252" s="9">
        <f t="shared" si="75"/>
        <v>20500</v>
      </c>
      <c r="BS252" s="9">
        <f t="shared" si="76"/>
        <v>20500</v>
      </c>
      <c r="BT252" s="9">
        <f t="shared" si="77"/>
        <v>20500</v>
      </c>
    </row>
    <row r="253" spans="1:72" hidden="1" x14ac:dyDescent="0.25">
      <c r="A253" s="11">
        <f t="shared" si="68"/>
        <v>252</v>
      </c>
      <c r="B253" s="5" t="s">
        <v>1405</v>
      </c>
      <c r="C253" s="4" t="s">
        <v>59</v>
      </c>
      <c r="D253" s="4" t="s">
        <v>1348</v>
      </c>
      <c r="E253" s="4" t="s">
        <v>1343</v>
      </c>
      <c r="F253" s="33" t="s">
        <v>1383</v>
      </c>
      <c r="G253" s="33" t="s">
        <v>144</v>
      </c>
      <c r="H253" s="33" t="s">
        <v>545</v>
      </c>
      <c r="I253" s="33"/>
      <c r="J253" s="33"/>
      <c r="K253" s="33" t="s">
        <v>1406</v>
      </c>
      <c r="L253" s="35">
        <v>3000000</v>
      </c>
      <c r="M253" s="5" t="s">
        <v>74</v>
      </c>
      <c r="N253" s="5"/>
      <c r="O253" s="33" t="s">
        <v>657</v>
      </c>
      <c r="P253" s="4"/>
      <c r="Q253" s="36">
        <v>0.12</v>
      </c>
      <c r="R253" s="1">
        <f t="shared" si="71"/>
        <v>120000</v>
      </c>
      <c r="S253" s="34"/>
      <c r="T253" s="2">
        <f t="shared" si="72"/>
        <v>1000000</v>
      </c>
      <c r="U253" s="24"/>
      <c r="V253" s="24"/>
      <c r="W253" s="24"/>
      <c r="X253" s="24">
        <v>200000</v>
      </c>
      <c r="Y253" s="24">
        <v>200000</v>
      </c>
      <c r="Z253" s="24">
        <v>200000</v>
      </c>
      <c r="AA253" s="24">
        <v>200000</v>
      </c>
      <c r="AB253" s="24">
        <v>200000</v>
      </c>
      <c r="AC253" s="24">
        <v>200000</v>
      </c>
      <c r="AD253" s="24">
        <v>200000</v>
      </c>
      <c r="AE253" s="24">
        <v>200000</v>
      </c>
      <c r="AF253" s="24">
        <v>200000</v>
      </c>
      <c r="AG253" s="13">
        <f t="shared" ref="AG253:AG260" si="90">AF253</f>
        <v>200000</v>
      </c>
      <c r="AH253" s="2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4" t="s">
        <v>620</v>
      </c>
      <c r="AU253" s="4" t="s">
        <v>1105</v>
      </c>
      <c r="AV253" s="4" t="s">
        <v>1218</v>
      </c>
      <c r="AW253" s="4" t="s">
        <v>623</v>
      </c>
      <c r="AX253" s="4"/>
      <c r="AY253" s="4"/>
      <c r="AZ253" s="4"/>
      <c r="BA253" s="4"/>
      <c r="BB253" s="4"/>
      <c r="BC253" s="4"/>
      <c r="BD253" s="23"/>
      <c r="BE253" s="4"/>
      <c r="BF253" s="18"/>
      <c r="BG253" s="18"/>
      <c r="BH253" s="18"/>
      <c r="BI253" s="18"/>
      <c r="BJ253" s="18"/>
      <c r="BK253" s="26"/>
      <c r="BL253" s="13"/>
      <c r="BM253" s="9">
        <f t="shared" si="87"/>
        <v>24000</v>
      </c>
      <c r="BN253" s="9">
        <f t="shared" si="69"/>
        <v>24000</v>
      </c>
      <c r="BO253" s="9">
        <f t="shared" si="70"/>
        <v>24000</v>
      </c>
      <c r="BP253" s="9">
        <f t="shared" si="73"/>
        <v>24000</v>
      </c>
      <c r="BQ253" s="9">
        <f t="shared" si="74"/>
        <v>24000</v>
      </c>
      <c r="BR253" s="9">
        <f t="shared" si="75"/>
        <v>24000</v>
      </c>
      <c r="BS253" s="9">
        <f t="shared" si="76"/>
        <v>24000</v>
      </c>
      <c r="BT253" s="9">
        <f t="shared" si="77"/>
        <v>24000</v>
      </c>
    </row>
    <row r="254" spans="1:72" hidden="1" x14ac:dyDescent="0.25">
      <c r="A254" s="11">
        <f t="shared" si="68"/>
        <v>253</v>
      </c>
      <c r="B254" s="5" t="s">
        <v>1407</v>
      </c>
      <c r="C254" s="4" t="s">
        <v>59</v>
      </c>
      <c r="D254" s="4" t="s">
        <v>1348</v>
      </c>
      <c r="E254" s="4" t="s">
        <v>1343</v>
      </c>
      <c r="F254" s="33" t="s">
        <v>1383</v>
      </c>
      <c r="G254" s="33" t="s">
        <v>144</v>
      </c>
      <c r="H254" s="33" t="s">
        <v>545</v>
      </c>
      <c r="I254" s="33"/>
      <c r="J254" s="33"/>
      <c r="K254" s="33" t="s">
        <v>1384</v>
      </c>
      <c r="L254" s="35">
        <v>3000000</v>
      </c>
      <c r="M254" s="5" t="s">
        <v>74</v>
      </c>
      <c r="N254" s="5"/>
      <c r="O254" s="33" t="s">
        <v>657</v>
      </c>
      <c r="P254" s="4"/>
      <c r="Q254" s="36">
        <v>0.12</v>
      </c>
      <c r="R254" s="1">
        <f t="shared" si="71"/>
        <v>120000</v>
      </c>
      <c r="S254" s="34"/>
      <c r="T254" s="2">
        <f t="shared" si="72"/>
        <v>1000000</v>
      </c>
      <c r="U254" s="24"/>
      <c r="V254" s="24"/>
      <c r="W254" s="24"/>
      <c r="X254" s="24">
        <v>200000</v>
      </c>
      <c r="Y254" s="24">
        <v>200000</v>
      </c>
      <c r="Z254" s="24">
        <v>200000</v>
      </c>
      <c r="AA254" s="24">
        <v>200000</v>
      </c>
      <c r="AB254" s="24">
        <v>200000</v>
      </c>
      <c r="AC254" s="24">
        <v>200000</v>
      </c>
      <c r="AD254" s="24">
        <v>200000</v>
      </c>
      <c r="AE254" s="24">
        <v>200000</v>
      </c>
      <c r="AF254" s="24">
        <v>200000</v>
      </c>
      <c r="AG254" s="13">
        <f t="shared" si="90"/>
        <v>200000</v>
      </c>
      <c r="AH254" s="24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4" t="s">
        <v>620</v>
      </c>
      <c r="AU254" s="4" t="s">
        <v>1105</v>
      </c>
      <c r="AV254" s="4" t="s">
        <v>1218</v>
      </c>
      <c r="AW254" s="4" t="s">
        <v>623</v>
      </c>
      <c r="AX254" s="4"/>
      <c r="AY254" s="4"/>
      <c r="AZ254" s="4"/>
      <c r="BA254" s="4"/>
      <c r="BB254" s="4"/>
      <c r="BC254" s="4"/>
      <c r="BD254" s="23"/>
      <c r="BE254" s="4"/>
      <c r="BF254" s="18"/>
      <c r="BG254" s="18"/>
      <c r="BH254" s="18"/>
      <c r="BI254" s="18"/>
      <c r="BJ254" s="18"/>
      <c r="BK254" s="26"/>
      <c r="BL254" s="13"/>
      <c r="BM254" s="9">
        <f t="shared" si="87"/>
        <v>24000</v>
      </c>
      <c r="BN254" s="9">
        <f t="shared" si="69"/>
        <v>24000</v>
      </c>
      <c r="BO254" s="9">
        <f t="shared" si="70"/>
        <v>24000</v>
      </c>
      <c r="BP254" s="9">
        <f t="shared" si="73"/>
        <v>24000</v>
      </c>
      <c r="BQ254" s="9">
        <f t="shared" si="74"/>
        <v>24000</v>
      </c>
      <c r="BR254" s="9">
        <f t="shared" si="75"/>
        <v>24000</v>
      </c>
      <c r="BS254" s="9">
        <f t="shared" si="76"/>
        <v>24000</v>
      </c>
      <c r="BT254" s="9">
        <f t="shared" si="77"/>
        <v>24000</v>
      </c>
    </row>
    <row r="255" spans="1:72" hidden="1" x14ac:dyDescent="0.25">
      <c r="A255" s="11">
        <f t="shared" si="68"/>
        <v>254</v>
      </c>
      <c r="B255" s="3" t="s">
        <v>1408</v>
      </c>
      <c r="C255" s="4" t="s">
        <v>59</v>
      </c>
      <c r="D255" s="33" t="s">
        <v>1348</v>
      </c>
      <c r="E255" s="4" t="s">
        <v>1343</v>
      </c>
      <c r="F255" s="33" t="s">
        <v>1349</v>
      </c>
      <c r="G255" s="33" t="s">
        <v>1409</v>
      </c>
      <c r="H255" s="33" t="s">
        <v>1813</v>
      </c>
      <c r="I255" s="33"/>
      <c r="J255" s="33"/>
      <c r="K255" s="33" t="s">
        <v>638</v>
      </c>
      <c r="L255" s="24">
        <v>750000</v>
      </c>
      <c r="M255" s="5" t="s">
        <v>291</v>
      </c>
      <c r="N255" s="5"/>
      <c r="O255" s="33" t="s">
        <v>109</v>
      </c>
      <c r="P255" s="36"/>
      <c r="Q255" s="36">
        <v>0.37</v>
      </c>
      <c r="R255" s="1">
        <f t="shared" si="71"/>
        <v>92500</v>
      </c>
      <c r="S255" s="5"/>
      <c r="T255" s="2">
        <f t="shared" si="72"/>
        <v>250000</v>
      </c>
      <c r="U255" s="24">
        <v>50000</v>
      </c>
      <c r="V255" s="24">
        <v>50000</v>
      </c>
      <c r="W255" s="24">
        <v>50000</v>
      </c>
      <c r="X255" s="24">
        <v>50000</v>
      </c>
      <c r="Y255" s="24">
        <v>50000</v>
      </c>
      <c r="Z255" s="24">
        <v>50000</v>
      </c>
      <c r="AA255" s="24">
        <v>50000</v>
      </c>
      <c r="AB255" s="24">
        <v>50000</v>
      </c>
      <c r="AC255" s="24">
        <v>50000</v>
      </c>
      <c r="AD255" s="24">
        <v>50000</v>
      </c>
      <c r="AE255" s="24">
        <v>50000</v>
      </c>
      <c r="AF255" s="24">
        <v>50000</v>
      </c>
      <c r="AG255" s="13">
        <f t="shared" si="90"/>
        <v>50000</v>
      </c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4" t="s">
        <v>620</v>
      </c>
      <c r="AU255" s="4" t="s">
        <v>1105</v>
      </c>
      <c r="AV255" s="4" t="s">
        <v>1218</v>
      </c>
      <c r="AW255" s="4" t="s">
        <v>623</v>
      </c>
      <c r="AX255" s="4"/>
      <c r="AY255" s="4"/>
      <c r="AZ255" s="4"/>
      <c r="BA255" s="5"/>
      <c r="BB255" s="5"/>
      <c r="BC255" s="5"/>
      <c r="BD255" s="5"/>
      <c r="BE255" s="37"/>
      <c r="BF255" s="37"/>
      <c r="BG255" s="37"/>
      <c r="BH255" s="37"/>
      <c r="BI255" s="37"/>
      <c r="BJ255" s="37"/>
      <c r="BK255" s="5"/>
      <c r="BL255" s="5"/>
      <c r="BM255" s="9">
        <f t="shared" si="87"/>
        <v>18500</v>
      </c>
      <c r="BN255" s="9">
        <f t="shared" si="69"/>
        <v>18500</v>
      </c>
      <c r="BO255" s="9">
        <f t="shared" si="70"/>
        <v>18500</v>
      </c>
      <c r="BP255" s="9">
        <f t="shared" si="73"/>
        <v>18500</v>
      </c>
      <c r="BQ255" s="9">
        <f t="shared" si="74"/>
        <v>18500</v>
      </c>
      <c r="BR255" s="9">
        <f t="shared" si="75"/>
        <v>18500</v>
      </c>
      <c r="BS255" s="9">
        <f t="shared" si="76"/>
        <v>18500</v>
      </c>
      <c r="BT255" s="9">
        <f t="shared" si="77"/>
        <v>18500</v>
      </c>
    </row>
    <row r="256" spans="1:72" hidden="1" x14ac:dyDescent="0.25">
      <c r="A256" s="11">
        <f t="shared" si="68"/>
        <v>255</v>
      </c>
      <c r="B256" s="3" t="s">
        <v>1385</v>
      </c>
      <c r="C256" s="5" t="s">
        <v>128</v>
      </c>
      <c r="D256" s="3" t="s">
        <v>1348</v>
      </c>
      <c r="E256" s="4" t="s">
        <v>1343</v>
      </c>
      <c r="F256" s="3" t="s">
        <v>1349</v>
      </c>
      <c r="G256" s="3" t="s">
        <v>771</v>
      </c>
      <c r="H256" s="3" t="s">
        <v>337</v>
      </c>
      <c r="I256" s="3"/>
      <c r="J256" s="3"/>
      <c r="K256" s="3" t="s">
        <v>1386</v>
      </c>
      <c r="L256" s="35">
        <v>500000</v>
      </c>
      <c r="M256" s="5" t="s">
        <v>291</v>
      </c>
      <c r="N256" s="5"/>
      <c r="O256" s="4"/>
      <c r="P256" s="5"/>
      <c r="Q256" s="36">
        <v>0.35</v>
      </c>
      <c r="R256" s="1">
        <f t="shared" si="71"/>
        <v>87500</v>
      </c>
      <c r="S256" s="34"/>
      <c r="T256" s="2">
        <f t="shared" si="72"/>
        <v>250000</v>
      </c>
      <c r="U256" s="24">
        <v>50000</v>
      </c>
      <c r="V256" s="24">
        <v>50000</v>
      </c>
      <c r="W256" s="24">
        <v>50000</v>
      </c>
      <c r="X256" s="24">
        <v>50000</v>
      </c>
      <c r="Y256" s="24">
        <v>50000</v>
      </c>
      <c r="Z256" s="24">
        <v>50000</v>
      </c>
      <c r="AA256" s="24">
        <v>50000</v>
      </c>
      <c r="AB256" s="24">
        <v>50000</v>
      </c>
      <c r="AC256" s="24">
        <v>50000</v>
      </c>
      <c r="AD256" s="24">
        <v>50000</v>
      </c>
      <c r="AE256" s="24">
        <v>50000</v>
      </c>
      <c r="AF256" s="24">
        <v>50000</v>
      </c>
      <c r="AG256" s="13">
        <f t="shared" si="90"/>
        <v>50000</v>
      </c>
      <c r="AH256" s="24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4" t="s">
        <v>620</v>
      </c>
      <c r="AU256" s="4" t="s">
        <v>1105</v>
      </c>
      <c r="AV256" s="4" t="s">
        <v>1218</v>
      </c>
      <c r="AW256" s="4" t="s">
        <v>639</v>
      </c>
      <c r="AX256" s="4" t="s">
        <v>640</v>
      </c>
      <c r="AY256" s="4" t="s">
        <v>641</v>
      </c>
      <c r="AZ256" s="4" t="s">
        <v>642</v>
      </c>
      <c r="BA256" s="4"/>
      <c r="BB256" s="4"/>
      <c r="BC256" s="4"/>
      <c r="BD256" s="23"/>
      <c r="BE256" s="4"/>
      <c r="BF256" s="18"/>
      <c r="BG256" s="18"/>
      <c r="BH256" s="18"/>
      <c r="BI256" s="18"/>
      <c r="BJ256" s="18"/>
      <c r="BK256" s="26"/>
      <c r="BL256" s="13"/>
      <c r="BM256" s="9">
        <f t="shared" si="87"/>
        <v>17500</v>
      </c>
      <c r="BN256" s="9">
        <f t="shared" si="69"/>
        <v>17500</v>
      </c>
      <c r="BO256" s="9">
        <f t="shared" si="70"/>
        <v>17500</v>
      </c>
      <c r="BP256" s="9">
        <f t="shared" si="73"/>
        <v>17500</v>
      </c>
      <c r="BQ256" s="9">
        <f t="shared" si="74"/>
        <v>17500</v>
      </c>
      <c r="BR256" s="9">
        <f t="shared" si="75"/>
        <v>17500</v>
      </c>
      <c r="BS256" s="9">
        <f t="shared" si="76"/>
        <v>17500</v>
      </c>
      <c r="BT256" s="9">
        <f t="shared" si="77"/>
        <v>17500</v>
      </c>
    </row>
    <row r="257" spans="1:72" hidden="1" x14ac:dyDescent="0.25">
      <c r="A257" s="11">
        <f t="shared" si="68"/>
        <v>256</v>
      </c>
      <c r="B257" s="3" t="s">
        <v>1410</v>
      </c>
      <c r="C257" s="4" t="s">
        <v>59</v>
      </c>
      <c r="D257" s="33" t="s">
        <v>1348</v>
      </c>
      <c r="E257" s="4" t="s">
        <v>1343</v>
      </c>
      <c r="F257" s="33" t="s">
        <v>1349</v>
      </c>
      <c r="G257" s="33" t="s">
        <v>243</v>
      </c>
      <c r="H257" s="33" t="s">
        <v>598</v>
      </c>
      <c r="I257" s="33"/>
      <c r="J257" s="33"/>
      <c r="K257" s="33" t="s">
        <v>1386</v>
      </c>
      <c r="L257" s="24">
        <v>750000</v>
      </c>
      <c r="M257" s="5" t="s">
        <v>291</v>
      </c>
      <c r="N257" s="5"/>
      <c r="O257" s="33" t="s">
        <v>109</v>
      </c>
      <c r="P257" s="36"/>
      <c r="Q257" s="36">
        <v>0.35</v>
      </c>
      <c r="R257" s="1">
        <f t="shared" si="71"/>
        <v>87500</v>
      </c>
      <c r="S257" s="5"/>
      <c r="T257" s="2">
        <f t="shared" si="72"/>
        <v>250000</v>
      </c>
      <c r="U257" s="24">
        <v>50000</v>
      </c>
      <c r="V257" s="24">
        <v>50000</v>
      </c>
      <c r="W257" s="24">
        <v>50000</v>
      </c>
      <c r="X257" s="24">
        <v>50000</v>
      </c>
      <c r="Y257" s="24">
        <v>50000</v>
      </c>
      <c r="Z257" s="24">
        <v>50000</v>
      </c>
      <c r="AA257" s="24">
        <v>50000</v>
      </c>
      <c r="AB257" s="24">
        <v>50000</v>
      </c>
      <c r="AC257" s="24">
        <v>50000</v>
      </c>
      <c r="AD257" s="24">
        <v>50000</v>
      </c>
      <c r="AE257" s="24">
        <v>50000</v>
      </c>
      <c r="AF257" s="24">
        <v>50000</v>
      </c>
      <c r="AG257" s="13">
        <f t="shared" si="90"/>
        <v>50000</v>
      </c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4" t="s">
        <v>620</v>
      </c>
      <c r="AU257" s="4" t="s">
        <v>1105</v>
      </c>
      <c r="AV257" s="4" t="s">
        <v>1218</v>
      </c>
      <c r="AW257" s="4" t="s">
        <v>639</v>
      </c>
      <c r="AX257" s="4" t="s">
        <v>640</v>
      </c>
      <c r="AY257" s="4" t="s">
        <v>641</v>
      </c>
      <c r="AZ257" s="4" t="s">
        <v>642</v>
      </c>
      <c r="BA257" s="5"/>
      <c r="BB257" s="5"/>
      <c r="BC257" s="5"/>
      <c r="BD257" s="5"/>
      <c r="BE257" s="37"/>
      <c r="BF257" s="37"/>
      <c r="BG257" s="37"/>
      <c r="BH257" s="37"/>
      <c r="BI257" s="37"/>
      <c r="BJ257" s="37"/>
      <c r="BK257" s="5"/>
      <c r="BL257" s="5"/>
      <c r="BM257" s="9">
        <f t="shared" si="87"/>
        <v>17500</v>
      </c>
      <c r="BN257" s="9">
        <f t="shared" si="69"/>
        <v>17500</v>
      </c>
      <c r="BO257" s="9">
        <f t="shared" si="70"/>
        <v>17500</v>
      </c>
      <c r="BP257" s="9">
        <f t="shared" si="73"/>
        <v>17500</v>
      </c>
      <c r="BQ257" s="9">
        <f t="shared" si="74"/>
        <v>17500</v>
      </c>
      <c r="BR257" s="9">
        <f t="shared" si="75"/>
        <v>17500</v>
      </c>
      <c r="BS257" s="9">
        <f t="shared" si="76"/>
        <v>17500</v>
      </c>
      <c r="BT257" s="9">
        <f t="shared" si="77"/>
        <v>17500</v>
      </c>
    </row>
    <row r="258" spans="1:72" hidden="1" x14ac:dyDescent="0.25">
      <c r="A258" s="11">
        <f t="shared" ref="A258:A321" si="91">ROW()-1</f>
        <v>257</v>
      </c>
      <c r="B258" s="3" t="s">
        <v>1411</v>
      </c>
      <c r="C258" s="4" t="s">
        <v>59</v>
      </c>
      <c r="D258" s="3" t="s">
        <v>1348</v>
      </c>
      <c r="E258" s="4" t="s">
        <v>1343</v>
      </c>
      <c r="F258" s="3" t="s">
        <v>1383</v>
      </c>
      <c r="G258" s="33" t="s">
        <v>177</v>
      </c>
      <c r="H258" s="33" t="s">
        <v>178</v>
      </c>
      <c r="I258" s="33"/>
      <c r="J258" s="33"/>
      <c r="K258" s="3" t="s">
        <v>1412</v>
      </c>
      <c r="L258" s="24">
        <v>2000000</v>
      </c>
      <c r="M258" s="5" t="s">
        <v>291</v>
      </c>
      <c r="N258" s="5"/>
      <c r="O258" s="3" t="s">
        <v>109</v>
      </c>
      <c r="P258" s="29"/>
      <c r="Q258" s="36">
        <v>0.115</v>
      </c>
      <c r="R258" s="1">
        <f t="shared" si="71"/>
        <v>86250</v>
      </c>
      <c r="S258" s="5"/>
      <c r="T258" s="2">
        <f t="shared" si="72"/>
        <v>750000</v>
      </c>
      <c r="U258" s="24">
        <v>150000</v>
      </c>
      <c r="V258" s="24">
        <v>150000</v>
      </c>
      <c r="W258" s="24">
        <v>150000</v>
      </c>
      <c r="X258" s="24">
        <v>150000</v>
      </c>
      <c r="Y258" s="24">
        <v>150000</v>
      </c>
      <c r="Z258" s="24">
        <v>150000</v>
      </c>
      <c r="AA258" s="24">
        <v>150000</v>
      </c>
      <c r="AB258" s="24">
        <v>150000</v>
      </c>
      <c r="AC258" s="24">
        <v>150000</v>
      </c>
      <c r="AD258" s="24">
        <v>150000</v>
      </c>
      <c r="AE258" s="24">
        <v>150000</v>
      </c>
      <c r="AF258" s="24">
        <v>150000</v>
      </c>
      <c r="AG258" s="13">
        <f t="shared" si="90"/>
        <v>150000</v>
      </c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4" t="s">
        <v>620</v>
      </c>
      <c r="AU258" s="4" t="s">
        <v>1105</v>
      </c>
      <c r="AV258" s="4" t="s">
        <v>1218</v>
      </c>
      <c r="AW258" s="4" t="s">
        <v>623</v>
      </c>
      <c r="AX258" s="4"/>
      <c r="AY258" s="4"/>
      <c r="AZ258" s="4"/>
      <c r="BA258" s="5"/>
      <c r="BB258" s="5"/>
      <c r="BC258" s="5"/>
      <c r="BD258" s="5"/>
      <c r="BE258" s="37"/>
      <c r="BF258" s="37"/>
      <c r="BG258" s="37"/>
      <c r="BH258" s="37"/>
      <c r="BI258" s="37"/>
      <c r="BJ258" s="37"/>
      <c r="BK258" s="5"/>
      <c r="BL258" s="5"/>
      <c r="BM258" s="9">
        <f t="shared" si="87"/>
        <v>17250</v>
      </c>
      <c r="BN258" s="9">
        <f t="shared" ref="BN258:BN320" si="92">$Q258*Z258</f>
        <v>17250</v>
      </c>
      <c r="BO258" s="9">
        <f t="shared" ref="BO258:BO320" si="93">$Q258*AA258</f>
        <v>17250</v>
      </c>
      <c r="BP258" s="9">
        <f t="shared" si="73"/>
        <v>17250</v>
      </c>
      <c r="BQ258" s="9">
        <f t="shared" si="74"/>
        <v>17250</v>
      </c>
      <c r="BR258" s="9">
        <f t="shared" si="75"/>
        <v>17250</v>
      </c>
      <c r="BS258" s="9">
        <f t="shared" si="76"/>
        <v>17250</v>
      </c>
      <c r="BT258" s="9">
        <f t="shared" si="77"/>
        <v>17250</v>
      </c>
    </row>
    <row r="259" spans="1:72" hidden="1" x14ac:dyDescent="0.25">
      <c r="A259" s="11">
        <f t="shared" si="91"/>
        <v>258</v>
      </c>
      <c r="B259" s="5" t="s">
        <v>1413</v>
      </c>
      <c r="C259" s="4" t="s">
        <v>128</v>
      </c>
      <c r="D259" s="4" t="s">
        <v>1364</v>
      </c>
      <c r="E259" s="4" t="s">
        <v>1343</v>
      </c>
      <c r="F259" s="4" t="s">
        <v>1373</v>
      </c>
      <c r="G259" s="4" t="s">
        <v>136</v>
      </c>
      <c r="H259" s="4" t="s">
        <v>137</v>
      </c>
      <c r="I259" s="4"/>
      <c r="J259" s="4"/>
      <c r="K259" s="5" t="s">
        <v>1414</v>
      </c>
      <c r="L259" s="24"/>
      <c r="M259" s="13" t="s">
        <v>291</v>
      </c>
      <c r="N259" s="5" t="s">
        <v>310</v>
      </c>
      <c r="O259" s="4"/>
      <c r="P259" s="4"/>
      <c r="Q259" s="17">
        <v>0.52</v>
      </c>
      <c r="R259" s="1">
        <f t="shared" ref="R259:R321" si="94">Q259*T259</f>
        <v>26000</v>
      </c>
      <c r="S259" s="34"/>
      <c r="T259" s="2">
        <f t="shared" ref="T259:T321" si="95">SUM(AB259:AF259)</f>
        <v>50000</v>
      </c>
      <c r="U259" s="24">
        <v>30000</v>
      </c>
      <c r="V259" s="24">
        <v>30000</v>
      </c>
      <c r="W259" s="24">
        <v>30000</v>
      </c>
      <c r="X259" s="24">
        <v>10000</v>
      </c>
      <c r="Y259" s="24">
        <v>10000</v>
      </c>
      <c r="Z259" s="24">
        <v>10000</v>
      </c>
      <c r="AA259" s="24">
        <v>10000</v>
      </c>
      <c r="AB259" s="24">
        <v>10000</v>
      </c>
      <c r="AC259" s="24">
        <v>10000</v>
      </c>
      <c r="AD259" s="24">
        <v>10000</v>
      </c>
      <c r="AE259" s="24">
        <v>10000</v>
      </c>
      <c r="AF259" s="24">
        <v>10000</v>
      </c>
      <c r="AG259" s="13">
        <f t="shared" si="90"/>
        <v>10000</v>
      </c>
      <c r="AH259" s="24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4" t="s">
        <v>620</v>
      </c>
      <c r="AU259" s="4" t="s">
        <v>1105</v>
      </c>
      <c r="AV259" s="4" t="s">
        <v>1218</v>
      </c>
      <c r="AW259" s="4" t="s">
        <v>623</v>
      </c>
      <c r="AX259" s="4"/>
      <c r="AY259" s="4"/>
      <c r="AZ259" s="4"/>
      <c r="BA259" s="4"/>
      <c r="BB259" s="4"/>
      <c r="BC259" s="4"/>
      <c r="BD259" s="23"/>
      <c r="BE259" s="4"/>
      <c r="BF259" s="18"/>
      <c r="BG259" s="18"/>
      <c r="BH259" s="18"/>
      <c r="BI259" s="18"/>
      <c r="BJ259" s="18"/>
      <c r="BK259" s="26"/>
      <c r="BL259" s="13"/>
      <c r="BM259" s="9">
        <f t="shared" si="87"/>
        <v>5200</v>
      </c>
      <c r="BN259" s="9">
        <f t="shared" si="92"/>
        <v>5200</v>
      </c>
      <c r="BO259" s="9">
        <f t="shared" si="93"/>
        <v>5200</v>
      </c>
      <c r="BP259" s="9">
        <f t="shared" ref="BP259:BP322" si="96">$Q259*AB259</f>
        <v>5200</v>
      </c>
      <c r="BQ259" s="9">
        <f t="shared" ref="BQ259:BQ322" si="97">$Q259*AC259</f>
        <v>5200</v>
      </c>
      <c r="BR259" s="9">
        <f t="shared" ref="BR259:BR322" si="98">$Q259*AD259</f>
        <v>5200</v>
      </c>
      <c r="BS259" s="9">
        <f t="shared" ref="BS259:BS322" si="99">$Q259*AE259</f>
        <v>5200</v>
      </c>
      <c r="BT259" s="9">
        <f t="shared" ref="BT259:BT322" si="100">$Q259*AF259</f>
        <v>5200</v>
      </c>
    </row>
    <row r="260" spans="1:72" hidden="1" x14ac:dyDescent="0.25">
      <c r="A260" s="11">
        <f t="shared" si="91"/>
        <v>259</v>
      </c>
      <c r="B260" s="3" t="s">
        <v>1415</v>
      </c>
      <c r="C260" s="4" t="s">
        <v>59</v>
      </c>
      <c r="D260" s="3" t="s">
        <v>1348</v>
      </c>
      <c r="E260" s="4" t="s">
        <v>1343</v>
      </c>
      <c r="F260" s="3" t="s">
        <v>1349</v>
      </c>
      <c r="G260" s="3" t="s">
        <v>1087</v>
      </c>
      <c r="H260" s="3" t="s">
        <v>1053</v>
      </c>
      <c r="I260" s="3"/>
      <c r="J260" s="3"/>
      <c r="K260" s="3" t="s">
        <v>1416</v>
      </c>
      <c r="L260" s="35">
        <v>800000</v>
      </c>
      <c r="M260" s="5" t="s">
        <v>291</v>
      </c>
      <c r="N260" s="5"/>
      <c r="O260" s="3" t="s">
        <v>109</v>
      </c>
      <c r="P260" s="29"/>
      <c r="Q260" s="36">
        <v>0.21</v>
      </c>
      <c r="R260" s="1">
        <f t="shared" si="94"/>
        <v>73500</v>
      </c>
      <c r="S260" s="34"/>
      <c r="T260" s="2">
        <f t="shared" si="95"/>
        <v>350000</v>
      </c>
      <c r="U260" s="24">
        <v>70000</v>
      </c>
      <c r="V260" s="24">
        <v>70000</v>
      </c>
      <c r="W260" s="24">
        <v>70000</v>
      </c>
      <c r="X260" s="24">
        <v>70000</v>
      </c>
      <c r="Y260" s="24">
        <v>70000</v>
      </c>
      <c r="Z260" s="24">
        <v>70000</v>
      </c>
      <c r="AA260" s="24">
        <v>70000</v>
      </c>
      <c r="AB260" s="24">
        <v>70000</v>
      </c>
      <c r="AC260" s="24">
        <v>70000</v>
      </c>
      <c r="AD260" s="24">
        <v>70000</v>
      </c>
      <c r="AE260" s="24">
        <v>70000</v>
      </c>
      <c r="AF260" s="24">
        <v>70000</v>
      </c>
      <c r="AG260" s="13">
        <f t="shared" si="90"/>
        <v>70000</v>
      </c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4" t="s">
        <v>620</v>
      </c>
      <c r="AU260" s="4" t="s">
        <v>1105</v>
      </c>
      <c r="AV260" s="4" t="s">
        <v>1218</v>
      </c>
      <c r="AW260" s="4" t="s">
        <v>623</v>
      </c>
      <c r="AX260" s="4"/>
      <c r="AY260" s="4"/>
      <c r="AZ260" s="4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9">
        <f t="shared" si="87"/>
        <v>14700</v>
      </c>
      <c r="BN260" s="9">
        <f t="shared" si="92"/>
        <v>14700</v>
      </c>
      <c r="BO260" s="9">
        <f t="shared" si="93"/>
        <v>14700</v>
      </c>
      <c r="BP260" s="9">
        <f t="shared" si="96"/>
        <v>14700</v>
      </c>
      <c r="BQ260" s="9">
        <f t="shared" si="97"/>
        <v>14700</v>
      </c>
      <c r="BR260" s="9">
        <f t="shared" si="98"/>
        <v>14700</v>
      </c>
      <c r="BS260" s="9">
        <f t="shared" si="99"/>
        <v>14700</v>
      </c>
      <c r="BT260" s="9">
        <f t="shared" si="100"/>
        <v>14700</v>
      </c>
    </row>
    <row r="261" spans="1:72" hidden="1" x14ac:dyDescent="0.25">
      <c r="A261" s="11">
        <f t="shared" si="91"/>
        <v>260</v>
      </c>
      <c r="B261" s="5" t="s">
        <v>1417</v>
      </c>
      <c r="C261" s="5" t="s">
        <v>128</v>
      </c>
      <c r="D261" s="4" t="s">
        <v>1418</v>
      </c>
      <c r="E261" s="4" t="s">
        <v>1343</v>
      </c>
      <c r="F261" s="4" t="s">
        <v>1419</v>
      </c>
      <c r="G261" s="4" t="s">
        <v>1420</v>
      </c>
      <c r="H261" s="4" t="s">
        <v>1054</v>
      </c>
      <c r="I261" s="4"/>
      <c r="J261" s="4"/>
      <c r="K261" s="4" t="s">
        <v>1421</v>
      </c>
      <c r="L261" s="24">
        <v>400000</v>
      </c>
      <c r="M261" s="13" t="s">
        <v>291</v>
      </c>
      <c r="N261" s="5"/>
      <c r="O261" s="4"/>
      <c r="P261" s="4"/>
      <c r="Q261" s="17">
        <v>0.28000000000000003</v>
      </c>
      <c r="R261" s="1">
        <f t="shared" si="94"/>
        <v>0</v>
      </c>
      <c r="S261" s="34"/>
      <c r="T261" s="2">
        <f t="shared" si="95"/>
        <v>0</v>
      </c>
      <c r="U261" s="24"/>
      <c r="V261" s="13"/>
      <c r="W261" s="13"/>
      <c r="X261" s="13">
        <v>30000</v>
      </c>
      <c r="Y261" s="13">
        <v>30000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13">
        <v>0</v>
      </c>
      <c r="AF261" s="13">
        <v>0</v>
      </c>
      <c r="AG261" s="13">
        <f>AF261</f>
        <v>0</v>
      </c>
      <c r="AH261" s="24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4" t="s">
        <v>620</v>
      </c>
      <c r="AU261" s="4" t="s">
        <v>1105</v>
      </c>
      <c r="AV261" s="4" t="s">
        <v>1218</v>
      </c>
      <c r="AW261" s="4" t="s">
        <v>627</v>
      </c>
      <c r="AX261" s="4" t="s">
        <v>628</v>
      </c>
      <c r="AY261" s="4" t="s">
        <v>658</v>
      </c>
      <c r="AZ261" s="4" t="s">
        <v>659</v>
      </c>
      <c r="BA261" s="4"/>
      <c r="BB261" s="4"/>
      <c r="BC261" s="4"/>
      <c r="BD261" s="23"/>
      <c r="BE261" s="4"/>
      <c r="BF261" s="18"/>
      <c r="BG261" s="18"/>
      <c r="BH261" s="18"/>
      <c r="BI261" s="18"/>
      <c r="BJ261" s="18"/>
      <c r="BK261" s="26"/>
      <c r="BL261" s="13"/>
      <c r="BM261" s="9">
        <f t="shared" si="87"/>
        <v>8400</v>
      </c>
      <c r="BN261" s="9">
        <f t="shared" si="92"/>
        <v>0</v>
      </c>
      <c r="BO261" s="9">
        <f t="shared" si="93"/>
        <v>0</v>
      </c>
      <c r="BP261" s="9">
        <f t="shared" si="96"/>
        <v>0</v>
      </c>
      <c r="BQ261" s="9">
        <f t="shared" si="97"/>
        <v>0</v>
      </c>
      <c r="BR261" s="9">
        <f t="shared" si="98"/>
        <v>0</v>
      </c>
      <c r="BS261" s="9">
        <f t="shared" si="99"/>
        <v>0</v>
      </c>
      <c r="BT261" s="9">
        <f t="shared" si="100"/>
        <v>0</v>
      </c>
    </row>
    <row r="262" spans="1:72" hidden="1" x14ac:dyDescent="0.25">
      <c r="A262" s="11">
        <f t="shared" si="91"/>
        <v>261</v>
      </c>
      <c r="B262" s="3" t="s">
        <v>1834</v>
      </c>
      <c r="C262" s="4" t="s">
        <v>59</v>
      </c>
      <c r="D262" s="33" t="s">
        <v>1348</v>
      </c>
      <c r="E262" s="4" t="s">
        <v>1343</v>
      </c>
      <c r="F262" s="33" t="s">
        <v>1383</v>
      </c>
      <c r="G262" s="33" t="s">
        <v>267</v>
      </c>
      <c r="H262" s="33" t="s">
        <v>268</v>
      </c>
      <c r="I262" s="33"/>
      <c r="J262" s="33"/>
      <c r="K262" s="33" t="s">
        <v>1422</v>
      </c>
      <c r="L262" s="24">
        <v>700000</v>
      </c>
      <c r="M262" s="5" t="s">
        <v>291</v>
      </c>
      <c r="N262" s="5"/>
      <c r="O262" s="33" t="s">
        <v>109</v>
      </c>
      <c r="P262" s="36"/>
      <c r="Q262" s="36">
        <v>0.25</v>
      </c>
      <c r="R262" s="1">
        <f t="shared" si="94"/>
        <v>18750</v>
      </c>
      <c r="S262" s="5"/>
      <c r="T262" s="2">
        <f t="shared" si="95"/>
        <v>75000</v>
      </c>
      <c r="U262" s="24">
        <v>50000</v>
      </c>
      <c r="V262" s="24">
        <v>50000</v>
      </c>
      <c r="W262" s="24">
        <v>50000</v>
      </c>
      <c r="X262" s="24">
        <v>50000</v>
      </c>
      <c r="Y262" s="24">
        <v>50000</v>
      </c>
      <c r="Z262" s="24">
        <v>50000</v>
      </c>
      <c r="AA262" s="24">
        <v>50000</v>
      </c>
      <c r="AB262" s="24">
        <v>15000</v>
      </c>
      <c r="AC262" s="24">
        <v>15000</v>
      </c>
      <c r="AD262" s="24">
        <v>15000</v>
      </c>
      <c r="AE262" s="24">
        <v>15000</v>
      </c>
      <c r="AF262" s="24">
        <v>15000</v>
      </c>
      <c r="AG262" s="24">
        <v>15000</v>
      </c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4" t="s">
        <v>620</v>
      </c>
      <c r="AU262" s="4" t="s">
        <v>1105</v>
      </c>
      <c r="AV262" s="4" t="s">
        <v>1218</v>
      </c>
      <c r="AW262" s="4" t="s">
        <v>623</v>
      </c>
      <c r="AX262" s="4"/>
      <c r="AY262" s="4"/>
      <c r="AZ262" s="4"/>
      <c r="BA262" s="5"/>
      <c r="BB262" s="5"/>
      <c r="BC262" s="5"/>
      <c r="BD262" s="5"/>
      <c r="BE262" s="37"/>
      <c r="BF262" s="37"/>
      <c r="BG262" s="37"/>
      <c r="BH262" s="37"/>
      <c r="BI262" s="37"/>
      <c r="BJ262" s="37"/>
      <c r="BK262" s="5"/>
      <c r="BL262" s="5"/>
      <c r="BM262" s="9">
        <f t="shared" si="87"/>
        <v>12500</v>
      </c>
      <c r="BN262" s="9">
        <f t="shared" si="92"/>
        <v>12500</v>
      </c>
      <c r="BO262" s="9">
        <f t="shared" si="93"/>
        <v>12500</v>
      </c>
      <c r="BP262" s="9">
        <f t="shared" si="96"/>
        <v>3750</v>
      </c>
      <c r="BQ262" s="9">
        <f t="shared" si="97"/>
        <v>3750</v>
      </c>
      <c r="BR262" s="9">
        <f t="shared" si="98"/>
        <v>3750</v>
      </c>
      <c r="BS262" s="9">
        <f t="shared" si="99"/>
        <v>3750</v>
      </c>
      <c r="BT262" s="9">
        <f t="shared" si="100"/>
        <v>3750</v>
      </c>
    </row>
    <row r="263" spans="1:72" hidden="1" x14ac:dyDescent="0.25">
      <c r="A263" s="11">
        <f t="shared" si="91"/>
        <v>262</v>
      </c>
      <c r="B263" s="4" t="s">
        <v>1403</v>
      </c>
      <c r="C263" s="5" t="s">
        <v>59</v>
      </c>
      <c r="D263" s="4" t="s">
        <v>1157</v>
      </c>
      <c r="E263" s="4" t="s">
        <v>1343</v>
      </c>
      <c r="F263" s="4" t="s">
        <v>1389</v>
      </c>
      <c r="G263" s="4" t="s">
        <v>1423</v>
      </c>
      <c r="H263" s="4" t="s">
        <v>1055</v>
      </c>
      <c r="I263" s="4"/>
      <c r="J263" s="4"/>
      <c r="K263" s="4" t="s">
        <v>1424</v>
      </c>
      <c r="L263" s="24">
        <v>720000</v>
      </c>
      <c r="M263" s="4" t="s">
        <v>291</v>
      </c>
      <c r="N263" s="4" t="s">
        <v>1392</v>
      </c>
      <c r="O263" s="4"/>
      <c r="P263" s="4"/>
      <c r="Q263" s="36">
        <v>0.2</v>
      </c>
      <c r="R263" s="1">
        <f t="shared" si="94"/>
        <v>30000</v>
      </c>
      <c r="S263" s="4"/>
      <c r="T263" s="2">
        <f t="shared" si="95"/>
        <v>150000</v>
      </c>
      <c r="U263" s="24">
        <v>60000</v>
      </c>
      <c r="V263" s="24">
        <v>60000</v>
      </c>
      <c r="W263" s="24">
        <v>60000</v>
      </c>
      <c r="X263" s="24">
        <v>30000</v>
      </c>
      <c r="Y263" s="24">
        <v>30000</v>
      </c>
      <c r="Z263" s="24">
        <v>30000</v>
      </c>
      <c r="AA263" s="24">
        <v>30000</v>
      </c>
      <c r="AB263" s="24">
        <v>30000</v>
      </c>
      <c r="AC263" s="24">
        <v>30000</v>
      </c>
      <c r="AD263" s="24">
        <v>30000</v>
      </c>
      <c r="AE263" s="24">
        <v>30000</v>
      </c>
      <c r="AF263" s="24">
        <v>30000</v>
      </c>
      <c r="AG263" s="13">
        <f>AF263</f>
        <v>30000</v>
      </c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4" t="s">
        <v>620</v>
      </c>
      <c r="AU263" s="4" t="s">
        <v>1105</v>
      </c>
      <c r="AV263" s="4" t="s">
        <v>1218</v>
      </c>
      <c r="AW263" s="4" t="s">
        <v>623</v>
      </c>
      <c r="AX263" s="4"/>
      <c r="AY263" s="4"/>
      <c r="AZ263" s="4"/>
      <c r="BA263" s="5"/>
      <c r="BB263" s="5"/>
      <c r="BC263" s="5"/>
      <c r="BD263" s="5"/>
      <c r="BE263" s="37"/>
      <c r="BF263" s="37"/>
      <c r="BG263" s="37"/>
      <c r="BH263" s="37"/>
      <c r="BI263" s="37"/>
      <c r="BJ263" s="37"/>
      <c r="BK263" s="5"/>
      <c r="BL263" s="5"/>
      <c r="BM263" s="9">
        <f t="shared" si="87"/>
        <v>6000</v>
      </c>
      <c r="BN263" s="9">
        <f t="shared" si="92"/>
        <v>6000</v>
      </c>
      <c r="BO263" s="9">
        <f t="shared" si="93"/>
        <v>6000</v>
      </c>
      <c r="BP263" s="9">
        <f t="shared" si="96"/>
        <v>6000</v>
      </c>
      <c r="BQ263" s="9">
        <f t="shared" si="97"/>
        <v>6000</v>
      </c>
      <c r="BR263" s="9">
        <f t="shared" si="98"/>
        <v>6000</v>
      </c>
      <c r="BS263" s="9">
        <f t="shared" si="99"/>
        <v>6000</v>
      </c>
      <c r="BT263" s="9">
        <f t="shared" si="100"/>
        <v>6000</v>
      </c>
    </row>
    <row r="264" spans="1:72" hidden="1" x14ac:dyDescent="0.25">
      <c r="A264" s="11">
        <f t="shared" si="91"/>
        <v>263</v>
      </c>
      <c r="B264" s="4" t="s">
        <v>1425</v>
      </c>
      <c r="C264" s="5" t="s">
        <v>59</v>
      </c>
      <c r="D264" s="4" t="s">
        <v>1157</v>
      </c>
      <c r="E264" s="4" t="s">
        <v>1343</v>
      </c>
      <c r="F264" s="4" t="s">
        <v>1426</v>
      </c>
      <c r="G264" s="4" t="s">
        <v>1427</v>
      </c>
      <c r="H264" s="4" t="s">
        <v>1806</v>
      </c>
      <c r="I264" s="4"/>
      <c r="J264" s="4"/>
      <c r="K264" s="4" t="s">
        <v>1428</v>
      </c>
      <c r="L264" s="24">
        <v>600000</v>
      </c>
      <c r="M264" s="4" t="s">
        <v>74</v>
      </c>
      <c r="N264" s="4" t="s">
        <v>1429</v>
      </c>
      <c r="O264" s="4" t="s">
        <v>660</v>
      </c>
      <c r="P264" s="4"/>
      <c r="Q264" s="36">
        <v>0.23</v>
      </c>
      <c r="R264" s="1">
        <f t="shared" si="94"/>
        <v>0</v>
      </c>
      <c r="S264" s="4"/>
      <c r="T264" s="2">
        <f t="shared" si="95"/>
        <v>0</v>
      </c>
      <c r="U264" s="24">
        <v>0</v>
      </c>
      <c r="V264" s="24">
        <v>0</v>
      </c>
      <c r="W264" s="24">
        <v>0</v>
      </c>
      <c r="X264" s="24"/>
      <c r="Y264" s="24"/>
      <c r="Z264" s="24"/>
      <c r="AA264" s="24"/>
      <c r="AB264" s="24"/>
      <c r="AC264" s="24"/>
      <c r="AD264" s="24"/>
      <c r="AE264" s="24"/>
      <c r="AF264" s="24"/>
      <c r="AG264" s="13">
        <f>AF264</f>
        <v>0</v>
      </c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 t="s">
        <v>1105</v>
      </c>
      <c r="AV264" s="4" t="s">
        <v>1218</v>
      </c>
      <c r="AW264" s="4"/>
      <c r="AX264" s="4"/>
      <c r="AY264" s="4"/>
      <c r="AZ264" s="4"/>
      <c r="BA264" s="5"/>
      <c r="BB264" s="5"/>
      <c r="BC264" s="5"/>
      <c r="BD264" s="5"/>
      <c r="BE264" s="37"/>
      <c r="BF264" s="37"/>
      <c r="BG264" s="37"/>
      <c r="BH264" s="37"/>
      <c r="BI264" s="37"/>
      <c r="BJ264" s="37"/>
      <c r="BK264" s="5"/>
      <c r="BL264" s="5"/>
      <c r="BM264" s="9">
        <f t="shared" si="87"/>
        <v>0</v>
      </c>
      <c r="BN264" s="9">
        <f t="shared" si="92"/>
        <v>0</v>
      </c>
      <c r="BO264" s="9">
        <f t="shared" si="93"/>
        <v>0</v>
      </c>
      <c r="BP264" s="9">
        <f t="shared" si="96"/>
        <v>0</v>
      </c>
      <c r="BQ264" s="9">
        <f t="shared" si="97"/>
        <v>0</v>
      </c>
      <c r="BR264" s="9">
        <f t="shared" si="98"/>
        <v>0</v>
      </c>
      <c r="BS264" s="9">
        <f t="shared" si="99"/>
        <v>0</v>
      </c>
      <c r="BT264" s="9">
        <f t="shared" si="100"/>
        <v>0</v>
      </c>
    </row>
    <row r="265" spans="1:72" hidden="1" x14ac:dyDescent="0.25">
      <c r="A265" s="11">
        <f t="shared" si="91"/>
        <v>264</v>
      </c>
      <c r="B265" s="4" t="s">
        <v>1430</v>
      </c>
      <c r="C265" s="5" t="s">
        <v>59</v>
      </c>
      <c r="D265" s="4" t="s">
        <v>1157</v>
      </c>
      <c r="E265" s="4" t="s">
        <v>1343</v>
      </c>
      <c r="F265" s="4" t="s">
        <v>1389</v>
      </c>
      <c r="G265" s="3" t="s">
        <v>144</v>
      </c>
      <c r="H265" s="33" t="s">
        <v>545</v>
      </c>
      <c r="I265" s="4"/>
      <c r="J265" s="4"/>
      <c r="K265" s="4" t="s">
        <v>1422</v>
      </c>
      <c r="L265" s="24">
        <v>360000</v>
      </c>
      <c r="M265" s="4" t="s">
        <v>291</v>
      </c>
      <c r="N265" s="4" t="s">
        <v>1392</v>
      </c>
      <c r="O265" s="4"/>
      <c r="P265" s="4"/>
      <c r="Q265" s="36">
        <v>0.18</v>
      </c>
      <c r="R265" s="1">
        <f t="shared" si="94"/>
        <v>27000</v>
      </c>
      <c r="S265" s="4"/>
      <c r="T265" s="2">
        <f t="shared" si="95"/>
        <v>150000</v>
      </c>
      <c r="U265" s="24">
        <v>60000</v>
      </c>
      <c r="V265" s="24">
        <v>60000</v>
      </c>
      <c r="W265" s="24">
        <v>60000</v>
      </c>
      <c r="X265" s="24">
        <v>30000</v>
      </c>
      <c r="Y265" s="24">
        <v>30000</v>
      </c>
      <c r="Z265" s="24">
        <v>30000</v>
      </c>
      <c r="AA265" s="24">
        <v>30000</v>
      </c>
      <c r="AB265" s="24">
        <v>30000</v>
      </c>
      <c r="AC265" s="24">
        <v>30000</v>
      </c>
      <c r="AD265" s="24">
        <v>30000</v>
      </c>
      <c r="AE265" s="24">
        <v>30000</v>
      </c>
      <c r="AF265" s="24">
        <v>30000</v>
      </c>
      <c r="AG265" s="13">
        <f t="shared" ref="AG265:AG269" si="101">AF265</f>
        <v>30000</v>
      </c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4" t="s">
        <v>620</v>
      </c>
      <c r="AU265" s="4" t="s">
        <v>1105</v>
      </c>
      <c r="AV265" s="4" t="s">
        <v>1218</v>
      </c>
      <c r="AW265" s="4" t="s">
        <v>623</v>
      </c>
      <c r="AX265" s="4"/>
      <c r="AY265" s="4"/>
      <c r="AZ265" s="4"/>
      <c r="BA265" s="5"/>
      <c r="BB265" s="5"/>
      <c r="BC265" s="5"/>
      <c r="BD265" s="5"/>
      <c r="BE265" s="37"/>
      <c r="BF265" s="37"/>
      <c r="BG265" s="37"/>
      <c r="BH265" s="37"/>
      <c r="BI265" s="37"/>
      <c r="BJ265" s="37"/>
      <c r="BK265" s="5"/>
      <c r="BL265" s="5"/>
      <c r="BM265" s="9">
        <f t="shared" si="87"/>
        <v>5400</v>
      </c>
      <c r="BN265" s="9">
        <f t="shared" si="92"/>
        <v>5400</v>
      </c>
      <c r="BO265" s="9">
        <f t="shared" si="93"/>
        <v>5400</v>
      </c>
      <c r="BP265" s="9">
        <f t="shared" si="96"/>
        <v>5400</v>
      </c>
      <c r="BQ265" s="9">
        <f t="shared" si="97"/>
        <v>5400</v>
      </c>
      <c r="BR265" s="9">
        <f t="shared" si="98"/>
        <v>5400</v>
      </c>
      <c r="BS265" s="9">
        <f t="shared" si="99"/>
        <v>5400</v>
      </c>
      <c r="BT265" s="9">
        <f t="shared" si="100"/>
        <v>5400</v>
      </c>
    </row>
    <row r="266" spans="1:72" hidden="1" x14ac:dyDescent="0.25">
      <c r="A266" s="11">
        <f t="shared" si="91"/>
        <v>265</v>
      </c>
      <c r="B266" s="3" t="s">
        <v>1431</v>
      </c>
      <c r="C266" s="4" t="s">
        <v>59</v>
      </c>
      <c r="D266" s="3" t="s">
        <v>1348</v>
      </c>
      <c r="E266" s="4" t="s">
        <v>1343</v>
      </c>
      <c r="F266" s="3" t="s">
        <v>1349</v>
      </c>
      <c r="G266" s="3" t="s">
        <v>144</v>
      </c>
      <c r="H266" s="33" t="s">
        <v>545</v>
      </c>
      <c r="I266" s="3"/>
      <c r="J266" s="3"/>
      <c r="K266" s="33" t="s">
        <v>1432</v>
      </c>
      <c r="L266" s="24">
        <v>1000000</v>
      </c>
      <c r="M266" s="5" t="s">
        <v>291</v>
      </c>
      <c r="N266" s="5"/>
      <c r="O266" s="33" t="s">
        <v>109</v>
      </c>
      <c r="P266" s="36"/>
      <c r="Q266" s="36">
        <v>0.13</v>
      </c>
      <c r="R266" s="1">
        <f t="shared" si="94"/>
        <v>52000</v>
      </c>
      <c r="S266" s="5"/>
      <c r="T266" s="2">
        <f t="shared" si="95"/>
        <v>400000</v>
      </c>
      <c r="U266" s="24">
        <v>80000</v>
      </c>
      <c r="V266" s="24">
        <v>80000</v>
      </c>
      <c r="W266" s="24">
        <v>80000</v>
      </c>
      <c r="X266" s="24">
        <v>80000</v>
      </c>
      <c r="Y266" s="24">
        <v>80000</v>
      </c>
      <c r="Z266" s="24">
        <v>80000</v>
      </c>
      <c r="AA266" s="24">
        <v>80000</v>
      </c>
      <c r="AB266" s="24">
        <v>80000</v>
      </c>
      <c r="AC266" s="24">
        <v>80000</v>
      </c>
      <c r="AD266" s="24">
        <v>80000</v>
      </c>
      <c r="AE266" s="24">
        <v>80000</v>
      </c>
      <c r="AF266" s="24">
        <v>80000</v>
      </c>
      <c r="AG266" s="13">
        <f t="shared" si="101"/>
        <v>80000</v>
      </c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4" t="s">
        <v>620</v>
      </c>
      <c r="AU266" s="4" t="s">
        <v>1105</v>
      </c>
      <c r="AV266" s="4" t="s">
        <v>1218</v>
      </c>
      <c r="AW266" s="4" t="s">
        <v>623</v>
      </c>
      <c r="AX266" s="4"/>
      <c r="AY266" s="4"/>
      <c r="AZ266" s="4"/>
      <c r="BA266" s="5"/>
      <c r="BB266" s="5"/>
      <c r="BC266" s="5"/>
      <c r="BD266" s="5"/>
      <c r="BE266" s="37"/>
      <c r="BF266" s="37"/>
      <c r="BG266" s="37"/>
      <c r="BH266" s="37"/>
      <c r="BI266" s="37"/>
      <c r="BJ266" s="37"/>
      <c r="BK266" s="5"/>
      <c r="BL266" s="5"/>
      <c r="BM266" s="9">
        <f t="shared" si="87"/>
        <v>10400</v>
      </c>
      <c r="BN266" s="9">
        <f t="shared" si="92"/>
        <v>10400</v>
      </c>
      <c r="BO266" s="9">
        <f t="shared" si="93"/>
        <v>10400</v>
      </c>
      <c r="BP266" s="9">
        <f t="shared" si="96"/>
        <v>10400</v>
      </c>
      <c r="BQ266" s="9">
        <f t="shared" si="97"/>
        <v>10400</v>
      </c>
      <c r="BR266" s="9">
        <f t="shared" si="98"/>
        <v>10400</v>
      </c>
      <c r="BS266" s="9">
        <f t="shared" si="99"/>
        <v>10400</v>
      </c>
      <c r="BT266" s="9">
        <f t="shared" si="100"/>
        <v>10400</v>
      </c>
    </row>
    <row r="267" spans="1:72" hidden="1" x14ac:dyDescent="0.25">
      <c r="A267" s="11">
        <f t="shared" si="91"/>
        <v>266</v>
      </c>
      <c r="B267" s="4" t="s">
        <v>1430</v>
      </c>
      <c r="C267" s="5" t="s">
        <v>59</v>
      </c>
      <c r="D267" s="4" t="s">
        <v>1157</v>
      </c>
      <c r="E267" s="4" t="s">
        <v>1343</v>
      </c>
      <c r="F267" s="4" t="s">
        <v>1389</v>
      </c>
      <c r="G267" s="4" t="s">
        <v>223</v>
      </c>
      <c r="H267" s="4" t="s">
        <v>224</v>
      </c>
      <c r="I267" s="4"/>
      <c r="J267" s="4"/>
      <c r="K267" s="4" t="s">
        <v>1404</v>
      </c>
      <c r="L267" s="24">
        <v>240000</v>
      </c>
      <c r="M267" s="4" t="s">
        <v>291</v>
      </c>
      <c r="N267" s="4" t="s">
        <v>1392</v>
      </c>
      <c r="O267" s="4"/>
      <c r="P267" s="4"/>
      <c r="Q267" s="36">
        <v>0.52</v>
      </c>
      <c r="R267" s="1">
        <f t="shared" si="94"/>
        <v>26000</v>
      </c>
      <c r="S267" s="4"/>
      <c r="T267" s="2">
        <f t="shared" si="95"/>
        <v>50000</v>
      </c>
      <c r="U267" s="24">
        <v>20000</v>
      </c>
      <c r="V267" s="24">
        <v>20000</v>
      </c>
      <c r="W267" s="24">
        <v>20000</v>
      </c>
      <c r="X267" s="24">
        <v>10000</v>
      </c>
      <c r="Y267" s="24">
        <v>10000</v>
      </c>
      <c r="Z267" s="24">
        <v>10000</v>
      </c>
      <c r="AA267" s="24">
        <v>10000</v>
      </c>
      <c r="AB267" s="24">
        <v>10000</v>
      </c>
      <c r="AC267" s="24">
        <v>10000</v>
      </c>
      <c r="AD267" s="24">
        <v>10000</v>
      </c>
      <c r="AE267" s="24">
        <v>10000</v>
      </c>
      <c r="AF267" s="24">
        <v>10000</v>
      </c>
      <c r="AG267" s="13">
        <f t="shared" si="101"/>
        <v>10000</v>
      </c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4" t="s">
        <v>620</v>
      </c>
      <c r="AU267" s="4" t="s">
        <v>1105</v>
      </c>
      <c r="AV267" s="4" t="s">
        <v>1218</v>
      </c>
      <c r="AW267" s="4" t="s">
        <v>623</v>
      </c>
      <c r="AX267" s="4"/>
      <c r="AY267" s="4"/>
      <c r="AZ267" s="4"/>
      <c r="BA267" s="5"/>
      <c r="BB267" s="5"/>
      <c r="BC267" s="5"/>
      <c r="BD267" s="5"/>
      <c r="BE267" s="37"/>
      <c r="BF267" s="37"/>
      <c r="BG267" s="37"/>
      <c r="BH267" s="37"/>
      <c r="BI267" s="37"/>
      <c r="BJ267" s="37"/>
      <c r="BK267" s="5"/>
      <c r="BL267" s="5"/>
      <c r="BM267" s="9">
        <f t="shared" si="87"/>
        <v>5200</v>
      </c>
      <c r="BN267" s="9">
        <f t="shared" si="92"/>
        <v>5200</v>
      </c>
      <c r="BO267" s="9">
        <f t="shared" si="93"/>
        <v>5200</v>
      </c>
      <c r="BP267" s="9">
        <f t="shared" si="96"/>
        <v>5200</v>
      </c>
      <c r="BQ267" s="9">
        <f t="shared" si="97"/>
        <v>5200</v>
      </c>
      <c r="BR267" s="9">
        <f t="shared" si="98"/>
        <v>5200</v>
      </c>
      <c r="BS267" s="9">
        <f t="shared" si="99"/>
        <v>5200</v>
      </c>
      <c r="BT267" s="9">
        <f t="shared" si="100"/>
        <v>5200</v>
      </c>
    </row>
    <row r="268" spans="1:72" hidden="1" x14ac:dyDescent="0.25">
      <c r="A268" s="11">
        <f t="shared" si="91"/>
        <v>267</v>
      </c>
      <c r="B268" s="4" t="s">
        <v>1433</v>
      </c>
      <c r="C268" s="5" t="s">
        <v>59</v>
      </c>
      <c r="D268" s="4" t="s">
        <v>1157</v>
      </c>
      <c r="E268" s="4" t="s">
        <v>1343</v>
      </c>
      <c r="F268" s="4" t="s">
        <v>1434</v>
      </c>
      <c r="G268" s="4" t="s">
        <v>1423</v>
      </c>
      <c r="H268" s="4" t="s">
        <v>1055</v>
      </c>
      <c r="I268" s="4"/>
      <c r="J268" s="4"/>
      <c r="K268" s="4" t="s">
        <v>1435</v>
      </c>
      <c r="L268" s="24">
        <v>600000</v>
      </c>
      <c r="M268" s="4" t="s">
        <v>297</v>
      </c>
      <c r="N268" s="4" t="s">
        <v>1361</v>
      </c>
      <c r="O268" s="4"/>
      <c r="P268" s="4"/>
      <c r="Q268" s="36">
        <v>0.2</v>
      </c>
      <c r="R268" s="1">
        <f t="shared" si="94"/>
        <v>50000</v>
      </c>
      <c r="S268" s="4"/>
      <c r="T268" s="2">
        <f t="shared" si="95"/>
        <v>250000</v>
      </c>
      <c r="U268" s="24">
        <v>50000</v>
      </c>
      <c r="V268" s="24">
        <v>50000</v>
      </c>
      <c r="W268" s="24">
        <v>50000</v>
      </c>
      <c r="X268" s="24">
        <v>50000</v>
      </c>
      <c r="Y268" s="24">
        <v>50000</v>
      </c>
      <c r="Z268" s="24">
        <v>50000</v>
      </c>
      <c r="AA268" s="24">
        <v>50000</v>
      </c>
      <c r="AB268" s="24">
        <v>50000</v>
      </c>
      <c r="AC268" s="24">
        <v>50000</v>
      </c>
      <c r="AD268" s="24">
        <v>50000</v>
      </c>
      <c r="AE268" s="24">
        <v>50000</v>
      </c>
      <c r="AF268" s="24">
        <v>50000</v>
      </c>
      <c r="AG268" s="13">
        <f t="shared" si="101"/>
        <v>50000</v>
      </c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4" t="s">
        <v>620</v>
      </c>
      <c r="AU268" s="4" t="s">
        <v>1105</v>
      </c>
      <c r="AV268" s="4" t="s">
        <v>1218</v>
      </c>
      <c r="AW268" s="4" t="s">
        <v>627</v>
      </c>
      <c r="AX268" s="4"/>
      <c r="AY268" s="4"/>
      <c r="AZ268" s="4"/>
      <c r="BA268" s="5"/>
      <c r="BB268" s="5"/>
      <c r="BC268" s="5"/>
      <c r="BD268" s="5"/>
      <c r="BE268" s="37"/>
      <c r="BF268" s="37"/>
      <c r="BG268" s="37"/>
      <c r="BH268" s="37"/>
      <c r="BI268" s="37"/>
      <c r="BJ268" s="37"/>
      <c r="BK268" s="5"/>
      <c r="BL268" s="5"/>
      <c r="BM268" s="9">
        <f t="shared" si="87"/>
        <v>10000</v>
      </c>
      <c r="BN268" s="9">
        <f t="shared" si="92"/>
        <v>10000</v>
      </c>
      <c r="BO268" s="9">
        <f t="shared" si="93"/>
        <v>10000</v>
      </c>
      <c r="BP268" s="9">
        <f t="shared" si="96"/>
        <v>10000</v>
      </c>
      <c r="BQ268" s="9">
        <f t="shared" si="97"/>
        <v>10000</v>
      </c>
      <c r="BR268" s="9">
        <f t="shared" si="98"/>
        <v>10000</v>
      </c>
      <c r="BS268" s="9">
        <f t="shared" si="99"/>
        <v>10000</v>
      </c>
      <c r="BT268" s="9">
        <f t="shared" si="100"/>
        <v>10000</v>
      </c>
    </row>
    <row r="269" spans="1:72" hidden="1" x14ac:dyDescent="0.25">
      <c r="A269" s="11">
        <f t="shared" si="91"/>
        <v>268</v>
      </c>
      <c r="B269" s="5" t="s">
        <v>1376</v>
      </c>
      <c r="C269" s="4" t="s">
        <v>59</v>
      </c>
      <c r="D269" s="4" t="s">
        <v>1377</v>
      </c>
      <c r="E269" s="4" t="s">
        <v>1343</v>
      </c>
      <c r="F269" s="33" t="s">
        <v>1378</v>
      </c>
      <c r="G269" s="4" t="s">
        <v>1390</v>
      </c>
      <c r="H269" s="4" t="s">
        <v>661</v>
      </c>
      <c r="I269" s="4"/>
      <c r="J269" s="4"/>
      <c r="K269" s="4" t="s">
        <v>1379</v>
      </c>
      <c r="L269" s="24">
        <v>30000</v>
      </c>
      <c r="M269" s="13" t="s">
        <v>291</v>
      </c>
      <c r="N269" s="5" t="s">
        <v>1380</v>
      </c>
      <c r="O269" s="4" t="s">
        <v>109</v>
      </c>
      <c r="P269" s="4" t="s">
        <v>109</v>
      </c>
      <c r="Q269" s="14">
        <v>3</v>
      </c>
      <c r="R269" s="1">
        <f t="shared" si="94"/>
        <v>45000</v>
      </c>
      <c r="S269" s="38"/>
      <c r="T269" s="2">
        <f t="shared" si="95"/>
        <v>15000</v>
      </c>
      <c r="U269" s="24">
        <v>3000</v>
      </c>
      <c r="V269" s="24">
        <v>3000</v>
      </c>
      <c r="W269" s="24">
        <v>3000</v>
      </c>
      <c r="X269" s="24">
        <v>3000</v>
      </c>
      <c r="Y269" s="24">
        <v>3000</v>
      </c>
      <c r="Z269" s="24">
        <v>3000</v>
      </c>
      <c r="AA269" s="24">
        <v>3000</v>
      </c>
      <c r="AB269" s="24">
        <v>3000</v>
      </c>
      <c r="AC269" s="24">
        <v>3000</v>
      </c>
      <c r="AD269" s="24">
        <v>3000</v>
      </c>
      <c r="AE269" s="24">
        <v>3000</v>
      </c>
      <c r="AF269" s="24">
        <v>3000</v>
      </c>
      <c r="AG269" s="13">
        <f t="shared" si="101"/>
        <v>3000</v>
      </c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4" t="s">
        <v>620</v>
      </c>
      <c r="AU269" s="4" t="s">
        <v>1105</v>
      </c>
      <c r="AV269" s="4" t="s">
        <v>1216</v>
      </c>
      <c r="AW269" s="4" t="s">
        <v>623</v>
      </c>
      <c r="AX269" s="4"/>
      <c r="AY269" s="4"/>
      <c r="AZ269" s="4"/>
      <c r="BA269" s="5"/>
      <c r="BB269" s="5"/>
      <c r="BC269" s="5"/>
      <c r="BD269" s="5"/>
      <c r="BE269" s="37"/>
      <c r="BF269" s="37"/>
      <c r="BG269" s="37"/>
      <c r="BH269" s="37"/>
      <c r="BI269" s="37"/>
      <c r="BJ269" s="37"/>
      <c r="BK269" s="5"/>
      <c r="BL269" s="5"/>
      <c r="BM269" s="9">
        <f t="shared" si="87"/>
        <v>9000</v>
      </c>
      <c r="BN269" s="9">
        <f t="shared" si="92"/>
        <v>9000</v>
      </c>
      <c r="BO269" s="9">
        <f t="shared" si="93"/>
        <v>9000</v>
      </c>
      <c r="BP269" s="9">
        <f t="shared" si="96"/>
        <v>9000</v>
      </c>
      <c r="BQ269" s="9">
        <f t="shared" si="97"/>
        <v>9000</v>
      </c>
      <c r="BR269" s="9">
        <f t="shared" si="98"/>
        <v>9000</v>
      </c>
      <c r="BS269" s="9">
        <f t="shared" si="99"/>
        <v>9000</v>
      </c>
      <c r="BT269" s="9">
        <f t="shared" si="100"/>
        <v>9000</v>
      </c>
    </row>
    <row r="270" spans="1:72" hidden="1" x14ac:dyDescent="0.25">
      <c r="A270" s="11">
        <f t="shared" si="91"/>
        <v>269</v>
      </c>
      <c r="B270" s="5" t="s">
        <v>1436</v>
      </c>
      <c r="C270" s="4" t="s">
        <v>59</v>
      </c>
      <c r="D270" s="4" t="s">
        <v>1364</v>
      </c>
      <c r="E270" s="4" t="s">
        <v>1343</v>
      </c>
      <c r="F270" s="4" t="s">
        <v>1373</v>
      </c>
      <c r="G270" s="4" t="s">
        <v>116</v>
      </c>
      <c r="H270" s="4" t="s">
        <v>117</v>
      </c>
      <c r="I270" s="4"/>
      <c r="J270" s="4"/>
      <c r="K270" s="5" t="s">
        <v>1132</v>
      </c>
      <c r="L270" s="24"/>
      <c r="M270" s="13" t="s">
        <v>74</v>
      </c>
      <c r="N270" s="5" t="s">
        <v>1437</v>
      </c>
      <c r="O270" s="4"/>
      <c r="P270" s="4"/>
      <c r="Q270" s="17">
        <v>0.52</v>
      </c>
      <c r="R270" s="1">
        <f t="shared" si="94"/>
        <v>52000</v>
      </c>
      <c r="S270" s="34"/>
      <c r="T270" s="2">
        <f t="shared" si="95"/>
        <v>100000</v>
      </c>
      <c r="U270" s="24"/>
      <c r="V270" s="24"/>
      <c r="W270" s="24"/>
      <c r="X270" s="24">
        <v>20000</v>
      </c>
      <c r="Y270" s="24">
        <v>20000</v>
      </c>
      <c r="Z270" s="24">
        <v>20000</v>
      </c>
      <c r="AA270" s="24">
        <v>20000</v>
      </c>
      <c r="AB270" s="24">
        <v>20000</v>
      </c>
      <c r="AC270" s="24">
        <v>20000</v>
      </c>
      <c r="AD270" s="24">
        <v>20000</v>
      </c>
      <c r="AE270" s="24">
        <v>20000</v>
      </c>
      <c r="AF270" s="24">
        <v>20000</v>
      </c>
      <c r="AG270" s="13">
        <f t="shared" ref="AG270:AG273" si="102">AF270</f>
        <v>20000</v>
      </c>
      <c r="AH270" s="24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4" t="s">
        <v>620</v>
      </c>
      <c r="AU270" s="4" t="s">
        <v>1105</v>
      </c>
      <c r="AV270" s="4" t="s">
        <v>1218</v>
      </c>
      <c r="AW270" s="4" t="s">
        <v>639</v>
      </c>
      <c r="AX270" s="4" t="s">
        <v>640</v>
      </c>
      <c r="AY270" s="4" t="s">
        <v>663</v>
      </c>
      <c r="AZ270" s="4" t="s">
        <v>662</v>
      </c>
      <c r="BA270" s="4" t="s">
        <v>664</v>
      </c>
      <c r="BB270" s="4"/>
      <c r="BC270" s="4" t="s">
        <v>665</v>
      </c>
      <c r="BD270" s="23"/>
      <c r="BE270" s="4"/>
      <c r="BF270" s="18"/>
      <c r="BG270" s="18"/>
      <c r="BH270" s="18"/>
      <c r="BI270" s="18"/>
      <c r="BJ270" s="18"/>
      <c r="BK270" s="26"/>
      <c r="BL270" s="13"/>
      <c r="BM270" s="9">
        <f t="shared" ref="BM270:BM331" si="103">$Q270*Y270</f>
        <v>10400</v>
      </c>
      <c r="BN270" s="9">
        <f t="shared" si="92"/>
        <v>10400</v>
      </c>
      <c r="BO270" s="9">
        <f t="shared" si="93"/>
        <v>10400</v>
      </c>
      <c r="BP270" s="9">
        <f t="shared" si="96"/>
        <v>10400</v>
      </c>
      <c r="BQ270" s="9">
        <f t="shared" si="97"/>
        <v>10400</v>
      </c>
      <c r="BR270" s="9">
        <f t="shared" si="98"/>
        <v>10400</v>
      </c>
      <c r="BS270" s="9">
        <f t="shared" si="99"/>
        <v>10400</v>
      </c>
      <c r="BT270" s="9">
        <f t="shared" si="100"/>
        <v>10400</v>
      </c>
    </row>
    <row r="271" spans="1:72" hidden="1" x14ac:dyDescent="0.25">
      <c r="A271" s="11">
        <f t="shared" si="91"/>
        <v>270</v>
      </c>
      <c r="B271" s="5" t="s">
        <v>1417</v>
      </c>
      <c r="C271" s="5" t="s">
        <v>128</v>
      </c>
      <c r="D271" s="4" t="s">
        <v>1418</v>
      </c>
      <c r="E271" s="4" t="s">
        <v>1343</v>
      </c>
      <c r="F271" s="4" t="s">
        <v>1419</v>
      </c>
      <c r="G271" s="4" t="s">
        <v>144</v>
      </c>
      <c r="H271" s="33" t="s">
        <v>545</v>
      </c>
      <c r="I271" s="4"/>
      <c r="J271" s="4"/>
      <c r="K271" s="4" t="s">
        <v>1438</v>
      </c>
      <c r="L271" s="24">
        <v>510000</v>
      </c>
      <c r="M271" s="13" t="s">
        <v>291</v>
      </c>
      <c r="N271" s="5"/>
      <c r="O271" s="4" t="s">
        <v>666</v>
      </c>
      <c r="P271" s="4"/>
      <c r="Q271" s="17">
        <v>0.17</v>
      </c>
      <c r="R271" s="1">
        <f t="shared" si="94"/>
        <v>17000</v>
      </c>
      <c r="S271" s="34"/>
      <c r="T271" s="2">
        <f t="shared" si="95"/>
        <v>100000</v>
      </c>
      <c r="U271" s="24"/>
      <c r="V271" s="13"/>
      <c r="W271" s="13"/>
      <c r="X271" s="13">
        <v>40000</v>
      </c>
      <c r="Y271" s="13">
        <v>20000</v>
      </c>
      <c r="Z271" s="13">
        <v>20000</v>
      </c>
      <c r="AA271" s="13">
        <v>20000</v>
      </c>
      <c r="AB271" s="13">
        <v>20000</v>
      </c>
      <c r="AC271" s="13">
        <v>20000</v>
      </c>
      <c r="AD271" s="13">
        <v>20000</v>
      </c>
      <c r="AE271" s="13">
        <v>20000</v>
      </c>
      <c r="AF271" s="13">
        <v>20000</v>
      </c>
      <c r="AG271" s="13">
        <f t="shared" si="102"/>
        <v>20000</v>
      </c>
      <c r="AH271" s="24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4" t="s">
        <v>620</v>
      </c>
      <c r="AU271" s="4" t="s">
        <v>1105</v>
      </c>
      <c r="AV271" s="4" t="s">
        <v>1218</v>
      </c>
      <c r="AW271" s="4" t="s">
        <v>627</v>
      </c>
      <c r="AX271" s="4" t="s">
        <v>628</v>
      </c>
      <c r="AY271" s="4" t="s">
        <v>658</v>
      </c>
      <c r="AZ271" s="4" t="s">
        <v>667</v>
      </c>
      <c r="BA271" s="4"/>
      <c r="BB271" s="4"/>
      <c r="BC271" s="4"/>
      <c r="BD271" s="23"/>
      <c r="BE271" s="4"/>
      <c r="BF271" s="18"/>
      <c r="BG271" s="18"/>
      <c r="BH271" s="18"/>
      <c r="BI271" s="18"/>
      <c r="BJ271" s="18"/>
      <c r="BK271" s="26"/>
      <c r="BL271" s="13"/>
      <c r="BM271" s="9">
        <f t="shared" si="103"/>
        <v>3400.0000000000005</v>
      </c>
      <c r="BN271" s="9">
        <f t="shared" si="92"/>
        <v>3400.0000000000005</v>
      </c>
      <c r="BO271" s="9">
        <f t="shared" si="93"/>
        <v>3400.0000000000005</v>
      </c>
      <c r="BP271" s="9">
        <f t="shared" si="96"/>
        <v>3400.0000000000005</v>
      </c>
      <c r="BQ271" s="9">
        <f t="shared" si="97"/>
        <v>3400.0000000000005</v>
      </c>
      <c r="BR271" s="9">
        <f t="shared" si="98"/>
        <v>3400.0000000000005</v>
      </c>
      <c r="BS271" s="9">
        <f t="shared" si="99"/>
        <v>3400.0000000000005</v>
      </c>
      <c r="BT271" s="9">
        <f t="shared" si="100"/>
        <v>3400.0000000000005</v>
      </c>
    </row>
    <row r="272" spans="1:72" hidden="1" x14ac:dyDescent="0.25">
      <c r="A272" s="11">
        <f t="shared" si="91"/>
        <v>271</v>
      </c>
      <c r="B272" s="5" t="s">
        <v>1439</v>
      </c>
      <c r="C272" s="4" t="s">
        <v>59</v>
      </c>
      <c r="D272" s="4" t="s">
        <v>1377</v>
      </c>
      <c r="E272" s="4" t="s">
        <v>1343</v>
      </c>
      <c r="F272" s="33" t="s">
        <v>1378</v>
      </c>
      <c r="G272" s="4" t="s">
        <v>1327</v>
      </c>
      <c r="H272" s="4" t="s">
        <v>1047</v>
      </c>
      <c r="I272" s="4" t="s">
        <v>1056</v>
      </c>
      <c r="J272" s="4"/>
      <c r="K272" s="4" t="s">
        <v>1379</v>
      </c>
      <c r="L272" s="24">
        <v>200000</v>
      </c>
      <c r="M272" s="13" t="s">
        <v>291</v>
      </c>
      <c r="N272" s="5" t="s">
        <v>1380</v>
      </c>
      <c r="O272" s="4" t="s">
        <v>109</v>
      </c>
      <c r="P272" s="4" t="s">
        <v>109</v>
      </c>
      <c r="Q272" s="14">
        <v>0.32</v>
      </c>
      <c r="R272" s="1">
        <f t="shared" si="94"/>
        <v>0</v>
      </c>
      <c r="S272" s="38"/>
      <c r="T272" s="2">
        <f t="shared" si="95"/>
        <v>0</v>
      </c>
      <c r="U272" s="24">
        <v>23000</v>
      </c>
      <c r="V272" s="24">
        <v>23000</v>
      </c>
      <c r="W272" s="24">
        <v>23000</v>
      </c>
      <c r="X272" s="24">
        <v>23000</v>
      </c>
      <c r="Y272" s="24">
        <v>23000</v>
      </c>
      <c r="Z272" s="24">
        <v>23000</v>
      </c>
      <c r="AA272" s="24"/>
      <c r="AB272" s="24"/>
      <c r="AC272" s="24"/>
      <c r="AD272" s="24"/>
      <c r="AE272" s="24"/>
      <c r="AF272" s="24"/>
      <c r="AG272" s="13">
        <f t="shared" si="102"/>
        <v>0</v>
      </c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4" t="s">
        <v>620</v>
      </c>
      <c r="AU272" s="4" t="s">
        <v>1105</v>
      </c>
      <c r="AV272" s="4" t="s">
        <v>1218</v>
      </c>
      <c r="AW272" s="4" t="s">
        <v>623</v>
      </c>
      <c r="AX272" s="4"/>
      <c r="AY272" s="4"/>
      <c r="AZ272" s="4"/>
      <c r="BA272" s="5"/>
      <c r="BB272" s="5"/>
      <c r="BC272" s="5"/>
      <c r="BD272" s="5"/>
      <c r="BE272" s="37"/>
      <c r="BF272" s="37"/>
      <c r="BG272" s="37"/>
      <c r="BH272" s="37"/>
      <c r="BI272" s="37"/>
      <c r="BJ272" s="37"/>
      <c r="BK272" s="5"/>
      <c r="BL272" s="5"/>
      <c r="BM272" s="9">
        <f t="shared" si="103"/>
        <v>7360</v>
      </c>
      <c r="BN272" s="9">
        <f t="shared" si="92"/>
        <v>7360</v>
      </c>
      <c r="BO272" s="9">
        <f t="shared" si="93"/>
        <v>0</v>
      </c>
      <c r="BP272" s="9">
        <f t="shared" si="96"/>
        <v>0</v>
      </c>
      <c r="BQ272" s="9">
        <f t="shared" si="97"/>
        <v>0</v>
      </c>
      <c r="BR272" s="9">
        <f t="shared" si="98"/>
        <v>0</v>
      </c>
      <c r="BS272" s="9">
        <f t="shared" si="99"/>
        <v>0</v>
      </c>
      <c r="BT272" s="9">
        <f t="shared" si="100"/>
        <v>0</v>
      </c>
    </row>
    <row r="273" spans="1:72" hidden="1" x14ac:dyDescent="0.25">
      <c r="A273" s="11">
        <f t="shared" si="91"/>
        <v>272</v>
      </c>
      <c r="B273" s="4" t="s">
        <v>1440</v>
      </c>
      <c r="C273" s="4" t="s">
        <v>59</v>
      </c>
      <c r="D273" s="33" t="s">
        <v>1348</v>
      </c>
      <c r="E273" s="4" t="s">
        <v>1343</v>
      </c>
      <c r="F273" s="33" t="s">
        <v>1349</v>
      </c>
      <c r="G273" s="33" t="s">
        <v>540</v>
      </c>
      <c r="H273" s="33" t="s">
        <v>541</v>
      </c>
      <c r="I273" s="33"/>
      <c r="J273" s="33"/>
      <c r="K273" s="33" t="s">
        <v>1441</v>
      </c>
      <c r="L273" s="24">
        <v>900000</v>
      </c>
      <c r="M273" s="5" t="s">
        <v>320</v>
      </c>
      <c r="N273" s="5"/>
      <c r="O273" s="33" t="s">
        <v>109</v>
      </c>
      <c r="P273" s="36"/>
      <c r="Q273" s="36">
        <v>0.3</v>
      </c>
      <c r="R273" s="1">
        <f t="shared" si="94"/>
        <v>33000</v>
      </c>
      <c r="S273" s="5"/>
      <c r="T273" s="2">
        <f t="shared" si="95"/>
        <v>110000</v>
      </c>
      <c r="U273" s="24">
        <v>22000</v>
      </c>
      <c r="V273" s="24">
        <v>22000</v>
      </c>
      <c r="W273" s="24"/>
      <c r="X273" s="24">
        <v>22000</v>
      </c>
      <c r="Y273" s="24">
        <v>22000</v>
      </c>
      <c r="Z273" s="24">
        <v>22000</v>
      </c>
      <c r="AA273" s="24">
        <v>22000</v>
      </c>
      <c r="AB273" s="24">
        <v>22000</v>
      </c>
      <c r="AC273" s="24">
        <v>22000</v>
      </c>
      <c r="AD273" s="24">
        <v>22000</v>
      </c>
      <c r="AE273" s="24">
        <v>22000</v>
      </c>
      <c r="AF273" s="24">
        <v>22000</v>
      </c>
      <c r="AG273" s="13">
        <f t="shared" si="102"/>
        <v>22000</v>
      </c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4" t="s">
        <v>620</v>
      </c>
      <c r="AU273" s="4" t="s">
        <v>1105</v>
      </c>
      <c r="AV273" s="4" t="s">
        <v>1218</v>
      </c>
      <c r="AW273" s="4" t="s">
        <v>635</v>
      </c>
      <c r="AX273" s="4"/>
      <c r="AY273" s="4"/>
      <c r="AZ273" s="4"/>
      <c r="BA273" s="5"/>
      <c r="BB273" s="5"/>
      <c r="BC273" s="5"/>
      <c r="BD273" s="5"/>
      <c r="BE273" s="37"/>
      <c r="BF273" s="37"/>
      <c r="BG273" s="37"/>
      <c r="BH273" s="37"/>
      <c r="BI273" s="37"/>
      <c r="BJ273" s="37"/>
      <c r="BK273" s="5"/>
      <c r="BL273" s="5"/>
      <c r="BM273" s="9">
        <f t="shared" si="103"/>
        <v>6600</v>
      </c>
      <c r="BN273" s="9">
        <f t="shared" si="92"/>
        <v>6600</v>
      </c>
      <c r="BO273" s="9">
        <f t="shared" si="93"/>
        <v>6600</v>
      </c>
      <c r="BP273" s="9">
        <f t="shared" si="96"/>
        <v>6600</v>
      </c>
      <c r="BQ273" s="9">
        <f t="shared" si="97"/>
        <v>6600</v>
      </c>
      <c r="BR273" s="9">
        <f t="shared" si="98"/>
        <v>6600</v>
      </c>
      <c r="BS273" s="9">
        <f t="shared" si="99"/>
        <v>6600</v>
      </c>
      <c r="BT273" s="9">
        <f t="shared" si="100"/>
        <v>6600</v>
      </c>
    </row>
    <row r="274" spans="1:72" hidden="1" x14ac:dyDescent="0.25">
      <c r="A274" s="11">
        <f t="shared" si="91"/>
        <v>273</v>
      </c>
      <c r="B274" s="4" t="s">
        <v>1442</v>
      </c>
      <c r="C274" s="5" t="s">
        <v>59</v>
      </c>
      <c r="D274" s="4" t="s">
        <v>1157</v>
      </c>
      <c r="E274" s="4" t="s">
        <v>1343</v>
      </c>
      <c r="F274" s="4" t="s">
        <v>1426</v>
      </c>
      <c r="G274" s="4" t="s">
        <v>1443</v>
      </c>
      <c r="H274" s="4"/>
      <c r="I274" s="4"/>
      <c r="J274" s="4"/>
      <c r="K274" s="4" t="s">
        <v>1428</v>
      </c>
      <c r="L274" s="24">
        <v>600000</v>
      </c>
      <c r="M274" s="4" t="s">
        <v>74</v>
      </c>
      <c r="N274" s="4" t="s">
        <v>1429</v>
      </c>
      <c r="O274" s="4" t="s">
        <v>668</v>
      </c>
      <c r="P274" s="4"/>
      <c r="Q274" s="36">
        <v>0.13</v>
      </c>
      <c r="R274" s="1">
        <f t="shared" si="94"/>
        <v>0</v>
      </c>
      <c r="S274" s="4"/>
      <c r="T274" s="2">
        <f t="shared" si="95"/>
        <v>0</v>
      </c>
      <c r="U274" s="24">
        <v>0</v>
      </c>
      <c r="V274" s="24">
        <v>0</v>
      </c>
      <c r="W274" s="24">
        <v>0</v>
      </c>
      <c r="X274" s="24"/>
      <c r="Y274" s="24"/>
      <c r="Z274" s="24"/>
      <c r="AA274" s="24"/>
      <c r="AB274" s="24"/>
      <c r="AC274" s="24"/>
      <c r="AD274" s="24"/>
      <c r="AE274" s="24"/>
      <c r="AF274" s="24"/>
      <c r="AG274" s="13">
        <f t="shared" ref="AG274:AG277" si="104">AF274</f>
        <v>0</v>
      </c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 t="s">
        <v>1105</v>
      </c>
      <c r="AV274" s="4" t="s">
        <v>1218</v>
      </c>
      <c r="AW274" s="4"/>
      <c r="AX274" s="4"/>
      <c r="AY274" s="4"/>
      <c r="AZ274" s="4"/>
      <c r="BA274" s="5"/>
      <c r="BB274" s="5"/>
      <c r="BC274" s="5"/>
      <c r="BD274" s="5"/>
      <c r="BE274" s="37"/>
      <c r="BF274" s="37"/>
      <c r="BG274" s="37"/>
      <c r="BH274" s="37"/>
      <c r="BI274" s="37"/>
      <c r="BJ274" s="37"/>
      <c r="BK274" s="5"/>
      <c r="BL274" s="5"/>
      <c r="BM274" s="9">
        <f t="shared" si="103"/>
        <v>0</v>
      </c>
      <c r="BN274" s="9">
        <f t="shared" si="92"/>
        <v>0</v>
      </c>
      <c r="BO274" s="9">
        <f t="shared" si="93"/>
        <v>0</v>
      </c>
      <c r="BP274" s="9">
        <f t="shared" si="96"/>
        <v>0</v>
      </c>
      <c r="BQ274" s="9">
        <f t="shared" si="97"/>
        <v>0</v>
      </c>
      <c r="BR274" s="9">
        <f t="shared" si="98"/>
        <v>0</v>
      </c>
      <c r="BS274" s="9">
        <f t="shared" si="99"/>
        <v>0</v>
      </c>
      <c r="BT274" s="9">
        <f t="shared" si="100"/>
        <v>0</v>
      </c>
    </row>
    <row r="275" spans="1:72" hidden="1" x14ac:dyDescent="0.25">
      <c r="A275" s="11">
        <f t="shared" si="91"/>
        <v>274</v>
      </c>
      <c r="B275" s="4" t="s">
        <v>1444</v>
      </c>
      <c r="C275" s="5" t="s">
        <v>59</v>
      </c>
      <c r="D275" s="4" t="s">
        <v>1157</v>
      </c>
      <c r="E275" s="4" t="s">
        <v>1343</v>
      </c>
      <c r="F275" s="4" t="s">
        <v>1426</v>
      </c>
      <c r="G275" s="4" t="s">
        <v>1443</v>
      </c>
      <c r="H275" s="4"/>
      <c r="I275" s="4"/>
      <c r="J275" s="4"/>
      <c r="K275" s="4" t="s">
        <v>1428</v>
      </c>
      <c r="L275" s="24">
        <v>500000</v>
      </c>
      <c r="M275" s="4" t="s">
        <v>74</v>
      </c>
      <c r="N275" s="4" t="s">
        <v>1445</v>
      </c>
      <c r="O275" s="4" t="s">
        <v>668</v>
      </c>
      <c r="P275" s="4"/>
      <c r="Q275" s="36">
        <v>0.13</v>
      </c>
      <c r="R275" s="1">
        <f t="shared" si="94"/>
        <v>0</v>
      </c>
      <c r="S275" s="4"/>
      <c r="T275" s="2">
        <f t="shared" si="95"/>
        <v>0</v>
      </c>
      <c r="U275" s="24">
        <v>0</v>
      </c>
      <c r="V275" s="24">
        <v>0</v>
      </c>
      <c r="W275" s="24">
        <v>0</v>
      </c>
      <c r="X275" s="24"/>
      <c r="Y275" s="24"/>
      <c r="Z275" s="24"/>
      <c r="AA275" s="24"/>
      <c r="AB275" s="24"/>
      <c r="AC275" s="24"/>
      <c r="AD275" s="24"/>
      <c r="AE275" s="24"/>
      <c r="AF275" s="24"/>
      <c r="AG275" s="13">
        <f t="shared" si="104"/>
        <v>0</v>
      </c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 t="s">
        <v>1105</v>
      </c>
      <c r="AV275" s="4" t="s">
        <v>1218</v>
      </c>
      <c r="AW275" s="4"/>
      <c r="AX275" s="4"/>
      <c r="AY275" s="4"/>
      <c r="AZ275" s="4"/>
      <c r="BA275" s="5"/>
      <c r="BB275" s="5"/>
      <c r="BC275" s="5"/>
      <c r="BD275" s="5"/>
      <c r="BE275" s="37"/>
      <c r="BF275" s="37"/>
      <c r="BG275" s="37"/>
      <c r="BH275" s="37"/>
      <c r="BI275" s="37"/>
      <c r="BJ275" s="37"/>
      <c r="BK275" s="5"/>
      <c r="BL275" s="5"/>
      <c r="BM275" s="9">
        <f t="shared" si="103"/>
        <v>0</v>
      </c>
      <c r="BN275" s="9">
        <f t="shared" si="92"/>
        <v>0</v>
      </c>
      <c r="BO275" s="9">
        <f t="shared" si="93"/>
        <v>0</v>
      </c>
      <c r="BP275" s="9">
        <f t="shared" si="96"/>
        <v>0</v>
      </c>
      <c r="BQ275" s="9">
        <f t="shared" si="97"/>
        <v>0</v>
      </c>
      <c r="BR275" s="9">
        <f t="shared" si="98"/>
        <v>0</v>
      </c>
      <c r="BS275" s="9">
        <f t="shared" si="99"/>
        <v>0</v>
      </c>
      <c r="BT275" s="9">
        <f t="shared" si="100"/>
        <v>0</v>
      </c>
    </row>
    <row r="276" spans="1:72" hidden="1" x14ac:dyDescent="0.25">
      <c r="A276" s="11">
        <f t="shared" si="91"/>
        <v>275</v>
      </c>
      <c r="B276" s="3" t="s">
        <v>1446</v>
      </c>
      <c r="C276" s="4" t="s">
        <v>59</v>
      </c>
      <c r="D276" s="3" t="s">
        <v>1348</v>
      </c>
      <c r="E276" s="4" t="s">
        <v>1343</v>
      </c>
      <c r="F276" s="3" t="s">
        <v>1349</v>
      </c>
      <c r="G276" s="3" t="s">
        <v>286</v>
      </c>
      <c r="H276" s="3" t="s">
        <v>287</v>
      </c>
      <c r="I276" s="3"/>
      <c r="J276" s="3"/>
      <c r="K276" s="3" t="s">
        <v>1386</v>
      </c>
      <c r="L276" s="24">
        <v>300000</v>
      </c>
      <c r="M276" s="5" t="s">
        <v>291</v>
      </c>
      <c r="N276" s="5"/>
      <c r="O276" s="3"/>
      <c r="P276" s="29"/>
      <c r="Q276" s="36">
        <v>0.45</v>
      </c>
      <c r="R276" s="1">
        <f t="shared" si="94"/>
        <v>27000</v>
      </c>
      <c r="S276" s="5"/>
      <c r="T276" s="2">
        <f t="shared" si="95"/>
        <v>60000</v>
      </c>
      <c r="U276" s="24">
        <v>12000</v>
      </c>
      <c r="V276" s="24">
        <v>12000</v>
      </c>
      <c r="W276" s="24">
        <v>12000</v>
      </c>
      <c r="X276" s="24">
        <v>12000</v>
      </c>
      <c r="Y276" s="24">
        <v>12000</v>
      </c>
      <c r="Z276" s="24">
        <v>12000</v>
      </c>
      <c r="AA276" s="24">
        <v>12000</v>
      </c>
      <c r="AB276" s="24">
        <v>12000</v>
      </c>
      <c r="AC276" s="24">
        <v>12000</v>
      </c>
      <c r="AD276" s="24">
        <v>12000</v>
      </c>
      <c r="AE276" s="24">
        <v>12000</v>
      </c>
      <c r="AF276" s="24">
        <v>12000</v>
      </c>
      <c r="AG276" s="13">
        <f t="shared" si="104"/>
        <v>12000</v>
      </c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4" t="s">
        <v>620</v>
      </c>
      <c r="AU276" s="4" t="s">
        <v>1105</v>
      </c>
      <c r="AV276" s="4" t="s">
        <v>1218</v>
      </c>
      <c r="AW276" s="4" t="s">
        <v>639</v>
      </c>
      <c r="AX276" s="4" t="s">
        <v>640</v>
      </c>
      <c r="AY276" s="4" t="s">
        <v>641</v>
      </c>
      <c r="AZ276" s="4" t="s">
        <v>642</v>
      </c>
      <c r="BA276" s="5"/>
      <c r="BB276" s="5"/>
      <c r="BC276" s="5"/>
      <c r="BD276" s="5"/>
      <c r="BE276" s="37"/>
      <c r="BF276" s="37"/>
      <c r="BG276" s="37"/>
      <c r="BH276" s="37"/>
      <c r="BI276" s="37"/>
      <c r="BJ276" s="37"/>
      <c r="BK276" s="5"/>
      <c r="BL276" s="5"/>
      <c r="BM276" s="9">
        <f t="shared" si="103"/>
        <v>5400</v>
      </c>
      <c r="BN276" s="9">
        <f t="shared" si="92"/>
        <v>5400</v>
      </c>
      <c r="BO276" s="9">
        <f t="shared" si="93"/>
        <v>5400</v>
      </c>
      <c r="BP276" s="9">
        <f t="shared" si="96"/>
        <v>5400</v>
      </c>
      <c r="BQ276" s="9">
        <f t="shared" si="97"/>
        <v>5400</v>
      </c>
      <c r="BR276" s="9">
        <f t="shared" si="98"/>
        <v>5400</v>
      </c>
      <c r="BS276" s="9">
        <f t="shared" si="99"/>
        <v>5400</v>
      </c>
      <c r="BT276" s="9">
        <f t="shared" si="100"/>
        <v>5400</v>
      </c>
    </row>
    <row r="277" spans="1:72" hidden="1" x14ac:dyDescent="0.25">
      <c r="A277" s="11">
        <f t="shared" si="91"/>
        <v>276</v>
      </c>
      <c r="B277" s="4" t="s">
        <v>1447</v>
      </c>
      <c r="C277" s="5" t="s">
        <v>59</v>
      </c>
      <c r="D277" s="4" t="s">
        <v>1157</v>
      </c>
      <c r="E277" s="4" t="s">
        <v>1343</v>
      </c>
      <c r="F277" s="4" t="s">
        <v>1389</v>
      </c>
      <c r="G277" s="4" t="s">
        <v>225</v>
      </c>
      <c r="H277" s="4" t="s">
        <v>226</v>
      </c>
      <c r="I277" s="4"/>
      <c r="J277" s="4"/>
      <c r="K277" s="4" t="s">
        <v>1404</v>
      </c>
      <c r="L277" s="24">
        <v>240000</v>
      </c>
      <c r="M277" s="4" t="s">
        <v>291</v>
      </c>
      <c r="N277" s="4" t="s">
        <v>1392</v>
      </c>
      <c r="O277" s="4"/>
      <c r="P277" s="4"/>
      <c r="Q277" s="36">
        <v>0.23</v>
      </c>
      <c r="R277" s="1">
        <f t="shared" si="94"/>
        <v>23000</v>
      </c>
      <c r="S277" s="4"/>
      <c r="T277" s="2">
        <f t="shared" si="95"/>
        <v>100000</v>
      </c>
      <c r="U277" s="24">
        <v>20000</v>
      </c>
      <c r="V277" s="24">
        <v>20000</v>
      </c>
      <c r="W277" s="24">
        <v>20000</v>
      </c>
      <c r="X277" s="24">
        <v>20000</v>
      </c>
      <c r="Y277" s="24">
        <v>20000</v>
      </c>
      <c r="Z277" s="24">
        <v>20000</v>
      </c>
      <c r="AA277" s="24">
        <v>20000</v>
      </c>
      <c r="AB277" s="24">
        <v>20000</v>
      </c>
      <c r="AC277" s="24">
        <v>20000</v>
      </c>
      <c r="AD277" s="24">
        <v>20000</v>
      </c>
      <c r="AE277" s="24">
        <v>20000</v>
      </c>
      <c r="AF277" s="24">
        <v>20000</v>
      </c>
      <c r="AG277" s="13">
        <f t="shared" si="104"/>
        <v>20000</v>
      </c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4" t="s">
        <v>620</v>
      </c>
      <c r="AU277" s="4" t="s">
        <v>1105</v>
      </c>
      <c r="AV277" s="4" t="s">
        <v>1218</v>
      </c>
      <c r="AW277" s="4" t="s">
        <v>623</v>
      </c>
      <c r="AX277" s="4"/>
      <c r="AY277" s="4"/>
      <c r="AZ277" s="4"/>
      <c r="BA277" s="5"/>
      <c r="BB277" s="5"/>
      <c r="BC277" s="5"/>
      <c r="BD277" s="5"/>
      <c r="BE277" s="37"/>
      <c r="BF277" s="37"/>
      <c r="BG277" s="37"/>
      <c r="BH277" s="37"/>
      <c r="BI277" s="37"/>
      <c r="BJ277" s="37"/>
      <c r="BK277" s="5"/>
      <c r="BL277" s="5"/>
      <c r="BM277" s="9">
        <f t="shared" si="103"/>
        <v>4600</v>
      </c>
      <c r="BN277" s="9">
        <f t="shared" si="92"/>
        <v>4600</v>
      </c>
      <c r="BO277" s="9">
        <f t="shared" si="93"/>
        <v>4600</v>
      </c>
      <c r="BP277" s="9">
        <f t="shared" si="96"/>
        <v>4600</v>
      </c>
      <c r="BQ277" s="9">
        <f t="shared" si="97"/>
        <v>4600</v>
      </c>
      <c r="BR277" s="9">
        <f t="shared" si="98"/>
        <v>4600</v>
      </c>
      <c r="BS277" s="9">
        <f t="shared" si="99"/>
        <v>4600</v>
      </c>
      <c r="BT277" s="9">
        <f t="shared" si="100"/>
        <v>4600</v>
      </c>
    </row>
    <row r="278" spans="1:72" hidden="1" x14ac:dyDescent="0.25">
      <c r="A278" s="11">
        <f t="shared" si="91"/>
        <v>277</v>
      </c>
      <c r="B278" s="4" t="s">
        <v>1448</v>
      </c>
      <c r="C278" s="5" t="s">
        <v>59</v>
      </c>
      <c r="D278" s="4" t="s">
        <v>1157</v>
      </c>
      <c r="E278" s="4" t="s">
        <v>1343</v>
      </c>
      <c r="F278" s="4" t="s">
        <v>1434</v>
      </c>
      <c r="G278" s="4" t="s">
        <v>260</v>
      </c>
      <c r="H278" s="4" t="s">
        <v>1750</v>
      </c>
      <c r="I278" s="4"/>
      <c r="J278" s="4"/>
      <c r="K278" s="4" t="s">
        <v>1449</v>
      </c>
      <c r="L278" s="24">
        <v>110000</v>
      </c>
      <c r="M278" s="4" t="s">
        <v>291</v>
      </c>
      <c r="N278" s="4" t="s">
        <v>1361</v>
      </c>
      <c r="O278" s="4"/>
      <c r="P278" s="4"/>
      <c r="Q278" s="36">
        <v>0.4</v>
      </c>
      <c r="R278" s="1">
        <f t="shared" si="94"/>
        <v>0</v>
      </c>
      <c r="S278" s="4"/>
      <c r="T278" s="2">
        <f t="shared" si="95"/>
        <v>0</v>
      </c>
      <c r="U278" s="24"/>
      <c r="V278" s="24">
        <v>10000</v>
      </c>
      <c r="W278" s="24">
        <v>10000</v>
      </c>
      <c r="X278" s="24"/>
      <c r="Y278" s="24"/>
      <c r="Z278" s="24"/>
      <c r="AA278" s="24"/>
      <c r="AB278" s="24"/>
      <c r="AC278" s="24"/>
      <c r="AD278" s="24"/>
      <c r="AE278" s="24"/>
      <c r="AF278" s="24"/>
      <c r="AG278" s="13">
        <f>AF278</f>
        <v>0</v>
      </c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4" t="s">
        <v>620</v>
      </c>
      <c r="AU278" s="4" t="s">
        <v>1105</v>
      </c>
      <c r="AV278" s="4" t="s">
        <v>1218</v>
      </c>
      <c r="AW278" s="4" t="s">
        <v>639</v>
      </c>
      <c r="AX278" s="4"/>
      <c r="AY278" s="4"/>
      <c r="AZ278" s="4"/>
      <c r="BA278" s="5"/>
      <c r="BB278" s="5"/>
      <c r="BC278" s="5"/>
      <c r="BD278" s="5"/>
      <c r="BE278" s="37"/>
      <c r="BF278" s="37"/>
      <c r="BG278" s="37"/>
      <c r="BH278" s="37"/>
      <c r="BI278" s="37"/>
      <c r="BJ278" s="37"/>
      <c r="BK278" s="5"/>
      <c r="BL278" s="5"/>
      <c r="BM278" s="9">
        <f t="shared" si="103"/>
        <v>0</v>
      </c>
      <c r="BN278" s="9">
        <f t="shared" si="92"/>
        <v>0</v>
      </c>
      <c r="BO278" s="9">
        <f t="shared" si="93"/>
        <v>0</v>
      </c>
      <c r="BP278" s="9">
        <f t="shared" si="96"/>
        <v>0</v>
      </c>
      <c r="BQ278" s="9">
        <f t="shared" si="97"/>
        <v>0</v>
      </c>
      <c r="BR278" s="9">
        <f t="shared" si="98"/>
        <v>0</v>
      </c>
      <c r="BS278" s="9">
        <f t="shared" si="99"/>
        <v>0</v>
      </c>
      <c r="BT278" s="9">
        <f t="shared" si="100"/>
        <v>0</v>
      </c>
    </row>
    <row r="279" spans="1:72" hidden="1" x14ac:dyDescent="0.25">
      <c r="A279" s="11">
        <f t="shared" si="91"/>
        <v>278</v>
      </c>
      <c r="B279" s="4" t="s">
        <v>1261</v>
      </c>
      <c r="C279" s="5" t="s">
        <v>59</v>
      </c>
      <c r="D279" s="4" t="s">
        <v>1157</v>
      </c>
      <c r="E279" s="4" t="s">
        <v>1343</v>
      </c>
      <c r="F279" s="4" t="s">
        <v>1359</v>
      </c>
      <c r="G279" s="4" t="s">
        <v>1301</v>
      </c>
      <c r="H279" s="4" t="s">
        <v>1057</v>
      </c>
      <c r="I279" s="4"/>
      <c r="J279" s="4"/>
      <c r="K279" s="4" t="s">
        <v>1450</v>
      </c>
      <c r="L279" s="24">
        <v>72000</v>
      </c>
      <c r="M279" s="4" t="s">
        <v>291</v>
      </c>
      <c r="N279" s="4" t="s">
        <v>1392</v>
      </c>
      <c r="O279" s="4"/>
      <c r="P279" s="4"/>
      <c r="Q279" s="36">
        <v>0.45</v>
      </c>
      <c r="R279" s="1">
        <f t="shared" si="94"/>
        <v>13500</v>
      </c>
      <c r="S279" s="4"/>
      <c r="T279" s="2">
        <f t="shared" si="95"/>
        <v>30000</v>
      </c>
      <c r="U279" s="24">
        <v>6000</v>
      </c>
      <c r="V279" s="24">
        <v>6000</v>
      </c>
      <c r="W279" s="24">
        <v>6000</v>
      </c>
      <c r="X279" s="24">
        <v>6000</v>
      </c>
      <c r="Y279" s="24">
        <v>6000</v>
      </c>
      <c r="Z279" s="24">
        <v>6000</v>
      </c>
      <c r="AA279" s="24">
        <v>6000</v>
      </c>
      <c r="AB279" s="24">
        <v>6000</v>
      </c>
      <c r="AC279" s="24">
        <v>6000</v>
      </c>
      <c r="AD279" s="24">
        <v>6000</v>
      </c>
      <c r="AE279" s="24">
        <v>6000</v>
      </c>
      <c r="AF279" s="24">
        <v>6000</v>
      </c>
      <c r="AG279" s="13">
        <f t="shared" ref="AG279:AG280" si="105">AF279</f>
        <v>6000</v>
      </c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4" t="s">
        <v>620</v>
      </c>
      <c r="AU279" s="4" t="s">
        <v>1105</v>
      </c>
      <c r="AV279" s="4" t="s">
        <v>1218</v>
      </c>
      <c r="AW279" s="4" t="s">
        <v>669</v>
      </c>
      <c r="AX279" s="4"/>
      <c r="AY279" s="4"/>
      <c r="AZ279" s="4"/>
      <c r="BA279" s="5"/>
      <c r="BB279" s="5"/>
      <c r="BC279" s="5"/>
      <c r="BD279" s="5"/>
      <c r="BE279" s="37"/>
      <c r="BF279" s="37"/>
      <c r="BG279" s="37"/>
      <c r="BH279" s="37"/>
      <c r="BI279" s="37"/>
      <c r="BJ279" s="37"/>
      <c r="BK279" s="5"/>
      <c r="BL279" s="5"/>
      <c r="BM279" s="9">
        <f t="shared" si="103"/>
        <v>2700</v>
      </c>
      <c r="BN279" s="9">
        <f t="shared" si="92"/>
        <v>2700</v>
      </c>
      <c r="BO279" s="9">
        <f t="shared" si="93"/>
        <v>2700</v>
      </c>
      <c r="BP279" s="9">
        <f t="shared" si="96"/>
        <v>2700</v>
      </c>
      <c r="BQ279" s="9">
        <f t="shared" si="97"/>
        <v>2700</v>
      </c>
      <c r="BR279" s="9">
        <f t="shared" si="98"/>
        <v>2700</v>
      </c>
      <c r="BS279" s="9">
        <f t="shared" si="99"/>
        <v>2700</v>
      </c>
      <c r="BT279" s="9">
        <f t="shared" si="100"/>
        <v>2700</v>
      </c>
    </row>
    <row r="280" spans="1:72" hidden="1" x14ac:dyDescent="0.25">
      <c r="A280" s="11">
        <f t="shared" si="91"/>
        <v>279</v>
      </c>
      <c r="B280" s="5" t="s">
        <v>1451</v>
      </c>
      <c r="C280" s="5" t="s">
        <v>59</v>
      </c>
      <c r="D280" s="4" t="s">
        <v>1377</v>
      </c>
      <c r="E280" s="4" t="s">
        <v>1343</v>
      </c>
      <c r="F280" s="33" t="s">
        <v>1378</v>
      </c>
      <c r="G280" s="4" t="s">
        <v>144</v>
      </c>
      <c r="H280" s="33" t="s">
        <v>545</v>
      </c>
      <c r="I280" s="4"/>
      <c r="J280" s="4"/>
      <c r="K280" s="4" t="s">
        <v>1379</v>
      </c>
      <c r="L280" s="24">
        <v>100000</v>
      </c>
      <c r="M280" s="13" t="s">
        <v>291</v>
      </c>
      <c r="N280" s="5" t="s">
        <v>1380</v>
      </c>
      <c r="O280" s="4" t="s">
        <v>109</v>
      </c>
      <c r="P280" s="4" t="s">
        <v>109</v>
      </c>
      <c r="Q280" s="14">
        <v>0.19</v>
      </c>
      <c r="R280" s="1">
        <f t="shared" si="94"/>
        <v>11400</v>
      </c>
      <c r="S280" s="38"/>
      <c r="T280" s="2">
        <f t="shared" si="95"/>
        <v>60000</v>
      </c>
      <c r="U280" s="24">
        <v>12000</v>
      </c>
      <c r="V280" s="24">
        <v>12000</v>
      </c>
      <c r="W280" s="24">
        <v>12000</v>
      </c>
      <c r="X280" s="24">
        <v>12000</v>
      </c>
      <c r="Y280" s="24">
        <v>12000</v>
      </c>
      <c r="Z280" s="24">
        <v>12000</v>
      </c>
      <c r="AA280" s="24">
        <v>12000</v>
      </c>
      <c r="AB280" s="24">
        <v>12000</v>
      </c>
      <c r="AC280" s="24">
        <v>12000</v>
      </c>
      <c r="AD280" s="24">
        <v>12000</v>
      </c>
      <c r="AE280" s="24">
        <v>12000</v>
      </c>
      <c r="AF280" s="24">
        <v>12000</v>
      </c>
      <c r="AG280" s="13">
        <f t="shared" si="105"/>
        <v>12000</v>
      </c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4" t="s">
        <v>620</v>
      </c>
      <c r="AU280" s="4" t="s">
        <v>1105</v>
      </c>
      <c r="AV280" s="4" t="s">
        <v>1218</v>
      </c>
      <c r="AW280" s="4" t="s">
        <v>623</v>
      </c>
      <c r="AX280" s="4"/>
      <c r="AY280" s="4"/>
      <c r="AZ280" s="4"/>
      <c r="BA280" s="5"/>
      <c r="BB280" s="5"/>
      <c r="BC280" s="5"/>
      <c r="BD280" s="5"/>
      <c r="BE280" s="37"/>
      <c r="BF280" s="37"/>
      <c r="BG280" s="37"/>
      <c r="BH280" s="37"/>
      <c r="BI280" s="37"/>
      <c r="BJ280" s="37"/>
      <c r="BK280" s="5"/>
      <c r="BL280" s="5"/>
      <c r="BM280" s="9">
        <f t="shared" si="103"/>
        <v>2280</v>
      </c>
      <c r="BN280" s="9">
        <f t="shared" si="92"/>
        <v>2280</v>
      </c>
      <c r="BO280" s="9">
        <f t="shared" si="93"/>
        <v>2280</v>
      </c>
      <c r="BP280" s="9">
        <f t="shared" si="96"/>
        <v>2280</v>
      </c>
      <c r="BQ280" s="9">
        <f t="shared" si="97"/>
        <v>2280</v>
      </c>
      <c r="BR280" s="9">
        <f t="shared" si="98"/>
        <v>2280</v>
      </c>
      <c r="BS280" s="9">
        <f t="shared" si="99"/>
        <v>2280</v>
      </c>
      <c r="BT280" s="9">
        <f t="shared" si="100"/>
        <v>2280</v>
      </c>
    </row>
    <row r="281" spans="1:72" hidden="1" x14ac:dyDescent="0.25">
      <c r="A281" s="11">
        <f t="shared" si="91"/>
        <v>280</v>
      </c>
      <c r="B281" s="4" t="s">
        <v>1452</v>
      </c>
      <c r="C281" s="5" t="s">
        <v>59</v>
      </c>
      <c r="D281" s="4" t="s">
        <v>1157</v>
      </c>
      <c r="E281" s="4" t="s">
        <v>1343</v>
      </c>
      <c r="F281" s="4" t="s">
        <v>1434</v>
      </c>
      <c r="G281" s="4" t="s">
        <v>194</v>
      </c>
      <c r="H281" s="4" t="s">
        <v>1050</v>
      </c>
      <c r="I281" s="4"/>
      <c r="J281" s="4"/>
      <c r="K281" s="4" t="s">
        <v>1453</v>
      </c>
      <c r="L281" s="24">
        <v>400000</v>
      </c>
      <c r="M281" s="4" t="s">
        <v>74</v>
      </c>
      <c r="N281" s="4" t="s">
        <v>1361</v>
      </c>
      <c r="O281" s="4"/>
      <c r="P281" s="4"/>
      <c r="Q281" s="36">
        <v>0.62</v>
      </c>
      <c r="R281" s="1">
        <f t="shared" si="94"/>
        <v>15500</v>
      </c>
      <c r="S281" s="4"/>
      <c r="T281" s="2">
        <f t="shared" si="95"/>
        <v>25000</v>
      </c>
      <c r="U281" s="24"/>
      <c r="V281" s="24"/>
      <c r="W281" s="24"/>
      <c r="X281" s="24"/>
      <c r="Y281" s="24"/>
      <c r="Z281" s="24">
        <v>5000</v>
      </c>
      <c r="AA281" s="24">
        <v>5000</v>
      </c>
      <c r="AB281" s="24">
        <v>5000</v>
      </c>
      <c r="AC281" s="24">
        <v>5000</v>
      </c>
      <c r="AD281" s="24">
        <v>5000</v>
      </c>
      <c r="AE281" s="24">
        <v>5000</v>
      </c>
      <c r="AF281" s="24">
        <v>5000</v>
      </c>
      <c r="AG281" s="13">
        <f t="shared" ref="AG281:AG286" si="106">AF281</f>
        <v>5000</v>
      </c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4" t="s">
        <v>620</v>
      </c>
      <c r="AU281" s="4" t="s">
        <v>1105</v>
      </c>
      <c r="AV281" s="4" t="s">
        <v>1218</v>
      </c>
      <c r="AW281" s="4" t="s">
        <v>639</v>
      </c>
      <c r="AX281" s="4" t="s">
        <v>639</v>
      </c>
      <c r="AY281" s="4" t="s">
        <v>646</v>
      </c>
      <c r="AZ281" s="4" t="s">
        <v>647</v>
      </c>
      <c r="BA281" s="33" t="s">
        <v>670</v>
      </c>
      <c r="BB281" s="5"/>
      <c r="BC281" s="5"/>
      <c r="BD281" s="5"/>
      <c r="BE281" s="37"/>
      <c r="BF281" s="37"/>
      <c r="BG281" s="37"/>
      <c r="BH281" s="37"/>
      <c r="BI281" s="37"/>
      <c r="BJ281" s="37"/>
      <c r="BK281" s="5"/>
      <c r="BL281" s="5"/>
      <c r="BM281" s="9">
        <f t="shared" si="103"/>
        <v>0</v>
      </c>
      <c r="BN281" s="9">
        <f t="shared" si="92"/>
        <v>3100</v>
      </c>
      <c r="BO281" s="9">
        <f t="shared" si="93"/>
        <v>3100</v>
      </c>
      <c r="BP281" s="9">
        <f t="shared" si="96"/>
        <v>3100</v>
      </c>
      <c r="BQ281" s="9">
        <f t="shared" si="97"/>
        <v>3100</v>
      </c>
      <c r="BR281" s="9">
        <f t="shared" si="98"/>
        <v>3100</v>
      </c>
      <c r="BS281" s="9">
        <f t="shared" si="99"/>
        <v>3100</v>
      </c>
      <c r="BT281" s="9">
        <f t="shared" si="100"/>
        <v>3100</v>
      </c>
    </row>
    <row r="282" spans="1:72" hidden="1" x14ac:dyDescent="0.25">
      <c r="A282" s="11">
        <f t="shared" si="91"/>
        <v>281</v>
      </c>
      <c r="B282" s="4" t="s">
        <v>1417</v>
      </c>
      <c r="C282" s="5" t="s">
        <v>128</v>
      </c>
      <c r="D282" s="4" t="s">
        <v>1418</v>
      </c>
      <c r="E282" s="4" t="s">
        <v>1343</v>
      </c>
      <c r="F282" s="4" t="s">
        <v>1419</v>
      </c>
      <c r="G282" s="4" t="s">
        <v>1454</v>
      </c>
      <c r="H282" s="4" t="s">
        <v>1058</v>
      </c>
      <c r="I282" s="4"/>
      <c r="J282" s="4"/>
      <c r="K282" s="4" t="s">
        <v>1421</v>
      </c>
      <c r="L282" s="24">
        <v>270000</v>
      </c>
      <c r="M282" s="4" t="s">
        <v>291</v>
      </c>
      <c r="N282" s="5"/>
      <c r="O282" s="4"/>
      <c r="P282" s="4"/>
      <c r="Q282" s="36">
        <v>0.32</v>
      </c>
      <c r="R282" s="1">
        <f t="shared" si="94"/>
        <v>14400</v>
      </c>
      <c r="S282" s="4"/>
      <c r="T282" s="2">
        <f t="shared" si="95"/>
        <v>45000</v>
      </c>
      <c r="U282" s="24"/>
      <c r="V282" s="13"/>
      <c r="W282" s="13"/>
      <c r="X282" s="13">
        <v>9000</v>
      </c>
      <c r="Y282" s="13">
        <v>9000</v>
      </c>
      <c r="Z282" s="13">
        <v>9000</v>
      </c>
      <c r="AA282" s="13">
        <v>9000</v>
      </c>
      <c r="AB282" s="13">
        <v>9000</v>
      </c>
      <c r="AC282" s="13">
        <v>9000</v>
      </c>
      <c r="AD282" s="13">
        <v>9000</v>
      </c>
      <c r="AE282" s="13">
        <v>9000</v>
      </c>
      <c r="AF282" s="13">
        <v>9000</v>
      </c>
      <c r="AG282" s="13">
        <f t="shared" si="106"/>
        <v>9000</v>
      </c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4" t="s">
        <v>620</v>
      </c>
      <c r="AU282" s="4" t="s">
        <v>1105</v>
      </c>
      <c r="AV282" s="4" t="s">
        <v>1218</v>
      </c>
      <c r="AW282" s="4" t="s">
        <v>627</v>
      </c>
      <c r="AX282" s="4" t="s">
        <v>628</v>
      </c>
      <c r="AY282" s="4" t="s">
        <v>658</v>
      </c>
      <c r="AZ282" s="4" t="s">
        <v>659</v>
      </c>
      <c r="BA282" s="33"/>
      <c r="BB282" s="5"/>
      <c r="BC282" s="5"/>
      <c r="BD282" s="5"/>
      <c r="BE282" s="37"/>
      <c r="BF282" s="37"/>
      <c r="BG282" s="37"/>
      <c r="BH282" s="37"/>
      <c r="BI282" s="37"/>
      <c r="BJ282" s="37"/>
      <c r="BK282" s="5"/>
      <c r="BL282" s="5"/>
      <c r="BM282" s="9">
        <f t="shared" si="103"/>
        <v>2880</v>
      </c>
      <c r="BN282" s="9">
        <f t="shared" si="92"/>
        <v>2880</v>
      </c>
      <c r="BO282" s="9">
        <f t="shared" si="93"/>
        <v>2880</v>
      </c>
      <c r="BP282" s="9">
        <f t="shared" si="96"/>
        <v>2880</v>
      </c>
      <c r="BQ282" s="9">
        <f t="shared" si="97"/>
        <v>2880</v>
      </c>
      <c r="BR282" s="9">
        <f t="shared" si="98"/>
        <v>2880</v>
      </c>
      <c r="BS282" s="9">
        <f t="shared" si="99"/>
        <v>2880</v>
      </c>
      <c r="BT282" s="9">
        <f t="shared" si="100"/>
        <v>2880</v>
      </c>
    </row>
    <row r="283" spans="1:72" hidden="1" x14ac:dyDescent="0.25">
      <c r="A283" s="11">
        <f t="shared" si="91"/>
        <v>282</v>
      </c>
      <c r="B283" s="5" t="s">
        <v>1455</v>
      </c>
      <c r="C283" s="5" t="s">
        <v>59</v>
      </c>
      <c r="D283" s="4" t="s">
        <v>1418</v>
      </c>
      <c r="E283" s="4" t="s">
        <v>1343</v>
      </c>
      <c r="F283" s="4" t="s">
        <v>1419</v>
      </c>
      <c r="G283" s="4" t="s">
        <v>721</v>
      </c>
      <c r="H283" s="4" t="s">
        <v>1059</v>
      </c>
      <c r="I283" s="4"/>
      <c r="J283" s="4"/>
      <c r="K283" s="4" t="s">
        <v>1456</v>
      </c>
      <c r="L283" s="24">
        <v>40000</v>
      </c>
      <c r="M283" s="13" t="s">
        <v>291</v>
      </c>
      <c r="N283" s="5"/>
      <c r="O283" s="5"/>
      <c r="P283" s="5"/>
      <c r="Q283" s="17">
        <v>0.54</v>
      </c>
      <c r="R283" s="1">
        <f t="shared" si="94"/>
        <v>8100.0000000000009</v>
      </c>
      <c r="S283" s="5"/>
      <c r="T283" s="2">
        <f t="shared" si="95"/>
        <v>15000</v>
      </c>
      <c r="U283" s="24"/>
      <c r="V283" s="24"/>
      <c r="W283" s="24"/>
      <c r="X283" s="24">
        <v>0</v>
      </c>
      <c r="Y283" s="24">
        <v>3000</v>
      </c>
      <c r="Z283" s="24">
        <v>3000</v>
      </c>
      <c r="AA283" s="24">
        <v>3000</v>
      </c>
      <c r="AB283" s="24">
        <v>3000</v>
      </c>
      <c r="AC283" s="24">
        <v>3000</v>
      </c>
      <c r="AD283" s="24">
        <v>3000</v>
      </c>
      <c r="AE283" s="24">
        <v>3000</v>
      </c>
      <c r="AF283" s="24">
        <v>3000</v>
      </c>
      <c r="AG283" s="13">
        <f t="shared" si="106"/>
        <v>3000</v>
      </c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4" t="s">
        <v>620</v>
      </c>
      <c r="AU283" s="4" t="s">
        <v>1105</v>
      </c>
      <c r="AV283" s="4" t="s">
        <v>1218</v>
      </c>
      <c r="AW283" s="4" t="s">
        <v>635</v>
      </c>
      <c r="AX283" s="4" t="s">
        <v>671</v>
      </c>
      <c r="AY283" s="4" t="s">
        <v>672</v>
      </c>
      <c r="AZ283" s="4" t="s">
        <v>656</v>
      </c>
      <c r="BA283" s="5"/>
      <c r="BB283" s="5"/>
      <c r="BC283" s="5"/>
      <c r="BD283" s="5"/>
      <c r="BE283" s="37"/>
      <c r="BF283" s="37"/>
      <c r="BG283" s="37"/>
      <c r="BH283" s="37"/>
      <c r="BI283" s="37"/>
      <c r="BJ283" s="37"/>
      <c r="BK283" s="5"/>
      <c r="BL283" s="5"/>
      <c r="BM283" s="9">
        <f t="shared" si="103"/>
        <v>1620</v>
      </c>
      <c r="BN283" s="9">
        <f t="shared" si="92"/>
        <v>1620</v>
      </c>
      <c r="BO283" s="9">
        <f t="shared" si="93"/>
        <v>1620</v>
      </c>
      <c r="BP283" s="9">
        <f t="shared" si="96"/>
        <v>1620</v>
      </c>
      <c r="BQ283" s="9">
        <f t="shared" si="97"/>
        <v>1620</v>
      </c>
      <c r="BR283" s="9">
        <f t="shared" si="98"/>
        <v>1620</v>
      </c>
      <c r="BS283" s="9">
        <f t="shared" si="99"/>
        <v>1620</v>
      </c>
      <c r="BT283" s="9">
        <f t="shared" si="100"/>
        <v>1620</v>
      </c>
    </row>
    <row r="284" spans="1:72" hidden="1" x14ac:dyDescent="0.25">
      <c r="A284" s="11">
        <f t="shared" si="91"/>
        <v>283</v>
      </c>
      <c r="B284" s="4" t="s">
        <v>1403</v>
      </c>
      <c r="C284" s="5" t="s">
        <v>59</v>
      </c>
      <c r="D284" s="4" t="s">
        <v>1157</v>
      </c>
      <c r="E284" s="4" t="s">
        <v>1343</v>
      </c>
      <c r="F284" s="4" t="s">
        <v>1389</v>
      </c>
      <c r="G284" s="4" t="s">
        <v>131</v>
      </c>
      <c r="H284" s="4" t="s">
        <v>132</v>
      </c>
      <c r="I284" s="4"/>
      <c r="J284" s="4"/>
      <c r="K284" s="4" t="s">
        <v>1404</v>
      </c>
      <c r="L284" s="24">
        <v>36000</v>
      </c>
      <c r="M284" s="4" t="s">
        <v>291</v>
      </c>
      <c r="N284" s="4" t="s">
        <v>1392</v>
      </c>
      <c r="O284" s="4"/>
      <c r="P284" s="4"/>
      <c r="Q284" s="36">
        <v>0.5</v>
      </c>
      <c r="R284" s="1">
        <f t="shared" si="94"/>
        <v>7500</v>
      </c>
      <c r="S284" s="4"/>
      <c r="T284" s="2">
        <f t="shared" si="95"/>
        <v>15000</v>
      </c>
      <c r="U284" s="24">
        <v>3000</v>
      </c>
      <c r="V284" s="24">
        <v>3000</v>
      </c>
      <c r="W284" s="24">
        <v>3000</v>
      </c>
      <c r="X284" s="24">
        <v>3000</v>
      </c>
      <c r="Y284" s="24">
        <v>3000</v>
      </c>
      <c r="Z284" s="24">
        <v>3000</v>
      </c>
      <c r="AA284" s="24">
        <v>3000</v>
      </c>
      <c r="AB284" s="24">
        <v>3000</v>
      </c>
      <c r="AC284" s="24">
        <v>3000</v>
      </c>
      <c r="AD284" s="24">
        <v>3000</v>
      </c>
      <c r="AE284" s="24">
        <v>3000</v>
      </c>
      <c r="AF284" s="24">
        <v>3000</v>
      </c>
      <c r="AG284" s="13">
        <f t="shared" si="106"/>
        <v>3000</v>
      </c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4" t="s">
        <v>620</v>
      </c>
      <c r="AU284" s="4" t="s">
        <v>1105</v>
      </c>
      <c r="AV284" s="4" t="s">
        <v>1218</v>
      </c>
      <c r="AW284" s="4" t="s">
        <v>623</v>
      </c>
      <c r="AX284" s="4"/>
      <c r="AY284" s="4"/>
      <c r="AZ284" s="4"/>
      <c r="BA284" s="5"/>
      <c r="BB284" s="5"/>
      <c r="BC284" s="5"/>
      <c r="BD284" s="5"/>
      <c r="BE284" s="37"/>
      <c r="BF284" s="37"/>
      <c r="BG284" s="37"/>
      <c r="BH284" s="37"/>
      <c r="BI284" s="37"/>
      <c r="BJ284" s="37"/>
      <c r="BK284" s="5"/>
      <c r="BL284" s="5"/>
      <c r="BM284" s="9">
        <f t="shared" si="103"/>
        <v>1500</v>
      </c>
      <c r="BN284" s="9">
        <f t="shared" si="92"/>
        <v>1500</v>
      </c>
      <c r="BO284" s="9">
        <f t="shared" si="93"/>
        <v>1500</v>
      </c>
      <c r="BP284" s="9">
        <f t="shared" si="96"/>
        <v>1500</v>
      </c>
      <c r="BQ284" s="9">
        <f t="shared" si="97"/>
        <v>1500</v>
      </c>
      <c r="BR284" s="9">
        <f t="shared" si="98"/>
        <v>1500</v>
      </c>
      <c r="BS284" s="9">
        <f t="shared" si="99"/>
        <v>1500</v>
      </c>
      <c r="BT284" s="9">
        <f t="shared" si="100"/>
        <v>1500</v>
      </c>
    </row>
    <row r="285" spans="1:72" hidden="1" x14ac:dyDescent="0.25">
      <c r="A285" s="11">
        <f t="shared" si="91"/>
        <v>284</v>
      </c>
      <c r="B285" s="5" t="s">
        <v>1376</v>
      </c>
      <c r="C285" s="5" t="s">
        <v>59</v>
      </c>
      <c r="D285" s="4" t="s">
        <v>1377</v>
      </c>
      <c r="E285" s="4" t="s">
        <v>1343</v>
      </c>
      <c r="F285" s="33" t="s">
        <v>1378</v>
      </c>
      <c r="G285" s="4" t="s">
        <v>1327</v>
      </c>
      <c r="H285" s="4" t="s">
        <v>1047</v>
      </c>
      <c r="I285" s="4"/>
      <c r="J285" s="4"/>
      <c r="K285" s="4" t="s">
        <v>1379</v>
      </c>
      <c r="L285" s="24">
        <v>70000</v>
      </c>
      <c r="M285" s="13" t="s">
        <v>291</v>
      </c>
      <c r="N285" s="5" t="s">
        <v>1380</v>
      </c>
      <c r="O285" s="4" t="s">
        <v>109</v>
      </c>
      <c r="P285" s="4" t="s">
        <v>109</v>
      </c>
      <c r="Q285" s="14">
        <v>0.19</v>
      </c>
      <c r="R285" s="1">
        <f t="shared" si="94"/>
        <v>0</v>
      </c>
      <c r="S285" s="38"/>
      <c r="T285" s="2">
        <f t="shared" si="95"/>
        <v>0</v>
      </c>
      <c r="U285" s="24">
        <v>7000</v>
      </c>
      <c r="V285" s="24">
        <v>7000</v>
      </c>
      <c r="W285" s="24">
        <v>7000</v>
      </c>
      <c r="X285" s="24">
        <v>7000</v>
      </c>
      <c r="Y285" s="24">
        <v>7000</v>
      </c>
      <c r="Z285" s="24">
        <v>7000</v>
      </c>
      <c r="AA285" s="24"/>
      <c r="AB285" s="24"/>
      <c r="AC285" s="24"/>
      <c r="AD285" s="24"/>
      <c r="AE285" s="24"/>
      <c r="AF285" s="24"/>
      <c r="AG285" s="13">
        <f t="shared" si="106"/>
        <v>0</v>
      </c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4" t="s">
        <v>620</v>
      </c>
      <c r="AU285" s="4" t="s">
        <v>1105</v>
      </c>
      <c r="AV285" s="4" t="s">
        <v>1218</v>
      </c>
      <c r="AW285" s="4" t="s">
        <v>623</v>
      </c>
      <c r="AX285" s="4"/>
      <c r="AY285" s="4"/>
      <c r="AZ285" s="4"/>
      <c r="BA285" s="5"/>
      <c r="BB285" s="5"/>
      <c r="BC285" s="5"/>
      <c r="BD285" s="5"/>
      <c r="BE285" s="37"/>
      <c r="BF285" s="37"/>
      <c r="BG285" s="37"/>
      <c r="BH285" s="37"/>
      <c r="BI285" s="37"/>
      <c r="BJ285" s="37"/>
      <c r="BK285" s="5"/>
      <c r="BL285" s="5"/>
      <c r="BM285" s="9">
        <f t="shared" si="103"/>
        <v>1330</v>
      </c>
      <c r="BN285" s="9">
        <f t="shared" si="92"/>
        <v>1330</v>
      </c>
      <c r="BO285" s="9">
        <f t="shared" si="93"/>
        <v>0</v>
      </c>
      <c r="BP285" s="9">
        <f t="shared" si="96"/>
        <v>0</v>
      </c>
      <c r="BQ285" s="9">
        <f t="shared" si="97"/>
        <v>0</v>
      </c>
      <c r="BR285" s="9">
        <f t="shared" si="98"/>
        <v>0</v>
      </c>
      <c r="BS285" s="9">
        <f t="shared" si="99"/>
        <v>0</v>
      </c>
      <c r="BT285" s="9">
        <f t="shared" si="100"/>
        <v>0</v>
      </c>
    </row>
    <row r="286" spans="1:72" hidden="1" x14ac:dyDescent="0.25">
      <c r="A286" s="11">
        <f t="shared" si="91"/>
        <v>285</v>
      </c>
      <c r="B286" s="5" t="s">
        <v>1439</v>
      </c>
      <c r="C286" s="5" t="s">
        <v>59</v>
      </c>
      <c r="D286" s="4" t="s">
        <v>1377</v>
      </c>
      <c r="E286" s="4" t="s">
        <v>1343</v>
      </c>
      <c r="F286" s="33" t="s">
        <v>1378</v>
      </c>
      <c r="G286" s="4" t="s">
        <v>225</v>
      </c>
      <c r="H286" s="4" t="s">
        <v>226</v>
      </c>
      <c r="I286" s="4"/>
      <c r="J286" s="4"/>
      <c r="K286" s="4" t="s">
        <v>1379</v>
      </c>
      <c r="L286" s="24">
        <v>10000</v>
      </c>
      <c r="M286" s="13" t="s">
        <v>291</v>
      </c>
      <c r="N286" s="5" t="s">
        <v>1380</v>
      </c>
      <c r="O286" s="4" t="s">
        <v>109</v>
      </c>
      <c r="P286" s="4" t="s">
        <v>109</v>
      </c>
      <c r="Q286" s="14">
        <v>0.3</v>
      </c>
      <c r="R286" s="1">
        <f t="shared" si="94"/>
        <v>1725</v>
      </c>
      <c r="S286" s="38"/>
      <c r="T286" s="2">
        <f t="shared" si="95"/>
        <v>5750</v>
      </c>
      <c r="U286" s="24">
        <v>1150</v>
      </c>
      <c r="V286" s="24">
        <v>1150</v>
      </c>
      <c r="W286" s="24">
        <v>1150</v>
      </c>
      <c r="X286" s="24">
        <v>1150</v>
      </c>
      <c r="Y286" s="24">
        <v>1150</v>
      </c>
      <c r="Z286" s="24">
        <v>1150</v>
      </c>
      <c r="AA286" s="24">
        <v>1150</v>
      </c>
      <c r="AB286" s="24">
        <v>1150</v>
      </c>
      <c r="AC286" s="24">
        <v>1150</v>
      </c>
      <c r="AD286" s="24">
        <v>1150</v>
      </c>
      <c r="AE286" s="24">
        <v>1150</v>
      </c>
      <c r="AF286" s="24">
        <v>1150</v>
      </c>
      <c r="AG286" s="13">
        <f t="shared" si="106"/>
        <v>1150</v>
      </c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4" t="s">
        <v>620</v>
      </c>
      <c r="AU286" s="4" t="s">
        <v>1105</v>
      </c>
      <c r="AV286" s="4" t="s">
        <v>1218</v>
      </c>
      <c r="AW286" s="4" t="s">
        <v>623</v>
      </c>
      <c r="AX286" s="4"/>
      <c r="AY286" s="4"/>
      <c r="AZ286" s="4"/>
      <c r="BA286" s="5"/>
      <c r="BB286" s="5"/>
      <c r="BC286" s="5"/>
      <c r="BD286" s="5"/>
      <c r="BE286" s="37"/>
      <c r="BF286" s="37"/>
      <c r="BG286" s="37"/>
      <c r="BH286" s="37"/>
      <c r="BI286" s="37"/>
      <c r="BJ286" s="37"/>
      <c r="BK286" s="5"/>
      <c r="BL286" s="5"/>
      <c r="BM286" s="9">
        <f t="shared" si="103"/>
        <v>345</v>
      </c>
      <c r="BN286" s="9">
        <f t="shared" si="92"/>
        <v>345</v>
      </c>
      <c r="BO286" s="9">
        <f t="shared" si="93"/>
        <v>345</v>
      </c>
      <c r="BP286" s="9">
        <f t="shared" si="96"/>
        <v>345</v>
      </c>
      <c r="BQ286" s="9">
        <f t="shared" si="97"/>
        <v>345</v>
      </c>
      <c r="BR286" s="9">
        <f t="shared" si="98"/>
        <v>345</v>
      </c>
      <c r="BS286" s="9">
        <f t="shared" si="99"/>
        <v>345</v>
      </c>
      <c r="BT286" s="9">
        <f t="shared" si="100"/>
        <v>345</v>
      </c>
    </row>
    <row r="287" spans="1:72" hidden="1" x14ac:dyDescent="0.25">
      <c r="A287" s="11">
        <f t="shared" si="91"/>
        <v>286</v>
      </c>
      <c r="B287" s="5" t="s">
        <v>1457</v>
      </c>
      <c r="C287" s="5" t="s">
        <v>59</v>
      </c>
      <c r="D287" s="4" t="s">
        <v>1348</v>
      </c>
      <c r="E287" s="4" t="s">
        <v>1343</v>
      </c>
      <c r="F287" s="33" t="s">
        <v>1383</v>
      </c>
      <c r="G287" s="33" t="s">
        <v>144</v>
      </c>
      <c r="H287" s="33" t="s">
        <v>545</v>
      </c>
      <c r="I287" s="33"/>
      <c r="J287" s="33"/>
      <c r="K287" s="33" t="s">
        <v>1384</v>
      </c>
      <c r="L287" s="35">
        <v>3000000</v>
      </c>
      <c r="M287" s="5" t="s">
        <v>320</v>
      </c>
      <c r="N287" s="5"/>
      <c r="O287" s="33" t="s">
        <v>657</v>
      </c>
      <c r="P287" s="4"/>
      <c r="Q287" s="36">
        <v>0.12</v>
      </c>
      <c r="R287" s="1">
        <f t="shared" si="94"/>
        <v>0</v>
      </c>
      <c r="S287" s="34"/>
      <c r="T287" s="2">
        <f t="shared" si="95"/>
        <v>0</v>
      </c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13">
        <f t="shared" ref="AG287:AG322" si="107">AF287</f>
        <v>0</v>
      </c>
      <c r="AH287" s="2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4" t="s">
        <v>620</v>
      </c>
      <c r="AU287" s="4" t="s">
        <v>1105</v>
      </c>
      <c r="AV287" s="4" t="s">
        <v>1218</v>
      </c>
      <c r="AW287" s="4" t="s">
        <v>623</v>
      </c>
      <c r="AX287" s="4"/>
      <c r="AY287" s="4"/>
      <c r="AZ287" s="4"/>
      <c r="BA287" s="4"/>
      <c r="BB287" s="4"/>
      <c r="BC287" s="4"/>
      <c r="BD287" s="23"/>
      <c r="BE287" s="4"/>
      <c r="BF287" s="18"/>
      <c r="BG287" s="18"/>
      <c r="BH287" s="18"/>
      <c r="BI287" s="18"/>
      <c r="BJ287" s="18"/>
      <c r="BK287" s="26"/>
      <c r="BL287" s="13"/>
      <c r="BM287" s="9">
        <f t="shared" si="103"/>
        <v>0</v>
      </c>
      <c r="BN287" s="9">
        <f t="shared" si="92"/>
        <v>0</v>
      </c>
      <c r="BO287" s="9">
        <f t="shared" si="93"/>
        <v>0</v>
      </c>
      <c r="BP287" s="9">
        <f t="shared" si="96"/>
        <v>0</v>
      </c>
      <c r="BQ287" s="9">
        <f t="shared" si="97"/>
        <v>0</v>
      </c>
      <c r="BR287" s="9">
        <f t="shared" si="98"/>
        <v>0</v>
      </c>
      <c r="BS287" s="9">
        <f t="shared" si="99"/>
        <v>0</v>
      </c>
      <c r="BT287" s="9">
        <f t="shared" si="100"/>
        <v>0</v>
      </c>
    </row>
    <row r="288" spans="1:72" hidden="1" x14ac:dyDescent="0.25">
      <c r="A288" s="11">
        <f t="shared" si="91"/>
        <v>287</v>
      </c>
      <c r="B288" s="5" t="s">
        <v>1458</v>
      </c>
      <c r="C288" s="5" t="s">
        <v>59</v>
      </c>
      <c r="D288" s="4" t="s">
        <v>1348</v>
      </c>
      <c r="E288" s="4" t="s">
        <v>1343</v>
      </c>
      <c r="F288" s="33" t="s">
        <v>1459</v>
      </c>
      <c r="G288" s="5" t="s">
        <v>1520</v>
      </c>
      <c r="H288" s="33" t="s">
        <v>1807</v>
      </c>
      <c r="I288" s="33"/>
      <c r="J288" s="33"/>
      <c r="K288" s="33" t="s">
        <v>1402</v>
      </c>
      <c r="L288" s="35"/>
      <c r="M288" s="5" t="s">
        <v>74</v>
      </c>
      <c r="N288" s="5"/>
      <c r="O288" s="33" t="s">
        <v>655</v>
      </c>
      <c r="P288" s="4"/>
      <c r="Q288" s="36">
        <v>0.23</v>
      </c>
      <c r="R288" s="1">
        <f t="shared" si="94"/>
        <v>0</v>
      </c>
      <c r="S288" s="34"/>
      <c r="T288" s="2">
        <f t="shared" si="95"/>
        <v>0</v>
      </c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13">
        <f t="shared" si="107"/>
        <v>0</v>
      </c>
      <c r="AH288" s="2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4" t="s">
        <v>620</v>
      </c>
      <c r="AU288" s="4" t="s">
        <v>1105</v>
      </c>
      <c r="AV288" s="4" t="s">
        <v>1218</v>
      </c>
      <c r="AW288" s="4" t="s">
        <v>623</v>
      </c>
      <c r="AX288" s="4"/>
      <c r="AY288" s="4"/>
      <c r="AZ288" s="4"/>
      <c r="BA288" s="4"/>
      <c r="BB288" s="4"/>
      <c r="BC288" s="4"/>
      <c r="BD288" s="23"/>
      <c r="BE288" s="4"/>
      <c r="BF288" s="18"/>
      <c r="BG288" s="18"/>
      <c r="BH288" s="18"/>
      <c r="BI288" s="18"/>
      <c r="BJ288" s="18"/>
      <c r="BK288" s="26"/>
      <c r="BL288" s="13"/>
      <c r="BM288" s="9">
        <f t="shared" si="103"/>
        <v>0</v>
      </c>
      <c r="BN288" s="9">
        <f t="shared" si="92"/>
        <v>0</v>
      </c>
      <c r="BO288" s="9">
        <f t="shared" si="93"/>
        <v>0</v>
      </c>
      <c r="BP288" s="9">
        <f t="shared" si="96"/>
        <v>0</v>
      </c>
      <c r="BQ288" s="9">
        <f t="shared" si="97"/>
        <v>0</v>
      </c>
      <c r="BR288" s="9">
        <f t="shared" si="98"/>
        <v>0</v>
      </c>
      <c r="BS288" s="9">
        <f t="shared" si="99"/>
        <v>0</v>
      </c>
      <c r="BT288" s="9">
        <f t="shared" si="100"/>
        <v>0</v>
      </c>
    </row>
    <row r="289" spans="1:72" hidden="1" x14ac:dyDescent="0.25">
      <c r="A289" s="11">
        <f t="shared" si="91"/>
        <v>288</v>
      </c>
      <c r="B289" s="5" t="s">
        <v>1460</v>
      </c>
      <c r="C289" s="5" t="s">
        <v>59</v>
      </c>
      <c r="D289" s="4" t="s">
        <v>1348</v>
      </c>
      <c r="E289" s="4" t="s">
        <v>1343</v>
      </c>
      <c r="F289" s="33" t="s">
        <v>1459</v>
      </c>
      <c r="G289" s="33" t="s">
        <v>177</v>
      </c>
      <c r="H289" s="33" t="s">
        <v>178</v>
      </c>
      <c r="I289" s="33"/>
      <c r="J289" s="33"/>
      <c r="K289" s="33" t="s">
        <v>1461</v>
      </c>
      <c r="L289" s="35">
        <v>1000000</v>
      </c>
      <c r="M289" s="5" t="s">
        <v>74</v>
      </c>
      <c r="N289" s="5"/>
      <c r="O289" s="33"/>
      <c r="P289" s="4"/>
      <c r="Q289" s="36">
        <v>0.115</v>
      </c>
      <c r="R289" s="1">
        <f t="shared" si="94"/>
        <v>0</v>
      </c>
      <c r="S289" s="34"/>
      <c r="T289" s="2">
        <f t="shared" si="95"/>
        <v>0</v>
      </c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13">
        <f t="shared" si="107"/>
        <v>0</v>
      </c>
      <c r="AH289" s="2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4" t="s">
        <v>620</v>
      </c>
      <c r="AU289" s="4" t="s">
        <v>1105</v>
      </c>
      <c r="AV289" s="4" t="s">
        <v>1218</v>
      </c>
      <c r="AW289" s="4" t="s">
        <v>623</v>
      </c>
      <c r="AX289" s="4"/>
      <c r="AY289" s="4"/>
      <c r="AZ289" s="4"/>
      <c r="BA289" s="4"/>
      <c r="BB289" s="4"/>
      <c r="BC289" s="4"/>
      <c r="BD289" s="23"/>
      <c r="BE289" s="4"/>
      <c r="BF289" s="18"/>
      <c r="BG289" s="18"/>
      <c r="BH289" s="18"/>
      <c r="BI289" s="18"/>
      <c r="BJ289" s="18"/>
      <c r="BK289" s="26"/>
      <c r="BL289" s="13"/>
      <c r="BM289" s="9">
        <f t="shared" si="103"/>
        <v>0</v>
      </c>
      <c r="BN289" s="9">
        <f t="shared" si="92"/>
        <v>0</v>
      </c>
      <c r="BO289" s="9">
        <f t="shared" si="93"/>
        <v>0</v>
      </c>
      <c r="BP289" s="9">
        <f t="shared" si="96"/>
        <v>0</v>
      </c>
      <c r="BQ289" s="9">
        <f t="shared" si="97"/>
        <v>0</v>
      </c>
      <c r="BR289" s="9">
        <f t="shared" si="98"/>
        <v>0</v>
      </c>
      <c r="BS289" s="9">
        <f t="shared" si="99"/>
        <v>0</v>
      </c>
      <c r="BT289" s="9">
        <f t="shared" si="100"/>
        <v>0</v>
      </c>
    </row>
    <row r="290" spans="1:72" hidden="1" x14ac:dyDescent="0.25">
      <c r="A290" s="11">
        <f t="shared" si="91"/>
        <v>289</v>
      </c>
      <c r="B290" s="5" t="s">
        <v>1351</v>
      </c>
      <c r="C290" s="5" t="s">
        <v>186</v>
      </c>
      <c r="D290" s="4" t="s">
        <v>1348</v>
      </c>
      <c r="E290" s="4" t="s">
        <v>1343</v>
      </c>
      <c r="F290" s="33" t="s">
        <v>1349</v>
      </c>
      <c r="G290" s="33" t="s">
        <v>1462</v>
      </c>
      <c r="H290" s="33" t="s">
        <v>1805</v>
      </c>
      <c r="I290" s="33"/>
      <c r="J290" s="33"/>
      <c r="K290" s="33" t="s">
        <v>1352</v>
      </c>
      <c r="L290" s="35">
        <v>3000000</v>
      </c>
      <c r="M290" s="5" t="s">
        <v>74</v>
      </c>
      <c r="N290" s="5"/>
      <c r="O290" s="33" t="s">
        <v>673</v>
      </c>
      <c r="P290" s="4"/>
      <c r="Q290" s="36">
        <v>0.25</v>
      </c>
      <c r="R290" s="1">
        <f t="shared" si="94"/>
        <v>0</v>
      </c>
      <c r="S290" s="34"/>
      <c r="T290" s="2">
        <f t="shared" si="95"/>
        <v>0</v>
      </c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13">
        <f t="shared" si="107"/>
        <v>0</v>
      </c>
      <c r="AH290" s="2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4"/>
      <c r="AU290" s="4" t="s">
        <v>1105</v>
      </c>
      <c r="AV290" s="4" t="s">
        <v>1218</v>
      </c>
      <c r="AW290" s="4"/>
      <c r="AX290" s="4"/>
      <c r="AY290" s="4"/>
      <c r="AZ290" s="4"/>
      <c r="BA290" s="4"/>
      <c r="BB290" s="4"/>
      <c r="BC290" s="4"/>
      <c r="BD290" s="23"/>
      <c r="BE290" s="4"/>
      <c r="BF290" s="4"/>
      <c r="BG290" s="4"/>
      <c r="BH290" s="4"/>
      <c r="BI290" s="4"/>
      <c r="BJ290" s="4"/>
      <c r="BK290" s="5"/>
      <c r="BL290" s="5"/>
      <c r="BM290" s="9">
        <f t="shared" si="103"/>
        <v>0</v>
      </c>
      <c r="BN290" s="9">
        <f t="shared" si="92"/>
        <v>0</v>
      </c>
      <c r="BO290" s="9">
        <f t="shared" si="93"/>
        <v>0</v>
      </c>
      <c r="BP290" s="9">
        <f t="shared" si="96"/>
        <v>0</v>
      </c>
      <c r="BQ290" s="9">
        <f t="shared" si="97"/>
        <v>0</v>
      </c>
      <c r="BR290" s="9">
        <f t="shared" si="98"/>
        <v>0</v>
      </c>
      <c r="BS290" s="9">
        <f t="shared" si="99"/>
        <v>0</v>
      </c>
      <c r="BT290" s="9">
        <f t="shared" si="100"/>
        <v>0</v>
      </c>
    </row>
    <row r="291" spans="1:72" hidden="1" x14ac:dyDescent="0.25">
      <c r="A291" s="11">
        <f t="shared" si="91"/>
        <v>290</v>
      </c>
      <c r="B291" s="5" t="s">
        <v>1353</v>
      </c>
      <c r="C291" s="5" t="s">
        <v>59</v>
      </c>
      <c r="D291" s="4" t="s">
        <v>1348</v>
      </c>
      <c r="E291" s="4" t="s">
        <v>1343</v>
      </c>
      <c r="F291" s="33" t="s">
        <v>1349</v>
      </c>
      <c r="G291" s="5" t="s">
        <v>1520</v>
      </c>
      <c r="H291" s="33" t="s">
        <v>1807</v>
      </c>
      <c r="I291" s="33"/>
      <c r="J291" s="33"/>
      <c r="K291" s="33" t="s">
        <v>1354</v>
      </c>
      <c r="L291" s="35"/>
      <c r="M291" s="5" t="s">
        <v>74</v>
      </c>
      <c r="N291" s="5"/>
      <c r="O291" s="33" t="s">
        <v>674</v>
      </c>
      <c r="P291" s="5"/>
      <c r="Q291" s="36">
        <v>0.23</v>
      </c>
      <c r="R291" s="1">
        <f t="shared" si="94"/>
        <v>0</v>
      </c>
      <c r="S291" s="34"/>
      <c r="T291" s="2">
        <f t="shared" si="95"/>
        <v>0</v>
      </c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13">
        <f t="shared" si="107"/>
        <v>0</v>
      </c>
      <c r="AH291" s="2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4" t="s">
        <v>620</v>
      </c>
      <c r="AU291" s="4" t="s">
        <v>1105</v>
      </c>
      <c r="AV291" s="4" t="s">
        <v>1218</v>
      </c>
      <c r="AW291" s="4" t="s">
        <v>623</v>
      </c>
      <c r="AX291" s="4"/>
      <c r="AY291" s="4"/>
      <c r="AZ291" s="4"/>
      <c r="BA291" s="4"/>
      <c r="BB291" s="4"/>
      <c r="BC291" s="4"/>
      <c r="BD291" s="23"/>
      <c r="BE291" s="4"/>
      <c r="BF291" s="4"/>
      <c r="BG291" s="4"/>
      <c r="BH291" s="4"/>
      <c r="BI291" s="4"/>
      <c r="BJ291" s="4"/>
      <c r="BK291" s="5"/>
      <c r="BL291" s="5"/>
      <c r="BM291" s="9">
        <f t="shared" si="103"/>
        <v>0</v>
      </c>
      <c r="BN291" s="9">
        <f t="shared" si="92"/>
        <v>0</v>
      </c>
      <c r="BO291" s="9">
        <f t="shared" si="93"/>
        <v>0</v>
      </c>
      <c r="BP291" s="9">
        <f t="shared" si="96"/>
        <v>0</v>
      </c>
      <c r="BQ291" s="9">
        <f t="shared" si="97"/>
        <v>0</v>
      </c>
      <c r="BR291" s="9">
        <f t="shared" si="98"/>
        <v>0</v>
      </c>
      <c r="BS291" s="9">
        <f t="shared" si="99"/>
        <v>0</v>
      </c>
      <c r="BT291" s="9">
        <f t="shared" si="100"/>
        <v>0</v>
      </c>
    </row>
    <row r="292" spans="1:72" hidden="1" x14ac:dyDescent="0.25">
      <c r="A292" s="11">
        <f t="shared" si="91"/>
        <v>291</v>
      </c>
      <c r="B292" s="5" t="s">
        <v>1463</v>
      </c>
      <c r="C292" s="5" t="s">
        <v>59</v>
      </c>
      <c r="D292" s="33" t="s">
        <v>1348</v>
      </c>
      <c r="E292" s="4" t="s">
        <v>1343</v>
      </c>
      <c r="F292" s="33" t="s">
        <v>1349</v>
      </c>
      <c r="G292" s="33" t="s">
        <v>1077</v>
      </c>
      <c r="H292" s="4" t="s">
        <v>858</v>
      </c>
      <c r="I292" s="33"/>
      <c r="J292" s="33"/>
      <c r="K292" s="33" t="s">
        <v>1464</v>
      </c>
      <c r="L292" s="35">
        <v>100000000</v>
      </c>
      <c r="M292" s="5" t="s">
        <v>74</v>
      </c>
      <c r="N292" s="5"/>
      <c r="O292" s="33"/>
      <c r="P292" s="4"/>
      <c r="Q292" s="39"/>
      <c r="R292" s="1">
        <f t="shared" si="94"/>
        <v>0</v>
      </c>
      <c r="S292" s="34"/>
      <c r="T292" s="2">
        <f t="shared" si="95"/>
        <v>0</v>
      </c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13">
        <f t="shared" si="107"/>
        <v>0</v>
      </c>
      <c r="AH292" s="2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4"/>
      <c r="AU292" s="4" t="s">
        <v>1105</v>
      </c>
      <c r="AV292" s="4" t="s">
        <v>1218</v>
      </c>
      <c r="AW292" s="4"/>
      <c r="AX292" s="4"/>
      <c r="AY292" s="4"/>
      <c r="AZ292" s="4"/>
      <c r="BA292" s="4"/>
      <c r="BB292" s="4"/>
      <c r="BC292" s="4"/>
      <c r="BD292" s="23"/>
      <c r="BE292" s="4"/>
      <c r="BF292" s="4"/>
      <c r="BG292" s="4"/>
      <c r="BH292" s="4"/>
      <c r="BI292" s="4"/>
      <c r="BJ292" s="4"/>
      <c r="BK292" s="5"/>
      <c r="BL292" s="5"/>
      <c r="BM292" s="9">
        <f t="shared" si="103"/>
        <v>0</v>
      </c>
      <c r="BN292" s="9">
        <f t="shared" si="92"/>
        <v>0</v>
      </c>
      <c r="BO292" s="9">
        <f t="shared" si="93"/>
        <v>0</v>
      </c>
      <c r="BP292" s="9">
        <f t="shared" si="96"/>
        <v>0</v>
      </c>
      <c r="BQ292" s="9">
        <f t="shared" si="97"/>
        <v>0</v>
      </c>
      <c r="BR292" s="9">
        <f t="shared" si="98"/>
        <v>0</v>
      </c>
      <c r="BS292" s="9">
        <f t="shared" si="99"/>
        <v>0</v>
      </c>
      <c r="BT292" s="9">
        <f t="shared" si="100"/>
        <v>0</v>
      </c>
    </row>
    <row r="293" spans="1:72" hidden="1" x14ac:dyDescent="0.25">
      <c r="A293" s="11">
        <f t="shared" si="91"/>
        <v>292</v>
      </c>
      <c r="B293" s="5" t="s">
        <v>1463</v>
      </c>
      <c r="C293" s="5" t="s">
        <v>59</v>
      </c>
      <c r="D293" s="33" t="s">
        <v>1348</v>
      </c>
      <c r="E293" s="4" t="s">
        <v>1343</v>
      </c>
      <c r="F293" s="33" t="s">
        <v>1349</v>
      </c>
      <c r="G293" s="33" t="s">
        <v>1462</v>
      </c>
      <c r="H293" s="33" t="s">
        <v>1805</v>
      </c>
      <c r="I293" s="33"/>
      <c r="J293" s="33"/>
      <c r="K293" s="33" t="s">
        <v>1464</v>
      </c>
      <c r="L293" s="35">
        <v>50000000</v>
      </c>
      <c r="M293" s="5" t="s">
        <v>74</v>
      </c>
      <c r="N293" s="5"/>
      <c r="O293" s="33"/>
      <c r="P293" s="4"/>
      <c r="Q293" s="17"/>
      <c r="R293" s="1">
        <f t="shared" si="94"/>
        <v>0</v>
      </c>
      <c r="S293" s="34"/>
      <c r="T293" s="2">
        <f t="shared" si="95"/>
        <v>0</v>
      </c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13">
        <f t="shared" si="107"/>
        <v>0</v>
      </c>
      <c r="AH293" s="2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4"/>
      <c r="AU293" s="4" t="s">
        <v>1105</v>
      </c>
      <c r="AV293" s="4" t="s">
        <v>1218</v>
      </c>
      <c r="AW293" s="4"/>
      <c r="AX293" s="4"/>
      <c r="AY293" s="4"/>
      <c r="AZ293" s="4"/>
      <c r="BA293" s="4"/>
      <c r="BB293" s="4"/>
      <c r="BC293" s="4"/>
      <c r="BD293" s="23"/>
      <c r="BE293" s="4"/>
      <c r="BF293" s="18"/>
      <c r="BG293" s="18"/>
      <c r="BH293" s="18"/>
      <c r="BI293" s="18"/>
      <c r="BJ293" s="18"/>
      <c r="BK293" s="26"/>
      <c r="BL293" s="13"/>
      <c r="BM293" s="9">
        <f t="shared" si="103"/>
        <v>0</v>
      </c>
      <c r="BN293" s="9">
        <f t="shared" si="92"/>
        <v>0</v>
      </c>
      <c r="BO293" s="9">
        <f t="shared" si="93"/>
        <v>0</v>
      </c>
      <c r="BP293" s="9">
        <f t="shared" si="96"/>
        <v>0</v>
      </c>
      <c r="BQ293" s="9">
        <f t="shared" si="97"/>
        <v>0</v>
      </c>
      <c r="BR293" s="9">
        <f t="shared" si="98"/>
        <v>0</v>
      </c>
      <c r="BS293" s="9">
        <f t="shared" si="99"/>
        <v>0</v>
      </c>
      <c r="BT293" s="9">
        <f t="shared" si="100"/>
        <v>0</v>
      </c>
    </row>
    <row r="294" spans="1:72" hidden="1" x14ac:dyDescent="0.25">
      <c r="A294" s="11">
        <f t="shared" si="91"/>
        <v>293</v>
      </c>
      <c r="B294" s="5" t="s">
        <v>1465</v>
      </c>
      <c r="C294" s="5" t="s">
        <v>59</v>
      </c>
      <c r="D294" s="33" t="s">
        <v>1348</v>
      </c>
      <c r="E294" s="4" t="s">
        <v>1343</v>
      </c>
      <c r="F294" s="33" t="s">
        <v>1349</v>
      </c>
      <c r="G294" s="33" t="s">
        <v>1077</v>
      </c>
      <c r="H294" s="4" t="s">
        <v>858</v>
      </c>
      <c r="I294" s="33"/>
      <c r="J294" s="33"/>
      <c r="K294" s="33" t="s">
        <v>1464</v>
      </c>
      <c r="L294" s="35">
        <v>100000000</v>
      </c>
      <c r="M294" s="5" t="s">
        <v>74</v>
      </c>
      <c r="N294" s="5"/>
      <c r="O294" s="33" t="s">
        <v>109</v>
      </c>
      <c r="P294" s="4"/>
      <c r="Q294" s="17"/>
      <c r="R294" s="1">
        <f t="shared" si="94"/>
        <v>0</v>
      </c>
      <c r="S294" s="34"/>
      <c r="T294" s="2">
        <f t="shared" si="95"/>
        <v>0</v>
      </c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13">
        <f t="shared" si="107"/>
        <v>0</v>
      </c>
      <c r="AH294" s="2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4"/>
      <c r="AU294" s="4" t="s">
        <v>1105</v>
      </c>
      <c r="AV294" s="4" t="s">
        <v>1218</v>
      </c>
      <c r="AW294" s="4"/>
      <c r="AX294" s="4"/>
      <c r="AY294" s="4"/>
      <c r="AZ294" s="4"/>
      <c r="BA294" s="4"/>
      <c r="BB294" s="4"/>
      <c r="BC294" s="4"/>
      <c r="BD294" s="23"/>
      <c r="BE294" s="4"/>
      <c r="BF294" s="18"/>
      <c r="BG294" s="18"/>
      <c r="BH294" s="18"/>
      <c r="BI294" s="18"/>
      <c r="BJ294" s="18"/>
      <c r="BK294" s="26"/>
      <c r="BL294" s="13"/>
      <c r="BM294" s="9">
        <f t="shared" si="103"/>
        <v>0</v>
      </c>
      <c r="BN294" s="9">
        <f t="shared" si="92"/>
        <v>0</v>
      </c>
      <c r="BO294" s="9">
        <f t="shared" si="93"/>
        <v>0</v>
      </c>
      <c r="BP294" s="9">
        <f t="shared" si="96"/>
        <v>0</v>
      </c>
      <c r="BQ294" s="9">
        <f t="shared" si="97"/>
        <v>0</v>
      </c>
      <c r="BR294" s="9">
        <f t="shared" si="98"/>
        <v>0</v>
      </c>
      <c r="BS294" s="9">
        <f t="shared" si="99"/>
        <v>0</v>
      </c>
      <c r="BT294" s="9">
        <f t="shared" si="100"/>
        <v>0</v>
      </c>
    </row>
    <row r="295" spans="1:72" hidden="1" x14ac:dyDescent="0.25">
      <c r="A295" s="11">
        <f t="shared" si="91"/>
        <v>294</v>
      </c>
      <c r="B295" s="5" t="s">
        <v>1466</v>
      </c>
      <c r="C295" s="5" t="s">
        <v>59</v>
      </c>
      <c r="D295" s="33" t="s">
        <v>1348</v>
      </c>
      <c r="E295" s="4" t="s">
        <v>1343</v>
      </c>
      <c r="F295" s="33" t="s">
        <v>1349</v>
      </c>
      <c r="G295" s="33" t="s">
        <v>1077</v>
      </c>
      <c r="H295" s="4" t="s">
        <v>858</v>
      </c>
      <c r="I295" s="33"/>
      <c r="J295" s="33"/>
      <c r="K295" s="33" t="s">
        <v>1464</v>
      </c>
      <c r="L295" s="35">
        <v>10000000</v>
      </c>
      <c r="M295" s="5" t="s">
        <v>74</v>
      </c>
      <c r="N295" s="5"/>
      <c r="O295" s="33" t="s">
        <v>109</v>
      </c>
      <c r="P295" s="4"/>
      <c r="Q295" s="17"/>
      <c r="R295" s="1">
        <f t="shared" si="94"/>
        <v>0</v>
      </c>
      <c r="S295" s="34"/>
      <c r="T295" s="2">
        <f t="shared" si="95"/>
        <v>0</v>
      </c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13">
        <f t="shared" si="107"/>
        <v>0</v>
      </c>
      <c r="AH295" s="2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4"/>
      <c r="AU295" s="4" t="s">
        <v>1105</v>
      </c>
      <c r="AV295" s="4" t="s">
        <v>1218</v>
      </c>
      <c r="AW295" s="4"/>
      <c r="AX295" s="4"/>
      <c r="AY295" s="4"/>
      <c r="AZ295" s="4"/>
      <c r="BA295" s="4"/>
      <c r="BB295" s="4"/>
      <c r="BC295" s="4"/>
      <c r="BD295" s="23"/>
      <c r="BE295" s="4"/>
      <c r="BF295" s="18"/>
      <c r="BG295" s="18"/>
      <c r="BH295" s="18"/>
      <c r="BI295" s="18"/>
      <c r="BJ295" s="18"/>
      <c r="BK295" s="26"/>
      <c r="BL295" s="13"/>
      <c r="BM295" s="9">
        <f t="shared" si="103"/>
        <v>0</v>
      </c>
      <c r="BN295" s="9">
        <f t="shared" si="92"/>
        <v>0</v>
      </c>
      <c r="BO295" s="9">
        <f t="shared" si="93"/>
        <v>0</v>
      </c>
      <c r="BP295" s="9">
        <f t="shared" si="96"/>
        <v>0</v>
      </c>
      <c r="BQ295" s="9">
        <f t="shared" si="97"/>
        <v>0</v>
      </c>
      <c r="BR295" s="9">
        <f t="shared" si="98"/>
        <v>0</v>
      </c>
      <c r="BS295" s="9">
        <f t="shared" si="99"/>
        <v>0</v>
      </c>
      <c r="BT295" s="9">
        <f t="shared" si="100"/>
        <v>0</v>
      </c>
    </row>
    <row r="296" spans="1:72" hidden="1" x14ac:dyDescent="0.25">
      <c r="A296" s="11">
        <f t="shared" si="91"/>
        <v>295</v>
      </c>
      <c r="B296" s="5" t="s">
        <v>1466</v>
      </c>
      <c r="C296" s="5" t="s">
        <v>59</v>
      </c>
      <c r="D296" s="33" t="s">
        <v>1348</v>
      </c>
      <c r="E296" s="4" t="s">
        <v>1343</v>
      </c>
      <c r="F296" s="33" t="s">
        <v>1349</v>
      </c>
      <c r="G296" s="33" t="s">
        <v>1467</v>
      </c>
      <c r="H296" s="33"/>
      <c r="I296" s="33"/>
      <c r="J296" s="33"/>
      <c r="K296" s="33" t="s">
        <v>1464</v>
      </c>
      <c r="L296" s="35">
        <v>10000000</v>
      </c>
      <c r="M296" s="5" t="s">
        <v>74</v>
      </c>
      <c r="N296" s="5"/>
      <c r="O296" s="33" t="s">
        <v>109</v>
      </c>
      <c r="P296" s="4"/>
      <c r="Q296" s="17"/>
      <c r="R296" s="1">
        <f t="shared" si="94"/>
        <v>0</v>
      </c>
      <c r="S296" s="34"/>
      <c r="T296" s="2">
        <f t="shared" si="95"/>
        <v>0</v>
      </c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13">
        <f t="shared" si="107"/>
        <v>0</v>
      </c>
      <c r="AH296" s="2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4"/>
      <c r="AU296" s="4" t="s">
        <v>1105</v>
      </c>
      <c r="AV296" s="4" t="s">
        <v>1218</v>
      </c>
      <c r="AW296" s="4"/>
      <c r="AX296" s="4"/>
      <c r="AY296" s="4"/>
      <c r="AZ296" s="4"/>
      <c r="BA296" s="4"/>
      <c r="BB296" s="4"/>
      <c r="BC296" s="4"/>
      <c r="BD296" s="23"/>
      <c r="BE296" s="4"/>
      <c r="BF296" s="18"/>
      <c r="BG296" s="18"/>
      <c r="BH296" s="18"/>
      <c r="BI296" s="18"/>
      <c r="BJ296" s="18"/>
      <c r="BK296" s="26"/>
      <c r="BL296" s="13"/>
      <c r="BM296" s="9">
        <f t="shared" si="103"/>
        <v>0</v>
      </c>
      <c r="BN296" s="9">
        <f t="shared" si="92"/>
        <v>0</v>
      </c>
      <c r="BO296" s="9">
        <f t="shared" si="93"/>
        <v>0</v>
      </c>
      <c r="BP296" s="9">
        <f t="shared" si="96"/>
        <v>0</v>
      </c>
      <c r="BQ296" s="9">
        <f t="shared" si="97"/>
        <v>0</v>
      </c>
      <c r="BR296" s="9">
        <f t="shared" si="98"/>
        <v>0</v>
      </c>
      <c r="BS296" s="9">
        <f t="shared" si="99"/>
        <v>0</v>
      </c>
      <c r="BT296" s="9">
        <f t="shared" si="100"/>
        <v>0</v>
      </c>
    </row>
    <row r="297" spans="1:72" hidden="1" x14ac:dyDescent="0.25">
      <c r="A297" s="11">
        <f t="shared" si="91"/>
        <v>296</v>
      </c>
      <c r="B297" s="5" t="s">
        <v>1468</v>
      </c>
      <c r="C297" s="5" t="s">
        <v>59</v>
      </c>
      <c r="D297" s="33" t="s">
        <v>1348</v>
      </c>
      <c r="E297" s="4" t="s">
        <v>1343</v>
      </c>
      <c r="F297" s="33" t="s">
        <v>1349</v>
      </c>
      <c r="G297" s="33" t="s">
        <v>1462</v>
      </c>
      <c r="H297" s="33" t="s">
        <v>1805</v>
      </c>
      <c r="I297" s="33"/>
      <c r="J297" s="33"/>
      <c r="K297" s="33" t="s">
        <v>1469</v>
      </c>
      <c r="L297" s="35">
        <v>20000000</v>
      </c>
      <c r="M297" s="5" t="s">
        <v>74</v>
      </c>
      <c r="N297" s="5"/>
      <c r="O297" s="33" t="s">
        <v>673</v>
      </c>
      <c r="P297" s="4"/>
      <c r="Q297" s="17"/>
      <c r="R297" s="1">
        <f t="shared" si="94"/>
        <v>0</v>
      </c>
      <c r="S297" s="34"/>
      <c r="T297" s="2">
        <f t="shared" si="95"/>
        <v>0</v>
      </c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13">
        <f t="shared" si="107"/>
        <v>0</v>
      </c>
      <c r="AH297" s="2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4"/>
      <c r="AU297" s="4" t="s">
        <v>1105</v>
      </c>
      <c r="AV297" s="4" t="s">
        <v>1218</v>
      </c>
      <c r="AW297" s="4"/>
      <c r="AX297" s="4"/>
      <c r="AY297" s="4"/>
      <c r="AZ297" s="4"/>
      <c r="BA297" s="4"/>
      <c r="BB297" s="4"/>
      <c r="BC297" s="4"/>
      <c r="BD297" s="23"/>
      <c r="BE297" s="4"/>
      <c r="BF297" s="18"/>
      <c r="BG297" s="18"/>
      <c r="BH297" s="18"/>
      <c r="BI297" s="18"/>
      <c r="BJ297" s="18"/>
      <c r="BK297" s="26"/>
      <c r="BL297" s="13"/>
      <c r="BM297" s="9">
        <f t="shared" si="103"/>
        <v>0</v>
      </c>
      <c r="BN297" s="9">
        <f t="shared" si="92"/>
        <v>0</v>
      </c>
      <c r="BO297" s="9">
        <f t="shared" si="93"/>
        <v>0</v>
      </c>
      <c r="BP297" s="9">
        <f t="shared" si="96"/>
        <v>0</v>
      </c>
      <c r="BQ297" s="9">
        <f t="shared" si="97"/>
        <v>0</v>
      </c>
      <c r="BR297" s="9">
        <f t="shared" si="98"/>
        <v>0</v>
      </c>
      <c r="BS297" s="9">
        <f t="shared" si="99"/>
        <v>0</v>
      </c>
      <c r="BT297" s="9">
        <f t="shared" si="100"/>
        <v>0</v>
      </c>
    </row>
    <row r="298" spans="1:72" hidden="1" x14ac:dyDescent="0.25">
      <c r="A298" s="11">
        <f t="shared" si="91"/>
        <v>297</v>
      </c>
      <c r="B298" s="5" t="s">
        <v>1470</v>
      </c>
      <c r="C298" s="5" t="s">
        <v>59</v>
      </c>
      <c r="D298" s="33" t="s">
        <v>1348</v>
      </c>
      <c r="E298" s="4" t="s">
        <v>1343</v>
      </c>
      <c r="F298" s="33" t="s">
        <v>1349</v>
      </c>
      <c r="G298" s="33" t="s">
        <v>1077</v>
      </c>
      <c r="H298" s="4" t="s">
        <v>858</v>
      </c>
      <c r="I298" s="33"/>
      <c r="J298" s="33"/>
      <c r="K298" s="33" t="s">
        <v>1464</v>
      </c>
      <c r="L298" s="35">
        <v>2000000</v>
      </c>
      <c r="M298" s="5" t="s">
        <v>291</v>
      </c>
      <c r="N298" s="5"/>
      <c r="O298" s="33" t="s">
        <v>109</v>
      </c>
      <c r="P298" s="4"/>
      <c r="Q298" s="17"/>
      <c r="R298" s="1">
        <f t="shared" si="94"/>
        <v>0</v>
      </c>
      <c r="S298" s="34"/>
      <c r="T298" s="2">
        <f t="shared" si="95"/>
        <v>0</v>
      </c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13">
        <f t="shared" si="107"/>
        <v>0</v>
      </c>
      <c r="AH298" s="2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4"/>
      <c r="AU298" s="4" t="s">
        <v>1105</v>
      </c>
      <c r="AV298" s="4" t="s">
        <v>1218</v>
      </c>
      <c r="AW298" s="4"/>
      <c r="AX298" s="4"/>
      <c r="AY298" s="4"/>
      <c r="AZ298" s="4"/>
      <c r="BA298" s="4"/>
      <c r="BB298" s="4"/>
      <c r="BC298" s="4"/>
      <c r="BD298" s="23"/>
      <c r="BE298" s="4"/>
      <c r="BF298" s="18"/>
      <c r="BG298" s="18"/>
      <c r="BH298" s="18"/>
      <c r="BI298" s="18"/>
      <c r="BJ298" s="18"/>
      <c r="BK298" s="26"/>
      <c r="BL298" s="13"/>
      <c r="BM298" s="9">
        <f t="shared" si="103"/>
        <v>0</v>
      </c>
      <c r="BN298" s="9">
        <f t="shared" si="92"/>
        <v>0</v>
      </c>
      <c r="BO298" s="9">
        <f t="shared" si="93"/>
        <v>0</v>
      </c>
      <c r="BP298" s="9">
        <f t="shared" si="96"/>
        <v>0</v>
      </c>
      <c r="BQ298" s="9">
        <f t="shared" si="97"/>
        <v>0</v>
      </c>
      <c r="BR298" s="9">
        <f t="shared" si="98"/>
        <v>0</v>
      </c>
      <c r="BS298" s="9">
        <f t="shared" si="99"/>
        <v>0</v>
      </c>
      <c r="BT298" s="9">
        <f t="shared" si="100"/>
        <v>0</v>
      </c>
    </row>
    <row r="299" spans="1:72" hidden="1" x14ac:dyDescent="0.25">
      <c r="A299" s="11">
        <f t="shared" si="91"/>
        <v>298</v>
      </c>
      <c r="B299" s="5" t="s">
        <v>1471</v>
      </c>
      <c r="C299" s="5" t="s">
        <v>59</v>
      </c>
      <c r="D299" s="33" t="s">
        <v>1348</v>
      </c>
      <c r="E299" s="4" t="s">
        <v>1343</v>
      </c>
      <c r="F299" s="33" t="s">
        <v>1349</v>
      </c>
      <c r="G299" s="33" t="s">
        <v>1462</v>
      </c>
      <c r="H299" s="33" t="s">
        <v>1805</v>
      </c>
      <c r="I299" s="33"/>
      <c r="J299" s="33"/>
      <c r="K299" s="33" t="s">
        <v>1472</v>
      </c>
      <c r="L299" s="35">
        <v>2000000</v>
      </c>
      <c r="M299" s="5" t="s">
        <v>74</v>
      </c>
      <c r="N299" s="5"/>
      <c r="O299" s="33" t="s">
        <v>675</v>
      </c>
      <c r="P299" s="4"/>
      <c r="Q299" s="17"/>
      <c r="R299" s="1">
        <f t="shared" si="94"/>
        <v>0</v>
      </c>
      <c r="S299" s="34"/>
      <c r="T299" s="2">
        <f t="shared" si="95"/>
        <v>0</v>
      </c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13">
        <f t="shared" si="107"/>
        <v>0</v>
      </c>
      <c r="AH299" s="2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4"/>
      <c r="AU299" s="4" t="s">
        <v>1105</v>
      </c>
      <c r="AV299" s="4" t="s">
        <v>1218</v>
      </c>
      <c r="AW299" s="4"/>
      <c r="AX299" s="4"/>
      <c r="AY299" s="4"/>
      <c r="AZ299" s="4"/>
      <c r="BA299" s="4"/>
      <c r="BB299" s="4"/>
      <c r="BC299" s="4"/>
      <c r="BD299" s="23"/>
      <c r="BE299" s="4"/>
      <c r="BF299" s="18"/>
      <c r="BG299" s="18"/>
      <c r="BH299" s="18"/>
      <c r="BI299" s="18"/>
      <c r="BJ299" s="18"/>
      <c r="BK299" s="26"/>
      <c r="BL299" s="13"/>
      <c r="BM299" s="9">
        <f t="shared" si="103"/>
        <v>0</v>
      </c>
      <c r="BN299" s="9">
        <f t="shared" si="92"/>
        <v>0</v>
      </c>
      <c r="BO299" s="9">
        <f t="shared" si="93"/>
        <v>0</v>
      </c>
      <c r="BP299" s="9">
        <f t="shared" si="96"/>
        <v>0</v>
      </c>
      <c r="BQ299" s="9">
        <f t="shared" si="97"/>
        <v>0</v>
      </c>
      <c r="BR299" s="9">
        <f t="shared" si="98"/>
        <v>0</v>
      </c>
      <c r="BS299" s="9">
        <f t="shared" si="99"/>
        <v>0</v>
      </c>
      <c r="BT299" s="9">
        <f t="shared" si="100"/>
        <v>0</v>
      </c>
    </row>
    <row r="300" spans="1:72" hidden="1" x14ac:dyDescent="0.25">
      <c r="A300" s="11">
        <f t="shared" si="91"/>
        <v>299</v>
      </c>
      <c r="B300" s="5" t="s">
        <v>1473</v>
      </c>
      <c r="C300" s="5" t="s">
        <v>59</v>
      </c>
      <c r="D300" s="33" t="s">
        <v>1348</v>
      </c>
      <c r="E300" s="4" t="s">
        <v>1343</v>
      </c>
      <c r="F300" s="33" t="s">
        <v>1349</v>
      </c>
      <c r="G300" s="33" t="s">
        <v>1077</v>
      </c>
      <c r="H300" s="4" t="s">
        <v>858</v>
      </c>
      <c r="I300" s="33"/>
      <c r="J300" s="33"/>
      <c r="K300" s="33" t="s">
        <v>1472</v>
      </c>
      <c r="L300" s="35">
        <v>2000000</v>
      </c>
      <c r="M300" s="5" t="s">
        <v>74</v>
      </c>
      <c r="N300" s="5"/>
      <c r="O300" s="33"/>
      <c r="P300" s="4"/>
      <c r="Q300" s="17"/>
      <c r="R300" s="1">
        <f t="shared" si="94"/>
        <v>0</v>
      </c>
      <c r="S300" s="34"/>
      <c r="T300" s="2">
        <f t="shared" si="95"/>
        <v>0</v>
      </c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13">
        <f t="shared" si="107"/>
        <v>0</v>
      </c>
      <c r="AH300" s="2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4"/>
      <c r="AU300" s="4" t="s">
        <v>1105</v>
      </c>
      <c r="AV300" s="4" t="s">
        <v>1218</v>
      </c>
      <c r="AW300" s="4"/>
      <c r="AX300" s="4"/>
      <c r="AY300" s="4"/>
      <c r="AZ300" s="4"/>
      <c r="BA300" s="4"/>
      <c r="BB300" s="4"/>
      <c r="BC300" s="4"/>
      <c r="BD300" s="23"/>
      <c r="BE300" s="4"/>
      <c r="BF300" s="18"/>
      <c r="BG300" s="18"/>
      <c r="BH300" s="18"/>
      <c r="BI300" s="18"/>
      <c r="BJ300" s="18"/>
      <c r="BK300" s="26"/>
      <c r="BL300" s="13"/>
      <c r="BM300" s="9">
        <f t="shared" si="103"/>
        <v>0</v>
      </c>
      <c r="BN300" s="9">
        <f t="shared" si="92"/>
        <v>0</v>
      </c>
      <c r="BO300" s="9">
        <f t="shared" si="93"/>
        <v>0</v>
      </c>
      <c r="BP300" s="9">
        <f t="shared" si="96"/>
        <v>0</v>
      </c>
      <c r="BQ300" s="9">
        <f t="shared" si="97"/>
        <v>0</v>
      </c>
      <c r="BR300" s="9">
        <f t="shared" si="98"/>
        <v>0</v>
      </c>
      <c r="BS300" s="9">
        <f t="shared" si="99"/>
        <v>0</v>
      </c>
      <c r="BT300" s="9">
        <f t="shared" si="100"/>
        <v>0</v>
      </c>
    </row>
    <row r="301" spans="1:72" hidden="1" x14ac:dyDescent="0.25">
      <c r="A301" s="11">
        <f t="shared" si="91"/>
        <v>300</v>
      </c>
      <c r="B301" s="5" t="s">
        <v>1474</v>
      </c>
      <c r="C301" s="5" t="s">
        <v>59</v>
      </c>
      <c r="D301" s="33" t="s">
        <v>1348</v>
      </c>
      <c r="E301" s="4" t="s">
        <v>1343</v>
      </c>
      <c r="F301" s="33" t="s">
        <v>1349</v>
      </c>
      <c r="G301" s="33" t="s">
        <v>1077</v>
      </c>
      <c r="H301" s="4" t="s">
        <v>858</v>
      </c>
      <c r="I301" s="33"/>
      <c r="J301" s="33"/>
      <c r="K301" s="33" t="s">
        <v>1464</v>
      </c>
      <c r="L301" s="35"/>
      <c r="M301" s="5" t="s">
        <v>74</v>
      </c>
      <c r="N301" s="5"/>
      <c r="O301" s="33"/>
      <c r="P301" s="4"/>
      <c r="Q301" s="17"/>
      <c r="R301" s="1">
        <f t="shared" si="94"/>
        <v>0</v>
      </c>
      <c r="S301" s="34"/>
      <c r="T301" s="2">
        <f t="shared" si="95"/>
        <v>0</v>
      </c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13">
        <f t="shared" si="107"/>
        <v>0</v>
      </c>
      <c r="AH301" s="24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4"/>
      <c r="AU301" s="4" t="s">
        <v>1105</v>
      </c>
      <c r="AV301" s="4" t="s">
        <v>1218</v>
      </c>
      <c r="AW301" s="4"/>
      <c r="AX301" s="4"/>
      <c r="AY301" s="4"/>
      <c r="AZ301" s="4"/>
      <c r="BA301" s="4"/>
      <c r="BB301" s="4"/>
      <c r="BC301" s="4"/>
      <c r="BD301" s="23"/>
      <c r="BE301" s="4"/>
      <c r="BF301" s="18"/>
      <c r="BG301" s="18"/>
      <c r="BH301" s="18"/>
      <c r="BI301" s="18"/>
      <c r="BJ301" s="18"/>
      <c r="BK301" s="26"/>
      <c r="BL301" s="13"/>
      <c r="BM301" s="9">
        <f t="shared" si="103"/>
        <v>0</v>
      </c>
      <c r="BN301" s="9">
        <f t="shared" si="92"/>
        <v>0</v>
      </c>
      <c r="BO301" s="9">
        <f t="shared" si="93"/>
        <v>0</v>
      </c>
      <c r="BP301" s="9">
        <f t="shared" si="96"/>
        <v>0</v>
      </c>
      <c r="BQ301" s="9">
        <f t="shared" si="97"/>
        <v>0</v>
      </c>
      <c r="BR301" s="9">
        <f t="shared" si="98"/>
        <v>0</v>
      </c>
      <c r="BS301" s="9">
        <f t="shared" si="99"/>
        <v>0</v>
      </c>
      <c r="BT301" s="9">
        <f t="shared" si="100"/>
        <v>0</v>
      </c>
    </row>
    <row r="302" spans="1:72" hidden="1" x14ac:dyDescent="0.25">
      <c r="A302" s="11">
        <f t="shared" si="91"/>
        <v>301</v>
      </c>
      <c r="B302" s="4" t="s">
        <v>1475</v>
      </c>
      <c r="C302" s="5" t="s">
        <v>59</v>
      </c>
      <c r="D302" s="33" t="s">
        <v>1348</v>
      </c>
      <c r="E302" s="4" t="s">
        <v>1343</v>
      </c>
      <c r="F302" s="33" t="s">
        <v>1459</v>
      </c>
      <c r="G302" s="33" t="s">
        <v>157</v>
      </c>
      <c r="H302" s="33" t="s">
        <v>1046</v>
      </c>
      <c r="I302" s="33"/>
      <c r="J302" s="33"/>
      <c r="K302" s="33" t="s">
        <v>1476</v>
      </c>
      <c r="L302" s="35">
        <v>600000</v>
      </c>
      <c r="M302" s="13" t="s">
        <v>291</v>
      </c>
      <c r="N302" s="5"/>
      <c r="O302" s="33" t="s">
        <v>676</v>
      </c>
      <c r="P302" s="36"/>
      <c r="Q302" s="36">
        <v>0.18</v>
      </c>
      <c r="R302" s="1">
        <f t="shared" si="94"/>
        <v>0</v>
      </c>
      <c r="S302" s="34"/>
      <c r="T302" s="2">
        <f t="shared" si="95"/>
        <v>0</v>
      </c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13">
        <f t="shared" si="107"/>
        <v>0</v>
      </c>
      <c r="AH302" s="24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4" t="s">
        <v>620</v>
      </c>
      <c r="AU302" s="4" t="s">
        <v>1105</v>
      </c>
      <c r="AV302" s="4" t="s">
        <v>1218</v>
      </c>
      <c r="AW302" s="4" t="s">
        <v>635</v>
      </c>
      <c r="AX302" s="4" t="s">
        <v>677</v>
      </c>
      <c r="AY302" s="4" t="s">
        <v>678</v>
      </c>
      <c r="AZ302" s="4" t="s">
        <v>679</v>
      </c>
      <c r="BA302" s="4"/>
      <c r="BB302" s="4"/>
      <c r="BC302" s="4"/>
      <c r="BD302" s="23"/>
      <c r="BE302" s="4"/>
      <c r="BF302" s="4"/>
      <c r="BG302" s="4"/>
      <c r="BH302" s="4"/>
      <c r="BI302" s="4"/>
      <c r="BJ302" s="4"/>
      <c r="BK302" s="5"/>
      <c r="BL302" s="5"/>
      <c r="BM302" s="9">
        <f t="shared" si="103"/>
        <v>0</v>
      </c>
      <c r="BN302" s="9">
        <f t="shared" si="92"/>
        <v>0</v>
      </c>
      <c r="BO302" s="9">
        <f t="shared" si="93"/>
        <v>0</v>
      </c>
      <c r="BP302" s="9">
        <f t="shared" si="96"/>
        <v>0</v>
      </c>
      <c r="BQ302" s="9">
        <f t="shared" si="97"/>
        <v>0</v>
      </c>
      <c r="BR302" s="9">
        <f t="shared" si="98"/>
        <v>0</v>
      </c>
      <c r="BS302" s="9">
        <f t="shared" si="99"/>
        <v>0</v>
      </c>
      <c r="BT302" s="9">
        <f t="shared" si="100"/>
        <v>0</v>
      </c>
    </row>
    <row r="303" spans="1:72" hidden="1" x14ac:dyDescent="0.25">
      <c r="A303" s="11">
        <f t="shared" si="91"/>
        <v>302</v>
      </c>
      <c r="B303" s="3" t="s">
        <v>1477</v>
      </c>
      <c r="C303" s="5" t="s">
        <v>59</v>
      </c>
      <c r="D303" s="3" t="s">
        <v>1348</v>
      </c>
      <c r="E303" s="4" t="s">
        <v>1343</v>
      </c>
      <c r="F303" s="3" t="s">
        <v>1349</v>
      </c>
      <c r="G303" s="3" t="s">
        <v>1325</v>
      </c>
      <c r="H303" s="4" t="s">
        <v>64</v>
      </c>
      <c r="I303" s="3"/>
      <c r="J303" s="3"/>
      <c r="K303" s="3" t="s">
        <v>1478</v>
      </c>
      <c r="L303" s="35">
        <v>100000</v>
      </c>
      <c r="M303" s="13" t="s">
        <v>291</v>
      </c>
      <c r="N303" s="5"/>
      <c r="O303" s="3" t="s">
        <v>680</v>
      </c>
      <c r="P303" s="29"/>
      <c r="Q303" s="36">
        <v>2.1</v>
      </c>
      <c r="R303" s="1">
        <f t="shared" si="94"/>
        <v>0</v>
      </c>
      <c r="S303" s="34"/>
      <c r="T303" s="2">
        <f t="shared" si="95"/>
        <v>0</v>
      </c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13">
        <f t="shared" si="107"/>
        <v>0</v>
      </c>
      <c r="AH303" s="24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4" t="s">
        <v>620</v>
      </c>
      <c r="AU303" s="4" t="s">
        <v>1105</v>
      </c>
      <c r="AV303" s="4" t="s">
        <v>826</v>
      </c>
      <c r="AW303" s="4" t="s">
        <v>639</v>
      </c>
      <c r="AX303" s="4"/>
      <c r="AY303" s="4"/>
      <c r="AZ303" s="4"/>
      <c r="BA303" s="4"/>
      <c r="BB303" s="4"/>
      <c r="BC303" s="4"/>
      <c r="BD303" s="23"/>
      <c r="BE303" s="4"/>
      <c r="BF303" s="18"/>
      <c r="BG303" s="18"/>
      <c r="BH303" s="18"/>
      <c r="BI303" s="18"/>
      <c r="BJ303" s="18"/>
      <c r="BK303" s="26"/>
      <c r="BL303" s="13"/>
      <c r="BM303" s="9">
        <f t="shared" si="103"/>
        <v>0</v>
      </c>
      <c r="BN303" s="9">
        <f t="shared" si="92"/>
        <v>0</v>
      </c>
      <c r="BO303" s="9">
        <f t="shared" si="93"/>
        <v>0</v>
      </c>
      <c r="BP303" s="9">
        <f t="shared" si="96"/>
        <v>0</v>
      </c>
      <c r="BQ303" s="9">
        <f t="shared" si="97"/>
        <v>0</v>
      </c>
      <c r="BR303" s="9">
        <f t="shared" si="98"/>
        <v>0</v>
      </c>
      <c r="BS303" s="9">
        <f t="shared" si="99"/>
        <v>0</v>
      </c>
      <c r="BT303" s="9">
        <f t="shared" si="100"/>
        <v>0</v>
      </c>
    </row>
    <row r="304" spans="1:72" hidden="1" x14ac:dyDescent="0.25">
      <c r="A304" s="11">
        <f t="shared" si="91"/>
        <v>303</v>
      </c>
      <c r="B304" s="3" t="s">
        <v>1479</v>
      </c>
      <c r="C304" s="5" t="s">
        <v>59</v>
      </c>
      <c r="D304" s="33" t="s">
        <v>1348</v>
      </c>
      <c r="E304" s="4" t="s">
        <v>1343</v>
      </c>
      <c r="F304" s="33" t="s">
        <v>1349</v>
      </c>
      <c r="G304" s="5" t="s">
        <v>1520</v>
      </c>
      <c r="H304" s="33" t="s">
        <v>1807</v>
      </c>
      <c r="I304" s="33"/>
      <c r="J304" s="33"/>
      <c r="K304" s="33" t="s">
        <v>1402</v>
      </c>
      <c r="L304" s="24"/>
      <c r="M304" s="5" t="s">
        <v>74</v>
      </c>
      <c r="N304" s="5"/>
      <c r="O304" s="33" t="s">
        <v>681</v>
      </c>
      <c r="P304" s="36"/>
      <c r="Q304" s="36"/>
      <c r="R304" s="1">
        <f t="shared" si="94"/>
        <v>0</v>
      </c>
      <c r="S304" s="5"/>
      <c r="T304" s="2">
        <f t="shared" si="95"/>
        <v>0</v>
      </c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13">
        <f t="shared" si="107"/>
        <v>0</v>
      </c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4" t="s">
        <v>620</v>
      </c>
      <c r="AU304" s="4" t="s">
        <v>1105</v>
      </c>
      <c r="AV304" s="4" t="s">
        <v>1218</v>
      </c>
      <c r="AW304" s="4" t="s">
        <v>623</v>
      </c>
      <c r="AX304" s="4" t="s">
        <v>629</v>
      </c>
      <c r="AY304" s="4" t="s">
        <v>630</v>
      </c>
      <c r="AZ304" s="4"/>
      <c r="BA304" s="5"/>
      <c r="BB304" s="5"/>
      <c r="BC304" s="5"/>
      <c r="BD304" s="5"/>
      <c r="BE304" s="37"/>
      <c r="BF304" s="37"/>
      <c r="BG304" s="37"/>
      <c r="BH304" s="37"/>
      <c r="BI304" s="37"/>
      <c r="BJ304" s="37"/>
      <c r="BK304" s="5"/>
      <c r="BL304" s="5"/>
      <c r="BM304" s="9">
        <f t="shared" si="103"/>
        <v>0</v>
      </c>
      <c r="BN304" s="9">
        <f t="shared" si="92"/>
        <v>0</v>
      </c>
      <c r="BO304" s="9">
        <f t="shared" si="93"/>
        <v>0</v>
      </c>
      <c r="BP304" s="9">
        <f t="shared" si="96"/>
        <v>0</v>
      </c>
      <c r="BQ304" s="9">
        <f t="shared" si="97"/>
        <v>0</v>
      </c>
      <c r="BR304" s="9">
        <f t="shared" si="98"/>
        <v>0</v>
      </c>
      <c r="BS304" s="9">
        <f t="shared" si="99"/>
        <v>0</v>
      </c>
      <c r="BT304" s="9">
        <f t="shared" si="100"/>
        <v>0</v>
      </c>
    </row>
    <row r="305" spans="1:72" hidden="1" x14ac:dyDescent="0.25">
      <c r="A305" s="11">
        <f t="shared" si="91"/>
        <v>304</v>
      </c>
      <c r="B305" s="4" t="s">
        <v>1480</v>
      </c>
      <c r="C305" s="5" t="s">
        <v>59</v>
      </c>
      <c r="D305" s="33" t="s">
        <v>1348</v>
      </c>
      <c r="E305" s="4" t="s">
        <v>1343</v>
      </c>
      <c r="F305" s="33" t="s">
        <v>1349</v>
      </c>
      <c r="G305" s="4" t="s">
        <v>1481</v>
      </c>
      <c r="H305" s="4"/>
      <c r="I305" s="4"/>
      <c r="J305" s="4"/>
      <c r="K305" s="33" t="s">
        <v>1482</v>
      </c>
      <c r="L305" s="24">
        <v>30000000</v>
      </c>
      <c r="M305" s="4" t="s">
        <v>320</v>
      </c>
      <c r="N305" s="5"/>
      <c r="O305" s="4" t="s">
        <v>682</v>
      </c>
      <c r="P305" s="14"/>
      <c r="Q305" s="14">
        <v>0.17</v>
      </c>
      <c r="R305" s="1">
        <f t="shared" si="94"/>
        <v>0</v>
      </c>
      <c r="S305" s="5"/>
      <c r="T305" s="2">
        <f t="shared" si="95"/>
        <v>0</v>
      </c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13">
        <f t="shared" si="107"/>
        <v>0</v>
      </c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4" t="s">
        <v>620</v>
      </c>
      <c r="AU305" s="4" t="s">
        <v>1105</v>
      </c>
      <c r="AV305" s="4" t="s">
        <v>1219</v>
      </c>
      <c r="AW305" s="4" t="s">
        <v>623</v>
      </c>
      <c r="AX305" s="4"/>
      <c r="AY305" s="4"/>
      <c r="AZ305" s="4"/>
      <c r="BA305" s="5"/>
      <c r="BB305" s="5"/>
      <c r="BC305" s="5"/>
      <c r="BD305" s="5"/>
      <c r="BE305" s="37"/>
      <c r="BF305" s="37"/>
      <c r="BG305" s="37"/>
      <c r="BH305" s="37"/>
      <c r="BI305" s="37"/>
      <c r="BJ305" s="37"/>
      <c r="BK305" s="5"/>
      <c r="BL305" s="5"/>
      <c r="BM305" s="9">
        <f t="shared" si="103"/>
        <v>0</v>
      </c>
      <c r="BN305" s="9">
        <f t="shared" si="92"/>
        <v>0</v>
      </c>
      <c r="BO305" s="9">
        <f t="shared" si="93"/>
        <v>0</v>
      </c>
      <c r="BP305" s="9">
        <f t="shared" si="96"/>
        <v>0</v>
      </c>
      <c r="BQ305" s="9">
        <f t="shared" si="97"/>
        <v>0</v>
      </c>
      <c r="BR305" s="9">
        <f t="shared" si="98"/>
        <v>0</v>
      </c>
      <c r="BS305" s="9">
        <f t="shared" si="99"/>
        <v>0</v>
      </c>
      <c r="BT305" s="9">
        <f t="shared" si="100"/>
        <v>0</v>
      </c>
    </row>
    <row r="306" spans="1:72" hidden="1" x14ac:dyDescent="0.25">
      <c r="A306" s="11">
        <f t="shared" si="91"/>
        <v>305</v>
      </c>
      <c r="B306" s="3" t="s">
        <v>1483</v>
      </c>
      <c r="C306" s="5" t="s">
        <v>59</v>
      </c>
      <c r="D306" s="33" t="s">
        <v>1348</v>
      </c>
      <c r="E306" s="4" t="s">
        <v>1343</v>
      </c>
      <c r="F306" s="4" t="s">
        <v>1349</v>
      </c>
      <c r="G306" s="4" t="s">
        <v>1077</v>
      </c>
      <c r="H306" s="4" t="s">
        <v>858</v>
      </c>
      <c r="I306" s="4"/>
      <c r="J306" s="4"/>
      <c r="K306" s="4" t="s">
        <v>1484</v>
      </c>
      <c r="L306" s="24"/>
      <c r="M306" s="4" t="s">
        <v>320</v>
      </c>
      <c r="N306" s="5"/>
      <c r="O306" s="4" t="s">
        <v>651</v>
      </c>
      <c r="P306" s="14"/>
      <c r="Q306" s="14"/>
      <c r="R306" s="1">
        <f t="shared" si="94"/>
        <v>0</v>
      </c>
      <c r="S306" s="5"/>
      <c r="T306" s="2">
        <f t="shared" si="95"/>
        <v>0</v>
      </c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13">
        <f t="shared" si="107"/>
        <v>0</v>
      </c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4" t="s">
        <v>620</v>
      </c>
      <c r="AU306" s="4" t="s">
        <v>1105</v>
      </c>
      <c r="AV306" s="4" t="s">
        <v>1218</v>
      </c>
      <c r="AW306" s="4" t="s">
        <v>623</v>
      </c>
      <c r="AX306" s="4"/>
      <c r="AY306" s="4"/>
      <c r="AZ306" s="4"/>
      <c r="BA306" s="5"/>
      <c r="BB306" s="5"/>
      <c r="BC306" s="5"/>
      <c r="BD306" s="5"/>
      <c r="BE306" s="37"/>
      <c r="BF306" s="37"/>
      <c r="BG306" s="37"/>
      <c r="BH306" s="37"/>
      <c r="BI306" s="37"/>
      <c r="BJ306" s="37"/>
      <c r="BK306" s="5"/>
      <c r="BL306" s="5"/>
      <c r="BM306" s="9">
        <f t="shared" si="103"/>
        <v>0</v>
      </c>
      <c r="BN306" s="9">
        <f t="shared" si="92"/>
        <v>0</v>
      </c>
      <c r="BO306" s="9">
        <f t="shared" si="93"/>
        <v>0</v>
      </c>
      <c r="BP306" s="9">
        <f t="shared" si="96"/>
        <v>0</v>
      </c>
      <c r="BQ306" s="9">
        <f t="shared" si="97"/>
        <v>0</v>
      </c>
      <c r="BR306" s="9">
        <f t="shared" si="98"/>
        <v>0</v>
      </c>
      <c r="BS306" s="9">
        <f t="shared" si="99"/>
        <v>0</v>
      </c>
      <c r="BT306" s="9">
        <f t="shared" si="100"/>
        <v>0</v>
      </c>
    </row>
    <row r="307" spans="1:72" hidden="1" x14ac:dyDescent="0.25">
      <c r="A307" s="11">
        <f t="shared" si="91"/>
        <v>306</v>
      </c>
      <c r="B307" s="5" t="s">
        <v>1485</v>
      </c>
      <c r="C307" s="5" t="s">
        <v>186</v>
      </c>
      <c r="D307" s="4" t="s">
        <v>1418</v>
      </c>
      <c r="E307" s="4" t="s">
        <v>1343</v>
      </c>
      <c r="F307" s="4" t="s">
        <v>1419</v>
      </c>
      <c r="G307" s="4" t="s">
        <v>1486</v>
      </c>
      <c r="H307" s="4"/>
      <c r="I307" s="4"/>
      <c r="J307" s="4"/>
      <c r="K307" s="4" t="s">
        <v>1487</v>
      </c>
      <c r="L307" s="24">
        <v>25000000</v>
      </c>
      <c r="M307" s="4" t="s">
        <v>1488</v>
      </c>
      <c r="N307" s="4" t="s">
        <v>1489</v>
      </c>
      <c r="O307" s="4"/>
      <c r="P307" s="4"/>
      <c r="Q307" s="17"/>
      <c r="R307" s="1">
        <f t="shared" si="94"/>
        <v>0</v>
      </c>
      <c r="S307" s="4"/>
      <c r="T307" s="2">
        <f t="shared" si="95"/>
        <v>0</v>
      </c>
      <c r="U307" s="24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>
        <f t="shared" si="107"/>
        <v>0</v>
      </c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 t="s">
        <v>620</v>
      </c>
      <c r="AU307" s="4" t="s">
        <v>1105</v>
      </c>
      <c r="AV307" s="4" t="s">
        <v>1218</v>
      </c>
      <c r="AW307" s="4" t="s">
        <v>627</v>
      </c>
      <c r="AX307" s="4" t="s">
        <v>628</v>
      </c>
      <c r="AY307" s="4"/>
      <c r="AZ307" s="4"/>
      <c r="BA307" s="5"/>
      <c r="BB307" s="5"/>
      <c r="BC307" s="5"/>
      <c r="BD307" s="5"/>
      <c r="BE307" s="37"/>
      <c r="BF307" s="37"/>
      <c r="BG307" s="37"/>
      <c r="BH307" s="37"/>
      <c r="BI307" s="37"/>
      <c r="BJ307" s="37"/>
      <c r="BK307" s="5"/>
      <c r="BL307" s="5"/>
      <c r="BM307" s="9">
        <f t="shared" si="103"/>
        <v>0</v>
      </c>
      <c r="BN307" s="9">
        <f t="shared" si="92"/>
        <v>0</v>
      </c>
      <c r="BO307" s="9">
        <f t="shared" si="93"/>
        <v>0</v>
      </c>
      <c r="BP307" s="9">
        <f t="shared" si="96"/>
        <v>0</v>
      </c>
      <c r="BQ307" s="9">
        <f t="shared" si="97"/>
        <v>0</v>
      </c>
      <c r="BR307" s="9">
        <f t="shared" si="98"/>
        <v>0</v>
      </c>
      <c r="BS307" s="9">
        <f t="shared" si="99"/>
        <v>0</v>
      </c>
      <c r="BT307" s="9">
        <f t="shared" si="100"/>
        <v>0</v>
      </c>
    </row>
    <row r="308" spans="1:72" hidden="1" x14ac:dyDescent="0.25">
      <c r="A308" s="11">
        <f t="shared" si="91"/>
        <v>307</v>
      </c>
      <c r="B308" s="5" t="s">
        <v>1490</v>
      </c>
      <c r="C308" s="5" t="s">
        <v>128</v>
      </c>
      <c r="D308" s="4" t="s">
        <v>1418</v>
      </c>
      <c r="E308" s="4" t="s">
        <v>1343</v>
      </c>
      <c r="F308" s="4" t="s">
        <v>1419</v>
      </c>
      <c r="G308" s="4" t="s">
        <v>177</v>
      </c>
      <c r="H308" s="33" t="s">
        <v>178</v>
      </c>
      <c r="I308" s="4"/>
      <c r="J308" s="4"/>
      <c r="K308" s="4" t="s">
        <v>1491</v>
      </c>
      <c r="L308" s="24">
        <v>1500000</v>
      </c>
      <c r="M308" s="4" t="s">
        <v>74</v>
      </c>
      <c r="N308" s="4" t="s">
        <v>1492</v>
      </c>
      <c r="O308" s="5"/>
      <c r="P308" s="5"/>
      <c r="Q308" s="17">
        <v>0.13</v>
      </c>
      <c r="R308" s="1">
        <f t="shared" si="94"/>
        <v>13000</v>
      </c>
      <c r="S308" s="5"/>
      <c r="T308" s="2">
        <f t="shared" si="95"/>
        <v>100000</v>
      </c>
      <c r="U308" s="13"/>
      <c r="V308" s="13"/>
      <c r="W308" s="5"/>
      <c r="X308" s="13">
        <v>20000</v>
      </c>
      <c r="Y308" s="13">
        <v>20000</v>
      </c>
      <c r="Z308" s="13">
        <v>20000</v>
      </c>
      <c r="AA308" s="13">
        <v>20000</v>
      </c>
      <c r="AB308" s="13">
        <v>20000</v>
      </c>
      <c r="AC308" s="13">
        <v>20000</v>
      </c>
      <c r="AD308" s="13">
        <v>20000</v>
      </c>
      <c r="AE308" s="13">
        <v>20000</v>
      </c>
      <c r="AF308" s="13">
        <v>20000</v>
      </c>
      <c r="AG308" s="13">
        <f t="shared" si="107"/>
        <v>20000</v>
      </c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4" t="s">
        <v>620</v>
      </c>
      <c r="AU308" s="4" t="s">
        <v>1105</v>
      </c>
      <c r="AV308" s="4" t="s">
        <v>1218</v>
      </c>
      <c r="AW308" s="4" t="s">
        <v>627</v>
      </c>
      <c r="AX308" s="5"/>
      <c r="AY308" s="5"/>
      <c r="AZ308" s="5"/>
      <c r="BA308" s="5"/>
      <c r="BB308" s="5"/>
      <c r="BC308" s="5"/>
      <c r="BD308" s="5"/>
      <c r="BE308" s="37"/>
      <c r="BF308" s="37"/>
      <c r="BG308" s="37"/>
      <c r="BH308" s="37"/>
      <c r="BI308" s="37"/>
      <c r="BJ308" s="37"/>
      <c r="BK308" s="5"/>
      <c r="BL308" s="5"/>
      <c r="BM308" s="9">
        <f t="shared" si="103"/>
        <v>2600</v>
      </c>
      <c r="BN308" s="9">
        <f t="shared" si="92"/>
        <v>2600</v>
      </c>
      <c r="BO308" s="9">
        <f t="shared" si="93"/>
        <v>2600</v>
      </c>
      <c r="BP308" s="9">
        <f t="shared" si="96"/>
        <v>2600</v>
      </c>
      <c r="BQ308" s="9">
        <f t="shared" si="97"/>
        <v>2600</v>
      </c>
      <c r="BR308" s="9">
        <f t="shared" si="98"/>
        <v>2600</v>
      </c>
      <c r="BS308" s="9">
        <f t="shared" si="99"/>
        <v>2600</v>
      </c>
      <c r="BT308" s="9">
        <f t="shared" si="100"/>
        <v>2600</v>
      </c>
    </row>
    <row r="309" spans="1:72" hidden="1" x14ac:dyDescent="0.25">
      <c r="A309" s="11">
        <f t="shared" si="91"/>
        <v>308</v>
      </c>
      <c r="B309" s="5" t="s">
        <v>1493</v>
      </c>
      <c r="C309" s="5" t="s">
        <v>59</v>
      </c>
      <c r="D309" s="4" t="s">
        <v>1418</v>
      </c>
      <c r="E309" s="4" t="s">
        <v>1343</v>
      </c>
      <c r="F309" s="5"/>
      <c r="G309" s="4" t="s">
        <v>144</v>
      </c>
      <c r="H309" s="33" t="s">
        <v>545</v>
      </c>
      <c r="I309" s="4"/>
      <c r="J309" s="4"/>
      <c r="K309" s="4" t="s">
        <v>1494</v>
      </c>
      <c r="L309" s="5"/>
      <c r="M309" s="4" t="s">
        <v>74</v>
      </c>
      <c r="N309" s="4" t="s">
        <v>1495</v>
      </c>
      <c r="O309" s="5"/>
      <c r="P309" s="5"/>
      <c r="Q309" s="17">
        <v>0.17</v>
      </c>
      <c r="R309" s="1">
        <f t="shared" si="94"/>
        <v>0</v>
      </c>
      <c r="S309" s="5"/>
      <c r="T309" s="2">
        <f t="shared" si="95"/>
        <v>0</v>
      </c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5"/>
      <c r="AF309" s="5"/>
      <c r="AG309" s="13">
        <f t="shared" si="107"/>
        <v>0</v>
      </c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4" t="s">
        <v>620</v>
      </c>
      <c r="AU309" s="4" t="s">
        <v>1105</v>
      </c>
      <c r="AV309" s="4" t="s">
        <v>1218</v>
      </c>
      <c r="AW309" s="4" t="s">
        <v>623</v>
      </c>
      <c r="AX309" s="5"/>
      <c r="AY309" s="5"/>
      <c r="AZ309" s="5"/>
      <c r="BA309" s="5"/>
      <c r="BB309" s="5"/>
      <c r="BC309" s="5"/>
      <c r="BD309" s="5"/>
      <c r="BE309" s="37"/>
      <c r="BF309" s="37"/>
      <c r="BG309" s="37"/>
      <c r="BH309" s="37"/>
      <c r="BI309" s="37"/>
      <c r="BJ309" s="37"/>
      <c r="BK309" s="5"/>
      <c r="BL309" s="5"/>
      <c r="BM309" s="9">
        <f t="shared" si="103"/>
        <v>0</v>
      </c>
      <c r="BN309" s="9">
        <f t="shared" si="92"/>
        <v>0</v>
      </c>
      <c r="BO309" s="9">
        <f t="shared" si="93"/>
        <v>0</v>
      </c>
      <c r="BP309" s="9">
        <f t="shared" si="96"/>
        <v>0</v>
      </c>
      <c r="BQ309" s="9">
        <f t="shared" si="97"/>
        <v>0</v>
      </c>
      <c r="BR309" s="9">
        <f t="shared" si="98"/>
        <v>0</v>
      </c>
      <c r="BS309" s="9">
        <f t="shared" si="99"/>
        <v>0</v>
      </c>
      <c r="BT309" s="9">
        <f t="shared" si="100"/>
        <v>0</v>
      </c>
    </row>
    <row r="310" spans="1:72" hidden="1" x14ac:dyDescent="0.25">
      <c r="A310" s="11">
        <f t="shared" si="91"/>
        <v>309</v>
      </c>
      <c r="B310" s="4" t="s">
        <v>1496</v>
      </c>
      <c r="C310" s="4" t="s">
        <v>128</v>
      </c>
      <c r="D310" s="4" t="s">
        <v>1364</v>
      </c>
      <c r="E310" s="4" t="s">
        <v>1343</v>
      </c>
      <c r="F310" s="5"/>
      <c r="G310" s="4" t="s">
        <v>225</v>
      </c>
      <c r="H310" s="4" t="s">
        <v>226</v>
      </c>
      <c r="I310" s="4"/>
      <c r="J310" s="4"/>
      <c r="K310" s="5" t="s">
        <v>523</v>
      </c>
      <c r="L310" s="24">
        <v>400000</v>
      </c>
      <c r="M310" s="13" t="s">
        <v>291</v>
      </c>
      <c r="N310" s="5"/>
      <c r="O310" s="5"/>
      <c r="P310" s="5"/>
      <c r="Q310" s="5">
        <v>0.4</v>
      </c>
      <c r="R310" s="1">
        <f t="shared" si="94"/>
        <v>60000</v>
      </c>
      <c r="S310" s="5"/>
      <c r="T310" s="2">
        <f t="shared" si="95"/>
        <v>150000</v>
      </c>
      <c r="U310" s="5"/>
      <c r="V310" s="5"/>
      <c r="W310" s="5"/>
      <c r="X310" s="24">
        <v>30000</v>
      </c>
      <c r="Y310" s="24">
        <v>30000</v>
      </c>
      <c r="Z310" s="24">
        <v>30000</v>
      </c>
      <c r="AA310" s="24">
        <v>30000</v>
      </c>
      <c r="AB310" s="24">
        <v>30000</v>
      </c>
      <c r="AC310" s="24">
        <v>30000</v>
      </c>
      <c r="AD310" s="24">
        <v>30000</v>
      </c>
      <c r="AE310" s="24">
        <v>30000</v>
      </c>
      <c r="AF310" s="24">
        <v>30000</v>
      </c>
      <c r="AG310" s="13">
        <f t="shared" si="107"/>
        <v>30000</v>
      </c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4" t="s">
        <v>620</v>
      </c>
      <c r="AU310" s="4" t="s">
        <v>1105</v>
      </c>
      <c r="AV310" s="4" t="s">
        <v>1218</v>
      </c>
      <c r="AW310" s="4" t="s">
        <v>639</v>
      </c>
      <c r="AX310" s="4" t="s">
        <v>640</v>
      </c>
      <c r="AY310" s="4" t="s">
        <v>641</v>
      </c>
      <c r="AZ310" s="4" t="s">
        <v>642</v>
      </c>
      <c r="BA310" s="5"/>
      <c r="BB310" s="5"/>
      <c r="BC310" s="5"/>
      <c r="BD310" s="5"/>
      <c r="BE310" s="37"/>
      <c r="BF310" s="37"/>
      <c r="BG310" s="37"/>
      <c r="BH310" s="37"/>
      <c r="BI310" s="37"/>
      <c r="BJ310" s="37"/>
      <c r="BK310" s="5"/>
      <c r="BL310" s="5"/>
      <c r="BM310" s="9">
        <f t="shared" si="103"/>
        <v>12000</v>
      </c>
      <c r="BN310" s="9">
        <f t="shared" si="92"/>
        <v>12000</v>
      </c>
      <c r="BO310" s="9">
        <f t="shared" si="93"/>
        <v>12000</v>
      </c>
      <c r="BP310" s="9">
        <f t="shared" si="96"/>
        <v>12000</v>
      </c>
      <c r="BQ310" s="9">
        <f t="shared" si="97"/>
        <v>12000</v>
      </c>
      <c r="BR310" s="9">
        <f t="shared" si="98"/>
        <v>12000</v>
      </c>
      <c r="BS310" s="9">
        <f t="shared" si="99"/>
        <v>12000</v>
      </c>
      <c r="BT310" s="9">
        <f t="shared" si="100"/>
        <v>12000</v>
      </c>
    </row>
    <row r="311" spans="1:72" hidden="1" x14ac:dyDescent="0.25">
      <c r="A311" s="11">
        <f t="shared" si="91"/>
        <v>310</v>
      </c>
      <c r="B311" s="5" t="s">
        <v>1413</v>
      </c>
      <c r="C311" s="4" t="s">
        <v>128</v>
      </c>
      <c r="D311" s="4" t="s">
        <v>1364</v>
      </c>
      <c r="E311" s="4" t="s">
        <v>1343</v>
      </c>
      <c r="F311" s="5"/>
      <c r="G311" s="4" t="s">
        <v>223</v>
      </c>
      <c r="H311" s="4" t="s">
        <v>224</v>
      </c>
      <c r="I311" s="4"/>
      <c r="J311" s="4"/>
      <c r="K311" s="5" t="s">
        <v>1414</v>
      </c>
      <c r="L311" s="24">
        <v>100000</v>
      </c>
      <c r="M311" s="13" t="s">
        <v>291</v>
      </c>
      <c r="N311" s="5"/>
      <c r="O311" s="5"/>
      <c r="P311" s="5"/>
      <c r="Q311" s="5">
        <v>0.5</v>
      </c>
      <c r="R311" s="1">
        <f t="shared" si="94"/>
        <v>25000</v>
      </c>
      <c r="S311" s="5"/>
      <c r="T311" s="2">
        <f t="shared" si="95"/>
        <v>50000</v>
      </c>
      <c r="U311" s="5"/>
      <c r="V311" s="5"/>
      <c r="W311" s="5"/>
      <c r="X311" s="24"/>
      <c r="Y311" s="24"/>
      <c r="Z311" s="24">
        <v>10000</v>
      </c>
      <c r="AA311" s="24">
        <v>10000</v>
      </c>
      <c r="AB311" s="24">
        <v>10000</v>
      </c>
      <c r="AC311" s="24">
        <v>10000</v>
      </c>
      <c r="AD311" s="24">
        <v>10000</v>
      </c>
      <c r="AE311" s="24">
        <v>10000</v>
      </c>
      <c r="AF311" s="24">
        <v>10000</v>
      </c>
      <c r="AG311" s="13">
        <f t="shared" si="107"/>
        <v>10000</v>
      </c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4" t="s">
        <v>620</v>
      </c>
      <c r="AU311" s="4" t="s">
        <v>1105</v>
      </c>
      <c r="AV311" s="4" t="s">
        <v>1218</v>
      </c>
      <c r="AW311" s="4" t="s">
        <v>639</v>
      </c>
      <c r="AX311" s="5"/>
      <c r="AY311" s="5"/>
      <c r="AZ311" s="5"/>
      <c r="BA311" s="5"/>
      <c r="BB311" s="5"/>
      <c r="BC311" s="5"/>
      <c r="BD311" s="5"/>
      <c r="BE311" s="37"/>
      <c r="BF311" s="37"/>
      <c r="BG311" s="37"/>
      <c r="BH311" s="37"/>
      <c r="BI311" s="37"/>
      <c r="BJ311" s="37"/>
      <c r="BK311" s="5"/>
      <c r="BL311" s="5"/>
      <c r="BM311" s="9">
        <f t="shared" si="103"/>
        <v>0</v>
      </c>
      <c r="BN311" s="9">
        <f t="shared" si="92"/>
        <v>5000</v>
      </c>
      <c r="BO311" s="9">
        <f t="shared" si="93"/>
        <v>5000</v>
      </c>
      <c r="BP311" s="9">
        <f t="shared" si="96"/>
        <v>5000</v>
      </c>
      <c r="BQ311" s="9">
        <f t="shared" si="97"/>
        <v>5000</v>
      </c>
      <c r="BR311" s="9">
        <f t="shared" si="98"/>
        <v>5000</v>
      </c>
      <c r="BS311" s="9">
        <f t="shared" si="99"/>
        <v>5000</v>
      </c>
      <c r="BT311" s="9">
        <f t="shared" si="100"/>
        <v>5000</v>
      </c>
    </row>
    <row r="312" spans="1:72" hidden="1" x14ac:dyDescent="0.25">
      <c r="A312" s="11">
        <f t="shared" si="91"/>
        <v>311</v>
      </c>
      <c r="B312" s="5" t="s">
        <v>1497</v>
      </c>
      <c r="C312" s="5" t="s">
        <v>128</v>
      </c>
      <c r="D312" s="5" t="s">
        <v>1498</v>
      </c>
      <c r="E312" s="4" t="s">
        <v>1343</v>
      </c>
      <c r="F312" s="5"/>
      <c r="G312" s="5" t="s">
        <v>144</v>
      </c>
      <c r="H312" s="33" t="s">
        <v>545</v>
      </c>
      <c r="I312" s="5"/>
      <c r="J312" s="5"/>
      <c r="K312" s="5" t="s">
        <v>1357</v>
      </c>
      <c r="L312" s="5"/>
      <c r="M312" s="13" t="s">
        <v>291</v>
      </c>
      <c r="N312" s="5"/>
      <c r="O312" s="5"/>
      <c r="P312" s="5"/>
      <c r="Q312" s="5">
        <v>0.13</v>
      </c>
      <c r="R312" s="1">
        <f t="shared" si="94"/>
        <v>520000</v>
      </c>
      <c r="S312" s="5"/>
      <c r="T312" s="2">
        <f t="shared" si="95"/>
        <v>4000000</v>
      </c>
      <c r="U312" s="5"/>
      <c r="V312" s="5"/>
      <c r="W312" s="5"/>
      <c r="X312" s="24">
        <v>800000</v>
      </c>
      <c r="Y312" s="24">
        <v>800000</v>
      </c>
      <c r="Z312" s="24">
        <v>800000</v>
      </c>
      <c r="AA312" s="24">
        <v>800000</v>
      </c>
      <c r="AB312" s="24">
        <v>800000</v>
      </c>
      <c r="AC312" s="24">
        <v>800000</v>
      </c>
      <c r="AD312" s="24">
        <v>800000</v>
      </c>
      <c r="AE312" s="24">
        <v>800000</v>
      </c>
      <c r="AF312" s="24">
        <v>800000</v>
      </c>
      <c r="AG312" s="13">
        <f t="shared" si="107"/>
        <v>800000</v>
      </c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4" t="s">
        <v>620</v>
      </c>
      <c r="AU312" s="4" t="s">
        <v>1105</v>
      </c>
      <c r="AV312" s="4" t="s">
        <v>1218</v>
      </c>
      <c r="AW312" s="4" t="s">
        <v>623</v>
      </c>
      <c r="AX312" s="5"/>
      <c r="AY312" s="5"/>
      <c r="AZ312" s="5"/>
      <c r="BA312" s="5"/>
      <c r="BB312" s="5"/>
      <c r="BC312" s="5"/>
      <c r="BD312" s="5"/>
      <c r="BE312" s="37"/>
      <c r="BF312" s="37"/>
      <c r="BG312" s="37"/>
      <c r="BH312" s="37"/>
      <c r="BI312" s="37"/>
      <c r="BJ312" s="37"/>
      <c r="BK312" s="5"/>
      <c r="BL312" s="5"/>
      <c r="BM312" s="9">
        <f t="shared" si="103"/>
        <v>104000</v>
      </c>
      <c r="BN312" s="9">
        <f t="shared" si="92"/>
        <v>104000</v>
      </c>
      <c r="BO312" s="9">
        <f t="shared" si="93"/>
        <v>104000</v>
      </c>
      <c r="BP312" s="9">
        <f t="shared" si="96"/>
        <v>104000</v>
      </c>
      <c r="BQ312" s="9">
        <f t="shared" si="97"/>
        <v>104000</v>
      </c>
      <c r="BR312" s="9">
        <f t="shared" si="98"/>
        <v>104000</v>
      </c>
      <c r="BS312" s="9">
        <f t="shared" si="99"/>
        <v>104000</v>
      </c>
      <c r="BT312" s="9">
        <f t="shared" si="100"/>
        <v>104000</v>
      </c>
    </row>
    <row r="313" spans="1:72" hidden="1" x14ac:dyDescent="0.25">
      <c r="A313" s="11">
        <f t="shared" si="91"/>
        <v>312</v>
      </c>
      <c r="B313" s="5" t="s">
        <v>1499</v>
      </c>
      <c r="C313" s="5" t="s">
        <v>128</v>
      </c>
      <c r="D313" s="5" t="s">
        <v>1498</v>
      </c>
      <c r="E313" s="4" t="s">
        <v>1343</v>
      </c>
      <c r="F313" s="5"/>
      <c r="G313" s="5" t="s">
        <v>144</v>
      </c>
      <c r="H313" s="33" t="s">
        <v>545</v>
      </c>
      <c r="I313" s="5"/>
      <c r="J313" s="5"/>
      <c r="K313" s="5" t="s">
        <v>1500</v>
      </c>
      <c r="L313" s="5"/>
      <c r="M313" s="13" t="s">
        <v>291</v>
      </c>
      <c r="N313" s="5"/>
      <c r="O313" s="5"/>
      <c r="P313" s="5"/>
      <c r="Q313" s="5">
        <v>0.13</v>
      </c>
      <c r="R313" s="1">
        <f t="shared" si="94"/>
        <v>325000</v>
      </c>
      <c r="S313" s="5"/>
      <c r="T313" s="2">
        <f t="shared" si="95"/>
        <v>2500000</v>
      </c>
      <c r="U313" s="5"/>
      <c r="V313" s="5"/>
      <c r="W313" s="5"/>
      <c r="X313" s="24">
        <v>500000</v>
      </c>
      <c r="Y313" s="24">
        <v>500000</v>
      </c>
      <c r="Z313" s="24">
        <v>500000</v>
      </c>
      <c r="AA313" s="24">
        <v>500000</v>
      </c>
      <c r="AB313" s="24">
        <v>500000</v>
      </c>
      <c r="AC313" s="24">
        <v>500000</v>
      </c>
      <c r="AD313" s="24">
        <v>500000</v>
      </c>
      <c r="AE313" s="24">
        <v>500000</v>
      </c>
      <c r="AF313" s="24">
        <v>500000</v>
      </c>
      <c r="AG313" s="13">
        <f t="shared" si="107"/>
        <v>500000</v>
      </c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4" t="s">
        <v>620</v>
      </c>
      <c r="AU313" s="4" t="s">
        <v>1105</v>
      </c>
      <c r="AV313" s="4" t="s">
        <v>1218</v>
      </c>
      <c r="AW313" s="4" t="s">
        <v>623</v>
      </c>
      <c r="AX313" s="5"/>
      <c r="AY313" s="5"/>
      <c r="AZ313" s="5"/>
      <c r="BA313" s="5"/>
      <c r="BB313" s="5"/>
      <c r="BC313" s="5"/>
      <c r="BD313" s="5"/>
      <c r="BE313" s="37"/>
      <c r="BF313" s="37"/>
      <c r="BG313" s="37"/>
      <c r="BH313" s="37"/>
      <c r="BI313" s="37"/>
      <c r="BJ313" s="37"/>
      <c r="BK313" s="5"/>
      <c r="BL313" s="5"/>
      <c r="BM313" s="9">
        <f t="shared" si="103"/>
        <v>65000</v>
      </c>
      <c r="BN313" s="9">
        <f t="shared" si="92"/>
        <v>65000</v>
      </c>
      <c r="BO313" s="9">
        <f t="shared" si="93"/>
        <v>65000</v>
      </c>
      <c r="BP313" s="9">
        <f t="shared" si="96"/>
        <v>65000</v>
      </c>
      <c r="BQ313" s="9">
        <f t="shared" si="97"/>
        <v>65000</v>
      </c>
      <c r="BR313" s="9">
        <f t="shared" si="98"/>
        <v>65000</v>
      </c>
      <c r="BS313" s="9">
        <f t="shared" si="99"/>
        <v>65000</v>
      </c>
      <c r="BT313" s="9">
        <f t="shared" si="100"/>
        <v>65000</v>
      </c>
    </row>
    <row r="314" spans="1:72" hidden="1" x14ac:dyDescent="0.25">
      <c r="A314" s="11">
        <f t="shared" si="91"/>
        <v>313</v>
      </c>
      <c r="B314" s="5" t="s">
        <v>1501</v>
      </c>
      <c r="C314" s="5" t="s">
        <v>186</v>
      </c>
      <c r="D314" s="5" t="s">
        <v>1502</v>
      </c>
      <c r="E314" s="5" t="s">
        <v>723</v>
      </c>
      <c r="F314" s="5" t="s">
        <v>723</v>
      </c>
      <c r="G314" s="4" t="s">
        <v>829</v>
      </c>
      <c r="H314" s="4" t="s">
        <v>830</v>
      </c>
      <c r="I314" s="12">
        <v>4923</v>
      </c>
      <c r="J314" s="12" t="s">
        <v>292</v>
      </c>
      <c r="K314" s="4" t="s">
        <v>831</v>
      </c>
      <c r="L314" s="13"/>
      <c r="M314" s="4"/>
      <c r="N314" s="4"/>
      <c r="O314" s="3"/>
      <c r="P314" s="3"/>
      <c r="Q314" s="17">
        <v>0.4</v>
      </c>
      <c r="R314" s="1">
        <f t="shared" si="94"/>
        <v>8000000</v>
      </c>
      <c r="S314" s="2">
        <v>12680000</v>
      </c>
      <c r="T314" s="2">
        <f t="shared" si="95"/>
        <v>20000000</v>
      </c>
      <c r="U314" s="2"/>
      <c r="V314" s="2"/>
      <c r="W314" s="2"/>
      <c r="X314" s="2">
        <v>1000000</v>
      </c>
      <c r="Y314" s="2">
        <v>3700000</v>
      </c>
      <c r="Z314" s="2">
        <v>4000000</v>
      </c>
      <c r="AA314" s="2">
        <v>4000000</v>
      </c>
      <c r="AB314" s="2">
        <v>4000000</v>
      </c>
      <c r="AC314" s="2">
        <v>4000000</v>
      </c>
      <c r="AD314" s="2">
        <v>4000000</v>
      </c>
      <c r="AE314" s="2">
        <v>4000000</v>
      </c>
      <c r="AF314" s="2">
        <v>4000000</v>
      </c>
      <c r="AG314" s="13">
        <f t="shared" si="107"/>
        <v>4000000</v>
      </c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8"/>
      <c r="AU314" s="18" t="s">
        <v>1105</v>
      </c>
      <c r="AV314" s="4" t="s">
        <v>1218</v>
      </c>
      <c r="AW314" s="18"/>
      <c r="AX314" s="19"/>
      <c r="AY314" s="3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>
        <f t="shared" si="103"/>
        <v>1480000</v>
      </c>
      <c r="BN314" s="9">
        <f t="shared" si="92"/>
        <v>1600000</v>
      </c>
      <c r="BO314" s="9">
        <f t="shared" si="93"/>
        <v>1600000</v>
      </c>
      <c r="BP314" s="9">
        <f t="shared" si="96"/>
        <v>1600000</v>
      </c>
      <c r="BQ314" s="9">
        <f t="shared" si="97"/>
        <v>1600000</v>
      </c>
      <c r="BR314" s="9">
        <f t="shared" si="98"/>
        <v>1600000</v>
      </c>
      <c r="BS314" s="9">
        <f t="shared" si="99"/>
        <v>1600000</v>
      </c>
      <c r="BT314" s="9">
        <f t="shared" si="100"/>
        <v>1600000</v>
      </c>
    </row>
    <row r="315" spans="1:72" hidden="1" x14ac:dyDescent="0.25">
      <c r="A315" s="11">
        <f t="shared" si="91"/>
        <v>314</v>
      </c>
      <c r="B315" s="5" t="s">
        <v>1501</v>
      </c>
      <c r="C315" s="5" t="s">
        <v>186</v>
      </c>
      <c r="D315" s="5" t="s">
        <v>1502</v>
      </c>
      <c r="E315" s="5" t="s">
        <v>723</v>
      </c>
      <c r="F315" s="5" t="s">
        <v>723</v>
      </c>
      <c r="G315" s="4" t="s">
        <v>832</v>
      </c>
      <c r="H315" s="4" t="s">
        <v>833</v>
      </c>
      <c r="I315" s="12">
        <v>4391</v>
      </c>
      <c r="J315" s="12" t="s">
        <v>292</v>
      </c>
      <c r="K315" s="4" t="s">
        <v>831</v>
      </c>
      <c r="L315" s="13"/>
      <c r="M315" s="4"/>
      <c r="N315" s="4"/>
      <c r="O315" s="3"/>
      <c r="P315" s="3"/>
      <c r="Q315" s="17">
        <v>1</v>
      </c>
      <c r="R315" s="1">
        <f t="shared" si="94"/>
        <v>6000000</v>
      </c>
      <c r="S315" s="2">
        <v>14400000</v>
      </c>
      <c r="T315" s="2">
        <f t="shared" si="95"/>
        <v>6000000</v>
      </c>
      <c r="U315" s="2"/>
      <c r="V315" s="2"/>
      <c r="W315" s="2"/>
      <c r="X315" s="2"/>
      <c r="Y315" s="2">
        <v>1000000</v>
      </c>
      <c r="Z315" s="2"/>
      <c r="AA315" s="2"/>
      <c r="AB315" s="2"/>
      <c r="AC315" s="2"/>
      <c r="AD315" s="2">
        <v>2000000</v>
      </c>
      <c r="AE315" s="2">
        <v>2000000</v>
      </c>
      <c r="AF315" s="2">
        <v>2000000</v>
      </c>
      <c r="AG315" s="13">
        <f t="shared" si="107"/>
        <v>2000000</v>
      </c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8"/>
      <c r="AU315" s="18" t="s">
        <v>1105</v>
      </c>
      <c r="AV315" s="4" t="s">
        <v>1218</v>
      </c>
      <c r="AW315" s="18"/>
      <c r="AX315" s="19"/>
      <c r="AY315" s="3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>
        <f t="shared" si="103"/>
        <v>1000000</v>
      </c>
      <c r="BN315" s="9">
        <f t="shared" si="92"/>
        <v>0</v>
      </c>
      <c r="BO315" s="9">
        <f t="shared" si="93"/>
        <v>0</v>
      </c>
      <c r="BP315" s="9">
        <f t="shared" si="96"/>
        <v>0</v>
      </c>
      <c r="BQ315" s="9">
        <f t="shared" si="97"/>
        <v>0</v>
      </c>
      <c r="BR315" s="9">
        <f t="shared" si="98"/>
        <v>2000000</v>
      </c>
      <c r="BS315" s="9">
        <f t="shared" si="99"/>
        <v>2000000</v>
      </c>
      <c r="BT315" s="9">
        <f t="shared" si="100"/>
        <v>2000000</v>
      </c>
    </row>
    <row r="316" spans="1:72" hidden="1" x14ac:dyDescent="0.25">
      <c r="A316" s="11">
        <f t="shared" si="91"/>
        <v>315</v>
      </c>
      <c r="B316" s="5" t="s">
        <v>1501</v>
      </c>
      <c r="C316" s="5" t="s">
        <v>186</v>
      </c>
      <c r="D316" s="5" t="s">
        <v>1502</v>
      </c>
      <c r="E316" s="5" t="s">
        <v>723</v>
      </c>
      <c r="F316" s="5" t="s">
        <v>723</v>
      </c>
      <c r="G316" s="4" t="s">
        <v>834</v>
      </c>
      <c r="H316" s="4" t="s">
        <v>835</v>
      </c>
      <c r="I316" s="12">
        <v>4823</v>
      </c>
      <c r="J316" s="12"/>
      <c r="K316" s="4" t="s">
        <v>831</v>
      </c>
      <c r="L316" s="13"/>
      <c r="M316" s="4"/>
      <c r="N316" s="4"/>
      <c r="O316" s="3"/>
      <c r="P316" s="3"/>
      <c r="Q316" s="17">
        <v>1</v>
      </c>
      <c r="R316" s="1">
        <f t="shared" si="94"/>
        <v>0</v>
      </c>
      <c r="S316" s="2">
        <v>0</v>
      </c>
      <c r="T316" s="2">
        <f t="shared" si="95"/>
        <v>0</v>
      </c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13">
        <f t="shared" si="107"/>
        <v>0</v>
      </c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8"/>
      <c r="AU316" s="18" t="s">
        <v>1105</v>
      </c>
      <c r="AV316" s="4" t="s">
        <v>1218</v>
      </c>
      <c r="AW316" s="18"/>
      <c r="AX316" s="19"/>
      <c r="AY316" s="3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>
        <f t="shared" si="103"/>
        <v>0</v>
      </c>
      <c r="BN316" s="9">
        <f t="shared" si="92"/>
        <v>0</v>
      </c>
      <c r="BO316" s="9">
        <f t="shared" si="93"/>
        <v>0</v>
      </c>
      <c r="BP316" s="9">
        <f t="shared" si="96"/>
        <v>0</v>
      </c>
      <c r="BQ316" s="9">
        <f t="shared" si="97"/>
        <v>0</v>
      </c>
      <c r="BR316" s="9">
        <f t="shared" si="98"/>
        <v>0</v>
      </c>
      <c r="BS316" s="9">
        <f t="shared" si="99"/>
        <v>0</v>
      </c>
      <c r="BT316" s="9">
        <f t="shared" si="100"/>
        <v>0</v>
      </c>
    </row>
    <row r="317" spans="1:72" hidden="1" x14ac:dyDescent="0.25">
      <c r="A317" s="11">
        <f t="shared" si="91"/>
        <v>316</v>
      </c>
      <c r="B317" s="5" t="s">
        <v>1503</v>
      </c>
      <c r="C317" s="5" t="s">
        <v>128</v>
      </c>
      <c r="D317" s="5" t="s">
        <v>1503</v>
      </c>
      <c r="E317" s="5" t="s">
        <v>723</v>
      </c>
      <c r="F317" s="5" t="s">
        <v>723</v>
      </c>
      <c r="G317" s="4" t="s">
        <v>829</v>
      </c>
      <c r="H317" s="4" t="s">
        <v>836</v>
      </c>
      <c r="I317" s="12">
        <v>4923</v>
      </c>
      <c r="J317" s="9"/>
      <c r="K317" s="4" t="s">
        <v>831</v>
      </c>
      <c r="L317" s="9"/>
      <c r="M317" s="9"/>
      <c r="N317" s="9"/>
      <c r="O317" s="9"/>
      <c r="P317" s="9"/>
      <c r="Q317" s="17">
        <v>0.4</v>
      </c>
      <c r="R317" s="1">
        <f t="shared" si="94"/>
        <v>2400000</v>
      </c>
      <c r="S317" s="2">
        <v>6400000</v>
      </c>
      <c r="T317" s="2">
        <f t="shared" si="95"/>
        <v>6000000</v>
      </c>
      <c r="U317" s="9"/>
      <c r="V317" s="9"/>
      <c r="W317" s="9"/>
      <c r="X317" s="9"/>
      <c r="Y317" s="2">
        <v>2000000</v>
      </c>
      <c r="Z317" s="2"/>
      <c r="AA317" s="2"/>
      <c r="AB317" s="2"/>
      <c r="AC317" s="2"/>
      <c r="AD317" s="2">
        <v>2000000</v>
      </c>
      <c r="AE317" s="2">
        <v>2000000</v>
      </c>
      <c r="AF317" s="2">
        <v>2000000</v>
      </c>
      <c r="AG317" s="13">
        <f t="shared" si="107"/>
        <v>2000000</v>
      </c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 t="s">
        <v>1105</v>
      </c>
      <c r="AV317" s="4" t="s">
        <v>1218</v>
      </c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>
        <f t="shared" si="103"/>
        <v>800000</v>
      </c>
      <c r="BN317" s="9">
        <f t="shared" si="92"/>
        <v>0</v>
      </c>
      <c r="BO317" s="9">
        <f t="shared" si="93"/>
        <v>0</v>
      </c>
      <c r="BP317" s="9">
        <f t="shared" si="96"/>
        <v>0</v>
      </c>
      <c r="BQ317" s="9">
        <f t="shared" si="97"/>
        <v>0</v>
      </c>
      <c r="BR317" s="9">
        <f t="shared" si="98"/>
        <v>800000</v>
      </c>
      <c r="BS317" s="9">
        <f t="shared" si="99"/>
        <v>800000</v>
      </c>
      <c r="BT317" s="9">
        <f t="shared" si="100"/>
        <v>800000</v>
      </c>
    </row>
    <row r="318" spans="1:72" hidden="1" x14ac:dyDescent="0.25">
      <c r="A318" s="11">
        <f t="shared" si="91"/>
        <v>317</v>
      </c>
      <c r="B318" s="5" t="s">
        <v>1503</v>
      </c>
      <c r="C318" s="5" t="s">
        <v>128</v>
      </c>
      <c r="D318" s="5" t="s">
        <v>1503</v>
      </c>
      <c r="E318" s="5" t="s">
        <v>723</v>
      </c>
      <c r="F318" s="5" t="s">
        <v>723</v>
      </c>
      <c r="G318" s="4" t="s">
        <v>834</v>
      </c>
      <c r="H318" s="4" t="s">
        <v>835</v>
      </c>
      <c r="I318" s="12">
        <v>4823</v>
      </c>
      <c r="J318" s="9"/>
      <c r="K318" s="4" t="s">
        <v>831</v>
      </c>
      <c r="L318" s="9"/>
      <c r="M318" s="9"/>
      <c r="N318" s="9"/>
      <c r="O318" s="9"/>
      <c r="P318" s="9"/>
      <c r="Q318" s="17">
        <v>0.5</v>
      </c>
      <c r="R318" s="1">
        <f t="shared" si="94"/>
        <v>15000000</v>
      </c>
      <c r="S318" s="2">
        <v>30000000</v>
      </c>
      <c r="T318" s="2">
        <f t="shared" si="95"/>
        <v>30000000</v>
      </c>
      <c r="U318" s="9"/>
      <c r="V318" s="9"/>
      <c r="W318" s="9"/>
      <c r="X318" s="9"/>
      <c r="Y318" s="2">
        <v>0</v>
      </c>
      <c r="Z318" s="2">
        <v>0</v>
      </c>
      <c r="AA318" s="2"/>
      <c r="AB318" s="2"/>
      <c r="AC318" s="2"/>
      <c r="AD318" s="2">
        <v>10000000</v>
      </c>
      <c r="AE318" s="2">
        <v>10000000</v>
      </c>
      <c r="AF318" s="2">
        <v>10000000</v>
      </c>
      <c r="AG318" s="13">
        <f t="shared" si="107"/>
        <v>10000000</v>
      </c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 t="s">
        <v>1105</v>
      </c>
      <c r="AV318" s="4" t="s">
        <v>1218</v>
      </c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>
        <f t="shared" si="103"/>
        <v>0</v>
      </c>
      <c r="BN318" s="9">
        <f t="shared" si="92"/>
        <v>0</v>
      </c>
      <c r="BO318" s="9">
        <f t="shared" si="93"/>
        <v>0</v>
      </c>
      <c r="BP318" s="9">
        <f t="shared" si="96"/>
        <v>0</v>
      </c>
      <c r="BQ318" s="9">
        <f t="shared" si="97"/>
        <v>0</v>
      </c>
      <c r="BR318" s="9">
        <f t="shared" si="98"/>
        <v>5000000</v>
      </c>
      <c r="BS318" s="9">
        <f t="shared" si="99"/>
        <v>5000000</v>
      </c>
      <c r="BT318" s="9">
        <f t="shared" si="100"/>
        <v>5000000</v>
      </c>
    </row>
    <row r="319" spans="1:72" hidden="1" x14ac:dyDescent="0.25">
      <c r="A319" s="11">
        <f t="shared" si="91"/>
        <v>318</v>
      </c>
      <c r="B319" s="5" t="s">
        <v>1733</v>
      </c>
      <c r="C319" s="5" t="s">
        <v>128</v>
      </c>
      <c r="D319" s="5" t="s">
        <v>1733</v>
      </c>
      <c r="E319" s="5" t="s">
        <v>723</v>
      </c>
      <c r="F319" s="5" t="s">
        <v>723</v>
      </c>
      <c r="G319" s="4" t="s">
        <v>1731</v>
      </c>
      <c r="H319" s="4" t="s">
        <v>1732</v>
      </c>
      <c r="I319" s="12">
        <v>4015</v>
      </c>
      <c r="J319" s="9"/>
      <c r="K319" s="4"/>
      <c r="L319" s="9"/>
      <c r="M319" s="9"/>
      <c r="N319" s="9"/>
      <c r="O319" s="9"/>
      <c r="P319" s="9"/>
      <c r="Q319" s="17">
        <v>0.26500000000000001</v>
      </c>
      <c r="R319" s="1">
        <f t="shared" si="94"/>
        <v>2650000</v>
      </c>
      <c r="S319" s="2"/>
      <c r="T319" s="2">
        <f t="shared" si="95"/>
        <v>10000000</v>
      </c>
      <c r="U319" s="9"/>
      <c r="V319" s="9"/>
      <c r="W319" s="9"/>
      <c r="X319" s="9"/>
      <c r="Y319" s="2"/>
      <c r="Z319" s="2">
        <v>2000000</v>
      </c>
      <c r="AA319" s="2">
        <v>2000000</v>
      </c>
      <c r="AB319" s="2">
        <v>2000000</v>
      </c>
      <c r="AC319" s="2">
        <v>2000000</v>
      </c>
      <c r="AD319" s="2">
        <v>2000000</v>
      </c>
      <c r="AE319" s="2">
        <v>2000000</v>
      </c>
      <c r="AF319" s="2">
        <v>2000000</v>
      </c>
      <c r="AG319" s="13">
        <f t="shared" si="107"/>
        <v>2000000</v>
      </c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 t="s">
        <v>1105</v>
      </c>
      <c r="AV319" s="4" t="s">
        <v>1218</v>
      </c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>
        <f t="shared" si="92"/>
        <v>530000</v>
      </c>
      <c r="BO319" s="9">
        <f t="shared" si="93"/>
        <v>530000</v>
      </c>
      <c r="BP319" s="9">
        <f t="shared" si="96"/>
        <v>530000</v>
      </c>
      <c r="BQ319" s="9">
        <f t="shared" si="97"/>
        <v>530000</v>
      </c>
      <c r="BR319" s="9">
        <f t="shared" si="98"/>
        <v>530000</v>
      </c>
      <c r="BS319" s="9">
        <f t="shared" si="99"/>
        <v>530000</v>
      </c>
      <c r="BT319" s="9">
        <f t="shared" si="100"/>
        <v>530000</v>
      </c>
    </row>
    <row r="320" spans="1:72" hidden="1" x14ac:dyDescent="0.25">
      <c r="A320" s="11">
        <f t="shared" si="91"/>
        <v>319</v>
      </c>
      <c r="B320" s="44" t="s">
        <v>1504</v>
      </c>
      <c r="C320" s="44" t="s">
        <v>128</v>
      </c>
      <c r="D320" s="44" t="s">
        <v>1505</v>
      </c>
      <c r="E320" s="44" t="s">
        <v>723</v>
      </c>
      <c r="F320" s="44" t="s">
        <v>723</v>
      </c>
      <c r="G320" s="45" t="s">
        <v>837</v>
      </c>
      <c r="H320" s="45" t="s">
        <v>838</v>
      </c>
      <c r="I320" s="46" t="s">
        <v>839</v>
      </c>
      <c r="J320" s="47" t="s">
        <v>840</v>
      </c>
      <c r="K320" s="45" t="s">
        <v>831</v>
      </c>
      <c r="L320" s="47"/>
      <c r="M320" s="47"/>
      <c r="N320" s="47"/>
      <c r="O320" s="47"/>
      <c r="P320" s="47"/>
      <c r="Q320" s="48">
        <v>0.14000000000000001</v>
      </c>
      <c r="R320" s="1">
        <f t="shared" si="94"/>
        <v>2100000</v>
      </c>
      <c r="S320" s="49">
        <v>5600000.0000000009</v>
      </c>
      <c r="T320" s="2">
        <f t="shared" si="95"/>
        <v>15000000</v>
      </c>
      <c r="U320" s="47"/>
      <c r="V320" s="47"/>
      <c r="W320" s="47"/>
      <c r="X320" s="47"/>
      <c r="Y320" s="49">
        <v>5000000</v>
      </c>
      <c r="Z320" s="49"/>
      <c r="AA320" s="49"/>
      <c r="AB320" s="49"/>
      <c r="AC320" s="49"/>
      <c r="AD320" s="49">
        <v>5000000</v>
      </c>
      <c r="AE320" s="49">
        <v>5000000</v>
      </c>
      <c r="AF320" s="49">
        <v>5000000</v>
      </c>
      <c r="AG320" s="13">
        <f t="shared" si="107"/>
        <v>5000000</v>
      </c>
      <c r="AH320" s="47"/>
      <c r="AI320" s="47"/>
      <c r="AJ320" s="47"/>
      <c r="AK320" s="47"/>
      <c r="AL320" s="47"/>
      <c r="AM320" s="47"/>
      <c r="AN320" s="47"/>
      <c r="AO320" s="47"/>
      <c r="AP320" s="47"/>
      <c r="AQ320" s="47"/>
      <c r="AR320" s="47"/>
      <c r="AS320" s="47"/>
      <c r="AT320" s="47"/>
      <c r="AU320" s="9" t="s">
        <v>1105</v>
      </c>
      <c r="AV320" s="4" t="s">
        <v>1218</v>
      </c>
      <c r="AW320" s="47"/>
      <c r="AX320" s="47"/>
      <c r="AY320" s="47"/>
      <c r="AZ320" s="47"/>
      <c r="BA320" s="47"/>
      <c r="BB320" s="47"/>
      <c r="BC320" s="47"/>
      <c r="BD320" s="47"/>
      <c r="BE320" s="47"/>
      <c r="BF320" s="47"/>
      <c r="BG320" s="47"/>
      <c r="BH320" s="47"/>
      <c r="BI320" s="47"/>
      <c r="BJ320" s="47"/>
      <c r="BK320" s="47"/>
      <c r="BL320" s="47"/>
      <c r="BM320" s="9">
        <f t="shared" si="103"/>
        <v>700000.00000000012</v>
      </c>
      <c r="BN320" s="9">
        <f t="shared" si="92"/>
        <v>0</v>
      </c>
      <c r="BO320" s="9">
        <f t="shared" si="93"/>
        <v>0</v>
      </c>
      <c r="BP320" s="9">
        <f t="shared" si="96"/>
        <v>0</v>
      </c>
      <c r="BQ320" s="9">
        <f t="shared" si="97"/>
        <v>0</v>
      </c>
      <c r="BR320" s="9">
        <f t="shared" si="98"/>
        <v>700000.00000000012</v>
      </c>
      <c r="BS320" s="9">
        <f t="shared" si="99"/>
        <v>700000.00000000012</v>
      </c>
      <c r="BT320" s="9">
        <f t="shared" si="100"/>
        <v>700000.00000000012</v>
      </c>
    </row>
    <row r="321" spans="1:72" hidden="1" x14ac:dyDescent="0.25">
      <c r="A321" s="11">
        <f t="shared" si="91"/>
        <v>320</v>
      </c>
      <c r="B321" s="5" t="s">
        <v>841</v>
      </c>
      <c r="C321" s="5" t="s">
        <v>59</v>
      </c>
      <c r="D321" s="5" t="s">
        <v>1506</v>
      </c>
      <c r="E321" s="5" t="s">
        <v>723</v>
      </c>
      <c r="F321" s="5" t="s">
        <v>723</v>
      </c>
      <c r="G321" s="4" t="s">
        <v>243</v>
      </c>
      <c r="H321" s="4" t="s">
        <v>599</v>
      </c>
      <c r="I321" s="12">
        <v>2442</v>
      </c>
      <c r="J321" s="9"/>
      <c r="K321" s="17"/>
      <c r="L321" s="1"/>
      <c r="M321" s="2"/>
      <c r="N321" s="2"/>
      <c r="O321" s="9"/>
      <c r="P321" s="9"/>
      <c r="Q321" s="9">
        <v>0.28000000000000003</v>
      </c>
      <c r="R321" s="1">
        <f t="shared" si="94"/>
        <v>210000.00000000003</v>
      </c>
      <c r="S321" s="2"/>
      <c r="T321" s="2">
        <f t="shared" si="95"/>
        <v>750000</v>
      </c>
      <c r="U321" s="2"/>
      <c r="V321" s="2"/>
      <c r="W321" s="2"/>
      <c r="X321" s="2"/>
      <c r="Y321" s="2">
        <v>150000</v>
      </c>
      <c r="Z321" s="2">
        <v>150000</v>
      </c>
      <c r="AA321" s="2">
        <v>150000</v>
      </c>
      <c r="AB321" s="2">
        <v>150000</v>
      </c>
      <c r="AC321" s="2">
        <v>150000</v>
      </c>
      <c r="AD321" s="2">
        <v>150000</v>
      </c>
      <c r="AE321" s="2">
        <v>150000</v>
      </c>
      <c r="AF321" s="2">
        <v>150000</v>
      </c>
      <c r="AG321" s="13">
        <f t="shared" si="107"/>
        <v>150000</v>
      </c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 t="s">
        <v>1105</v>
      </c>
      <c r="AV321" s="4" t="s">
        <v>1218</v>
      </c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>
        <f t="shared" si="103"/>
        <v>42000.000000000007</v>
      </c>
      <c r="BN321" s="9">
        <f t="shared" ref="BN321:BN383" si="108">$Q321*Z321</f>
        <v>42000.000000000007</v>
      </c>
      <c r="BO321" s="9">
        <f t="shared" ref="BO321:BO383" si="109">$Q321*AA321</f>
        <v>42000.000000000007</v>
      </c>
      <c r="BP321" s="9">
        <f t="shared" si="96"/>
        <v>42000.000000000007</v>
      </c>
      <c r="BQ321" s="9">
        <f t="shared" si="97"/>
        <v>42000.000000000007</v>
      </c>
      <c r="BR321" s="9">
        <f t="shared" si="98"/>
        <v>42000.000000000007</v>
      </c>
      <c r="BS321" s="9">
        <f t="shared" si="99"/>
        <v>42000.000000000007</v>
      </c>
      <c r="BT321" s="9">
        <f t="shared" si="100"/>
        <v>42000.000000000007</v>
      </c>
    </row>
    <row r="322" spans="1:72" hidden="1" x14ac:dyDescent="0.25">
      <c r="A322" s="11">
        <f t="shared" ref="A322:A384" si="110">ROW()-1</f>
        <v>321</v>
      </c>
      <c r="B322" s="5" t="s">
        <v>1507</v>
      </c>
      <c r="C322" s="5" t="s">
        <v>128</v>
      </c>
      <c r="D322" s="5" t="s">
        <v>1506</v>
      </c>
      <c r="E322" s="5" t="s">
        <v>723</v>
      </c>
      <c r="F322" s="5" t="s">
        <v>723</v>
      </c>
      <c r="G322" s="4" t="s">
        <v>842</v>
      </c>
      <c r="H322" s="4" t="s">
        <v>843</v>
      </c>
      <c r="I322" s="12"/>
      <c r="J322" s="9"/>
      <c r="K322" s="4" t="s">
        <v>831</v>
      </c>
      <c r="L322" s="9"/>
      <c r="M322" s="9"/>
      <c r="N322" s="9"/>
      <c r="O322" s="9"/>
      <c r="P322" s="9"/>
      <c r="Q322" s="17">
        <v>1665</v>
      </c>
      <c r="R322" s="1">
        <f t="shared" ref="R322:R384" si="111">Q322*T322</f>
        <v>1040625</v>
      </c>
      <c r="S322" s="2">
        <v>1665000</v>
      </c>
      <c r="T322" s="2">
        <f t="shared" ref="T322:T384" si="112">SUM(AB322:AF322)</f>
        <v>625</v>
      </c>
      <c r="U322" s="9"/>
      <c r="V322" s="9"/>
      <c r="W322" s="9"/>
      <c r="X322" s="2">
        <v>125</v>
      </c>
      <c r="Y322" s="2">
        <v>125</v>
      </c>
      <c r="Z322" s="2">
        <v>125</v>
      </c>
      <c r="AA322" s="2">
        <v>125</v>
      </c>
      <c r="AB322" s="2">
        <v>125</v>
      </c>
      <c r="AC322" s="2">
        <v>125</v>
      </c>
      <c r="AD322" s="2">
        <v>125</v>
      </c>
      <c r="AE322" s="2">
        <v>125</v>
      </c>
      <c r="AF322" s="2">
        <v>125</v>
      </c>
      <c r="AG322" s="13">
        <f t="shared" si="107"/>
        <v>125</v>
      </c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 t="s">
        <v>1105</v>
      </c>
      <c r="AV322" s="4" t="s">
        <v>1218</v>
      </c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>
        <f t="shared" si="103"/>
        <v>208125</v>
      </c>
      <c r="BN322" s="9">
        <f t="shared" si="108"/>
        <v>208125</v>
      </c>
      <c r="BO322" s="9">
        <f t="shared" si="109"/>
        <v>208125</v>
      </c>
      <c r="BP322" s="9">
        <f t="shared" si="96"/>
        <v>208125</v>
      </c>
      <c r="BQ322" s="9">
        <f t="shared" si="97"/>
        <v>208125</v>
      </c>
      <c r="BR322" s="9">
        <f t="shared" si="98"/>
        <v>208125</v>
      </c>
      <c r="BS322" s="9">
        <f t="shared" si="99"/>
        <v>208125</v>
      </c>
      <c r="BT322" s="9">
        <f t="shared" si="100"/>
        <v>208125</v>
      </c>
    </row>
    <row r="323" spans="1:72" hidden="1" x14ac:dyDescent="0.25">
      <c r="A323" s="11">
        <f t="shared" si="110"/>
        <v>322</v>
      </c>
      <c r="B323" s="5" t="s">
        <v>1508</v>
      </c>
      <c r="C323" s="5" t="s">
        <v>59</v>
      </c>
      <c r="D323" s="5" t="s">
        <v>1506</v>
      </c>
      <c r="E323" s="5" t="s">
        <v>723</v>
      </c>
      <c r="F323" s="5" t="s">
        <v>723</v>
      </c>
      <c r="G323" s="5" t="s">
        <v>844</v>
      </c>
      <c r="H323" s="4" t="s">
        <v>845</v>
      </c>
      <c r="I323" s="12"/>
      <c r="J323" s="9"/>
      <c r="K323" s="9"/>
      <c r="L323" s="9"/>
      <c r="M323" s="9"/>
      <c r="N323" s="9"/>
      <c r="O323" s="9"/>
      <c r="P323" s="9"/>
      <c r="Q323" s="17">
        <v>0.33</v>
      </c>
      <c r="R323" s="1">
        <f t="shared" si="111"/>
        <v>16500</v>
      </c>
      <c r="S323" s="2"/>
      <c r="T323" s="2">
        <f t="shared" si="112"/>
        <v>50000</v>
      </c>
      <c r="U323" s="9"/>
      <c r="V323" s="9"/>
      <c r="W323" s="9"/>
      <c r="X323" s="9"/>
      <c r="Y323" s="2"/>
      <c r="Z323" s="2"/>
      <c r="AA323" s="2"/>
      <c r="AB323" s="2">
        <v>10000</v>
      </c>
      <c r="AC323" s="2">
        <v>10000</v>
      </c>
      <c r="AD323" s="2">
        <v>10000</v>
      </c>
      <c r="AE323" s="2">
        <v>10000</v>
      </c>
      <c r="AF323" s="2">
        <v>10000</v>
      </c>
      <c r="AG323" s="2">
        <v>10000</v>
      </c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 t="s">
        <v>1105</v>
      </c>
      <c r="AV323" s="4" t="s">
        <v>1218</v>
      </c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>
        <f t="shared" si="103"/>
        <v>0</v>
      </c>
      <c r="BN323" s="9">
        <f t="shared" si="108"/>
        <v>0</v>
      </c>
      <c r="BO323" s="9">
        <f t="shared" si="109"/>
        <v>0</v>
      </c>
      <c r="BP323" s="9">
        <f t="shared" ref="BP323:BP386" si="113">$Q323*AB323</f>
        <v>3300</v>
      </c>
      <c r="BQ323" s="9">
        <f t="shared" ref="BQ323:BQ386" si="114">$Q323*AC323</f>
        <v>3300</v>
      </c>
      <c r="BR323" s="9">
        <f t="shared" ref="BR323:BR386" si="115">$Q323*AD323</f>
        <v>3300</v>
      </c>
      <c r="BS323" s="9">
        <f t="shared" ref="BS323:BS386" si="116">$Q323*AE323</f>
        <v>3300</v>
      </c>
      <c r="BT323" s="9">
        <f t="shared" ref="BT323:BT386" si="117">$Q323*AF323</f>
        <v>3300</v>
      </c>
    </row>
    <row r="324" spans="1:72" hidden="1" x14ac:dyDescent="0.25">
      <c r="A324" s="11">
        <f t="shared" si="110"/>
        <v>323</v>
      </c>
      <c r="B324" s="5" t="s">
        <v>1509</v>
      </c>
      <c r="C324" s="5" t="s">
        <v>59</v>
      </c>
      <c r="D324" s="5" t="s">
        <v>1506</v>
      </c>
      <c r="E324" s="5" t="s">
        <v>723</v>
      </c>
      <c r="F324" s="5" t="s">
        <v>723</v>
      </c>
      <c r="G324" s="4" t="s">
        <v>846</v>
      </c>
      <c r="H324" s="4" t="s">
        <v>847</v>
      </c>
      <c r="I324" s="12" t="s">
        <v>848</v>
      </c>
      <c r="J324" s="9"/>
      <c r="K324" s="9"/>
      <c r="L324" s="9"/>
      <c r="M324" s="9"/>
      <c r="N324" s="9"/>
      <c r="O324" s="9"/>
      <c r="P324" s="9"/>
      <c r="Q324" s="17">
        <v>0.25</v>
      </c>
      <c r="R324" s="1">
        <f t="shared" si="111"/>
        <v>0</v>
      </c>
      <c r="S324" s="2">
        <v>0</v>
      </c>
      <c r="T324" s="2">
        <f t="shared" si="112"/>
        <v>0</v>
      </c>
      <c r="U324" s="9"/>
      <c r="V324" s="9"/>
      <c r="W324" s="9"/>
      <c r="X324" s="9"/>
      <c r="Y324" s="2"/>
      <c r="Z324" s="2"/>
      <c r="AA324" s="2"/>
      <c r="AB324" s="2"/>
      <c r="AC324" s="2"/>
      <c r="AD324" s="2"/>
      <c r="AE324" s="2"/>
      <c r="AF324" s="2"/>
      <c r="AG324" s="13">
        <f>AF324</f>
        <v>0</v>
      </c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 t="s">
        <v>1105</v>
      </c>
      <c r="AV324" s="4" t="s">
        <v>1218</v>
      </c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>
        <f t="shared" si="103"/>
        <v>0</v>
      </c>
      <c r="BN324" s="9">
        <f t="shared" si="108"/>
        <v>0</v>
      </c>
      <c r="BO324" s="9">
        <f t="shared" si="109"/>
        <v>0</v>
      </c>
      <c r="BP324" s="9">
        <f t="shared" si="113"/>
        <v>0</v>
      </c>
      <c r="BQ324" s="9">
        <f t="shared" si="114"/>
        <v>0</v>
      </c>
      <c r="BR324" s="9">
        <f t="shared" si="115"/>
        <v>0</v>
      </c>
      <c r="BS324" s="9">
        <f t="shared" si="116"/>
        <v>0</v>
      </c>
      <c r="BT324" s="9">
        <f t="shared" si="117"/>
        <v>0</v>
      </c>
    </row>
    <row r="325" spans="1:72" hidden="1" x14ac:dyDescent="0.25">
      <c r="A325" s="11">
        <f t="shared" si="110"/>
        <v>324</v>
      </c>
      <c r="B325" s="5" t="s">
        <v>1509</v>
      </c>
      <c r="C325" s="5" t="s">
        <v>59</v>
      </c>
      <c r="D325" s="5" t="s">
        <v>1506</v>
      </c>
      <c r="E325" s="5" t="s">
        <v>723</v>
      </c>
      <c r="F325" s="5" t="s">
        <v>723</v>
      </c>
      <c r="G325" s="5" t="s">
        <v>1510</v>
      </c>
      <c r="H325" s="4" t="s">
        <v>849</v>
      </c>
      <c r="I325" s="12">
        <v>2546</v>
      </c>
      <c r="J325" s="9"/>
      <c r="K325" s="9"/>
      <c r="L325" s="9"/>
      <c r="M325" s="9"/>
      <c r="N325" s="9"/>
      <c r="O325" s="9"/>
      <c r="P325" s="9"/>
      <c r="Q325" s="17">
        <v>1.2</v>
      </c>
      <c r="R325" s="1">
        <f t="shared" si="111"/>
        <v>30000</v>
      </c>
      <c r="S325" s="2"/>
      <c r="T325" s="2">
        <f t="shared" si="112"/>
        <v>25000</v>
      </c>
      <c r="U325" s="9"/>
      <c r="V325" s="9"/>
      <c r="W325" s="9"/>
      <c r="X325" s="9"/>
      <c r="Y325" s="2"/>
      <c r="Z325" s="2"/>
      <c r="AA325" s="2"/>
      <c r="AB325" s="2">
        <v>5000</v>
      </c>
      <c r="AC325" s="2">
        <v>5000</v>
      </c>
      <c r="AD325" s="2">
        <v>5000</v>
      </c>
      <c r="AE325" s="2">
        <v>5000</v>
      </c>
      <c r="AF325" s="2">
        <v>5000</v>
      </c>
      <c r="AG325" s="2">
        <v>5000</v>
      </c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 t="s">
        <v>1105</v>
      </c>
      <c r="AV325" s="4" t="s">
        <v>1218</v>
      </c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>
        <f t="shared" si="103"/>
        <v>0</v>
      </c>
      <c r="BN325" s="9">
        <f t="shared" si="108"/>
        <v>0</v>
      </c>
      <c r="BO325" s="9">
        <f t="shared" si="109"/>
        <v>0</v>
      </c>
      <c r="BP325" s="9">
        <f t="shared" si="113"/>
        <v>6000</v>
      </c>
      <c r="BQ325" s="9">
        <f t="shared" si="114"/>
        <v>6000</v>
      </c>
      <c r="BR325" s="9">
        <f t="shared" si="115"/>
        <v>6000</v>
      </c>
      <c r="BS325" s="9">
        <f t="shared" si="116"/>
        <v>6000</v>
      </c>
      <c r="BT325" s="9">
        <f t="shared" si="117"/>
        <v>6000</v>
      </c>
    </row>
    <row r="326" spans="1:72" hidden="1" x14ac:dyDescent="0.25">
      <c r="A326" s="11">
        <f t="shared" si="110"/>
        <v>325</v>
      </c>
      <c r="B326" s="5" t="s">
        <v>1511</v>
      </c>
      <c r="C326" s="5" t="s">
        <v>59</v>
      </c>
      <c r="D326" s="5" t="s">
        <v>1506</v>
      </c>
      <c r="E326" s="5" t="s">
        <v>723</v>
      </c>
      <c r="F326" s="5" t="s">
        <v>723</v>
      </c>
      <c r="G326" s="4" t="s">
        <v>144</v>
      </c>
      <c r="H326" s="4" t="s">
        <v>545</v>
      </c>
      <c r="I326" s="12">
        <v>2402</v>
      </c>
      <c r="J326" s="9" t="s">
        <v>850</v>
      </c>
      <c r="K326" s="9"/>
      <c r="L326" s="9"/>
      <c r="M326" s="9"/>
      <c r="N326" s="9"/>
      <c r="O326" s="9"/>
      <c r="P326" s="9"/>
      <c r="Q326" s="17">
        <v>0.13</v>
      </c>
      <c r="R326" s="1">
        <f t="shared" si="111"/>
        <v>0</v>
      </c>
      <c r="S326" s="2"/>
      <c r="T326" s="2">
        <f t="shared" si="112"/>
        <v>0</v>
      </c>
      <c r="U326" s="9"/>
      <c r="V326" s="9"/>
      <c r="W326" s="9"/>
      <c r="X326" s="9"/>
      <c r="Y326" s="2"/>
      <c r="Z326" s="2"/>
      <c r="AA326" s="2"/>
      <c r="AB326" s="2"/>
      <c r="AC326" s="2"/>
      <c r="AD326" s="2"/>
      <c r="AE326" s="2"/>
      <c r="AF326" s="2"/>
      <c r="AG326" s="13">
        <f t="shared" ref="AG326:AG336" si="118">AF326</f>
        <v>0</v>
      </c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 t="s">
        <v>1105</v>
      </c>
      <c r="AV326" s="4" t="s">
        <v>1218</v>
      </c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>
        <f t="shared" si="103"/>
        <v>0</v>
      </c>
      <c r="BN326" s="9">
        <f t="shared" si="108"/>
        <v>0</v>
      </c>
      <c r="BO326" s="9">
        <f t="shared" si="109"/>
        <v>0</v>
      </c>
      <c r="BP326" s="9">
        <f t="shared" si="113"/>
        <v>0</v>
      </c>
      <c r="BQ326" s="9">
        <f t="shared" si="114"/>
        <v>0</v>
      </c>
      <c r="BR326" s="9">
        <f t="shared" si="115"/>
        <v>0</v>
      </c>
      <c r="BS326" s="9">
        <f t="shared" si="116"/>
        <v>0</v>
      </c>
      <c r="BT326" s="9">
        <f t="shared" si="117"/>
        <v>0</v>
      </c>
    </row>
    <row r="327" spans="1:72" hidden="1" x14ac:dyDescent="0.25">
      <c r="A327" s="11">
        <f t="shared" si="110"/>
        <v>326</v>
      </c>
      <c r="B327" s="5" t="s">
        <v>1512</v>
      </c>
      <c r="C327" s="5" t="s">
        <v>59</v>
      </c>
      <c r="D327" s="5" t="s">
        <v>1506</v>
      </c>
      <c r="E327" s="5" t="s">
        <v>723</v>
      </c>
      <c r="F327" s="5" t="s">
        <v>723</v>
      </c>
      <c r="G327" s="5" t="s">
        <v>184</v>
      </c>
      <c r="H327" s="4" t="s">
        <v>1083</v>
      </c>
      <c r="I327" s="12">
        <v>2462</v>
      </c>
      <c r="J327" s="9"/>
      <c r="K327" s="9"/>
      <c r="L327" s="9"/>
      <c r="M327" s="9"/>
      <c r="N327" s="9"/>
      <c r="O327" s="9"/>
      <c r="P327" s="9"/>
      <c r="Q327" s="17">
        <v>0.4</v>
      </c>
      <c r="R327" s="1">
        <f t="shared" si="111"/>
        <v>0</v>
      </c>
      <c r="S327" s="2"/>
      <c r="T327" s="2">
        <f t="shared" si="112"/>
        <v>0</v>
      </c>
      <c r="U327" s="9"/>
      <c r="V327" s="9"/>
      <c r="W327" s="9"/>
      <c r="X327" s="9"/>
      <c r="Y327" s="2"/>
      <c r="Z327" s="2"/>
      <c r="AA327" s="2"/>
      <c r="AB327" s="2"/>
      <c r="AC327" s="2"/>
      <c r="AD327" s="2"/>
      <c r="AE327" s="2"/>
      <c r="AF327" s="2"/>
      <c r="AG327" s="13">
        <f t="shared" si="118"/>
        <v>0</v>
      </c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 t="s">
        <v>1105</v>
      </c>
      <c r="AV327" s="4" t="s">
        <v>1218</v>
      </c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>
        <f t="shared" si="103"/>
        <v>0</v>
      </c>
      <c r="BN327" s="9">
        <f t="shared" si="108"/>
        <v>0</v>
      </c>
      <c r="BO327" s="9">
        <f t="shared" si="109"/>
        <v>0</v>
      </c>
      <c r="BP327" s="9">
        <f t="shared" si="113"/>
        <v>0</v>
      </c>
      <c r="BQ327" s="9">
        <f t="shared" si="114"/>
        <v>0</v>
      </c>
      <c r="BR327" s="9">
        <f t="shared" si="115"/>
        <v>0</v>
      </c>
      <c r="BS327" s="9">
        <f t="shared" si="116"/>
        <v>0</v>
      </c>
      <c r="BT327" s="9">
        <f t="shared" si="117"/>
        <v>0</v>
      </c>
    </row>
    <row r="328" spans="1:72" hidden="1" x14ac:dyDescent="0.25">
      <c r="A328" s="11">
        <f t="shared" si="110"/>
        <v>327</v>
      </c>
      <c r="B328" s="5" t="s">
        <v>1513</v>
      </c>
      <c r="C328" s="5" t="s">
        <v>59</v>
      </c>
      <c r="D328" s="5" t="s">
        <v>1506</v>
      </c>
      <c r="E328" s="5" t="s">
        <v>723</v>
      </c>
      <c r="F328" s="5" t="s">
        <v>723</v>
      </c>
      <c r="G328" s="5" t="s">
        <v>184</v>
      </c>
      <c r="H328" s="4" t="s">
        <v>1083</v>
      </c>
      <c r="I328" s="12">
        <v>2462</v>
      </c>
      <c r="J328" s="9"/>
      <c r="K328" s="9"/>
      <c r="L328" s="9"/>
      <c r="M328" s="9"/>
      <c r="N328" s="9"/>
      <c r="O328" s="9"/>
      <c r="P328" s="9"/>
      <c r="Q328" s="17">
        <v>0.4</v>
      </c>
      <c r="R328" s="1">
        <f t="shared" si="111"/>
        <v>0</v>
      </c>
      <c r="S328" s="2"/>
      <c r="T328" s="2">
        <f t="shared" si="112"/>
        <v>0</v>
      </c>
      <c r="U328" s="9"/>
      <c r="V328" s="9"/>
      <c r="W328" s="9"/>
      <c r="X328" s="9"/>
      <c r="Y328" s="2"/>
      <c r="Z328" s="2"/>
      <c r="AA328" s="2"/>
      <c r="AB328" s="2"/>
      <c r="AC328" s="2"/>
      <c r="AD328" s="2"/>
      <c r="AE328" s="2"/>
      <c r="AF328" s="2"/>
      <c r="AG328" s="13">
        <f t="shared" si="118"/>
        <v>0</v>
      </c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 t="s">
        <v>1105</v>
      </c>
      <c r="AV328" s="4" t="s">
        <v>1218</v>
      </c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>
        <f t="shared" si="103"/>
        <v>0</v>
      </c>
      <c r="BN328" s="9">
        <f t="shared" si="108"/>
        <v>0</v>
      </c>
      <c r="BO328" s="9">
        <f t="shared" si="109"/>
        <v>0</v>
      </c>
      <c r="BP328" s="9">
        <f t="shared" si="113"/>
        <v>0</v>
      </c>
      <c r="BQ328" s="9">
        <f t="shared" si="114"/>
        <v>0</v>
      </c>
      <c r="BR328" s="9">
        <f t="shared" si="115"/>
        <v>0</v>
      </c>
      <c r="BS328" s="9">
        <f t="shared" si="116"/>
        <v>0</v>
      </c>
      <c r="BT328" s="9">
        <f t="shared" si="117"/>
        <v>0</v>
      </c>
    </row>
    <row r="329" spans="1:72" hidden="1" x14ac:dyDescent="0.25">
      <c r="A329" s="11">
        <f t="shared" si="110"/>
        <v>328</v>
      </c>
      <c r="B329" s="5" t="s">
        <v>1514</v>
      </c>
      <c r="C329" s="5" t="s">
        <v>59</v>
      </c>
      <c r="D329" s="5" t="s">
        <v>1506</v>
      </c>
      <c r="E329" s="5" t="s">
        <v>723</v>
      </c>
      <c r="F329" s="5" t="s">
        <v>723</v>
      </c>
      <c r="G329" s="4" t="s">
        <v>837</v>
      </c>
      <c r="H329" s="4" t="s">
        <v>851</v>
      </c>
      <c r="I329" s="12" t="s">
        <v>852</v>
      </c>
      <c r="J329" s="9"/>
      <c r="K329" s="4" t="s">
        <v>831</v>
      </c>
      <c r="L329" s="9"/>
      <c r="M329" s="9"/>
      <c r="N329" s="9"/>
      <c r="O329" s="9"/>
      <c r="P329" s="9"/>
      <c r="Q329" s="17">
        <v>0.14000000000000001</v>
      </c>
      <c r="R329" s="1">
        <f t="shared" si="111"/>
        <v>0</v>
      </c>
      <c r="S329" s="2">
        <v>0</v>
      </c>
      <c r="T329" s="2">
        <f t="shared" si="112"/>
        <v>0</v>
      </c>
      <c r="U329" s="9"/>
      <c r="V329" s="9"/>
      <c r="W329" s="9"/>
      <c r="X329" s="9"/>
      <c r="Y329" s="2"/>
      <c r="Z329" s="2"/>
      <c r="AA329" s="2"/>
      <c r="AB329" s="2"/>
      <c r="AC329" s="2"/>
      <c r="AD329" s="2"/>
      <c r="AE329" s="2"/>
      <c r="AF329" s="2"/>
      <c r="AG329" s="13">
        <f t="shared" si="118"/>
        <v>0</v>
      </c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 t="s">
        <v>1105</v>
      </c>
      <c r="AV329" s="4" t="s">
        <v>1218</v>
      </c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>
        <f t="shared" si="103"/>
        <v>0</v>
      </c>
      <c r="BN329" s="9">
        <f t="shared" si="108"/>
        <v>0</v>
      </c>
      <c r="BO329" s="9">
        <f t="shared" si="109"/>
        <v>0</v>
      </c>
      <c r="BP329" s="9">
        <f t="shared" si="113"/>
        <v>0</v>
      </c>
      <c r="BQ329" s="9">
        <f t="shared" si="114"/>
        <v>0</v>
      </c>
      <c r="BR329" s="9">
        <f t="shared" si="115"/>
        <v>0</v>
      </c>
      <c r="BS329" s="9">
        <f t="shared" si="116"/>
        <v>0</v>
      </c>
      <c r="BT329" s="9">
        <f t="shared" si="117"/>
        <v>0</v>
      </c>
    </row>
    <row r="330" spans="1:72" hidden="1" x14ac:dyDescent="0.25">
      <c r="A330" s="11">
        <f t="shared" si="110"/>
        <v>329</v>
      </c>
      <c r="B330" s="5" t="s">
        <v>1515</v>
      </c>
      <c r="C330" s="5" t="s">
        <v>59</v>
      </c>
      <c r="D330" s="5" t="s">
        <v>1506</v>
      </c>
      <c r="E330" s="5" t="s">
        <v>723</v>
      </c>
      <c r="F330" s="5" t="s">
        <v>723</v>
      </c>
      <c r="G330" s="5" t="s">
        <v>853</v>
      </c>
      <c r="H330" s="4" t="s">
        <v>854</v>
      </c>
      <c r="I330" s="12"/>
      <c r="J330" s="9"/>
      <c r="K330" s="9"/>
      <c r="L330" s="9"/>
      <c r="M330" s="9"/>
      <c r="N330" s="9"/>
      <c r="O330" s="9"/>
      <c r="P330" s="9"/>
      <c r="Q330" s="5">
        <v>2.25</v>
      </c>
      <c r="R330" s="1">
        <f t="shared" si="111"/>
        <v>0</v>
      </c>
      <c r="S330" s="2"/>
      <c r="T330" s="2">
        <f t="shared" si="112"/>
        <v>0</v>
      </c>
      <c r="U330" s="9"/>
      <c r="V330" s="9"/>
      <c r="W330" s="9"/>
      <c r="X330" s="9"/>
      <c r="Y330" s="2"/>
      <c r="Z330" s="2"/>
      <c r="AA330" s="2"/>
      <c r="AB330" s="2"/>
      <c r="AC330" s="2"/>
      <c r="AD330" s="2"/>
      <c r="AE330" s="2"/>
      <c r="AF330" s="2"/>
      <c r="AG330" s="13">
        <f t="shared" si="118"/>
        <v>0</v>
      </c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 t="s">
        <v>1105</v>
      </c>
      <c r="AV330" s="4" t="s">
        <v>1216</v>
      </c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>
        <f t="shared" si="103"/>
        <v>0</v>
      </c>
      <c r="BN330" s="9">
        <f t="shared" si="108"/>
        <v>0</v>
      </c>
      <c r="BO330" s="9">
        <f t="shared" si="109"/>
        <v>0</v>
      </c>
      <c r="BP330" s="9">
        <f t="shared" si="113"/>
        <v>0</v>
      </c>
      <c r="BQ330" s="9">
        <f t="shared" si="114"/>
        <v>0</v>
      </c>
      <c r="BR330" s="9">
        <f t="shared" si="115"/>
        <v>0</v>
      </c>
      <c r="BS330" s="9">
        <f t="shared" si="116"/>
        <v>0</v>
      </c>
      <c r="BT330" s="9">
        <f t="shared" si="117"/>
        <v>0</v>
      </c>
    </row>
    <row r="331" spans="1:72" hidden="1" x14ac:dyDescent="0.25">
      <c r="A331" s="11">
        <f t="shared" si="110"/>
        <v>330</v>
      </c>
      <c r="B331" s="5" t="s">
        <v>1516</v>
      </c>
      <c r="C331" s="5" t="s">
        <v>59</v>
      </c>
      <c r="D331" s="5" t="s">
        <v>1506</v>
      </c>
      <c r="E331" s="5" t="s">
        <v>723</v>
      </c>
      <c r="F331" s="5" t="s">
        <v>723</v>
      </c>
      <c r="G331" s="5" t="s">
        <v>540</v>
      </c>
      <c r="H331" s="33" t="s">
        <v>541</v>
      </c>
      <c r="I331" s="12">
        <v>2442</v>
      </c>
      <c r="J331" s="9"/>
      <c r="K331" s="9"/>
      <c r="L331" s="9"/>
      <c r="M331" s="9"/>
      <c r="N331" s="9"/>
      <c r="O331" s="9"/>
      <c r="P331" s="9"/>
      <c r="Q331" s="17">
        <v>0.4</v>
      </c>
      <c r="R331" s="1">
        <f t="shared" si="111"/>
        <v>480000</v>
      </c>
      <c r="S331" s="2"/>
      <c r="T331" s="2">
        <f t="shared" si="112"/>
        <v>1200000</v>
      </c>
      <c r="U331" s="9"/>
      <c r="V331" s="9"/>
      <c r="W331" s="9"/>
      <c r="X331" s="9"/>
      <c r="Y331" s="2">
        <v>240000</v>
      </c>
      <c r="Z331" s="2">
        <v>240000</v>
      </c>
      <c r="AA331" s="2">
        <v>240000</v>
      </c>
      <c r="AB331" s="2">
        <v>240000</v>
      </c>
      <c r="AC331" s="2">
        <v>240000</v>
      </c>
      <c r="AD331" s="2">
        <v>240000</v>
      </c>
      <c r="AE331" s="2">
        <v>240000</v>
      </c>
      <c r="AF331" s="2">
        <v>240000</v>
      </c>
      <c r="AG331" s="13">
        <f t="shared" si="118"/>
        <v>240000</v>
      </c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 t="s">
        <v>1105</v>
      </c>
      <c r="AV331" s="4" t="s">
        <v>1218</v>
      </c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>
        <f t="shared" si="103"/>
        <v>96000</v>
      </c>
      <c r="BN331" s="9">
        <f t="shared" si="108"/>
        <v>96000</v>
      </c>
      <c r="BO331" s="9">
        <f t="shared" si="109"/>
        <v>96000</v>
      </c>
      <c r="BP331" s="9">
        <f t="shared" si="113"/>
        <v>96000</v>
      </c>
      <c r="BQ331" s="9">
        <f t="shared" si="114"/>
        <v>96000</v>
      </c>
      <c r="BR331" s="9">
        <f t="shared" si="115"/>
        <v>96000</v>
      </c>
      <c r="BS331" s="9">
        <f t="shared" si="116"/>
        <v>96000</v>
      </c>
      <c r="BT331" s="9">
        <f t="shared" si="117"/>
        <v>96000</v>
      </c>
    </row>
    <row r="332" spans="1:72" hidden="1" x14ac:dyDescent="0.25">
      <c r="A332" s="11">
        <f t="shared" si="110"/>
        <v>331</v>
      </c>
      <c r="B332" s="5" t="s">
        <v>1517</v>
      </c>
      <c r="C332" s="5" t="s">
        <v>59</v>
      </c>
      <c r="D332" s="5" t="s">
        <v>1506</v>
      </c>
      <c r="E332" s="5" t="s">
        <v>723</v>
      </c>
      <c r="F332" s="5" t="s">
        <v>723</v>
      </c>
      <c r="G332" s="5" t="s">
        <v>844</v>
      </c>
      <c r="H332" s="4" t="s">
        <v>845</v>
      </c>
      <c r="I332" s="12"/>
      <c r="J332" s="9"/>
      <c r="K332" s="9"/>
      <c r="L332" s="9"/>
      <c r="M332" s="9"/>
      <c r="N332" s="9"/>
      <c r="O332" s="9"/>
      <c r="P332" s="9"/>
      <c r="Q332" s="17">
        <v>0.33</v>
      </c>
      <c r="R332" s="1">
        <f t="shared" si="111"/>
        <v>0</v>
      </c>
      <c r="S332" s="2"/>
      <c r="T332" s="2">
        <f t="shared" si="112"/>
        <v>0</v>
      </c>
      <c r="U332" s="9"/>
      <c r="V332" s="9"/>
      <c r="W332" s="9"/>
      <c r="X332" s="9"/>
      <c r="Y332" s="2"/>
      <c r="Z332" s="2"/>
      <c r="AA332" s="2"/>
      <c r="AB332" s="2"/>
      <c r="AC332" s="2"/>
      <c r="AD332" s="2"/>
      <c r="AE332" s="2"/>
      <c r="AF332" s="2"/>
      <c r="AG332" s="13">
        <f t="shared" si="118"/>
        <v>0</v>
      </c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 t="s">
        <v>1105</v>
      </c>
      <c r="AV332" s="4" t="s">
        <v>1218</v>
      </c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>
        <f t="shared" ref="BM332:BM380" si="119">$Q332*Y332</f>
        <v>0</v>
      </c>
      <c r="BN332" s="9">
        <f t="shared" si="108"/>
        <v>0</v>
      </c>
      <c r="BO332" s="9">
        <f t="shared" si="109"/>
        <v>0</v>
      </c>
      <c r="BP332" s="9">
        <f t="shared" si="113"/>
        <v>0</v>
      </c>
      <c r="BQ332" s="9">
        <f t="shared" si="114"/>
        <v>0</v>
      </c>
      <c r="BR332" s="9">
        <f t="shared" si="115"/>
        <v>0</v>
      </c>
      <c r="BS332" s="9">
        <f t="shared" si="116"/>
        <v>0</v>
      </c>
      <c r="BT332" s="9">
        <f t="shared" si="117"/>
        <v>0</v>
      </c>
    </row>
    <row r="333" spans="1:72" hidden="1" x14ac:dyDescent="0.25">
      <c r="A333" s="11">
        <f t="shared" si="110"/>
        <v>332</v>
      </c>
      <c r="B333" s="5" t="s">
        <v>1518</v>
      </c>
      <c r="C333" s="5" t="s">
        <v>59</v>
      </c>
      <c r="D333" s="5" t="s">
        <v>1506</v>
      </c>
      <c r="E333" s="5" t="s">
        <v>723</v>
      </c>
      <c r="F333" s="5" t="s">
        <v>723</v>
      </c>
      <c r="G333" s="4" t="s">
        <v>144</v>
      </c>
      <c r="H333" s="4" t="s">
        <v>545</v>
      </c>
      <c r="I333" s="12">
        <v>2402</v>
      </c>
      <c r="J333" s="9" t="s">
        <v>850</v>
      </c>
      <c r="K333" s="9"/>
      <c r="L333" s="9"/>
      <c r="M333" s="9"/>
      <c r="N333" s="9"/>
      <c r="O333" s="9"/>
      <c r="P333" s="9"/>
      <c r="Q333" s="17">
        <v>0.13</v>
      </c>
      <c r="R333" s="1">
        <f t="shared" si="111"/>
        <v>0</v>
      </c>
      <c r="S333" s="2"/>
      <c r="T333" s="2">
        <f t="shared" si="112"/>
        <v>0</v>
      </c>
      <c r="U333" s="9"/>
      <c r="V333" s="9"/>
      <c r="W333" s="9"/>
      <c r="X333" s="9"/>
      <c r="Y333" s="2"/>
      <c r="Z333" s="2"/>
      <c r="AA333" s="2"/>
      <c r="AB333" s="2"/>
      <c r="AC333" s="2"/>
      <c r="AD333" s="2"/>
      <c r="AE333" s="2"/>
      <c r="AF333" s="2"/>
      <c r="AG333" s="13">
        <f t="shared" si="118"/>
        <v>0</v>
      </c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 t="s">
        <v>1105</v>
      </c>
      <c r="AV333" s="4" t="s">
        <v>1218</v>
      </c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>
        <f t="shared" si="119"/>
        <v>0</v>
      </c>
      <c r="BN333" s="9">
        <f t="shared" si="108"/>
        <v>0</v>
      </c>
      <c r="BO333" s="9">
        <f t="shared" si="109"/>
        <v>0</v>
      </c>
      <c r="BP333" s="9">
        <f t="shared" si="113"/>
        <v>0</v>
      </c>
      <c r="BQ333" s="9">
        <f t="shared" si="114"/>
        <v>0</v>
      </c>
      <c r="BR333" s="9">
        <f t="shared" si="115"/>
        <v>0</v>
      </c>
      <c r="BS333" s="9">
        <f t="shared" si="116"/>
        <v>0</v>
      </c>
      <c r="BT333" s="9">
        <f t="shared" si="117"/>
        <v>0</v>
      </c>
    </row>
    <row r="334" spans="1:72" hidden="1" x14ac:dyDescent="0.25">
      <c r="A334" s="11">
        <f t="shared" si="110"/>
        <v>333</v>
      </c>
      <c r="B334" s="5" t="s">
        <v>1518</v>
      </c>
      <c r="C334" s="5" t="s">
        <v>59</v>
      </c>
      <c r="D334" s="5" t="s">
        <v>1506</v>
      </c>
      <c r="E334" s="5" t="s">
        <v>723</v>
      </c>
      <c r="F334" s="5" t="s">
        <v>723</v>
      </c>
      <c r="G334" s="4" t="s">
        <v>144</v>
      </c>
      <c r="H334" s="4" t="s">
        <v>1809</v>
      </c>
      <c r="I334" s="12">
        <v>2402</v>
      </c>
      <c r="J334" s="9" t="s">
        <v>855</v>
      </c>
      <c r="K334" s="9"/>
      <c r="L334" s="9"/>
      <c r="M334" s="9"/>
      <c r="N334" s="9"/>
      <c r="O334" s="9"/>
      <c r="P334" s="9"/>
      <c r="Q334" s="17">
        <v>0.16</v>
      </c>
      <c r="R334" s="1">
        <f t="shared" si="111"/>
        <v>0</v>
      </c>
      <c r="S334" s="2"/>
      <c r="T334" s="2">
        <f t="shared" si="112"/>
        <v>0</v>
      </c>
      <c r="U334" s="9"/>
      <c r="V334" s="9"/>
      <c r="W334" s="9"/>
      <c r="X334" s="9"/>
      <c r="Y334" s="2"/>
      <c r="Z334" s="2"/>
      <c r="AA334" s="2"/>
      <c r="AB334" s="2"/>
      <c r="AC334" s="2"/>
      <c r="AD334" s="2"/>
      <c r="AE334" s="2"/>
      <c r="AF334" s="2"/>
      <c r="AG334" s="13">
        <f t="shared" si="118"/>
        <v>0</v>
      </c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 t="s">
        <v>1105</v>
      </c>
      <c r="AV334" s="4" t="s">
        <v>1218</v>
      </c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>
        <f t="shared" si="119"/>
        <v>0</v>
      </c>
      <c r="BN334" s="9">
        <f t="shared" si="108"/>
        <v>0</v>
      </c>
      <c r="BO334" s="9">
        <f t="shared" si="109"/>
        <v>0</v>
      </c>
      <c r="BP334" s="9">
        <f t="shared" si="113"/>
        <v>0</v>
      </c>
      <c r="BQ334" s="9">
        <f t="shared" si="114"/>
        <v>0</v>
      </c>
      <c r="BR334" s="9">
        <f t="shared" si="115"/>
        <v>0</v>
      </c>
      <c r="BS334" s="9">
        <f t="shared" si="116"/>
        <v>0</v>
      </c>
      <c r="BT334" s="9">
        <f t="shared" si="117"/>
        <v>0</v>
      </c>
    </row>
    <row r="335" spans="1:72" hidden="1" x14ac:dyDescent="0.25">
      <c r="A335" s="11">
        <f t="shared" si="110"/>
        <v>334</v>
      </c>
      <c r="B335" s="5" t="s">
        <v>1518</v>
      </c>
      <c r="C335" s="5" t="s">
        <v>59</v>
      </c>
      <c r="D335" s="5" t="s">
        <v>1506</v>
      </c>
      <c r="E335" s="5" t="s">
        <v>723</v>
      </c>
      <c r="F335" s="5" t="s">
        <v>723</v>
      </c>
      <c r="G335" s="5" t="s">
        <v>157</v>
      </c>
      <c r="H335" s="4" t="s">
        <v>1079</v>
      </c>
      <c r="I335" s="12">
        <v>2402</v>
      </c>
      <c r="J335" s="9"/>
      <c r="K335" s="9"/>
      <c r="L335" s="9"/>
      <c r="M335" s="9"/>
      <c r="N335" s="9"/>
      <c r="O335" s="9"/>
      <c r="P335" s="9"/>
      <c r="Q335" s="17">
        <v>0.16</v>
      </c>
      <c r="R335" s="1">
        <f t="shared" si="111"/>
        <v>80000</v>
      </c>
      <c r="S335" s="2"/>
      <c r="T335" s="2">
        <f t="shared" si="112"/>
        <v>500000</v>
      </c>
      <c r="U335" s="9"/>
      <c r="V335" s="9"/>
      <c r="W335" s="9"/>
      <c r="X335" s="9"/>
      <c r="Y335" s="2">
        <v>100000</v>
      </c>
      <c r="Z335" s="2">
        <v>100000</v>
      </c>
      <c r="AA335" s="2">
        <v>100000</v>
      </c>
      <c r="AB335" s="2">
        <v>100000</v>
      </c>
      <c r="AC335" s="2">
        <v>100000</v>
      </c>
      <c r="AD335" s="2">
        <v>100000</v>
      </c>
      <c r="AE335" s="2">
        <v>100000</v>
      </c>
      <c r="AF335" s="2">
        <v>100000</v>
      </c>
      <c r="AG335" s="13">
        <f t="shared" si="118"/>
        <v>100000</v>
      </c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 t="s">
        <v>1105</v>
      </c>
      <c r="AV335" s="4" t="s">
        <v>1218</v>
      </c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>
        <f t="shared" si="119"/>
        <v>16000</v>
      </c>
      <c r="BN335" s="9">
        <f t="shared" si="108"/>
        <v>16000</v>
      </c>
      <c r="BO335" s="9">
        <f t="shared" si="109"/>
        <v>16000</v>
      </c>
      <c r="BP335" s="9">
        <f t="shared" si="113"/>
        <v>16000</v>
      </c>
      <c r="BQ335" s="9">
        <f t="shared" si="114"/>
        <v>16000</v>
      </c>
      <c r="BR335" s="9">
        <f t="shared" si="115"/>
        <v>16000</v>
      </c>
      <c r="BS335" s="9">
        <f t="shared" si="116"/>
        <v>16000</v>
      </c>
      <c r="BT335" s="9">
        <f t="shared" si="117"/>
        <v>16000</v>
      </c>
    </row>
    <row r="336" spans="1:72" hidden="1" x14ac:dyDescent="0.25">
      <c r="A336" s="11">
        <f t="shared" si="110"/>
        <v>335</v>
      </c>
      <c r="B336" s="5" t="s">
        <v>1519</v>
      </c>
      <c r="C336" s="5" t="s">
        <v>59</v>
      </c>
      <c r="D336" s="5" t="s">
        <v>1506</v>
      </c>
      <c r="E336" s="5" t="s">
        <v>723</v>
      </c>
      <c r="F336" s="5" t="s">
        <v>723</v>
      </c>
      <c r="G336" s="5" t="s">
        <v>1520</v>
      </c>
      <c r="H336" s="33" t="s">
        <v>1807</v>
      </c>
      <c r="I336" s="12"/>
      <c r="J336" s="9"/>
      <c r="K336" s="9"/>
      <c r="L336" s="9"/>
      <c r="M336" s="9"/>
      <c r="N336" s="9"/>
      <c r="O336" s="9"/>
      <c r="P336" s="9"/>
      <c r="Q336" s="5">
        <v>0.22</v>
      </c>
      <c r="R336" s="1">
        <f t="shared" si="111"/>
        <v>0</v>
      </c>
      <c r="S336" s="2"/>
      <c r="T336" s="2">
        <f t="shared" si="112"/>
        <v>0</v>
      </c>
      <c r="U336" s="9"/>
      <c r="V336" s="9"/>
      <c r="W336" s="9"/>
      <c r="X336" s="9"/>
      <c r="Y336" s="2"/>
      <c r="Z336" s="2"/>
      <c r="AA336" s="2"/>
      <c r="AB336" s="2"/>
      <c r="AC336" s="2"/>
      <c r="AD336" s="2"/>
      <c r="AE336" s="2"/>
      <c r="AF336" s="2"/>
      <c r="AG336" s="13">
        <f t="shared" si="118"/>
        <v>0</v>
      </c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 t="s">
        <v>1105</v>
      </c>
      <c r="AV336" s="4" t="s">
        <v>1218</v>
      </c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>
        <f t="shared" si="119"/>
        <v>0</v>
      </c>
      <c r="BN336" s="9">
        <f t="shared" si="108"/>
        <v>0</v>
      </c>
      <c r="BO336" s="9">
        <f t="shared" si="109"/>
        <v>0</v>
      </c>
      <c r="BP336" s="9">
        <f t="shared" si="113"/>
        <v>0</v>
      </c>
      <c r="BQ336" s="9">
        <f t="shared" si="114"/>
        <v>0</v>
      </c>
      <c r="BR336" s="9">
        <f t="shared" si="115"/>
        <v>0</v>
      </c>
      <c r="BS336" s="9">
        <f t="shared" si="116"/>
        <v>0</v>
      </c>
      <c r="BT336" s="9">
        <f t="shared" si="117"/>
        <v>0</v>
      </c>
    </row>
    <row r="337" spans="1:72" hidden="1" x14ac:dyDescent="0.25">
      <c r="A337" s="11">
        <f t="shared" si="110"/>
        <v>336</v>
      </c>
      <c r="B337" s="5" t="s">
        <v>1521</v>
      </c>
      <c r="C337" s="5" t="s">
        <v>59</v>
      </c>
      <c r="D337" s="5" t="s">
        <v>1506</v>
      </c>
      <c r="E337" s="5" t="s">
        <v>723</v>
      </c>
      <c r="F337" s="5" t="s">
        <v>723</v>
      </c>
      <c r="G337" s="5" t="s">
        <v>397</v>
      </c>
      <c r="H337" s="4" t="s">
        <v>398</v>
      </c>
      <c r="I337" s="12"/>
      <c r="J337" s="9"/>
      <c r="K337" s="9"/>
      <c r="L337" s="9"/>
      <c r="M337" s="9"/>
      <c r="N337" s="9"/>
      <c r="O337" s="9"/>
      <c r="P337" s="9"/>
      <c r="Q337" s="5">
        <v>2.9</v>
      </c>
      <c r="R337" s="1">
        <f t="shared" si="111"/>
        <v>58000</v>
      </c>
      <c r="S337" s="2"/>
      <c r="T337" s="2">
        <f t="shared" si="112"/>
        <v>20000</v>
      </c>
      <c r="U337" s="9">
        <v>10000</v>
      </c>
      <c r="V337" s="9">
        <v>10000</v>
      </c>
      <c r="W337" s="9"/>
      <c r="X337" s="9">
        <v>10000</v>
      </c>
      <c r="Y337" s="2">
        <v>10000</v>
      </c>
      <c r="Z337" s="2"/>
      <c r="AA337" s="2">
        <v>10000</v>
      </c>
      <c r="AB337" s="2"/>
      <c r="AC337" s="2">
        <v>10000</v>
      </c>
      <c r="AD337" s="2"/>
      <c r="AE337" s="2">
        <v>10000</v>
      </c>
      <c r="AF337" s="2"/>
      <c r="AG337" s="2">
        <v>10000</v>
      </c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 t="s">
        <v>1105</v>
      </c>
      <c r="AV337" s="4" t="s">
        <v>1217</v>
      </c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>
        <f t="shared" si="119"/>
        <v>29000</v>
      </c>
      <c r="BN337" s="9">
        <f t="shared" si="108"/>
        <v>0</v>
      </c>
      <c r="BO337" s="9">
        <f t="shared" si="109"/>
        <v>29000</v>
      </c>
      <c r="BP337" s="9">
        <f t="shared" si="113"/>
        <v>0</v>
      </c>
      <c r="BQ337" s="9">
        <f t="shared" si="114"/>
        <v>29000</v>
      </c>
      <c r="BR337" s="9">
        <f t="shared" si="115"/>
        <v>0</v>
      </c>
      <c r="BS337" s="9">
        <f t="shared" si="116"/>
        <v>29000</v>
      </c>
      <c r="BT337" s="9">
        <f t="shared" si="117"/>
        <v>0</v>
      </c>
    </row>
    <row r="338" spans="1:72" hidden="1" x14ac:dyDescent="0.25">
      <c r="A338" s="11">
        <f t="shared" si="110"/>
        <v>337</v>
      </c>
      <c r="B338" s="5" t="s">
        <v>1521</v>
      </c>
      <c r="C338" s="5" t="s">
        <v>59</v>
      </c>
      <c r="D338" s="5" t="s">
        <v>1506</v>
      </c>
      <c r="E338" s="5" t="s">
        <v>723</v>
      </c>
      <c r="F338" s="5" t="s">
        <v>723</v>
      </c>
      <c r="G338" s="5" t="s">
        <v>856</v>
      </c>
      <c r="H338" s="4" t="s">
        <v>473</v>
      </c>
      <c r="I338" s="12"/>
      <c r="J338" s="9"/>
      <c r="K338" s="9"/>
      <c r="L338" s="9"/>
      <c r="M338" s="9"/>
      <c r="N338" s="9"/>
      <c r="O338" s="9"/>
      <c r="P338" s="9"/>
      <c r="Q338" s="5">
        <v>2.5</v>
      </c>
      <c r="R338" s="1">
        <f t="shared" si="111"/>
        <v>0</v>
      </c>
      <c r="S338" s="2"/>
      <c r="T338" s="2">
        <f t="shared" si="112"/>
        <v>0</v>
      </c>
      <c r="U338" s="9"/>
      <c r="V338" s="9"/>
      <c r="W338" s="9"/>
      <c r="X338" s="9"/>
      <c r="Y338" s="2"/>
      <c r="Z338" s="2"/>
      <c r="AA338" s="2"/>
      <c r="AB338" s="2"/>
      <c r="AC338" s="2"/>
      <c r="AD338" s="2"/>
      <c r="AE338" s="2"/>
      <c r="AF338" s="2"/>
      <c r="AG338" s="13">
        <f t="shared" ref="AG338:AG344" si="120">AF338</f>
        <v>0</v>
      </c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 t="s">
        <v>1105</v>
      </c>
      <c r="AV338" s="4" t="s">
        <v>1220</v>
      </c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>
        <f t="shared" si="119"/>
        <v>0</v>
      </c>
      <c r="BN338" s="9">
        <f t="shared" si="108"/>
        <v>0</v>
      </c>
      <c r="BO338" s="9">
        <f t="shared" si="109"/>
        <v>0</v>
      </c>
      <c r="BP338" s="9">
        <f t="shared" si="113"/>
        <v>0</v>
      </c>
      <c r="BQ338" s="9">
        <f t="shared" si="114"/>
        <v>0</v>
      </c>
      <c r="BR338" s="9">
        <f t="shared" si="115"/>
        <v>0</v>
      </c>
      <c r="BS338" s="9">
        <f t="shared" si="116"/>
        <v>0</v>
      </c>
      <c r="BT338" s="9">
        <f t="shared" si="117"/>
        <v>0</v>
      </c>
    </row>
    <row r="339" spans="1:72" hidden="1" x14ac:dyDescent="0.25">
      <c r="A339" s="11">
        <f t="shared" si="110"/>
        <v>338</v>
      </c>
      <c r="B339" s="5" t="s">
        <v>1827</v>
      </c>
      <c r="C339" s="5" t="s">
        <v>59</v>
      </c>
      <c r="D339" s="5" t="s">
        <v>1506</v>
      </c>
      <c r="E339" s="5" t="s">
        <v>723</v>
      </c>
      <c r="F339" s="5" t="s">
        <v>723</v>
      </c>
      <c r="G339" s="33" t="s">
        <v>497</v>
      </c>
      <c r="H339" s="4" t="s">
        <v>857</v>
      </c>
      <c r="I339" s="12"/>
      <c r="J339" s="9"/>
      <c r="K339" s="9"/>
      <c r="L339" s="9"/>
      <c r="M339" s="9"/>
      <c r="N339" s="9"/>
      <c r="O339" s="9"/>
      <c r="P339" s="9"/>
      <c r="Q339" s="17">
        <v>0.33</v>
      </c>
      <c r="R339" s="1">
        <f t="shared" ref="R339" si="121">Q339*T339</f>
        <v>148500</v>
      </c>
      <c r="S339" s="2">
        <v>0</v>
      </c>
      <c r="T339" s="2">
        <f t="shared" ref="T339" si="122">SUM(AB339:AF339)</f>
        <v>450000</v>
      </c>
      <c r="U339" s="9"/>
      <c r="V339" s="9"/>
      <c r="W339" s="9"/>
      <c r="X339" s="9"/>
      <c r="Y339" s="2">
        <v>90000</v>
      </c>
      <c r="Z339" s="2">
        <v>90000</v>
      </c>
      <c r="AA339" s="2">
        <v>90000</v>
      </c>
      <c r="AB339" s="2">
        <v>90000</v>
      </c>
      <c r="AC339" s="2">
        <v>90000</v>
      </c>
      <c r="AD339" s="2">
        <v>90000</v>
      </c>
      <c r="AE339" s="2">
        <v>90000</v>
      </c>
      <c r="AF339" s="2">
        <v>90000</v>
      </c>
      <c r="AG339" s="13">
        <f t="shared" si="120"/>
        <v>90000</v>
      </c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 t="s">
        <v>1105</v>
      </c>
      <c r="AV339" s="4" t="s">
        <v>1218</v>
      </c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>
        <f t="shared" ref="BM339" si="123">$Q339*Y339</f>
        <v>29700</v>
      </c>
      <c r="BN339" s="9">
        <f t="shared" ref="BN339" si="124">$Q339*Z339</f>
        <v>29700</v>
      </c>
      <c r="BO339" s="9">
        <f t="shared" ref="BO339" si="125">$Q339*AA339</f>
        <v>29700</v>
      </c>
      <c r="BP339" s="9">
        <f t="shared" si="113"/>
        <v>29700</v>
      </c>
      <c r="BQ339" s="9">
        <f t="shared" si="114"/>
        <v>29700</v>
      </c>
      <c r="BR339" s="9">
        <f t="shared" si="115"/>
        <v>29700</v>
      </c>
      <c r="BS339" s="9">
        <f t="shared" si="116"/>
        <v>29700</v>
      </c>
      <c r="BT339" s="9">
        <f t="shared" si="117"/>
        <v>29700</v>
      </c>
    </row>
    <row r="340" spans="1:72" hidden="1" x14ac:dyDescent="0.25">
      <c r="A340" s="11">
        <f t="shared" si="110"/>
        <v>339</v>
      </c>
      <c r="B340" s="5" t="s">
        <v>1522</v>
      </c>
      <c r="C340" s="5" t="s">
        <v>59</v>
      </c>
      <c r="D340" s="5" t="s">
        <v>1506</v>
      </c>
      <c r="E340" s="5" t="s">
        <v>723</v>
      </c>
      <c r="F340" s="5" t="s">
        <v>723</v>
      </c>
      <c r="G340" s="33" t="s">
        <v>497</v>
      </c>
      <c r="H340" s="4" t="s">
        <v>857</v>
      </c>
      <c r="I340" s="12"/>
      <c r="J340" s="9"/>
      <c r="K340" s="9"/>
      <c r="L340" s="9"/>
      <c r="M340" s="9"/>
      <c r="N340" s="9"/>
      <c r="O340" s="9"/>
      <c r="P340" s="9"/>
      <c r="Q340" s="17">
        <v>0.33</v>
      </c>
      <c r="R340" s="1">
        <f t="shared" si="111"/>
        <v>99000</v>
      </c>
      <c r="S340" s="2">
        <v>0</v>
      </c>
      <c r="T340" s="2">
        <f t="shared" si="112"/>
        <v>300000</v>
      </c>
      <c r="U340" s="9"/>
      <c r="V340" s="9"/>
      <c r="W340" s="9"/>
      <c r="X340" s="9"/>
      <c r="Y340" s="2">
        <v>60000</v>
      </c>
      <c r="Z340" s="2">
        <v>60000</v>
      </c>
      <c r="AA340" s="2">
        <v>60000</v>
      </c>
      <c r="AB340" s="2">
        <v>60000</v>
      </c>
      <c r="AC340" s="2">
        <v>60000</v>
      </c>
      <c r="AD340" s="2">
        <v>60000</v>
      </c>
      <c r="AE340" s="2">
        <v>60000</v>
      </c>
      <c r="AF340" s="2">
        <v>60000</v>
      </c>
      <c r="AG340" s="13">
        <f t="shared" si="120"/>
        <v>60000</v>
      </c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 t="s">
        <v>1105</v>
      </c>
      <c r="AV340" s="4" t="s">
        <v>1218</v>
      </c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>
        <f t="shared" si="119"/>
        <v>19800</v>
      </c>
      <c r="BN340" s="9">
        <f t="shared" si="108"/>
        <v>19800</v>
      </c>
      <c r="BO340" s="9">
        <f t="shared" si="109"/>
        <v>19800</v>
      </c>
      <c r="BP340" s="9">
        <f t="shared" si="113"/>
        <v>19800</v>
      </c>
      <c r="BQ340" s="9">
        <f t="shared" si="114"/>
        <v>19800</v>
      </c>
      <c r="BR340" s="9">
        <f t="shared" si="115"/>
        <v>19800</v>
      </c>
      <c r="BS340" s="9">
        <f t="shared" si="116"/>
        <v>19800</v>
      </c>
      <c r="BT340" s="9">
        <f t="shared" si="117"/>
        <v>19800</v>
      </c>
    </row>
    <row r="341" spans="1:72" hidden="1" x14ac:dyDescent="0.25">
      <c r="A341" s="11">
        <f t="shared" si="110"/>
        <v>340</v>
      </c>
      <c r="B341" s="5" t="s">
        <v>1522</v>
      </c>
      <c r="C341" s="5" t="s">
        <v>59</v>
      </c>
      <c r="D341" s="5" t="s">
        <v>1506</v>
      </c>
      <c r="E341" s="5" t="s">
        <v>723</v>
      </c>
      <c r="F341" s="5" t="s">
        <v>723</v>
      </c>
      <c r="G341" s="4" t="s">
        <v>144</v>
      </c>
      <c r="H341" s="4" t="s">
        <v>1809</v>
      </c>
      <c r="I341" s="12">
        <v>2402</v>
      </c>
      <c r="J341" s="9" t="s">
        <v>855</v>
      </c>
      <c r="K341" s="9"/>
      <c r="L341" s="9"/>
      <c r="M341" s="9"/>
      <c r="N341" s="9"/>
      <c r="O341" s="9"/>
      <c r="P341" s="9"/>
      <c r="Q341" s="17">
        <v>0.16</v>
      </c>
      <c r="R341" s="1">
        <f t="shared" si="111"/>
        <v>0</v>
      </c>
      <c r="S341" s="2"/>
      <c r="T341" s="2">
        <f t="shared" si="112"/>
        <v>0</v>
      </c>
      <c r="U341" s="9"/>
      <c r="V341" s="9"/>
      <c r="W341" s="9"/>
      <c r="X341" s="9"/>
      <c r="Y341" s="2"/>
      <c r="Z341" s="2"/>
      <c r="AA341" s="2"/>
      <c r="AB341" s="2"/>
      <c r="AC341" s="2"/>
      <c r="AD341" s="2"/>
      <c r="AE341" s="2"/>
      <c r="AF341" s="2"/>
      <c r="AG341" s="13">
        <f t="shared" si="120"/>
        <v>0</v>
      </c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 t="s">
        <v>1105</v>
      </c>
      <c r="AV341" s="4" t="s">
        <v>1218</v>
      </c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>
        <f t="shared" si="119"/>
        <v>0</v>
      </c>
      <c r="BN341" s="9">
        <f t="shared" si="108"/>
        <v>0</v>
      </c>
      <c r="BO341" s="9">
        <f t="shared" si="109"/>
        <v>0</v>
      </c>
      <c r="BP341" s="9">
        <f t="shared" si="113"/>
        <v>0</v>
      </c>
      <c r="BQ341" s="9">
        <f t="shared" si="114"/>
        <v>0</v>
      </c>
      <c r="BR341" s="9">
        <f t="shared" si="115"/>
        <v>0</v>
      </c>
      <c r="BS341" s="9">
        <f t="shared" si="116"/>
        <v>0</v>
      </c>
      <c r="BT341" s="9">
        <f t="shared" si="117"/>
        <v>0</v>
      </c>
    </row>
    <row r="342" spans="1:72" hidden="1" x14ac:dyDescent="0.25">
      <c r="A342" s="11">
        <f t="shared" si="110"/>
        <v>341</v>
      </c>
      <c r="B342" s="5" t="s">
        <v>1523</v>
      </c>
      <c r="C342" s="5" t="s">
        <v>59</v>
      </c>
      <c r="D342" s="5" t="s">
        <v>1506</v>
      </c>
      <c r="E342" s="5" t="s">
        <v>723</v>
      </c>
      <c r="F342" s="5" t="s">
        <v>723</v>
      </c>
      <c r="G342" s="4" t="s">
        <v>846</v>
      </c>
      <c r="H342" s="4" t="s">
        <v>847</v>
      </c>
      <c r="I342" s="12" t="s">
        <v>848</v>
      </c>
      <c r="J342" s="9"/>
      <c r="K342" s="9"/>
      <c r="L342" s="9"/>
      <c r="M342" s="9"/>
      <c r="N342" s="9"/>
      <c r="O342" s="9"/>
      <c r="P342" s="9"/>
      <c r="Q342" s="17">
        <v>0.25</v>
      </c>
      <c r="R342" s="1">
        <f t="shared" si="111"/>
        <v>0</v>
      </c>
      <c r="S342" s="2"/>
      <c r="T342" s="2">
        <f t="shared" si="112"/>
        <v>0</v>
      </c>
      <c r="U342" s="9"/>
      <c r="V342" s="9"/>
      <c r="W342" s="9"/>
      <c r="X342" s="9"/>
      <c r="Y342" s="2"/>
      <c r="Z342" s="2"/>
      <c r="AA342" s="2"/>
      <c r="AB342" s="2"/>
      <c r="AC342" s="2"/>
      <c r="AD342" s="2"/>
      <c r="AE342" s="2"/>
      <c r="AF342" s="2"/>
      <c r="AG342" s="13">
        <f t="shared" si="120"/>
        <v>0</v>
      </c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 t="s">
        <v>1105</v>
      </c>
      <c r="AV342" s="4" t="s">
        <v>1218</v>
      </c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>
        <f t="shared" si="119"/>
        <v>0</v>
      </c>
      <c r="BN342" s="9">
        <f t="shared" si="108"/>
        <v>0</v>
      </c>
      <c r="BO342" s="9">
        <f t="shared" si="109"/>
        <v>0</v>
      </c>
      <c r="BP342" s="9">
        <f t="shared" si="113"/>
        <v>0</v>
      </c>
      <c r="BQ342" s="9">
        <f t="shared" si="114"/>
        <v>0</v>
      </c>
      <c r="BR342" s="9">
        <f t="shared" si="115"/>
        <v>0</v>
      </c>
      <c r="BS342" s="9">
        <f t="shared" si="116"/>
        <v>0</v>
      </c>
      <c r="BT342" s="9">
        <f t="shared" si="117"/>
        <v>0</v>
      </c>
    </row>
    <row r="343" spans="1:72" hidden="1" x14ac:dyDescent="0.25">
      <c r="A343" s="11">
        <f t="shared" si="110"/>
        <v>342</v>
      </c>
      <c r="B343" s="5" t="s">
        <v>1524</v>
      </c>
      <c r="C343" s="5" t="s">
        <v>59</v>
      </c>
      <c r="D343" s="5" t="s">
        <v>1506</v>
      </c>
      <c r="E343" s="5" t="s">
        <v>723</v>
      </c>
      <c r="F343" s="5" t="s">
        <v>723</v>
      </c>
      <c r="G343" s="5" t="s">
        <v>279</v>
      </c>
      <c r="H343" s="4" t="s">
        <v>211</v>
      </c>
      <c r="I343" s="12">
        <v>2466</v>
      </c>
      <c r="J343" s="9"/>
      <c r="K343" s="9"/>
      <c r="L343" s="9"/>
      <c r="M343" s="9"/>
      <c r="N343" s="9"/>
      <c r="O343" s="9"/>
      <c r="P343" s="9"/>
      <c r="Q343" s="17">
        <v>0.3</v>
      </c>
      <c r="R343" s="1">
        <f t="shared" si="111"/>
        <v>0</v>
      </c>
      <c r="S343" s="2"/>
      <c r="T343" s="2">
        <f t="shared" si="112"/>
        <v>0</v>
      </c>
      <c r="U343" s="9"/>
      <c r="V343" s="9"/>
      <c r="W343" s="9"/>
      <c r="X343" s="9"/>
      <c r="Y343" s="2"/>
      <c r="Z343" s="2"/>
      <c r="AA343" s="2"/>
      <c r="AB343" s="2"/>
      <c r="AC343" s="2"/>
      <c r="AD343" s="2"/>
      <c r="AE343" s="2"/>
      <c r="AF343" s="2"/>
      <c r="AG343" s="13">
        <f t="shared" si="120"/>
        <v>0</v>
      </c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 t="s">
        <v>1105</v>
      </c>
      <c r="AV343" s="4" t="s">
        <v>1218</v>
      </c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>
        <f t="shared" si="119"/>
        <v>0</v>
      </c>
      <c r="BN343" s="9">
        <f t="shared" si="108"/>
        <v>0</v>
      </c>
      <c r="BO343" s="9">
        <f t="shared" si="109"/>
        <v>0</v>
      </c>
      <c r="BP343" s="9">
        <f t="shared" si="113"/>
        <v>0</v>
      </c>
      <c r="BQ343" s="9">
        <f t="shared" si="114"/>
        <v>0</v>
      </c>
      <c r="BR343" s="9">
        <f t="shared" si="115"/>
        <v>0</v>
      </c>
      <c r="BS343" s="9">
        <f t="shared" si="116"/>
        <v>0</v>
      </c>
      <c r="BT343" s="9">
        <f t="shared" si="117"/>
        <v>0</v>
      </c>
    </row>
    <row r="344" spans="1:72" hidden="1" x14ac:dyDescent="0.25">
      <c r="A344" s="11">
        <f t="shared" si="110"/>
        <v>343</v>
      </c>
      <c r="B344" s="5" t="s">
        <v>1525</v>
      </c>
      <c r="C344" s="5" t="s">
        <v>59</v>
      </c>
      <c r="D344" s="5" t="s">
        <v>1506</v>
      </c>
      <c r="E344" s="5" t="s">
        <v>723</v>
      </c>
      <c r="F344" s="5" t="s">
        <v>723</v>
      </c>
      <c r="G344" s="5" t="s">
        <v>1510</v>
      </c>
      <c r="H344" s="4" t="s">
        <v>849</v>
      </c>
      <c r="I344" s="12">
        <v>2546</v>
      </c>
      <c r="J344" s="9"/>
      <c r="K344" s="9"/>
      <c r="L344" s="9"/>
      <c r="M344" s="9"/>
      <c r="N344" s="9"/>
      <c r="O344" s="9"/>
      <c r="P344" s="9"/>
      <c r="Q344" s="17">
        <v>1.2</v>
      </c>
      <c r="R344" s="1">
        <f t="shared" si="111"/>
        <v>0</v>
      </c>
      <c r="S344" s="2"/>
      <c r="T344" s="2">
        <f t="shared" si="112"/>
        <v>0</v>
      </c>
      <c r="U344" s="9"/>
      <c r="V344" s="9"/>
      <c r="W344" s="9"/>
      <c r="X344" s="9"/>
      <c r="Y344" s="2"/>
      <c r="Z344" s="2"/>
      <c r="AA344" s="2"/>
      <c r="AB344" s="2"/>
      <c r="AC344" s="2"/>
      <c r="AD344" s="2"/>
      <c r="AE344" s="2"/>
      <c r="AF344" s="2"/>
      <c r="AG344" s="13">
        <f t="shared" si="120"/>
        <v>0</v>
      </c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 t="s">
        <v>1105</v>
      </c>
      <c r="AV344" s="4" t="s">
        <v>1218</v>
      </c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>
        <f t="shared" si="119"/>
        <v>0</v>
      </c>
      <c r="BN344" s="9">
        <f t="shared" si="108"/>
        <v>0</v>
      </c>
      <c r="BO344" s="9">
        <f t="shared" si="109"/>
        <v>0</v>
      </c>
      <c r="BP344" s="9">
        <f t="shared" si="113"/>
        <v>0</v>
      </c>
      <c r="BQ344" s="9">
        <f t="shared" si="114"/>
        <v>0</v>
      </c>
      <c r="BR344" s="9">
        <f t="shared" si="115"/>
        <v>0</v>
      </c>
      <c r="BS344" s="9">
        <f t="shared" si="116"/>
        <v>0</v>
      </c>
      <c r="BT344" s="9">
        <f t="shared" si="117"/>
        <v>0</v>
      </c>
    </row>
    <row r="345" spans="1:72" hidden="1" x14ac:dyDescent="0.25">
      <c r="A345" s="11">
        <f t="shared" si="110"/>
        <v>344</v>
      </c>
      <c r="B345" s="5" t="s">
        <v>1829</v>
      </c>
      <c r="C345" s="5" t="s">
        <v>59</v>
      </c>
      <c r="D345" s="5" t="s">
        <v>1506</v>
      </c>
      <c r="E345" s="5" t="s">
        <v>723</v>
      </c>
      <c r="F345" s="5" t="s">
        <v>723</v>
      </c>
      <c r="G345" s="5" t="s">
        <v>286</v>
      </c>
      <c r="H345" s="3" t="s">
        <v>287</v>
      </c>
      <c r="I345" s="12">
        <v>2442</v>
      </c>
      <c r="J345" s="9"/>
      <c r="K345" s="9"/>
      <c r="L345" s="9"/>
      <c r="M345" s="9"/>
      <c r="N345" s="9"/>
      <c r="O345" s="9"/>
      <c r="P345" s="9"/>
      <c r="Q345" s="17">
        <v>0.28000000000000003</v>
      </c>
      <c r="R345" s="1">
        <f t="shared" si="111"/>
        <v>126000.00000000001</v>
      </c>
      <c r="S345" s="2"/>
      <c r="T345" s="2">
        <f t="shared" si="112"/>
        <v>450000</v>
      </c>
      <c r="U345" s="9"/>
      <c r="V345" s="9"/>
      <c r="W345" s="9"/>
      <c r="X345" s="9"/>
      <c r="Y345" s="2"/>
      <c r="Z345" s="76">
        <v>90000</v>
      </c>
      <c r="AA345" s="76">
        <v>90000</v>
      </c>
      <c r="AB345" s="76">
        <v>90000</v>
      </c>
      <c r="AC345" s="76">
        <v>90000</v>
      </c>
      <c r="AD345" s="76">
        <v>90000</v>
      </c>
      <c r="AE345" s="76">
        <v>90000</v>
      </c>
      <c r="AF345" s="76">
        <v>90000</v>
      </c>
      <c r="AG345" s="76">
        <v>90000</v>
      </c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 t="s">
        <v>1105</v>
      </c>
      <c r="AV345" s="4" t="s">
        <v>1218</v>
      </c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>
        <f t="shared" si="119"/>
        <v>0</v>
      </c>
      <c r="BN345" s="9">
        <f t="shared" si="108"/>
        <v>25200.000000000004</v>
      </c>
      <c r="BO345" s="9">
        <f t="shared" si="109"/>
        <v>25200.000000000004</v>
      </c>
      <c r="BP345" s="9">
        <f t="shared" si="113"/>
        <v>25200.000000000004</v>
      </c>
      <c r="BQ345" s="9">
        <f t="shared" si="114"/>
        <v>25200.000000000004</v>
      </c>
      <c r="BR345" s="9">
        <f t="shared" si="115"/>
        <v>25200.000000000004</v>
      </c>
      <c r="BS345" s="9">
        <f t="shared" si="116"/>
        <v>25200.000000000004</v>
      </c>
      <c r="BT345" s="9">
        <f t="shared" si="117"/>
        <v>25200.000000000004</v>
      </c>
    </row>
    <row r="346" spans="1:72" hidden="1" x14ac:dyDescent="0.25">
      <c r="A346" s="11">
        <f t="shared" si="110"/>
        <v>345</v>
      </c>
      <c r="B346" s="5" t="s">
        <v>1830</v>
      </c>
      <c r="C346" s="5" t="s">
        <v>59</v>
      </c>
      <c r="D346" s="5" t="s">
        <v>1506</v>
      </c>
      <c r="E346" s="5" t="s">
        <v>723</v>
      </c>
      <c r="F346" s="5" t="s">
        <v>723</v>
      </c>
      <c r="G346" s="5" t="s">
        <v>286</v>
      </c>
      <c r="H346" s="3" t="s">
        <v>287</v>
      </c>
      <c r="I346" s="12">
        <v>2442</v>
      </c>
      <c r="J346" s="9"/>
      <c r="K346" s="9"/>
      <c r="L346" s="9"/>
      <c r="M346" s="9"/>
      <c r="N346" s="9"/>
      <c r="O346" s="9"/>
      <c r="P346" s="9"/>
      <c r="Q346" s="17">
        <v>0.28000000000000003</v>
      </c>
      <c r="R346" s="1">
        <f t="shared" ref="R346" si="126">Q346*T346</f>
        <v>84000.000000000015</v>
      </c>
      <c r="S346" s="2"/>
      <c r="T346" s="2">
        <f t="shared" ref="T346" si="127">SUM(AB346:AF346)</f>
        <v>300000</v>
      </c>
      <c r="U346" s="9"/>
      <c r="V346" s="9"/>
      <c r="W346" s="9"/>
      <c r="X346" s="9"/>
      <c r="Y346" s="2"/>
      <c r="Z346" s="76">
        <v>60000</v>
      </c>
      <c r="AA346" s="76">
        <v>60000</v>
      </c>
      <c r="AB346" s="76">
        <v>60000</v>
      </c>
      <c r="AC346" s="76">
        <v>60000</v>
      </c>
      <c r="AD346" s="76">
        <v>60000</v>
      </c>
      <c r="AE346" s="76">
        <v>60000</v>
      </c>
      <c r="AF346" s="76">
        <v>60000</v>
      </c>
      <c r="AG346" s="76">
        <v>60000</v>
      </c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 t="s">
        <v>1105</v>
      </c>
      <c r="AV346" s="4" t="s">
        <v>1218</v>
      </c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>
        <f t="shared" ref="BM346" si="128">$Q346*Y346</f>
        <v>0</v>
      </c>
      <c r="BN346" s="9">
        <f t="shared" ref="BN346" si="129">$Q346*Z346</f>
        <v>16800</v>
      </c>
      <c r="BO346" s="9">
        <f t="shared" ref="BO346" si="130">$Q346*AA346</f>
        <v>16800</v>
      </c>
      <c r="BP346" s="9">
        <f t="shared" si="113"/>
        <v>16800</v>
      </c>
      <c r="BQ346" s="9">
        <f t="shared" si="114"/>
        <v>16800</v>
      </c>
      <c r="BR346" s="9">
        <f t="shared" si="115"/>
        <v>16800</v>
      </c>
      <c r="BS346" s="9">
        <f t="shared" si="116"/>
        <v>16800</v>
      </c>
      <c r="BT346" s="9">
        <f t="shared" si="117"/>
        <v>16800</v>
      </c>
    </row>
    <row r="347" spans="1:72" hidden="1" x14ac:dyDescent="0.25">
      <c r="A347" s="11">
        <f t="shared" si="110"/>
        <v>346</v>
      </c>
      <c r="B347" s="5" t="s">
        <v>1831</v>
      </c>
      <c r="C347" s="5" t="s">
        <v>59</v>
      </c>
      <c r="D347" s="5" t="s">
        <v>1506</v>
      </c>
      <c r="E347" s="5" t="s">
        <v>723</v>
      </c>
      <c r="F347" s="5" t="s">
        <v>723</v>
      </c>
      <c r="G347" s="5" t="s">
        <v>286</v>
      </c>
      <c r="H347" s="3" t="s">
        <v>287</v>
      </c>
      <c r="I347" s="12">
        <v>2442</v>
      </c>
      <c r="J347" s="9"/>
      <c r="K347" s="9"/>
      <c r="L347" s="9"/>
      <c r="M347" s="9"/>
      <c r="N347" s="9"/>
      <c r="O347" s="9"/>
      <c r="P347" s="9"/>
      <c r="Q347" s="17">
        <v>0.28000000000000003</v>
      </c>
      <c r="R347" s="1">
        <f t="shared" si="111"/>
        <v>84000.000000000015</v>
      </c>
      <c r="S347" s="2"/>
      <c r="T347" s="2">
        <f t="shared" si="112"/>
        <v>300000</v>
      </c>
      <c r="U347" s="9"/>
      <c r="V347" s="9"/>
      <c r="W347" s="9"/>
      <c r="X347" s="9"/>
      <c r="Y347" s="2"/>
      <c r="Z347" s="76">
        <v>60000</v>
      </c>
      <c r="AA347" s="76">
        <v>60000</v>
      </c>
      <c r="AB347" s="76">
        <v>60000</v>
      </c>
      <c r="AC347" s="76">
        <v>60000</v>
      </c>
      <c r="AD347" s="76">
        <v>60000</v>
      </c>
      <c r="AE347" s="76">
        <v>60000</v>
      </c>
      <c r="AF347" s="76">
        <v>60000</v>
      </c>
      <c r="AG347" s="76">
        <v>60000</v>
      </c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 t="s">
        <v>1105</v>
      </c>
      <c r="AV347" s="4" t="s">
        <v>1218</v>
      </c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>
        <f t="shared" si="119"/>
        <v>0</v>
      </c>
      <c r="BN347" s="9">
        <f t="shared" si="108"/>
        <v>16800</v>
      </c>
      <c r="BO347" s="9">
        <f t="shared" si="109"/>
        <v>16800</v>
      </c>
      <c r="BP347" s="9">
        <f t="shared" si="113"/>
        <v>16800</v>
      </c>
      <c r="BQ347" s="9">
        <f t="shared" si="114"/>
        <v>16800</v>
      </c>
      <c r="BR347" s="9">
        <f t="shared" si="115"/>
        <v>16800</v>
      </c>
      <c r="BS347" s="9">
        <f t="shared" si="116"/>
        <v>16800</v>
      </c>
      <c r="BT347" s="9">
        <f t="shared" si="117"/>
        <v>16800</v>
      </c>
    </row>
    <row r="348" spans="1:72" hidden="1" x14ac:dyDescent="0.25">
      <c r="A348" s="11">
        <f t="shared" si="110"/>
        <v>347</v>
      </c>
      <c r="B348" s="5" t="s">
        <v>1526</v>
      </c>
      <c r="C348" s="5" t="s">
        <v>59</v>
      </c>
      <c r="D348" s="5" t="s">
        <v>1527</v>
      </c>
      <c r="E348" s="5" t="s">
        <v>723</v>
      </c>
      <c r="F348" s="5" t="s">
        <v>723</v>
      </c>
      <c r="G348" s="4"/>
      <c r="H348" s="4"/>
      <c r="I348" s="12"/>
      <c r="J348" s="9"/>
      <c r="K348" s="9"/>
      <c r="L348" s="9"/>
      <c r="M348" s="9"/>
      <c r="N348" s="9"/>
      <c r="O348" s="9"/>
      <c r="P348" s="9"/>
      <c r="Q348" s="50"/>
      <c r="R348" s="1">
        <f t="shared" si="111"/>
        <v>0</v>
      </c>
      <c r="S348" s="2">
        <v>0</v>
      </c>
      <c r="T348" s="2">
        <f t="shared" si="112"/>
        <v>0</v>
      </c>
      <c r="U348" s="9"/>
      <c r="V348" s="9"/>
      <c r="W348" s="9"/>
      <c r="X348" s="9"/>
      <c r="Y348" s="2"/>
      <c r="Z348" s="2"/>
      <c r="AA348" s="2"/>
      <c r="AB348" s="2"/>
      <c r="AC348" s="2"/>
      <c r="AD348" s="2"/>
      <c r="AE348" s="2"/>
      <c r="AF348" s="2"/>
      <c r="AG348" s="13">
        <f t="shared" ref="AG348:AG372" si="131">AF348</f>
        <v>0</v>
      </c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 t="s">
        <v>1105</v>
      </c>
      <c r="AV348" s="4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>
        <f t="shared" si="119"/>
        <v>0</v>
      </c>
      <c r="BN348" s="9">
        <f t="shared" si="108"/>
        <v>0</v>
      </c>
      <c r="BO348" s="9">
        <f t="shared" si="109"/>
        <v>0</v>
      </c>
      <c r="BP348" s="9">
        <f t="shared" si="113"/>
        <v>0</v>
      </c>
      <c r="BQ348" s="9">
        <f t="shared" si="114"/>
        <v>0</v>
      </c>
      <c r="BR348" s="9">
        <f t="shared" si="115"/>
        <v>0</v>
      </c>
      <c r="BS348" s="9">
        <f t="shared" si="116"/>
        <v>0</v>
      </c>
      <c r="BT348" s="9">
        <f t="shared" si="117"/>
        <v>0</v>
      </c>
    </row>
    <row r="349" spans="1:72" hidden="1" x14ac:dyDescent="0.25">
      <c r="A349" s="11">
        <f t="shared" si="110"/>
        <v>348</v>
      </c>
      <c r="B349" s="5" t="s">
        <v>1528</v>
      </c>
      <c r="C349" s="5" t="s">
        <v>128</v>
      </c>
      <c r="D349" s="5" t="s">
        <v>1527</v>
      </c>
      <c r="E349" s="5" t="s">
        <v>723</v>
      </c>
      <c r="F349" s="5" t="s">
        <v>723</v>
      </c>
      <c r="G349" s="4" t="s">
        <v>1037</v>
      </c>
      <c r="H349" s="4" t="s">
        <v>1039</v>
      </c>
      <c r="I349" s="12"/>
      <c r="J349" s="9"/>
      <c r="K349" s="9"/>
      <c r="L349" s="9"/>
      <c r="M349" s="9"/>
      <c r="N349" s="9"/>
      <c r="O349" s="9"/>
      <c r="P349" s="9"/>
      <c r="Q349" s="50">
        <v>0.255</v>
      </c>
      <c r="R349" s="1">
        <f t="shared" si="111"/>
        <v>4462500</v>
      </c>
      <c r="S349" s="2">
        <v>0</v>
      </c>
      <c r="T349" s="2">
        <f t="shared" si="112"/>
        <v>17500000</v>
      </c>
      <c r="U349" s="9"/>
      <c r="V349" s="9"/>
      <c r="W349" s="9"/>
      <c r="X349" s="9"/>
      <c r="Y349" s="2"/>
      <c r="Z349" s="2">
        <v>3500000</v>
      </c>
      <c r="AA349" s="2">
        <v>3500000</v>
      </c>
      <c r="AB349" s="2">
        <v>3500000</v>
      </c>
      <c r="AC349" s="2">
        <v>3500000</v>
      </c>
      <c r="AD349" s="2">
        <v>3500000</v>
      </c>
      <c r="AE349" s="2">
        <v>3500000</v>
      </c>
      <c r="AF349" s="2">
        <v>3500000</v>
      </c>
      <c r="AG349" s="13">
        <f t="shared" si="131"/>
        <v>3500000</v>
      </c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 t="s">
        <v>1105</v>
      </c>
      <c r="AV349" s="4" t="s">
        <v>1218</v>
      </c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>
        <f t="shared" si="119"/>
        <v>0</v>
      </c>
      <c r="BN349" s="9">
        <f t="shared" si="108"/>
        <v>892500</v>
      </c>
      <c r="BO349" s="9">
        <f t="shared" si="109"/>
        <v>892500</v>
      </c>
      <c r="BP349" s="9">
        <f t="shared" si="113"/>
        <v>892500</v>
      </c>
      <c r="BQ349" s="9">
        <f t="shared" si="114"/>
        <v>892500</v>
      </c>
      <c r="BR349" s="9">
        <f t="shared" si="115"/>
        <v>892500</v>
      </c>
      <c r="BS349" s="9">
        <f t="shared" si="116"/>
        <v>892500</v>
      </c>
      <c r="BT349" s="9">
        <f t="shared" si="117"/>
        <v>892500</v>
      </c>
    </row>
    <row r="350" spans="1:72" hidden="1" x14ac:dyDescent="0.25">
      <c r="A350" s="11">
        <f t="shared" si="110"/>
        <v>349</v>
      </c>
      <c r="B350" s="5" t="s">
        <v>1529</v>
      </c>
      <c r="C350" s="5" t="s">
        <v>59</v>
      </c>
      <c r="D350" s="5" t="s">
        <v>1527</v>
      </c>
      <c r="E350" s="5" t="s">
        <v>723</v>
      </c>
      <c r="F350" s="5" t="s">
        <v>723</v>
      </c>
      <c r="G350" s="4" t="s">
        <v>1038</v>
      </c>
      <c r="H350" s="4" t="s">
        <v>1811</v>
      </c>
      <c r="I350" s="12"/>
      <c r="J350" s="9"/>
      <c r="K350" s="9"/>
      <c r="L350" s="9"/>
      <c r="M350" s="9"/>
      <c r="N350" s="9"/>
      <c r="O350" s="9"/>
      <c r="P350" s="9"/>
      <c r="Q350" s="50">
        <v>0.255</v>
      </c>
      <c r="R350" s="1">
        <f t="shared" si="111"/>
        <v>3825000</v>
      </c>
      <c r="S350" s="2">
        <v>0</v>
      </c>
      <c r="T350" s="2">
        <f t="shared" si="112"/>
        <v>15000000</v>
      </c>
      <c r="U350" s="9"/>
      <c r="V350" s="9"/>
      <c r="W350" s="9"/>
      <c r="X350" s="9"/>
      <c r="Y350" s="2"/>
      <c r="Z350" s="2">
        <v>3000000</v>
      </c>
      <c r="AA350" s="2">
        <v>3000000</v>
      </c>
      <c r="AB350" s="2">
        <v>3000000</v>
      </c>
      <c r="AC350" s="2">
        <v>3000000</v>
      </c>
      <c r="AD350" s="2">
        <v>3000000</v>
      </c>
      <c r="AE350" s="2">
        <v>3000000</v>
      </c>
      <c r="AF350" s="2">
        <v>3000000</v>
      </c>
      <c r="AG350" s="13">
        <f t="shared" si="131"/>
        <v>3000000</v>
      </c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 t="s">
        <v>1105</v>
      </c>
      <c r="AV350" s="4" t="s">
        <v>1218</v>
      </c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>
        <f t="shared" si="119"/>
        <v>0</v>
      </c>
      <c r="BN350" s="9">
        <f t="shared" si="108"/>
        <v>765000</v>
      </c>
      <c r="BO350" s="9">
        <f t="shared" si="109"/>
        <v>765000</v>
      </c>
      <c r="BP350" s="9">
        <f t="shared" si="113"/>
        <v>765000</v>
      </c>
      <c r="BQ350" s="9">
        <f t="shared" si="114"/>
        <v>765000</v>
      </c>
      <c r="BR350" s="9">
        <f t="shared" si="115"/>
        <v>765000</v>
      </c>
      <c r="BS350" s="9">
        <f t="shared" si="116"/>
        <v>765000</v>
      </c>
      <c r="BT350" s="9">
        <f t="shared" si="117"/>
        <v>765000</v>
      </c>
    </row>
    <row r="351" spans="1:72" hidden="1" x14ac:dyDescent="0.25">
      <c r="A351" s="11">
        <f t="shared" si="110"/>
        <v>350</v>
      </c>
      <c r="B351" s="5" t="s">
        <v>1530</v>
      </c>
      <c r="C351" s="5" t="s">
        <v>59</v>
      </c>
      <c r="D351" s="5" t="s">
        <v>1527</v>
      </c>
      <c r="E351" s="5" t="s">
        <v>723</v>
      </c>
      <c r="F351" s="5" t="s">
        <v>723</v>
      </c>
      <c r="G351" s="4" t="s">
        <v>1040</v>
      </c>
      <c r="H351" s="4" t="s">
        <v>1041</v>
      </c>
      <c r="I351" s="12"/>
      <c r="J351" s="9"/>
      <c r="K351" s="9"/>
      <c r="L351" s="9"/>
      <c r="M351" s="9"/>
      <c r="N351" s="9"/>
      <c r="O351" s="9"/>
      <c r="P351" s="9"/>
      <c r="Q351" s="50">
        <v>0.255</v>
      </c>
      <c r="R351" s="1">
        <f t="shared" si="111"/>
        <v>382500</v>
      </c>
      <c r="S351" s="2">
        <v>0</v>
      </c>
      <c r="T351" s="2">
        <f t="shared" si="112"/>
        <v>1500000</v>
      </c>
      <c r="U351" s="9"/>
      <c r="V351" s="9"/>
      <c r="W351" s="9"/>
      <c r="X351" s="9"/>
      <c r="Y351" s="2"/>
      <c r="Z351" s="2">
        <v>1500000</v>
      </c>
      <c r="AA351" s="2">
        <v>1500000</v>
      </c>
      <c r="AB351" s="2">
        <v>1500000</v>
      </c>
      <c r="AC351" s="2"/>
      <c r="AD351" s="2"/>
      <c r="AE351" s="2"/>
      <c r="AF351" s="2"/>
      <c r="AG351" s="13">
        <f t="shared" si="131"/>
        <v>0</v>
      </c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 t="s">
        <v>1105</v>
      </c>
      <c r="AV351" s="4" t="s">
        <v>1218</v>
      </c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>
        <f t="shared" si="119"/>
        <v>0</v>
      </c>
      <c r="BN351" s="9">
        <f t="shared" si="108"/>
        <v>382500</v>
      </c>
      <c r="BO351" s="9">
        <f t="shared" si="109"/>
        <v>382500</v>
      </c>
      <c r="BP351" s="9">
        <f t="shared" si="113"/>
        <v>382500</v>
      </c>
      <c r="BQ351" s="9">
        <f t="shared" si="114"/>
        <v>0</v>
      </c>
      <c r="BR351" s="9">
        <f t="shared" si="115"/>
        <v>0</v>
      </c>
      <c r="BS351" s="9">
        <f t="shared" si="116"/>
        <v>0</v>
      </c>
      <c r="BT351" s="9">
        <f t="shared" si="117"/>
        <v>0</v>
      </c>
    </row>
    <row r="352" spans="1:72" hidden="1" x14ac:dyDescent="0.25">
      <c r="A352" s="11">
        <f t="shared" si="110"/>
        <v>351</v>
      </c>
      <c r="B352" s="5" t="s">
        <v>1531</v>
      </c>
      <c r="C352" s="5" t="s">
        <v>128</v>
      </c>
      <c r="D352" s="5" t="s">
        <v>1531</v>
      </c>
      <c r="E352" s="5" t="s">
        <v>723</v>
      </c>
      <c r="F352" s="5" t="s">
        <v>723</v>
      </c>
      <c r="G352" s="4" t="s">
        <v>1077</v>
      </c>
      <c r="H352" s="4" t="s">
        <v>858</v>
      </c>
      <c r="I352" s="12" t="s">
        <v>859</v>
      </c>
      <c r="J352" s="9" t="s">
        <v>840</v>
      </c>
      <c r="K352" s="9"/>
      <c r="L352" s="9"/>
      <c r="M352" s="9"/>
      <c r="N352" s="9"/>
      <c r="O352" s="9"/>
      <c r="P352" s="9"/>
      <c r="Q352" s="20">
        <v>0.21</v>
      </c>
      <c r="R352" s="1">
        <f t="shared" si="111"/>
        <v>0</v>
      </c>
      <c r="S352" s="2">
        <v>0</v>
      </c>
      <c r="T352" s="2">
        <f t="shared" si="112"/>
        <v>0</v>
      </c>
      <c r="U352" s="9"/>
      <c r="V352" s="9"/>
      <c r="W352" s="9"/>
      <c r="X352" s="9"/>
      <c r="Y352" s="2"/>
      <c r="Z352" s="2"/>
      <c r="AA352" s="2"/>
      <c r="AB352" s="2"/>
      <c r="AC352" s="2"/>
      <c r="AD352" s="2"/>
      <c r="AE352" s="2"/>
      <c r="AF352" s="2"/>
      <c r="AG352" s="13">
        <f t="shared" si="131"/>
        <v>0</v>
      </c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 t="s">
        <v>1105</v>
      </c>
      <c r="AV352" s="4" t="s">
        <v>1218</v>
      </c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>
        <f t="shared" si="119"/>
        <v>0</v>
      </c>
      <c r="BN352" s="9">
        <f t="shared" si="108"/>
        <v>0</v>
      </c>
      <c r="BO352" s="9">
        <f t="shared" si="109"/>
        <v>0</v>
      </c>
      <c r="BP352" s="9">
        <f t="shared" si="113"/>
        <v>0</v>
      </c>
      <c r="BQ352" s="9">
        <f t="shared" si="114"/>
        <v>0</v>
      </c>
      <c r="BR352" s="9">
        <f t="shared" si="115"/>
        <v>0</v>
      </c>
      <c r="BS352" s="9">
        <f t="shared" si="116"/>
        <v>0</v>
      </c>
      <c r="BT352" s="9">
        <f t="shared" si="117"/>
        <v>0</v>
      </c>
    </row>
    <row r="353" spans="1:72" hidden="1" x14ac:dyDescent="0.25">
      <c r="A353" s="11">
        <f t="shared" si="110"/>
        <v>352</v>
      </c>
      <c r="B353" s="5" t="s">
        <v>1531</v>
      </c>
      <c r="C353" s="5" t="s">
        <v>128</v>
      </c>
      <c r="D353" s="5" t="s">
        <v>1531</v>
      </c>
      <c r="E353" s="5" t="s">
        <v>723</v>
      </c>
      <c r="F353" s="5" t="s">
        <v>723</v>
      </c>
      <c r="G353" s="4" t="s">
        <v>1532</v>
      </c>
      <c r="H353" s="4" t="s">
        <v>860</v>
      </c>
      <c r="I353" s="12" t="s">
        <v>848</v>
      </c>
      <c r="J353" s="9"/>
      <c r="K353" s="9"/>
      <c r="L353" s="9"/>
      <c r="M353" s="9"/>
      <c r="N353" s="9"/>
      <c r="O353" s="9"/>
      <c r="P353" s="9"/>
      <c r="Q353" s="20">
        <v>0.255</v>
      </c>
      <c r="R353" s="1">
        <f t="shared" si="111"/>
        <v>0</v>
      </c>
      <c r="S353" s="2">
        <v>0</v>
      </c>
      <c r="T353" s="2">
        <f t="shared" si="112"/>
        <v>0</v>
      </c>
      <c r="U353" s="9"/>
      <c r="V353" s="9"/>
      <c r="W353" s="9"/>
      <c r="X353" s="9"/>
      <c r="Y353" s="2"/>
      <c r="Z353" s="2"/>
      <c r="AA353" s="2"/>
      <c r="AB353" s="2"/>
      <c r="AC353" s="2"/>
      <c r="AD353" s="2"/>
      <c r="AE353" s="2"/>
      <c r="AF353" s="2"/>
      <c r="AG353" s="13">
        <f t="shared" si="131"/>
        <v>0</v>
      </c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 t="s">
        <v>1105</v>
      </c>
      <c r="AV353" s="4" t="s">
        <v>1218</v>
      </c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>
        <f t="shared" si="119"/>
        <v>0</v>
      </c>
      <c r="BN353" s="9">
        <f t="shared" si="108"/>
        <v>0</v>
      </c>
      <c r="BO353" s="9">
        <f t="shared" si="109"/>
        <v>0</v>
      </c>
      <c r="BP353" s="9">
        <f t="shared" si="113"/>
        <v>0</v>
      </c>
      <c r="BQ353" s="9">
        <f t="shared" si="114"/>
        <v>0</v>
      </c>
      <c r="BR353" s="9">
        <f t="shared" si="115"/>
        <v>0</v>
      </c>
      <c r="BS353" s="9">
        <f t="shared" si="116"/>
        <v>0</v>
      </c>
      <c r="BT353" s="9">
        <f t="shared" si="117"/>
        <v>0</v>
      </c>
    </row>
    <row r="354" spans="1:72" hidden="1" x14ac:dyDescent="0.25">
      <c r="A354" s="11">
        <f t="shared" si="110"/>
        <v>353</v>
      </c>
      <c r="B354" s="5" t="s">
        <v>1531</v>
      </c>
      <c r="C354" s="5" t="s">
        <v>128</v>
      </c>
      <c r="D354" s="5" t="s">
        <v>1531</v>
      </c>
      <c r="E354" s="5" t="s">
        <v>723</v>
      </c>
      <c r="F354" s="5" t="s">
        <v>723</v>
      </c>
      <c r="G354" s="4" t="s">
        <v>1532</v>
      </c>
      <c r="H354" s="4" t="s">
        <v>861</v>
      </c>
      <c r="I354" s="12" t="s">
        <v>862</v>
      </c>
      <c r="J354" s="9"/>
      <c r="K354" s="9"/>
      <c r="L354" s="9"/>
      <c r="M354" s="9"/>
      <c r="N354" s="9"/>
      <c r="O354" s="9"/>
      <c r="P354" s="9"/>
      <c r="Q354" s="20">
        <v>0.255</v>
      </c>
      <c r="R354" s="1">
        <f t="shared" si="111"/>
        <v>1275000</v>
      </c>
      <c r="S354" s="2">
        <v>5100000</v>
      </c>
      <c r="T354" s="2">
        <f t="shared" si="112"/>
        <v>5000000</v>
      </c>
      <c r="U354" s="9"/>
      <c r="V354" s="9"/>
      <c r="W354" s="9"/>
      <c r="X354" s="9"/>
      <c r="Y354" s="2">
        <v>2500000</v>
      </c>
      <c r="Z354" s="2">
        <v>2500000</v>
      </c>
      <c r="AA354" s="2">
        <v>2500000</v>
      </c>
      <c r="AB354" s="2">
        <v>2500000</v>
      </c>
      <c r="AC354" s="2">
        <v>2500000</v>
      </c>
      <c r="AD354" s="2"/>
      <c r="AE354" s="2"/>
      <c r="AF354" s="2"/>
      <c r="AG354" s="13">
        <f t="shared" si="131"/>
        <v>0</v>
      </c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 t="s">
        <v>1105</v>
      </c>
      <c r="AV354" s="4" t="s">
        <v>1218</v>
      </c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>
        <f t="shared" si="119"/>
        <v>637500</v>
      </c>
      <c r="BN354" s="9">
        <f t="shared" si="108"/>
        <v>637500</v>
      </c>
      <c r="BO354" s="9">
        <f t="shared" si="109"/>
        <v>637500</v>
      </c>
      <c r="BP354" s="9">
        <f t="shared" si="113"/>
        <v>637500</v>
      </c>
      <c r="BQ354" s="9">
        <f t="shared" si="114"/>
        <v>637500</v>
      </c>
      <c r="BR354" s="9">
        <f t="shared" si="115"/>
        <v>0</v>
      </c>
      <c r="BS354" s="9">
        <f t="shared" si="116"/>
        <v>0</v>
      </c>
      <c r="BT354" s="9">
        <f t="shared" si="117"/>
        <v>0</v>
      </c>
    </row>
    <row r="355" spans="1:72" hidden="1" x14ac:dyDescent="0.25">
      <c r="A355" s="11">
        <f t="shared" si="110"/>
        <v>354</v>
      </c>
      <c r="B355" s="5" t="s">
        <v>1531</v>
      </c>
      <c r="C355" s="5" t="s">
        <v>128</v>
      </c>
      <c r="D355" s="5" t="s">
        <v>1531</v>
      </c>
      <c r="E355" s="5" t="s">
        <v>723</v>
      </c>
      <c r="F355" s="5" t="s">
        <v>723</v>
      </c>
      <c r="G355" s="4" t="s">
        <v>1533</v>
      </c>
      <c r="H355" s="4" t="s">
        <v>863</v>
      </c>
      <c r="I355" s="12" t="s">
        <v>848</v>
      </c>
      <c r="J355" s="9"/>
      <c r="K355" s="9"/>
      <c r="L355" s="9"/>
      <c r="M355" s="9"/>
      <c r="N355" s="9"/>
      <c r="O355" s="9"/>
      <c r="P355" s="9"/>
      <c r="Q355" s="20">
        <v>0.255</v>
      </c>
      <c r="R355" s="1">
        <f t="shared" si="111"/>
        <v>0</v>
      </c>
      <c r="S355" s="2">
        <v>0</v>
      </c>
      <c r="T355" s="2">
        <f t="shared" si="112"/>
        <v>0</v>
      </c>
      <c r="U355" s="9"/>
      <c r="V355" s="9"/>
      <c r="W355" s="9"/>
      <c r="X355" s="9"/>
      <c r="Y355" s="2"/>
      <c r="Z355" s="2"/>
      <c r="AA355" s="2"/>
      <c r="AB355" s="2"/>
      <c r="AC355" s="2"/>
      <c r="AD355" s="2"/>
      <c r="AE355" s="2"/>
      <c r="AF355" s="2"/>
      <c r="AG355" s="13">
        <f t="shared" si="131"/>
        <v>0</v>
      </c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 t="s">
        <v>1105</v>
      </c>
      <c r="AV355" s="4" t="s">
        <v>1218</v>
      </c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>
        <f t="shared" si="119"/>
        <v>0</v>
      </c>
      <c r="BN355" s="9">
        <f t="shared" si="108"/>
        <v>0</v>
      </c>
      <c r="BO355" s="9">
        <f t="shared" si="109"/>
        <v>0</v>
      </c>
      <c r="BP355" s="9">
        <f t="shared" si="113"/>
        <v>0</v>
      </c>
      <c r="BQ355" s="9">
        <f t="shared" si="114"/>
        <v>0</v>
      </c>
      <c r="BR355" s="9">
        <f t="shared" si="115"/>
        <v>0</v>
      </c>
      <c r="BS355" s="9">
        <f t="shared" si="116"/>
        <v>0</v>
      </c>
      <c r="BT355" s="9">
        <f t="shared" si="117"/>
        <v>0</v>
      </c>
    </row>
    <row r="356" spans="1:72" hidden="1" x14ac:dyDescent="0.25">
      <c r="A356" s="11">
        <f t="shared" si="110"/>
        <v>355</v>
      </c>
      <c r="B356" s="5" t="s">
        <v>1531</v>
      </c>
      <c r="C356" s="5" t="s">
        <v>128</v>
      </c>
      <c r="D356" s="5" t="s">
        <v>1531</v>
      </c>
      <c r="E356" s="5" t="s">
        <v>723</v>
      </c>
      <c r="F356" s="5" t="s">
        <v>723</v>
      </c>
      <c r="G356" s="4" t="s">
        <v>1533</v>
      </c>
      <c r="H356" s="4" t="s">
        <v>864</v>
      </c>
      <c r="I356" s="12" t="s">
        <v>862</v>
      </c>
      <c r="J356" s="9"/>
      <c r="K356" s="9"/>
      <c r="L356" s="9"/>
      <c r="M356" s="9"/>
      <c r="N356" s="9"/>
      <c r="O356" s="9"/>
      <c r="P356" s="9"/>
      <c r="Q356" s="20">
        <v>0.255</v>
      </c>
      <c r="R356" s="1">
        <f t="shared" si="111"/>
        <v>0</v>
      </c>
      <c r="S356" s="2">
        <v>0</v>
      </c>
      <c r="T356" s="2">
        <f t="shared" si="112"/>
        <v>0</v>
      </c>
      <c r="U356" s="9"/>
      <c r="V356" s="9"/>
      <c r="W356" s="9"/>
      <c r="X356" s="9"/>
      <c r="Y356" s="2"/>
      <c r="Z356" s="2"/>
      <c r="AA356" s="2"/>
      <c r="AB356" s="2"/>
      <c r="AC356" s="2"/>
      <c r="AD356" s="2"/>
      <c r="AE356" s="2"/>
      <c r="AF356" s="2"/>
      <c r="AG356" s="13">
        <f t="shared" si="131"/>
        <v>0</v>
      </c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 t="s">
        <v>1105</v>
      </c>
      <c r="AV356" s="4" t="s">
        <v>1218</v>
      </c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>
        <f t="shared" si="119"/>
        <v>0</v>
      </c>
      <c r="BN356" s="9">
        <f t="shared" si="108"/>
        <v>0</v>
      </c>
      <c r="BO356" s="9">
        <f t="shared" si="109"/>
        <v>0</v>
      </c>
      <c r="BP356" s="9">
        <f t="shared" si="113"/>
        <v>0</v>
      </c>
      <c r="BQ356" s="9">
        <f t="shared" si="114"/>
        <v>0</v>
      </c>
      <c r="BR356" s="9">
        <f t="shared" si="115"/>
        <v>0</v>
      </c>
      <c r="BS356" s="9">
        <f t="shared" si="116"/>
        <v>0</v>
      </c>
      <c r="BT356" s="9">
        <f t="shared" si="117"/>
        <v>0</v>
      </c>
    </row>
    <row r="357" spans="1:72" hidden="1" x14ac:dyDescent="0.25">
      <c r="A357" s="11">
        <f t="shared" si="110"/>
        <v>356</v>
      </c>
      <c r="B357" s="5" t="s">
        <v>1531</v>
      </c>
      <c r="C357" s="5" t="s">
        <v>128</v>
      </c>
      <c r="D357" s="5" t="s">
        <v>1531</v>
      </c>
      <c r="E357" s="5" t="s">
        <v>723</v>
      </c>
      <c r="F357" s="5" t="s">
        <v>723</v>
      </c>
      <c r="G357" s="4" t="s">
        <v>1534</v>
      </c>
      <c r="H357" s="4"/>
      <c r="I357" s="12" t="s">
        <v>862</v>
      </c>
      <c r="J357" s="9"/>
      <c r="K357" s="9"/>
      <c r="L357" s="9"/>
      <c r="M357" s="9"/>
      <c r="N357" s="9"/>
      <c r="O357" s="9"/>
      <c r="P357" s="9"/>
      <c r="Q357" s="20">
        <v>0.255</v>
      </c>
      <c r="R357" s="1">
        <f t="shared" si="111"/>
        <v>0</v>
      </c>
      <c r="S357" s="2">
        <v>0</v>
      </c>
      <c r="T357" s="2">
        <f t="shared" si="112"/>
        <v>0</v>
      </c>
      <c r="U357" s="9"/>
      <c r="V357" s="9"/>
      <c r="W357" s="9"/>
      <c r="X357" s="9"/>
      <c r="Y357" s="2"/>
      <c r="Z357" s="2"/>
      <c r="AA357" s="2"/>
      <c r="AB357" s="2"/>
      <c r="AC357" s="2"/>
      <c r="AD357" s="2"/>
      <c r="AE357" s="2"/>
      <c r="AF357" s="2"/>
      <c r="AG357" s="13">
        <f t="shared" si="131"/>
        <v>0</v>
      </c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 t="s">
        <v>1105</v>
      </c>
      <c r="AV357" s="4" t="s">
        <v>1218</v>
      </c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>
        <f t="shared" si="119"/>
        <v>0</v>
      </c>
      <c r="BN357" s="9">
        <f t="shared" si="108"/>
        <v>0</v>
      </c>
      <c r="BO357" s="9">
        <f t="shared" si="109"/>
        <v>0</v>
      </c>
      <c r="BP357" s="9">
        <f t="shared" si="113"/>
        <v>0</v>
      </c>
      <c r="BQ357" s="9">
        <f t="shared" si="114"/>
        <v>0</v>
      </c>
      <c r="BR357" s="9">
        <f t="shared" si="115"/>
        <v>0</v>
      </c>
      <c r="BS357" s="9">
        <f t="shared" si="116"/>
        <v>0</v>
      </c>
      <c r="BT357" s="9">
        <f t="shared" si="117"/>
        <v>0</v>
      </c>
    </row>
    <row r="358" spans="1:72" hidden="1" x14ac:dyDescent="0.25">
      <c r="A358" s="11">
        <f t="shared" si="110"/>
        <v>357</v>
      </c>
      <c r="B358" s="5" t="s">
        <v>1531</v>
      </c>
      <c r="C358" s="5" t="s">
        <v>128</v>
      </c>
      <c r="D358" s="5" t="s">
        <v>1531</v>
      </c>
      <c r="E358" s="5" t="s">
        <v>723</v>
      </c>
      <c r="F358" s="5" t="s">
        <v>723</v>
      </c>
      <c r="G358" s="4" t="s">
        <v>1535</v>
      </c>
      <c r="H358" s="4"/>
      <c r="I358" s="12" t="s">
        <v>862</v>
      </c>
      <c r="J358" s="9"/>
      <c r="K358" s="9"/>
      <c r="L358" s="9"/>
      <c r="M358" s="9"/>
      <c r="N358" s="9"/>
      <c r="O358" s="9"/>
      <c r="P358" s="9"/>
      <c r="Q358" s="20">
        <v>0.255</v>
      </c>
      <c r="R358" s="1">
        <f t="shared" si="111"/>
        <v>0</v>
      </c>
      <c r="S358" s="2">
        <v>0</v>
      </c>
      <c r="T358" s="2">
        <f t="shared" si="112"/>
        <v>0</v>
      </c>
      <c r="U358" s="9"/>
      <c r="V358" s="9"/>
      <c r="W358" s="9"/>
      <c r="X358" s="9"/>
      <c r="Y358" s="2"/>
      <c r="Z358" s="2"/>
      <c r="AA358" s="2"/>
      <c r="AB358" s="2"/>
      <c r="AC358" s="2"/>
      <c r="AD358" s="2"/>
      <c r="AE358" s="2"/>
      <c r="AF358" s="2"/>
      <c r="AG358" s="13">
        <f t="shared" si="131"/>
        <v>0</v>
      </c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 t="s">
        <v>1105</v>
      </c>
      <c r="AV358" s="4" t="s">
        <v>1218</v>
      </c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>
        <f t="shared" si="119"/>
        <v>0</v>
      </c>
      <c r="BN358" s="9">
        <f t="shared" si="108"/>
        <v>0</v>
      </c>
      <c r="BO358" s="9">
        <f t="shared" si="109"/>
        <v>0</v>
      </c>
      <c r="BP358" s="9">
        <f t="shared" si="113"/>
        <v>0</v>
      </c>
      <c r="BQ358" s="9">
        <f t="shared" si="114"/>
        <v>0</v>
      </c>
      <c r="BR358" s="9">
        <f t="shared" si="115"/>
        <v>0</v>
      </c>
      <c r="BS358" s="9">
        <f t="shared" si="116"/>
        <v>0</v>
      </c>
      <c r="BT358" s="9">
        <f t="shared" si="117"/>
        <v>0</v>
      </c>
    </row>
    <row r="359" spans="1:72" hidden="1" x14ac:dyDescent="0.25">
      <c r="A359" s="11">
        <f t="shared" si="110"/>
        <v>358</v>
      </c>
      <c r="B359" s="5" t="s">
        <v>1531</v>
      </c>
      <c r="C359" s="5" t="s">
        <v>128</v>
      </c>
      <c r="D359" s="5" t="s">
        <v>1531</v>
      </c>
      <c r="E359" s="5" t="s">
        <v>723</v>
      </c>
      <c r="F359" s="5" t="s">
        <v>723</v>
      </c>
      <c r="G359" s="4" t="s">
        <v>865</v>
      </c>
      <c r="H359" s="4" t="s">
        <v>1801</v>
      </c>
      <c r="I359" s="12" t="s">
        <v>848</v>
      </c>
      <c r="J359" s="9"/>
      <c r="K359" s="9"/>
      <c r="L359" s="9"/>
      <c r="M359" s="9"/>
      <c r="N359" s="9"/>
      <c r="O359" s="9"/>
      <c r="P359" s="9"/>
      <c r="Q359" s="20">
        <v>0.16</v>
      </c>
      <c r="R359" s="1">
        <f t="shared" si="111"/>
        <v>0</v>
      </c>
      <c r="S359" s="2">
        <v>0</v>
      </c>
      <c r="T359" s="2">
        <f t="shared" si="112"/>
        <v>0</v>
      </c>
      <c r="U359" s="9"/>
      <c r="V359" s="9"/>
      <c r="W359" s="9"/>
      <c r="X359" s="9"/>
      <c r="Y359" s="2"/>
      <c r="Z359" s="2"/>
      <c r="AA359" s="2"/>
      <c r="AB359" s="2"/>
      <c r="AC359" s="2"/>
      <c r="AD359" s="2"/>
      <c r="AE359" s="2"/>
      <c r="AF359" s="2"/>
      <c r="AG359" s="13">
        <f t="shared" si="131"/>
        <v>0</v>
      </c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 t="s">
        <v>1105</v>
      </c>
      <c r="AV359" s="4" t="s">
        <v>1218</v>
      </c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>
        <f t="shared" si="119"/>
        <v>0</v>
      </c>
      <c r="BN359" s="9">
        <f t="shared" si="108"/>
        <v>0</v>
      </c>
      <c r="BO359" s="9">
        <f t="shared" si="109"/>
        <v>0</v>
      </c>
      <c r="BP359" s="9">
        <f t="shared" si="113"/>
        <v>0</v>
      </c>
      <c r="BQ359" s="9">
        <f t="shared" si="114"/>
        <v>0</v>
      </c>
      <c r="BR359" s="9">
        <f t="shared" si="115"/>
        <v>0</v>
      </c>
      <c r="BS359" s="9">
        <f t="shared" si="116"/>
        <v>0</v>
      </c>
      <c r="BT359" s="9">
        <f t="shared" si="117"/>
        <v>0</v>
      </c>
    </row>
    <row r="360" spans="1:72" hidden="1" x14ac:dyDescent="0.25">
      <c r="A360" s="11">
        <f t="shared" si="110"/>
        <v>359</v>
      </c>
      <c r="B360" s="5" t="s">
        <v>1531</v>
      </c>
      <c r="C360" s="5" t="s">
        <v>128</v>
      </c>
      <c r="D360" s="5" t="s">
        <v>1531</v>
      </c>
      <c r="E360" s="5" t="s">
        <v>723</v>
      </c>
      <c r="F360" s="5" t="s">
        <v>723</v>
      </c>
      <c r="G360" s="4" t="s">
        <v>866</v>
      </c>
      <c r="H360" s="4" t="s">
        <v>1060</v>
      </c>
      <c r="I360" s="12" t="s">
        <v>867</v>
      </c>
      <c r="J360" s="9"/>
      <c r="K360" s="9"/>
      <c r="L360" s="9"/>
      <c r="M360" s="9"/>
      <c r="N360" s="9"/>
      <c r="O360" s="9"/>
      <c r="P360" s="9"/>
      <c r="Q360" s="20">
        <v>0.16</v>
      </c>
      <c r="R360" s="1">
        <f t="shared" si="111"/>
        <v>0</v>
      </c>
      <c r="S360" s="2">
        <v>80000</v>
      </c>
      <c r="T360" s="2">
        <f t="shared" si="112"/>
        <v>0</v>
      </c>
      <c r="U360" s="9"/>
      <c r="V360" s="9"/>
      <c r="W360" s="9"/>
      <c r="X360" s="9"/>
      <c r="Y360" s="2">
        <v>500000</v>
      </c>
      <c r="Z360" s="2"/>
      <c r="AA360" s="2"/>
      <c r="AB360" s="2"/>
      <c r="AC360" s="2"/>
      <c r="AD360" s="2"/>
      <c r="AE360" s="2"/>
      <c r="AF360" s="2"/>
      <c r="AG360" s="13">
        <f t="shared" si="131"/>
        <v>0</v>
      </c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 t="s">
        <v>1105</v>
      </c>
      <c r="AV360" s="4" t="s">
        <v>1218</v>
      </c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>
        <f t="shared" si="119"/>
        <v>80000</v>
      </c>
      <c r="BN360" s="9">
        <f t="shared" si="108"/>
        <v>0</v>
      </c>
      <c r="BO360" s="9">
        <f t="shared" si="109"/>
        <v>0</v>
      </c>
      <c r="BP360" s="9">
        <f t="shared" si="113"/>
        <v>0</v>
      </c>
      <c r="BQ360" s="9">
        <f t="shared" si="114"/>
        <v>0</v>
      </c>
      <c r="BR360" s="9">
        <f t="shared" si="115"/>
        <v>0</v>
      </c>
      <c r="BS360" s="9">
        <f t="shared" si="116"/>
        <v>0</v>
      </c>
      <c r="BT360" s="9">
        <f t="shared" si="117"/>
        <v>0</v>
      </c>
    </row>
    <row r="361" spans="1:72" hidden="1" x14ac:dyDescent="0.25">
      <c r="A361" s="11">
        <f t="shared" si="110"/>
        <v>360</v>
      </c>
      <c r="B361" s="5" t="s">
        <v>1531</v>
      </c>
      <c r="C361" s="5" t="s">
        <v>128</v>
      </c>
      <c r="D361" s="5" t="s">
        <v>1531</v>
      </c>
      <c r="E361" s="5" t="s">
        <v>723</v>
      </c>
      <c r="F361" s="5" t="s">
        <v>723</v>
      </c>
      <c r="G361" s="4" t="s">
        <v>1327</v>
      </c>
      <c r="H361" s="4" t="s">
        <v>868</v>
      </c>
      <c r="I361" s="12" t="s">
        <v>869</v>
      </c>
      <c r="J361" s="9" t="s">
        <v>870</v>
      </c>
      <c r="K361" s="9"/>
      <c r="L361" s="9"/>
      <c r="M361" s="9"/>
      <c r="N361" s="9"/>
      <c r="O361" s="9"/>
      <c r="P361" s="9"/>
      <c r="Q361" s="20">
        <v>0.26500000000000001</v>
      </c>
      <c r="R361" s="1">
        <f t="shared" si="111"/>
        <v>201400</v>
      </c>
      <c r="S361" s="2">
        <v>805600</v>
      </c>
      <c r="T361" s="2">
        <f t="shared" si="112"/>
        <v>760000</v>
      </c>
      <c r="U361" s="9"/>
      <c r="V361" s="9"/>
      <c r="W361" s="9"/>
      <c r="X361" s="9"/>
      <c r="Y361" s="2">
        <v>380000</v>
      </c>
      <c r="Z361" s="2">
        <v>380000</v>
      </c>
      <c r="AA361" s="2">
        <v>380000</v>
      </c>
      <c r="AB361" s="2">
        <v>380000</v>
      </c>
      <c r="AC361" s="2">
        <v>380000</v>
      </c>
      <c r="AD361" s="2"/>
      <c r="AE361" s="2"/>
      <c r="AF361" s="2"/>
      <c r="AG361" s="13">
        <f t="shared" si="131"/>
        <v>0</v>
      </c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 t="s">
        <v>1105</v>
      </c>
      <c r="AV361" s="4" t="s">
        <v>1218</v>
      </c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>
        <f t="shared" si="119"/>
        <v>100700</v>
      </c>
      <c r="BN361" s="9">
        <f t="shared" si="108"/>
        <v>100700</v>
      </c>
      <c r="BO361" s="9">
        <f t="shared" si="109"/>
        <v>100700</v>
      </c>
      <c r="BP361" s="9">
        <f t="shared" si="113"/>
        <v>100700</v>
      </c>
      <c r="BQ361" s="9">
        <f t="shared" si="114"/>
        <v>100700</v>
      </c>
      <c r="BR361" s="9">
        <f t="shared" si="115"/>
        <v>0</v>
      </c>
      <c r="BS361" s="9">
        <f t="shared" si="116"/>
        <v>0</v>
      </c>
      <c r="BT361" s="9">
        <f t="shared" si="117"/>
        <v>0</v>
      </c>
    </row>
    <row r="362" spans="1:72" hidden="1" x14ac:dyDescent="0.25">
      <c r="A362" s="11">
        <f t="shared" si="110"/>
        <v>361</v>
      </c>
      <c r="B362" s="5" t="s">
        <v>1531</v>
      </c>
      <c r="C362" s="5" t="s">
        <v>128</v>
      </c>
      <c r="D362" s="5" t="s">
        <v>1531</v>
      </c>
      <c r="E362" s="5" t="s">
        <v>723</v>
      </c>
      <c r="F362" s="5" t="s">
        <v>723</v>
      </c>
      <c r="G362" s="4" t="s">
        <v>157</v>
      </c>
      <c r="H362" s="4" t="s">
        <v>871</v>
      </c>
      <c r="I362" s="12" t="s">
        <v>872</v>
      </c>
      <c r="J362" s="9" t="s">
        <v>873</v>
      </c>
      <c r="K362" s="9"/>
      <c r="L362" s="9"/>
      <c r="M362" s="9"/>
      <c r="N362" s="9"/>
      <c r="O362" s="9"/>
      <c r="P362" s="9"/>
      <c r="Q362" s="20">
        <v>0.155</v>
      </c>
      <c r="R362" s="1">
        <f t="shared" si="111"/>
        <v>0</v>
      </c>
      <c r="S362" s="2">
        <v>310000</v>
      </c>
      <c r="T362" s="2">
        <f t="shared" si="112"/>
        <v>0</v>
      </c>
      <c r="U362" s="9"/>
      <c r="V362" s="9"/>
      <c r="W362" s="9"/>
      <c r="X362" s="9"/>
      <c r="Y362" s="2">
        <v>1000000</v>
      </c>
      <c r="Z362" s="2"/>
      <c r="AA362" s="2">
        <v>1000000</v>
      </c>
      <c r="AB362" s="2"/>
      <c r="AC362" s="2"/>
      <c r="AD362" s="2"/>
      <c r="AE362" s="2"/>
      <c r="AF362" s="2"/>
      <c r="AG362" s="13">
        <f t="shared" si="131"/>
        <v>0</v>
      </c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 t="s">
        <v>1105</v>
      </c>
      <c r="AV362" s="4" t="s">
        <v>1218</v>
      </c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>
        <f t="shared" si="119"/>
        <v>155000</v>
      </c>
      <c r="BN362" s="9">
        <f t="shared" si="108"/>
        <v>0</v>
      </c>
      <c r="BO362" s="9">
        <f t="shared" si="109"/>
        <v>155000</v>
      </c>
      <c r="BP362" s="9">
        <f t="shared" si="113"/>
        <v>0</v>
      </c>
      <c r="BQ362" s="9">
        <f t="shared" si="114"/>
        <v>0</v>
      </c>
      <c r="BR362" s="9">
        <f t="shared" si="115"/>
        <v>0</v>
      </c>
      <c r="BS362" s="9">
        <f t="shared" si="116"/>
        <v>0</v>
      </c>
      <c r="BT362" s="9">
        <f t="shared" si="117"/>
        <v>0</v>
      </c>
    </row>
    <row r="363" spans="1:72" hidden="1" x14ac:dyDescent="0.25">
      <c r="A363" s="11">
        <f t="shared" si="110"/>
        <v>362</v>
      </c>
      <c r="B363" s="5" t="s">
        <v>1531</v>
      </c>
      <c r="C363" s="5" t="s">
        <v>128</v>
      </c>
      <c r="D363" s="5" t="s">
        <v>1531</v>
      </c>
      <c r="E363" s="5" t="s">
        <v>723</v>
      </c>
      <c r="F363" s="5" t="s">
        <v>723</v>
      </c>
      <c r="G363" s="4" t="s">
        <v>144</v>
      </c>
      <c r="H363" s="4" t="s">
        <v>1810</v>
      </c>
      <c r="I363" s="12">
        <v>6571</v>
      </c>
      <c r="J363" s="9" t="s">
        <v>874</v>
      </c>
      <c r="K363" s="9"/>
      <c r="L363" s="9"/>
      <c r="M363" s="9"/>
      <c r="N363" s="9"/>
      <c r="O363" s="9"/>
      <c r="P363" s="9"/>
      <c r="Q363" s="20">
        <v>0.155</v>
      </c>
      <c r="R363" s="1">
        <f t="shared" si="111"/>
        <v>0</v>
      </c>
      <c r="S363" s="2">
        <v>0</v>
      </c>
      <c r="T363" s="2">
        <f t="shared" si="112"/>
        <v>0</v>
      </c>
      <c r="U363" s="9"/>
      <c r="V363" s="9"/>
      <c r="W363" s="9"/>
      <c r="X363" s="9"/>
      <c r="Y363" s="2"/>
      <c r="Z363" s="2"/>
      <c r="AA363" s="2"/>
      <c r="AB363" s="2"/>
      <c r="AC363" s="2"/>
      <c r="AD363" s="2"/>
      <c r="AE363" s="2"/>
      <c r="AF363" s="2"/>
      <c r="AG363" s="13">
        <f t="shared" si="131"/>
        <v>0</v>
      </c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 t="s">
        <v>1105</v>
      </c>
      <c r="AV363" s="4" t="s">
        <v>1218</v>
      </c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>
        <f t="shared" si="119"/>
        <v>0</v>
      </c>
      <c r="BN363" s="9">
        <f t="shared" si="108"/>
        <v>0</v>
      </c>
      <c r="BO363" s="9">
        <f t="shared" si="109"/>
        <v>0</v>
      </c>
      <c r="BP363" s="9">
        <f t="shared" si="113"/>
        <v>0</v>
      </c>
      <c r="BQ363" s="9">
        <f t="shared" si="114"/>
        <v>0</v>
      </c>
      <c r="BR363" s="9">
        <f t="shared" si="115"/>
        <v>0</v>
      </c>
      <c r="BS363" s="9">
        <f t="shared" si="116"/>
        <v>0</v>
      </c>
      <c r="BT363" s="9">
        <f t="shared" si="117"/>
        <v>0</v>
      </c>
    </row>
    <row r="364" spans="1:72" hidden="1" x14ac:dyDescent="0.25">
      <c r="A364" s="11">
        <f t="shared" si="110"/>
        <v>363</v>
      </c>
      <c r="B364" s="5" t="s">
        <v>1531</v>
      </c>
      <c r="C364" s="5" t="s">
        <v>128</v>
      </c>
      <c r="D364" s="5" t="s">
        <v>1531</v>
      </c>
      <c r="E364" s="5" t="s">
        <v>723</v>
      </c>
      <c r="F364" s="5" t="s">
        <v>723</v>
      </c>
      <c r="G364" s="4" t="s">
        <v>157</v>
      </c>
      <c r="H364" s="33" t="s">
        <v>1804</v>
      </c>
      <c r="I364" s="12">
        <v>6501</v>
      </c>
      <c r="J364" s="9" t="s">
        <v>873</v>
      </c>
      <c r="K364" s="9"/>
      <c r="L364" s="9"/>
      <c r="M364" s="9"/>
      <c r="N364" s="9"/>
      <c r="O364" s="9"/>
      <c r="P364" s="9"/>
      <c r="Q364" s="20">
        <v>0.155</v>
      </c>
      <c r="R364" s="1">
        <f t="shared" si="111"/>
        <v>155000</v>
      </c>
      <c r="S364" s="2">
        <v>0</v>
      </c>
      <c r="T364" s="2">
        <f t="shared" si="112"/>
        <v>1000000</v>
      </c>
      <c r="U364" s="9"/>
      <c r="V364" s="9"/>
      <c r="W364" s="9"/>
      <c r="X364" s="9"/>
      <c r="Y364" s="2"/>
      <c r="Z364" s="2"/>
      <c r="AA364" s="2"/>
      <c r="AB364" s="2">
        <v>1000000</v>
      </c>
      <c r="AC364" s="2"/>
      <c r="AD364" s="2"/>
      <c r="AE364" s="2"/>
      <c r="AF364" s="2"/>
      <c r="AG364" s="13">
        <f t="shared" si="131"/>
        <v>0</v>
      </c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 t="s">
        <v>1105</v>
      </c>
      <c r="AV364" s="4" t="s">
        <v>1218</v>
      </c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>
        <f t="shared" si="119"/>
        <v>0</v>
      </c>
      <c r="BN364" s="9">
        <f t="shared" si="108"/>
        <v>0</v>
      </c>
      <c r="BO364" s="9">
        <f t="shared" si="109"/>
        <v>0</v>
      </c>
      <c r="BP364" s="9">
        <f t="shared" si="113"/>
        <v>155000</v>
      </c>
      <c r="BQ364" s="9">
        <f t="shared" si="114"/>
        <v>0</v>
      </c>
      <c r="BR364" s="9">
        <f t="shared" si="115"/>
        <v>0</v>
      </c>
      <c r="BS364" s="9">
        <f t="shared" si="116"/>
        <v>0</v>
      </c>
      <c r="BT364" s="9">
        <f t="shared" si="117"/>
        <v>0</v>
      </c>
    </row>
    <row r="365" spans="1:72" hidden="1" x14ac:dyDescent="0.25">
      <c r="A365" s="11">
        <f t="shared" si="110"/>
        <v>364</v>
      </c>
      <c r="B365" s="5" t="s">
        <v>1531</v>
      </c>
      <c r="C365" s="5" t="s">
        <v>128</v>
      </c>
      <c r="D365" s="5" t="s">
        <v>1531</v>
      </c>
      <c r="E365" s="5" t="s">
        <v>723</v>
      </c>
      <c r="F365" s="5" t="s">
        <v>723</v>
      </c>
      <c r="G365" s="4" t="s">
        <v>144</v>
      </c>
      <c r="H365" s="4"/>
      <c r="I365" s="12">
        <v>6501</v>
      </c>
      <c r="J365" s="9" t="s">
        <v>873</v>
      </c>
      <c r="K365" s="9"/>
      <c r="L365" s="9"/>
      <c r="M365" s="9"/>
      <c r="N365" s="9"/>
      <c r="O365" s="9"/>
      <c r="P365" s="9"/>
      <c r="Q365" s="20">
        <v>0.155</v>
      </c>
      <c r="R365" s="1">
        <f t="shared" si="111"/>
        <v>0</v>
      </c>
      <c r="S365" s="2">
        <v>0</v>
      </c>
      <c r="T365" s="2">
        <f t="shared" si="112"/>
        <v>0</v>
      </c>
      <c r="U365" s="9"/>
      <c r="V365" s="9"/>
      <c r="W365" s="9"/>
      <c r="X365" s="9"/>
      <c r="Y365" s="2"/>
      <c r="Z365" s="2"/>
      <c r="AA365" s="2"/>
      <c r="AB365" s="2"/>
      <c r="AC365" s="2"/>
      <c r="AD365" s="2"/>
      <c r="AE365" s="2"/>
      <c r="AF365" s="2"/>
      <c r="AG365" s="13">
        <f t="shared" si="131"/>
        <v>0</v>
      </c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 t="s">
        <v>1105</v>
      </c>
      <c r="AV365" s="4" t="s">
        <v>1218</v>
      </c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>
        <f t="shared" si="119"/>
        <v>0</v>
      </c>
      <c r="BN365" s="9">
        <f t="shared" si="108"/>
        <v>0</v>
      </c>
      <c r="BO365" s="9">
        <f t="shared" si="109"/>
        <v>0</v>
      </c>
      <c r="BP365" s="9">
        <f t="shared" si="113"/>
        <v>0</v>
      </c>
      <c r="BQ365" s="9">
        <f t="shared" si="114"/>
        <v>0</v>
      </c>
      <c r="BR365" s="9">
        <f t="shared" si="115"/>
        <v>0</v>
      </c>
      <c r="BS365" s="9">
        <f t="shared" si="116"/>
        <v>0</v>
      </c>
      <c r="BT365" s="9">
        <f t="shared" si="117"/>
        <v>0</v>
      </c>
    </row>
    <row r="366" spans="1:72" hidden="1" x14ac:dyDescent="0.25">
      <c r="A366" s="11">
        <f t="shared" si="110"/>
        <v>365</v>
      </c>
      <c r="B366" s="5" t="s">
        <v>1531</v>
      </c>
      <c r="C366" s="5" t="s">
        <v>128</v>
      </c>
      <c r="D366" s="5" t="s">
        <v>1531</v>
      </c>
      <c r="E366" s="5" t="s">
        <v>723</v>
      </c>
      <c r="F366" s="5" t="s">
        <v>723</v>
      </c>
      <c r="G366" s="4" t="s">
        <v>1536</v>
      </c>
      <c r="H366" s="4" t="s">
        <v>875</v>
      </c>
      <c r="I366" s="12">
        <v>6210</v>
      </c>
      <c r="J366" s="9"/>
      <c r="K366" s="9"/>
      <c r="L366" s="9"/>
      <c r="M366" s="9"/>
      <c r="N366" s="9"/>
      <c r="O366" s="9"/>
      <c r="P366" s="9"/>
      <c r="Q366" s="20">
        <v>0.31</v>
      </c>
      <c r="R366" s="1">
        <f t="shared" si="111"/>
        <v>0</v>
      </c>
      <c r="S366" s="2">
        <v>372000</v>
      </c>
      <c r="T366" s="2">
        <f t="shared" si="112"/>
        <v>0</v>
      </c>
      <c r="U366" s="9"/>
      <c r="V366" s="9"/>
      <c r="W366" s="9"/>
      <c r="X366" s="9"/>
      <c r="Y366" s="2">
        <v>400000</v>
      </c>
      <c r="Z366" s="2"/>
      <c r="AA366" s="2">
        <v>400000</v>
      </c>
      <c r="AB366" s="2"/>
      <c r="AC366" s="2"/>
      <c r="AD366" s="2"/>
      <c r="AE366" s="2"/>
      <c r="AF366" s="2"/>
      <c r="AG366" s="13">
        <f t="shared" si="131"/>
        <v>0</v>
      </c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 t="s">
        <v>1105</v>
      </c>
      <c r="AV366" s="4" t="s">
        <v>1218</v>
      </c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>
        <f t="shared" si="119"/>
        <v>124000</v>
      </c>
      <c r="BN366" s="9">
        <f t="shared" si="108"/>
        <v>0</v>
      </c>
      <c r="BO366" s="9">
        <f t="shared" si="109"/>
        <v>124000</v>
      </c>
      <c r="BP366" s="9">
        <f t="shared" si="113"/>
        <v>0</v>
      </c>
      <c r="BQ366" s="9">
        <f t="shared" si="114"/>
        <v>0</v>
      </c>
      <c r="BR366" s="9">
        <f t="shared" si="115"/>
        <v>0</v>
      </c>
      <c r="BS366" s="9">
        <f t="shared" si="116"/>
        <v>0</v>
      </c>
      <c r="BT366" s="9">
        <f t="shared" si="117"/>
        <v>0</v>
      </c>
    </row>
    <row r="367" spans="1:72" hidden="1" x14ac:dyDescent="0.25">
      <c r="A367" s="11">
        <f t="shared" si="110"/>
        <v>366</v>
      </c>
      <c r="B367" s="5" t="s">
        <v>1531</v>
      </c>
      <c r="C367" s="5" t="s">
        <v>128</v>
      </c>
      <c r="D367" s="5" t="s">
        <v>1531</v>
      </c>
      <c r="E367" s="5" t="s">
        <v>723</v>
      </c>
      <c r="F367" s="5" t="s">
        <v>723</v>
      </c>
      <c r="G367" s="4" t="s">
        <v>876</v>
      </c>
      <c r="H367" s="4" t="s">
        <v>1061</v>
      </c>
      <c r="I367" s="12" t="s">
        <v>877</v>
      </c>
      <c r="J367" s="9"/>
      <c r="K367" s="9"/>
      <c r="L367" s="9"/>
      <c r="M367" s="9"/>
      <c r="N367" s="9"/>
      <c r="O367" s="9"/>
      <c r="P367" s="9"/>
      <c r="Q367" s="20">
        <v>0.28499999999999998</v>
      </c>
      <c r="R367" s="1">
        <f t="shared" si="111"/>
        <v>0</v>
      </c>
      <c r="S367" s="2">
        <v>320625</v>
      </c>
      <c r="T367" s="2">
        <f t="shared" si="112"/>
        <v>0</v>
      </c>
      <c r="U367" s="9"/>
      <c r="V367" s="9"/>
      <c r="W367" s="9"/>
      <c r="X367" s="9"/>
      <c r="Y367" s="2">
        <v>1125000</v>
      </c>
      <c r="Z367" s="2"/>
      <c r="AA367" s="2"/>
      <c r="AB367" s="2"/>
      <c r="AC367" s="2"/>
      <c r="AD367" s="2"/>
      <c r="AE367" s="2"/>
      <c r="AF367" s="2"/>
      <c r="AG367" s="13">
        <f t="shared" si="131"/>
        <v>0</v>
      </c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 t="s">
        <v>1105</v>
      </c>
      <c r="AV367" s="4" t="s">
        <v>1218</v>
      </c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>
        <f t="shared" si="119"/>
        <v>320625</v>
      </c>
      <c r="BN367" s="9">
        <f t="shared" si="108"/>
        <v>0</v>
      </c>
      <c r="BO367" s="9">
        <f t="shared" si="109"/>
        <v>0</v>
      </c>
      <c r="BP367" s="9">
        <f t="shared" si="113"/>
        <v>0</v>
      </c>
      <c r="BQ367" s="9">
        <f t="shared" si="114"/>
        <v>0</v>
      </c>
      <c r="BR367" s="9">
        <f t="shared" si="115"/>
        <v>0</v>
      </c>
      <c r="BS367" s="9">
        <f t="shared" si="116"/>
        <v>0</v>
      </c>
      <c r="BT367" s="9">
        <f t="shared" si="117"/>
        <v>0</v>
      </c>
    </row>
    <row r="368" spans="1:72" hidden="1" x14ac:dyDescent="0.25">
      <c r="A368" s="11">
        <f t="shared" si="110"/>
        <v>367</v>
      </c>
      <c r="B368" s="5" t="s">
        <v>1531</v>
      </c>
      <c r="C368" s="5" t="s">
        <v>128</v>
      </c>
      <c r="D368" s="5" t="s">
        <v>1531</v>
      </c>
      <c r="E368" s="5" t="s">
        <v>723</v>
      </c>
      <c r="F368" s="5" t="s">
        <v>723</v>
      </c>
      <c r="G368" s="4" t="s">
        <v>1537</v>
      </c>
      <c r="H368" s="4" t="s">
        <v>1753</v>
      </c>
      <c r="I368" s="12" t="s">
        <v>878</v>
      </c>
      <c r="J368" s="9"/>
      <c r="K368" s="9"/>
      <c r="L368" s="9"/>
      <c r="M368" s="9"/>
      <c r="N368" s="9"/>
      <c r="O368" s="9"/>
      <c r="P368" s="9"/>
      <c r="Q368" s="20">
        <v>0.28499999999999998</v>
      </c>
      <c r="R368" s="1">
        <f t="shared" si="111"/>
        <v>0</v>
      </c>
      <c r="S368" s="2">
        <v>0</v>
      </c>
      <c r="T368" s="2">
        <f t="shared" si="112"/>
        <v>0</v>
      </c>
      <c r="U368" s="9"/>
      <c r="V368" s="9"/>
      <c r="W368" s="9"/>
      <c r="X368" s="9"/>
      <c r="Y368" s="2"/>
      <c r="Z368" s="2"/>
      <c r="AA368" s="2"/>
      <c r="AB368" s="2"/>
      <c r="AC368" s="2"/>
      <c r="AD368" s="2"/>
      <c r="AE368" s="2"/>
      <c r="AF368" s="2"/>
      <c r="AG368" s="13">
        <f t="shared" si="131"/>
        <v>0</v>
      </c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 t="s">
        <v>1105</v>
      </c>
      <c r="AV368" s="4" t="s">
        <v>1218</v>
      </c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>
        <f t="shared" si="119"/>
        <v>0</v>
      </c>
      <c r="BN368" s="9">
        <f t="shared" si="108"/>
        <v>0</v>
      </c>
      <c r="BO368" s="9">
        <f t="shared" si="109"/>
        <v>0</v>
      </c>
      <c r="BP368" s="9">
        <f t="shared" si="113"/>
        <v>0</v>
      </c>
      <c r="BQ368" s="9">
        <f t="shared" si="114"/>
        <v>0</v>
      </c>
      <c r="BR368" s="9">
        <f t="shared" si="115"/>
        <v>0</v>
      </c>
      <c r="BS368" s="9">
        <f t="shared" si="116"/>
        <v>0</v>
      </c>
      <c r="BT368" s="9">
        <f t="shared" si="117"/>
        <v>0</v>
      </c>
    </row>
    <row r="369" spans="1:72" hidden="1" x14ac:dyDescent="0.25">
      <c r="A369" s="11">
        <f t="shared" si="110"/>
        <v>368</v>
      </c>
      <c r="B369" s="5" t="s">
        <v>1531</v>
      </c>
      <c r="C369" s="5" t="s">
        <v>128</v>
      </c>
      <c r="D369" s="5" t="s">
        <v>1531</v>
      </c>
      <c r="E369" s="5" t="s">
        <v>723</v>
      </c>
      <c r="F369" s="5" t="s">
        <v>723</v>
      </c>
      <c r="G369" s="4" t="s">
        <v>300</v>
      </c>
      <c r="H369" s="4" t="s">
        <v>437</v>
      </c>
      <c r="I369" s="12">
        <v>6388</v>
      </c>
      <c r="J369" s="9"/>
      <c r="K369" s="9"/>
      <c r="L369" s="9"/>
      <c r="M369" s="9"/>
      <c r="N369" s="9"/>
      <c r="O369" s="9"/>
      <c r="P369" s="9"/>
      <c r="Q369" s="20">
        <v>1.9</v>
      </c>
      <c r="R369" s="1">
        <f t="shared" si="111"/>
        <v>0</v>
      </c>
      <c r="S369" s="2">
        <v>0</v>
      </c>
      <c r="T369" s="2">
        <f t="shared" si="112"/>
        <v>0</v>
      </c>
      <c r="U369" s="9"/>
      <c r="V369" s="9"/>
      <c r="W369" s="9"/>
      <c r="X369" s="9"/>
      <c r="Y369" s="2"/>
      <c r="Z369" s="2"/>
      <c r="AA369" s="2"/>
      <c r="AB369" s="2"/>
      <c r="AC369" s="2"/>
      <c r="AD369" s="2"/>
      <c r="AE369" s="2"/>
      <c r="AF369" s="2"/>
      <c r="AG369" s="13">
        <f t="shared" si="131"/>
        <v>0</v>
      </c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 t="s">
        <v>1105</v>
      </c>
      <c r="AV369" s="4" t="s">
        <v>1217</v>
      </c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>
        <f t="shared" si="119"/>
        <v>0</v>
      </c>
      <c r="BN369" s="9">
        <f t="shared" si="108"/>
        <v>0</v>
      </c>
      <c r="BO369" s="9">
        <f t="shared" si="109"/>
        <v>0</v>
      </c>
      <c r="BP369" s="9">
        <f t="shared" si="113"/>
        <v>0</v>
      </c>
      <c r="BQ369" s="9">
        <f t="shared" si="114"/>
        <v>0</v>
      </c>
      <c r="BR369" s="9">
        <f t="shared" si="115"/>
        <v>0</v>
      </c>
      <c r="BS369" s="9">
        <f t="shared" si="116"/>
        <v>0</v>
      </c>
      <c r="BT369" s="9">
        <f t="shared" si="117"/>
        <v>0</v>
      </c>
    </row>
    <row r="370" spans="1:72" hidden="1" x14ac:dyDescent="0.25">
      <c r="A370" s="11">
        <f t="shared" si="110"/>
        <v>369</v>
      </c>
      <c r="B370" s="5" t="s">
        <v>1531</v>
      </c>
      <c r="C370" s="5" t="s">
        <v>128</v>
      </c>
      <c r="D370" s="5" t="s">
        <v>1531</v>
      </c>
      <c r="E370" s="5" t="s">
        <v>723</v>
      </c>
      <c r="F370" s="5" t="s">
        <v>723</v>
      </c>
      <c r="G370" s="4" t="s">
        <v>1538</v>
      </c>
      <c r="H370" s="4" t="s">
        <v>879</v>
      </c>
      <c r="I370" s="12">
        <v>6232</v>
      </c>
      <c r="J370" s="9"/>
      <c r="K370" s="9"/>
      <c r="L370" s="9"/>
      <c r="M370" s="9"/>
      <c r="N370" s="9"/>
      <c r="O370" s="9"/>
      <c r="P370" s="9"/>
      <c r="Q370" s="20">
        <v>0.3</v>
      </c>
      <c r="R370" s="1">
        <f t="shared" si="111"/>
        <v>0</v>
      </c>
      <c r="S370" s="2">
        <v>0</v>
      </c>
      <c r="T370" s="2">
        <f t="shared" si="112"/>
        <v>0</v>
      </c>
      <c r="U370" s="9"/>
      <c r="V370" s="9"/>
      <c r="W370" s="9"/>
      <c r="X370" s="9"/>
      <c r="Y370" s="2"/>
      <c r="Z370" s="2"/>
      <c r="AA370" s="2"/>
      <c r="AB370" s="2"/>
      <c r="AC370" s="2"/>
      <c r="AD370" s="2"/>
      <c r="AE370" s="2"/>
      <c r="AF370" s="2"/>
      <c r="AG370" s="13">
        <f t="shared" si="131"/>
        <v>0</v>
      </c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 t="s">
        <v>1105</v>
      </c>
      <c r="AV370" s="4" t="s">
        <v>1218</v>
      </c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>
        <f t="shared" si="119"/>
        <v>0</v>
      </c>
      <c r="BN370" s="9">
        <f t="shared" si="108"/>
        <v>0</v>
      </c>
      <c r="BO370" s="9">
        <f t="shared" si="109"/>
        <v>0</v>
      </c>
      <c r="BP370" s="9">
        <f t="shared" si="113"/>
        <v>0</v>
      </c>
      <c r="BQ370" s="9">
        <f t="shared" si="114"/>
        <v>0</v>
      </c>
      <c r="BR370" s="9">
        <f t="shared" si="115"/>
        <v>0</v>
      </c>
      <c r="BS370" s="9">
        <f t="shared" si="116"/>
        <v>0</v>
      </c>
      <c r="BT370" s="9">
        <f t="shared" si="117"/>
        <v>0</v>
      </c>
    </row>
    <row r="371" spans="1:72" hidden="1" x14ac:dyDescent="0.25">
      <c r="A371" s="11">
        <f t="shared" si="110"/>
        <v>370</v>
      </c>
      <c r="B371" s="5" t="s">
        <v>1531</v>
      </c>
      <c r="C371" s="5" t="s">
        <v>128</v>
      </c>
      <c r="D371" s="5" t="s">
        <v>1531</v>
      </c>
      <c r="E371" s="5" t="s">
        <v>723</v>
      </c>
      <c r="F371" s="5" t="s">
        <v>723</v>
      </c>
      <c r="G371" s="4" t="s">
        <v>1367</v>
      </c>
      <c r="H371" s="4" t="s">
        <v>880</v>
      </c>
      <c r="I371" s="12">
        <v>6472</v>
      </c>
      <c r="J371" s="9"/>
      <c r="K371" s="9"/>
      <c r="L371" s="9"/>
      <c r="M371" s="9"/>
      <c r="N371" s="9"/>
      <c r="O371" s="9"/>
      <c r="P371" s="9"/>
      <c r="Q371" s="20">
        <v>0.26</v>
      </c>
      <c r="R371" s="1">
        <f t="shared" si="111"/>
        <v>104000</v>
      </c>
      <c r="S371" s="2">
        <v>312000</v>
      </c>
      <c r="T371" s="2">
        <f t="shared" si="112"/>
        <v>400000</v>
      </c>
      <c r="U371" s="9"/>
      <c r="V371" s="9"/>
      <c r="W371" s="9"/>
      <c r="X371" s="9"/>
      <c r="Y371" s="2"/>
      <c r="Z371" s="2">
        <v>400000</v>
      </c>
      <c r="AA371" s="2">
        <v>400000</v>
      </c>
      <c r="AB371" s="2">
        <v>400000</v>
      </c>
      <c r="AC371" s="2"/>
      <c r="AD371" s="2"/>
      <c r="AE371" s="2"/>
      <c r="AF371" s="2"/>
      <c r="AG371" s="13">
        <f t="shared" si="131"/>
        <v>0</v>
      </c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 t="s">
        <v>1105</v>
      </c>
      <c r="AV371" s="4" t="s">
        <v>1218</v>
      </c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>
        <f t="shared" si="119"/>
        <v>0</v>
      </c>
      <c r="BN371" s="9">
        <f t="shared" si="108"/>
        <v>104000</v>
      </c>
      <c r="BO371" s="9">
        <f t="shared" si="109"/>
        <v>104000</v>
      </c>
      <c r="BP371" s="9">
        <f t="shared" si="113"/>
        <v>104000</v>
      </c>
      <c r="BQ371" s="9">
        <f t="shared" si="114"/>
        <v>0</v>
      </c>
      <c r="BR371" s="9">
        <f t="shared" si="115"/>
        <v>0</v>
      </c>
      <c r="BS371" s="9">
        <f t="shared" si="116"/>
        <v>0</v>
      </c>
      <c r="BT371" s="9">
        <f t="shared" si="117"/>
        <v>0</v>
      </c>
    </row>
    <row r="372" spans="1:72" hidden="1" x14ac:dyDescent="0.25">
      <c r="A372" s="11">
        <f t="shared" si="110"/>
        <v>371</v>
      </c>
      <c r="B372" s="5" t="s">
        <v>1176</v>
      </c>
      <c r="C372" s="5" t="s">
        <v>59</v>
      </c>
      <c r="D372" s="5" t="s">
        <v>1176</v>
      </c>
      <c r="E372" s="5" t="s">
        <v>723</v>
      </c>
      <c r="F372" s="5" t="s">
        <v>723</v>
      </c>
      <c r="G372" s="4"/>
      <c r="H372" s="4"/>
      <c r="I372" s="12"/>
      <c r="J372" s="9"/>
      <c r="K372" s="9"/>
      <c r="L372" s="9"/>
      <c r="M372" s="9"/>
      <c r="N372" s="9"/>
      <c r="O372" s="9"/>
      <c r="P372" s="9"/>
      <c r="Q372" s="17"/>
      <c r="R372" s="1">
        <f t="shared" si="111"/>
        <v>0</v>
      </c>
      <c r="S372" s="2">
        <v>0</v>
      </c>
      <c r="T372" s="2">
        <f t="shared" si="112"/>
        <v>0</v>
      </c>
      <c r="U372" s="9"/>
      <c r="V372" s="9"/>
      <c r="W372" s="9"/>
      <c r="X372" s="9"/>
      <c r="Y372" s="2"/>
      <c r="Z372" s="2"/>
      <c r="AA372" s="2"/>
      <c r="AB372" s="2"/>
      <c r="AC372" s="2"/>
      <c r="AD372" s="2"/>
      <c r="AE372" s="2"/>
      <c r="AF372" s="2"/>
      <c r="AG372" s="13">
        <f t="shared" si="131"/>
        <v>0</v>
      </c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 t="s">
        <v>1105</v>
      </c>
      <c r="AV372" s="4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>
        <f t="shared" si="119"/>
        <v>0</v>
      </c>
      <c r="BN372" s="9">
        <f t="shared" si="108"/>
        <v>0</v>
      </c>
      <c r="BO372" s="9">
        <f t="shared" si="109"/>
        <v>0</v>
      </c>
      <c r="BP372" s="9">
        <f t="shared" si="113"/>
        <v>0</v>
      </c>
      <c r="BQ372" s="9">
        <f t="shared" si="114"/>
        <v>0</v>
      </c>
      <c r="BR372" s="9">
        <f t="shared" si="115"/>
        <v>0</v>
      </c>
      <c r="BS372" s="9">
        <f t="shared" si="116"/>
        <v>0</v>
      </c>
      <c r="BT372" s="9">
        <f t="shared" si="117"/>
        <v>0</v>
      </c>
    </row>
    <row r="373" spans="1:72" hidden="1" x14ac:dyDescent="0.25">
      <c r="A373" s="11">
        <f t="shared" si="110"/>
        <v>372</v>
      </c>
      <c r="B373" s="3" t="s">
        <v>881</v>
      </c>
      <c r="C373" s="4" t="s">
        <v>59</v>
      </c>
      <c r="D373" s="4" t="s">
        <v>470</v>
      </c>
      <c r="E373" s="4" t="s">
        <v>795</v>
      </c>
      <c r="F373" s="4"/>
      <c r="G373" s="4" t="s">
        <v>511</v>
      </c>
      <c r="H373" s="4" t="s">
        <v>512</v>
      </c>
      <c r="I373" s="12">
        <v>4689</v>
      </c>
      <c r="J373" s="12"/>
      <c r="K373" s="4"/>
      <c r="L373" s="4" t="s">
        <v>882</v>
      </c>
      <c r="M373" s="13">
        <v>3000000</v>
      </c>
      <c r="N373" s="5" t="s">
        <v>292</v>
      </c>
      <c r="O373" s="4" t="s">
        <v>794</v>
      </c>
      <c r="P373" s="14" t="s">
        <v>883</v>
      </c>
      <c r="Q373" s="17">
        <v>2.4</v>
      </c>
      <c r="R373" s="1">
        <f t="shared" si="111"/>
        <v>1080000</v>
      </c>
      <c r="S373" s="2">
        <v>1320000</v>
      </c>
      <c r="T373" s="2">
        <f t="shared" si="112"/>
        <v>450000</v>
      </c>
      <c r="U373" s="13">
        <v>0</v>
      </c>
      <c r="V373" s="13">
        <v>0</v>
      </c>
      <c r="W373" s="13">
        <v>0</v>
      </c>
      <c r="X373" s="13">
        <v>0</v>
      </c>
      <c r="Y373" s="13">
        <v>0</v>
      </c>
      <c r="Z373" s="13">
        <v>50000</v>
      </c>
      <c r="AA373" s="13">
        <v>50000</v>
      </c>
      <c r="AB373" s="13">
        <v>50000</v>
      </c>
      <c r="AC373" s="13">
        <v>100000</v>
      </c>
      <c r="AD373" s="13">
        <v>100000</v>
      </c>
      <c r="AE373" s="13">
        <v>100000</v>
      </c>
      <c r="AF373" s="13">
        <v>100000</v>
      </c>
      <c r="AG373" s="13">
        <v>100000</v>
      </c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4" t="s">
        <v>884</v>
      </c>
      <c r="AU373" s="4" t="s">
        <v>685</v>
      </c>
      <c r="AV373" s="4" t="s">
        <v>1217</v>
      </c>
      <c r="AW373" s="3" t="s">
        <v>98</v>
      </c>
      <c r="AX373" s="4" t="s">
        <v>885</v>
      </c>
      <c r="AY373" s="4" t="s">
        <v>886</v>
      </c>
      <c r="AZ373" s="4"/>
      <c r="BA373" s="4" t="s">
        <v>887</v>
      </c>
      <c r="BB373" s="4" t="s">
        <v>888</v>
      </c>
      <c r="BC373" s="4"/>
      <c r="BD373" s="23">
        <v>2</v>
      </c>
      <c r="BE373" s="18"/>
      <c r="BF373" s="18">
        <v>45219</v>
      </c>
      <c r="BG373" s="18">
        <v>45224</v>
      </c>
      <c r="BH373" s="18">
        <v>45324</v>
      </c>
      <c r="BI373" s="18">
        <v>45384</v>
      </c>
      <c r="BJ373" s="18">
        <v>45414</v>
      </c>
      <c r="BK373" s="19">
        <v>0.8</v>
      </c>
      <c r="BL373" s="9"/>
      <c r="BM373" s="9">
        <f t="shared" si="119"/>
        <v>0</v>
      </c>
      <c r="BN373" s="9">
        <f t="shared" si="108"/>
        <v>120000</v>
      </c>
      <c r="BO373" s="9">
        <f t="shared" si="109"/>
        <v>120000</v>
      </c>
      <c r="BP373" s="9">
        <f t="shared" si="113"/>
        <v>120000</v>
      </c>
      <c r="BQ373" s="9">
        <f t="shared" si="114"/>
        <v>240000</v>
      </c>
      <c r="BR373" s="9">
        <f t="shared" si="115"/>
        <v>240000</v>
      </c>
      <c r="BS373" s="9">
        <f t="shared" si="116"/>
        <v>240000</v>
      </c>
      <c r="BT373" s="9">
        <f t="shared" si="117"/>
        <v>240000</v>
      </c>
    </row>
    <row r="374" spans="1:72" hidden="1" x14ac:dyDescent="0.25">
      <c r="A374" s="11">
        <f t="shared" si="110"/>
        <v>373</v>
      </c>
      <c r="B374" s="3" t="s">
        <v>889</v>
      </c>
      <c r="C374" s="4" t="s">
        <v>59</v>
      </c>
      <c r="D374" s="4" t="s">
        <v>470</v>
      </c>
      <c r="E374" s="4" t="s">
        <v>795</v>
      </c>
      <c r="F374" s="4"/>
      <c r="G374" s="4" t="s">
        <v>890</v>
      </c>
      <c r="H374" s="4" t="s">
        <v>891</v>
      </c>
      <c r="I374" s="12">
        <v>4616</v>
      </c>
      <c r="J374" s="12"/>
      <c r="K374" s="4"/>
      <c r="L374" s="4" t="s">
        <v>892</v>
      </c>
      <c r="M374" s="13">
        <v>20000000</v>
      </c>
      <c r="N374" s="5" t="s">
        <v>893</v>
      </c>
      <c r="O374" s="4" t="s">
        <v>109</v>
      </c>
      <c r="P374" s="14" t="s">
        <v>109</v>
      </c>
      <c r="Q374" s="17">
        <v>0.54</v>
      </c>
      <c r="R374" s="1">
        <f t="shared" si="111"/>
        <v>0</v>
      </c>
      <c r="S374" s="2">
        <v>1517400</v>
      </c>
      <c r="T374" s="2">
        <f t="shared" si="112"/>
        <v>0</v>
      </c>
      <c r="U374" s="13">
        <v>0</v>
      </c>
      <c r="V374" s="13">
        <v>0</v>
      </c>
      <c r="W374" s="13">
        <v>10000</v>
      </c>
      <c r="X374" s="13">
        <v>10000</v>
      </c>
      <c r="Y374" s="13">
        <v>10000</v>
      </c>
      <c r="Z374" s="13">
        <v>400000</v>
      </c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4" t="s">
        <v>884</v>
      </c>
      <c r="AU374" s="4" t="s">
        <v>685</v>
      </c>
      <c r="AV374" s="4" t="s">
        <v>826</v>
      </c>
      <c r="AW374" s="3" t="s">
        <v>222</v>
      </c>
      <c r="AX374" s="4" t="s">
        <v>894</v>
      </c>
      <c r="AY374" s="4"/>
      <c r="AZ374" s="4"/>
      <c r="BA374" s="4" t="s">
        <v>895</v>
      </c>
      <c r="BB374" s="4"/>
      <c r="BC374" s="4" t="s">
        <v>883</v>
      </c>
      <c r="BD374" s="23">
        <v>192</v>
      </c>
      <c r="BE374" s="18"/>
      <c r="BF374" s="18">
        <v>45165</v>
      </c>
      <c r="BG374" s="18">
        <v>45187</v>
      </c>
      <c r="BH374" s="18">
        <v>45240</v>
      </c>
      <c r="BI374" s="18">
        <v>45290</v>
      </c>
      <c r="BJ374" s="18">
        <v>45473</v>
      </c>
      <c r="BK374" s="19">
        <v>1</v>
      </c>
      <c r="BL374" s="9"/>
      <c r="BM374" s="9">
        <f t="shared" si="119"/>
        <v>5400</v>
      </c>
      <c r="BN374" s="9">
        <f t="shared" si="108"/>
        <v>216000</v>
      </c>
      <c r="BO374" s="9">
        <f t="shared" si="109"/>
        <v>0</v>
      </c>
      <c r="BP374" s="9">
        <f t="shared" si="113"/>
        <v>0</v>
      </c>
      <c r="BQ374" s="9">
        <f t="shared" si="114"/>
        <v>0</v>
      </c>
      <c r="BR374" s="9">
        <f t="shared" si="115"/>
        <v>0</v>
      </c>
      <c r="BS374" s="9">
        <f t="shared" si="116"/>
        <v>0</v>
      </c>
      <c r="BT374" s="9">
        <f t="shared" si="117"/>
        <v>0</v>
      </c>
    </row>
    <row r="375" spans="1:72" hidden="1" x14ac:dyDescent="0.25">
      <c r="A375" s="11">
        <f t="shared" si="110"/>
        <v>374</v>
      </c>
      <c r="B375" s="3" t="s">
        <v>896</v>
      </c>
      <c r="C375" s="4" t="s">
        <v>128</v>
      </c>
      <c r="D375" s="4" t="s">
        <v>896</v>
      </c>
      <c r="E375" s="4" t="s">
        <v>795</v>
      </c>
      <c r="F375" s="4"/>
      <c r="G375" s="4" t="s">
        <v>689</v>
      </c>
      <c r="H375" s="4" t="s">
        <v>897</v>
      </c>
      <c r="I375" s="12" t="s">
        <v>898</v>
      </c>
      <c r="J375" s="12"/>
      <c r="K375" s="4"/>
      <c r="L375" s="4" t="s">
        <v>899</v>
      </c>
      <c r="M375" s="13">
        <v>500000</v>
      </c>
      <c r="N375" s="5" t="s">
        <v>900</v>
      </c>
      <c r="O375" s="4" t="s">
        <v>901</v>
      </c>
      <c r="P375" s="14">
        <v>1.4</v>
      </c>
      <c r="Q375" s="17">
        <v>1.2</v>
      </c>
      <c r="R375" s="1">
        <f t="shared" si="111"/>
        <v>20400</v>
      </c>
      <c r="S375" s="2">
        <v>21600</v>
      </c>
      <c r="T375" s="2">
        <f t="shared" si="112"/>
        <v>17000</v>
      </c>
      <c r="U375" s="13">
        <v>0</v>
      </c>
      <c r="V375" s="13">
        <v>0</v>
      </c>
      <c r="W375" s="13">
        <v>0</v>
      </c>
      <c r="X375" s="13">
        <v>0</v>
      </c>
      <c r="Y375" s="13">
        <v>0</v>
      </c>
      <c r="Z375" s="13">
        <v>0</v>
      </c>
      <c r="AA375" s="13">
        <v>1000</v>
      </c>
      <c r="AB375" s="13">
        <v>1000</v>
      </c>
      <c r="AC375" s="13">
        <v>1000</v>
      </c>
      <c r="AD375" s="13">
        <v>5000</v>
      </c>
      <c r="AE375" s="13">
        <v>5000</v>
      </c>
      <c r="AF375" s="13">
        <v>5000</v>
      </c>
      <c r="AG375" s="13">
        <f t="shared" ref="AG375:AG377" si="132">AF375</f>
        <v>5000</v>
      </c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4" t="s">
        <v>902</v>
      </c>
      <c r="AU375" s="4" t="s">
        <v>685</v>
      </c>
      <c r="AV375" s="4" t="s">
        <v>1214</v>
      </c>
      <c r="AW375" s="3" t="s">
        <v>98</v>
      </c>
      <c r="AX375" s="4" t="s">
        <v>885</v>
      </c>
      <c r="AY375" s="4" t="s">
        <v>903</v>
      </c>
      <c r="AZ375" s="4"/>
      <c r="BA375" s="4"/>
      <c r="BB375" s="4"/>
      <c r="BC375" s="4"/>
      <c r="BD375" s="23">
        <v>1</v>
      </c>
      <c r="BE375" s="18"/>
      <c r="BF375" s="18"/>
      <c r="BG375" s="18"/>
      <c r="BH375" s="18"/>
      <c r="BI375" s="18"/>
      <c r="BJ375" s="18"/>
      <c r="BK375" s="19" t="s">
        <v>883</v>
      </c>
      <c r="BL375" s="9"/>
      <c r="BM375" s="9">
        <f t="shared" si="119"/>
        <v>0</v>
      </c>
      <c r="BN375" s="9">
        <f t="shared" si="108"/>
        <v>0</v>
      </c>
      <c r="BO375" s="9">
        <f t="shared" si="109"/>
        <v>1200</v>
      </c>
      <c r="BP375" s="9">
        <f t="shared" si="113"/>
        <v>1200</v>
      </c>
      <c r="BQ375" s="9">
        <f t="shared" si="114"/>
        <v>1200</v>
      </c>
      <c r="BR375" s="9">
        <f t="shared" si="115"/>
        <v>6000</v>
      </c>
      <c r="BS375" s="9">
        <f t="shared" si="116"/>
        <v>6000</v>
      </c>
      <c r="BT375" s="9">
        <f t="shared" si="117"/>
        <v>6000</v>
      </c>
    </row>
    <row r="376" spans="1:72" hidden="1" x14ac:dyDescent="0.25">
      <c r="A376" s="11">
        <f t="shared" si="110"/>
        <v>375</v>
      </c>
      <c r="B376" s="3" t="s">
        <v>896</v>
      </c>
      <c r="C376" s="4" t="s">
        <v>128</v>
      </c>
      <c r="D376" s="4" t="s">
        <v>896</v>
      </c>
      <c r="E376" s="4" t="s">
        <v>795</v>
      </c>
      <c r="F376" s="4"/>
      <c r="G376" s="4" t="s">
        <v>904</v>
      </c>
      <c r="H376" s="4" t="s">
        <v>529</v>
      </c>
      <c r="I376" s="12">
        <v>69401</v>
      </c>
      <c r="J376" s="12"/>
      <c r="K376" s="4"/>
      <c r="L376" s="4" t="s">
        <v>905</v>
      </c>
      <c r="M376" s="13">
        <v>1000000</v>
      </c>
      <c r="N376" s="5" t="s">
        <v>906</v>
      </c>
      <c r="O376" s="4"/>
      <c r="P376" s="14">
        <v>6.9</v>
      </c>
      <c r="Q376" s="17">
        <v>6.5</v>
      </c>
      <c r="R376" s="1">
        <f t="shared" si="111"/>
        <v>32500</v>
      </c>
      <c r="S376" s="2">
        <v>39000</v>
      </c>
      <c r="T376" s="2">
        <f t="shared" si="112"/>
        <v>5000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1000</v>
      </c>
      <c r="AB376" s="13">
        <v>1000</v>
      </c>
      <c r="AC376" s="13">
        <v>1000</v>
      </c>
      <c r="AD376" s="13">
        <v>1000</v>
      </c>
      <c r="AE376" s="13">
        <v>1000</v>
      </c>
      <c r="AF376" s="13">
        <v>1000</v>
      </c>
      <c r="AG376" s="13">
        <f t="shared" si="132"/>
        <v>1000</v>
      </c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4" t="s">
        <v>355</v>
      </c>
      <c r="AU376" s="4" t="s">
        <v>685</v>
      </c>
      <c r="AV376" s="4" t="s">
        <v>1217</v>
      </c>
      <c r="AW376" s="3" t="s">
        <v>98</v>
      </c>
      <c r="AX376" s="4" t="s">
        <v>885</v>
      </c>
      <c r="AY376" s="4" t="s">
        <v>886</v>
      </c>
      <c r="AZ376" s="4"/>
      <c r="BA376" s="4" t="s">
        <v>907</v>
      </c>
      <c r="BB376" s="4"/>
      <c r="BC376" s="4"/>
      <c r="BD376" s="23">
        <v>1</v>
      </c>
      <c r="BE376" s="18"/>
      <c r="BF376" s="18">
        <v>45401</v>
      </c>
      <c r="BG376" s="18">
        <v>45401</v>
      </c>
      <c r="BH376" s="18">
        <v>45523</v>
      </c>
      <c r="BI376" s="18">
        <v>45645</v>
      </c>
      <c r="BJ376" s="18">
        <v>45735</v>
      </c>
      <c r="BK376" s="19" t="s">
        <v>883</v>
      </c>
      <c r="BL376" s="9"/>
      <c r="BM376" s="9">
        <f t="shared" si="119"/>
        <v>0</v>
      </c>
      <c r="BN376" s="9">
        <f t="shared" si="108"/>
        <v>0</v>
      </c>
      <c r="BO376" s="9">
        <f t="shared" si="109"/>
        <v>6500</v>
      </c>
      <c r="BP376" s="9">
        <f t="shared" si="113"/>
        <v>6500</v>
      </c>
      <c r="BQ376" s="9">
        <f t="shared" si="114"/>
        <v>6500</v>
      </c>
      <c r="BR376" s="9">
        <f t="shared" si="115"/>
        <v>6500</v>
      </c>
      <c r="BS376" s="9">
        <f t="shared" si="116"/>
        <v>6500</v>
      </c>
      <c r="BT376" s="9">
        <f t="shared" si="117"/>
        <v>6500</v>
      </c>
    </row>
    <row r="377" spans="1:72" hidden="1" x14ac:dyDescent="0.25">
      <c r="A377" s="11">
        <f t="shared" si="110"/>
        <v>376</v>
      </c>
      <c r="B377" s="3" t="s">
        <v>896</v>
      </c>
      <c r="C377" s="4" t="s">
        <v>128</v>
      </c>
      <c r="D377" s="4" t="s">
        <v>896</v>
      </c>
      <c r="E377" s="4" t="s">
        <v>795</v>
      </c>
      <c r="F377" s="4"/>
      <c r="G377" s="4" t="s">
        <v>86</v>
      </c>
      <c r="H377" s="4" t="s">
        <v>87</v>
      </c>
      <c r="I377" s="12">
        <v>69401</v>
      </c>
      <c r="J377" s="12"/>
      <c r="K377" s="4"/>
      <c r="L377" s="4" t="s">
        <v>908</v>
      </c>
      <c r="M377" s="13">
        <v>100000</v>
      </c>
      <c r="N377" s="5" t="s">
        <v>909</v>
      </c>
      <c r="O377" s="4" t="s">
        <v>786</v>
      </c>
      <c r="P377" s="14"/>
      <c r="Q377" s="17">
        <v>4.5</v>
      </c>
      <c r="R377" s="1">
        <f t="shared" si="111"/>
        <v>22500</v>
      </c>
      <c r="S377" s="2">
        <v>27000</v>
      </c>
      <c r="T377" s="2">
        <f t="shared" si="112"/>
        <v>5000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1000</v>
      </c>
      <c r="AB377" s="13">
        <v>1000</v>
      </c>
      <c r="AC377" s="13">
        <v>1000</v>
      </c>
      <c r="AD377" s="13">
        <v>1000</v>
      </c>
      <c r="AE377" s="13">
        <v>1000</v>
      </c>
      <c r="AF377" s="13">
        <v>1000</v>
      </c>
      <c r="AG377" s="13">
        <f t="shared" si="132"/>
        <v>1000</v>
      </c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4" t="s">
        <v>355</v>
      </c>
      <c r="AU377" s="4" t="s">
        <v>685</v>
      </c>
      <c r="AV377" s="4" t="s">
        <v>1217</v>
      </c>
      <c r="AW377" s="3" t="s">
        <v>98</v>
      </c>
      <c r="AX377" s="4" t="s">
        <v>910</v>
      </c>
      <c r="AY377" s="4" t="s">
        <v>91</v>
      </c>
      <c r="AZ377" s="4"/>
      <c r="BA377" s="4" t="s">
        <v>911</v>
      </c>
      <c r="BB377" s="4"/>
      <c r="BC377" s="4"/>
      <c r="BD377" s="23">
        <v>1</v>
      </c>
      <c r="BE377" s="18"/>
      <c r="BF377" s="18">
        <v>45401</v>
      </c>
      <c r="BG377" s="18">
        <v>45401</v>
      </c>
      <c r="BH377" s="18">
        <v>45485</v>
      </c>
      <c r="BI377" s="18">
        <v>45608</v>
      </c>
      <c r="BJ377" s="18">
        <v>45700</v>
      </c>
      <c r="BK377" s="19" t="s">
        <v>883</v>
      </c>
      <c r="BL377" s="9"/>
      <c r="BM377" s="9">
        <f t="shared" si="119"/>
        <v>0</v>
      </c>
      <c r="BN377" s="9">
        <f t="shared" si="108"/>
        <v>0</v>
      </c>
      <c r="BO377" s="9">
        <f t="shared" si="109"/>
        <v>4500</v>
      </c>
      <c r="BP377" s="9">
        <f t="shared" si="113"/>
        <v>4500</v>
      </c>
      <c r="BQ377" s="9">
        <f t="shared" si="114"/>
        <v>4500</v>
      </c>
      <c r="BR377" s="9">
        <f t="shared" si="115"/>
        <v>4500</v>
      </c>
      <c r="BS377" s="9">
        <f t="shared" si="116"/>
        <v>4500</v>
      </c>
      <c r="BT377" s="9">
        <f t="shared" si="117"/>
        <v>4500</v>
      </c>
    </row>
    <row r="378" spans="1:72" hidden="1" x14ac:dyDescent="0.25">
      <c r="A378" s="11">
        <f t="shared" si="110"/>
        <v>377</v>
      </c>
      <c r="B378" s="3" t="s">
        <v>896</v>
      </c>
      <c r="C378" s="4" t="s">
        <v>128</v>
      </c>
      <c r="D378" s="4" t="s">
        <v>1775</v>
      </c>
      <c r="E378" s="4" t="s">
        <v>795</v>
      </c>
      <c r="F378" s="4"/>
      <c r="G378" s="4" t="s">
        <v>511</v>
      </c>
      <c r="H378" s="4" t="s">
        <v>512</v>
      </c>
      <c r="I378" s="12">
        <v>4689</v>
      </c>
      <c r="J378" s="12"/>
      <c r="K378" s="4"/>
      <c r="L378" s="4" t="s">
        <v>912</v>
      </c>
      <c r="M378" s="13">
        <v>4500000</v>
      </c>
      <c r="N378" s="5" t="s">
        <v>913</v>
      </c>
      <c r="O378" s="4" t="s">
        <v>914</v>
      </c>
      <c r="P378" s="14">
        <v>3.5</v>
      </c>
      <c r="Q378" s="17">
        <v>2.66</v>
      </c>
      <c r="R378" s="1">
        <f t="shared" si="111"/>
        <v>2660000</v>
      </c>
      <c r="S378" s="2">
        <v>2926000</v>
      </c>
      <c r="T378" s="2">
        <f t="shared" si="112"/>
        <v>1000000</v>
      </c>
      <c r="U378" s="13">
        <v>100000</v>
      </c>
      <c r="V378" s="13">
        <v>100000</v>
      </c>
      <c r="W378" s="13">
        <v>100000</v>
      </c>
      <c r="X378" s="13">
        <v>100000</v>
      </c>
      <c r="Y378" s="13">
        <v>100000</v>
      </c>
      <c r="Z378" s="13">
        <v>100000</v>
      </c>
      <c r="AA378" s="13">
        <v>150000</v>
      </c>
      <c r="AB378" s="13">
        <v>200000</v>
      </c>
      <c r="AC378" s="13">
        <v>200000</v>
      </c>
      <c r="AD378" s="13">
        <v>200000</v>
      </c>
      <c r="AE378" s="13">
        <v>200000</v>
      </c>
      <c r="AF378" s="13">
        <v>200000</v>
      </c>
      <c r="AG378" s="13">
        <v>200000</v>
      </c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4" t="s">
        <v>884</v>
      </c>
      <c r="AU378" s="4" t="s">
        <v>685</v>
      </c>
      <c r="AV378" s="4" t="s">
        <v>1217</v>
      </c>
      <c r="AW378" s="3" t="s">
        <v>98</v>
      </c>
      <c r="AX378" s="4" t="s">
        <v>885</v>
      </c>
      <c r="AY378" s="4" t="s">
        <v>886</v>
      </c>
      <c r="AZ378" s="4"/>
      <c r="BA378" s="4"/>
      <c r="BB378" s="4"/>
      <c r="BC378" s="4"/>
      <c r="BD378" s="23">
        <v>2</v>
      </c>
      <c r="BE378" s="18"/>
      <c r="BF378" s="18">
        <v>45219</v>
      </c>
      <c r="BG378" s="18">
        <v>45224</v>
      </c>
      <c r="BH378" s="18">
        <v>45324</v>
      </c>
      <c r="BI378" s="18">
        <v>45384</v>
      </c>
      <c r="BJ378" s="18">
        <v>45414</v>
      </c>
      <c r="BK378" s="19" t="s">
        <v>883</v>
      </c>
      <c r="BL378" s="9"/>
      <c r="BM378" s="9">
        <f t="shared" si="119"/>
        <v>266000</v>
      </c>
      <c r="BN378" s="9">
        <f t="shared" si="108"/>
        <v>266000</v>
      </c>
      <c r="BO378" s="9">
        <f t="shared" si="109"/>
        <v>399000</v>
      </c>
      <c r="BP378" s="9">
        <f t="shared" si="113"/>
        <v>532000</v>
      </c>
      <c r="BQ378" s="9">
        <f t="shared" si="114"/>
        <v>532000</v>
      </c>
      <c r="BR378" s="9">
        <f t="shared" si="115"/>
        <v>532000</v>
      </c>
      <c r="BS378" s="9">
        <f t="shared" si="116"/>
        <v>532000</v>
      </c>
      <c r="BT378" s="9">
        <f t="shared" si="117"/>
        <v>532000</v>
      </c>
    </row>
    <row r="379" spans="1:72" hidden="1" x14ac:dyDescent="0.25">
      <c r="A379" s="11">
        <f t="shared" si="110"/>
        <v>378</v>
      </c>
      <c r="B379" s="3" t="s">
        <v>896</v>
      </c>
      <c r="C379" s="4" t="s">
        <v>128</v>
      </c>
      <c r="D379" s="4" t="s">
        <v>896</v>
      </c>
      <c r="E379" s="4" t="s">
        <v>795</v>
      </c>
      <c r="F379" s="4"/>
      <c r="G379" s="4" t="s">
        <v>915</v>
      </c>
      <c r="H379" s="4" t="s">
        <v>916</v>
      </c>
      <c r="I379" s="12">
        <v>2455</v>
      </c>
      <c r="J379" s="12"/>
      <c r="K379" s="4"/>
      <c r="L379" s="4" t="s">
        <v>917</v>
      </c>
      <c r="M379" s="13">
        <v>200000</v>
      </c>
      <c r="N379" s="5" t="s">
        <v>292</v>
      </c>
      <c r="O379" s="4" t="s">
        <v>918</v>
      </c>
      <c r="P379" s="14" t="s">
        <v>883</v>
      </c>
      <c r="Q379" s="17">
        <v>0.55000000000000004</v>
      </c>
      <c r="R379" s="1">
        <f t="shared" si="111"/>
        <v>13750.000000000002</v>
      </c>
      <c r="S379" s="2">
        <v>22550.000000000004</v>
      </c>
      <c r="T379" s="2">
        <f t="shared" si="112"/>
        <v>25000</v>
      </c>
      <c r="U379" s="13">
        <v>0</v>
      </c>
      <c r="V379" s="13">
        <v>5000</v>
      </c>
      <c r="W379" s="13">
        <v>5000</v>
      </c>
      <c r="X379" s="13">
        <v>5000</v>
      </c>
      <c r="Y379" s="13">
        <v>5000</v>
      </c>
      <c r="Z379" s="13">
        <v>5000</v>
      </c>
      <c r="AA379" s="13">
        <v>6000</v>
      </c>
      <c r="AB379" s="13">
        <v>5000</v>
      </c>
      <c r="AC379" s="13">
        <v>5000</v>
      </c>
      <c r="AD379" s="13">
        <v>5000</v>
      </c>
      <c r="AE379" s="13">
        <v>5000</v>
      </c>
      <c r="AF379" s="13">
        <v>5000</v>
      </c>
      <c r="AG379" s="13">
        <f>AF379</f>
        <v>5000</v>
      </c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4" t="s">
        <v>884</v>
      </c>
      <c r="AU379" s="4" t="s">
        <v>685</v>
      </c>
      <c r="AV379" s="4" t="s">
        <v>1218</v>
      </c>
      <c r="AW379" s="3" t="s">
        <v>98</v>
      </c>
      <c r="AX379" s="4" t="s">
        <v>885</v>
      </c>
      <c r="AY379" s="4" t="s">
        <v>903</v>
      </c>
      <c r="AZ379" s="4"/>
      <c r="BA379" s="4"/>
      <c r="BB379" s="4"/>
      <c r="BC379" s="4"/>
      <c r="BD379" s="23">
        <v>3</v>
      </c>
      <c r="BE379" s="18"/>
      <c r="BF379" s="18"/>
      <c r="BG379" s="18"/>
      <c r="BH379" s="18"/>
      <c r="BI379" s="18"/>
      <c r="BJ379" s="18"/>
      <c r="BK379" s="19" t="s">
        <v>883</v>
      </c>
      <c r="BL379" s="9"/>
      <c r="BM379" s="9">
        <f t="shared" si="119"/>
        <v>2750</v>
      </c>
      <c r="BN379" s="9">
        <f t="shared" si="108"/>
        <v>2750</v>
      </c>
      <c r="BO379" s="9">
        <f t="shared" si="109"/>
        <v>3300.0000000000005</v>
      </c>
      <c r="BP379" s="9">
        <f t="shared" si="113"/>
        <v>2750</v>
      </c>
      <c r="BQ379" s="9">
        <f t="shared" si="114"/>
        <v>2750</v>
      </c>
      <c r="BR379" s="9">
        <f t="shared" si="115"/>
        <v>2750</v>
      </c>
      <c r="BS379" s="9">
        <f t="shared" si="116"/>
        <v>2750</v>
      </c>
      <c r="BT379" s="9">
        <f t="shared" si="117"/>
        <v>2750</v>
      </c>
    </row>
    <row r="380" spans="1:72" hidden="1" x14ac:dyDescent="0.25">
      <c r="A380" s="11">
        <f t="shared" si="110"/>
        <v>379</v>
      </c>
      <c r="B380" s="3" t="s">
        <v>896</v>
      </c>
      <c r="C380" s="4" t="s">
        <v>128</v>
      </c>
      <c r="D380" s="4" t="s">
        <v>896</v>
      </c>
      <c r="E380" s="4" t="s">
        <v>795</v>
      </c>
      <c r="F380" s="4"/>
      <c r="G380" s="4" t="s">
        <v>919</v>
      </c>
      <c r="H380" s="4" t="s">
        <v>349</v>
      </c>
      <c r="I380" s="12">
        <v>2436</v>
      </c>
      <c r="J380" s="12"/>
      <c r="K380" s="4"/>
      <c r="L380" s="4" t="s">
        <v>920</v>
      </c>
      <c r="M380" s="13">
        <v>200000</v>
      </c>
      <c r="N380" s="5" t="s">
        <v>292</v>
      </c>
      <c r="O380" s="4" t="s">
        <v>918</v>
      </c>
      <c r="P380" s="14" t="s">
        <v>883</v>
      </c>
      <c r="Q380" s="17">
        <v>0.55000000000000004</v>
      </c>
      <c r="R380" s="1">
        <f t="shared" si="111"/>
        <v>82500</v>
      </c>
      <c r="S380" s="2">
        <v>132000</v>
      </c>
      <c r="T380" s="2">
        <f t="shared" si="112"/>
        <v>150000</v>
      </c>
      <c r="U380" s="13">
        <v>30000</v>
      </c>
      <c r="V380" s="13">
        <v>30000</v>
      </c>
      <c r="W380" s="13">
        <v>30000</v>
      </c>
      <c r="X380" s="13">
        <v>30000</v>
      </c>
      <c r="Y380" s="13">
        <v>30000</v>
      </c>
      <c r="Z380" s="13">
        <v>30000</v>
      </c>
      <c r="AA380" s="13">
        <v>30000</v>
      </c>
      <c r="AB380" s="13">
        <v>30000</v>
      </c>
      <c r="AC380" s="13">
        <v>30000</v>
      </c>
      <c r="AD380" s="13">
        <v>30000</v>
      </c>
      <c r="AE380" s="13">
        <v>30000</v>
      </c>
      <c r="AF380" s="13">
        <v>30000</v>
      </c>
      <c r="AG380" s="13">
        <f>AF380</f>
        <v>30000</v>
      </c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4" t="s">
        <v>884</v>
      </c>
      <c r="AU380" s="4" t="s">
        <v>685</v>
      </c>
      <c r="AV380" s="4" t="s">
        <v>1218</v>
      </c>
      <c r="AW380" s="3" t="s">
        <v>98</v>
      </c>
      <c r="AX380" s="4" t="s">
        <v>885</v>
      </c>
      <c r="AY380" s="4" t="s">
        <v>903</v>
      </c>
      <c r="AZ380" s="4"/>
      <c r="BA380" s="4"/>
      <c r="BB380" s="4"/>
      <c r="BC380" s="4"/>
      <c r="BD380" s="23">
        <v>3</v>
      </c>
      <c r="BE380" s="18"/>
      <c r="BF380" s="18"/>
      <c r="BG380" s="18"/>
      <c r="BH380" s="18"/>
      <c r="BI380" s="18"/>
      <c r="BJ380" s="18"/>
      <c r="BK380" s="19" t="s">
        <v>883</v>
      </c>
      <c r="BL380" s="9"/>
      <c r="BM380" s="9">
        <f t="shared" si="119"/>
        <v>16500</v>
      </c>
      <c r="BN380" s="9">
        <f t="shared" si="108"/>
        <v>16500</v>
      </c>
      <c r="BO380" s="9">
        <f t="shared" si="109"/>
        <v>16500</v>
      </c>
      <c r="BP380" s="9">
        <f t="shared" si="113"/>
        <v>16500</v>
      </c>
      <c r="BQ380" s="9">
        <f t="shared" si="114"/>
        <v>16500</v>
      </c>
      <c r="BR380" s="9">
        <f t="shared" si="115"/>
        <v>16500</v>
      </c>
      <c r="BS380" s="9">
        <f t="shared" si="116"/>
        <v>16500</v>
      </c>
      <c r="BT380" s="9">
        <f t="shared" si="117"/>
        <v>16500</v>
      </c>
    </row>
    <row r="381" spans="1:72" hidden="1" x14ac:dyDescent="0.25">
      <c r="A381" s="11">
        <f t="shared" si="110"/>
        <v>380</v>
      </c>
      <c r="B381" s="3" t="s">
        <v>921</v>
      </c>
      <c r="C381" s="4" t="s">
        <v>186</v>
      </c>
      <c r="D381" s="3" t="s">
        <v>921</v>
      </c>
      <c r="E381" s="4" t="s">
        <v>795</v>
      </c>
      <c r="F381" s="4"/>
      <c r="G381" s="4" t="s">
        <v>689</v>
      </c>
      <c r="H381" s="4" t="s">
        <v>897</v>
      </c>
      <c r="I381" s="12" t="s">
        <v>898</v>
      </c>
      <c r="J381" s="12"/>
      <c r="K381" s="4"/>
      <c r="L381" s="4" t="s">
        <v>899</v>
      </c>
      <c r="M381" s="13">
        <v>2000000</v>
      </c>
      <c r="N381" s="5" t="s">
        <v>922</v>
      </c>
      <c r="O381" s="4" t="s">
        <v>901</v>
      </c>
      <c r="P381" s="14">
        <v>0.9</v>
      </c>
      <c r="Q381" s="17">
        <v>0.8</v>
      </c>
      <c r="R381" s="1">
        <f t="shared" si="111"/>
        <v>360000</v>
      </c>
      <c r="S381" s="2">
        <v>416000</v>
      </c>
      <c r="T381" s="2">
        <f t="shared" si="112"/>
        <v>450000</v>
      </c>
      <c r="U381" s="13">
        <v>0</v>
      </c>
      <c r="V381" s="13">
        <v>0</v>
      </c>
      <c r="W381" s="13">
        <v>1000</v>
      </c>
      <c r="X381" s="13">
        <v>1000</v>
      </c>
      <c r="Y381" s="13">
        <v>10000</v>
      </c>
      <c r="Z381" s="13">
        <v>10000</v>
      </c>
      <c r="AA381" s="13">
        <v>50000</v>
      </c>
      <c r="AB381" s="13">
        <v>50000</v>
      </c>
      <c r="AC381" s="13">
        <v>100000</v>
      </c>
      <c r="AD381" s="13">
        <v>100000</v>
      </c>
      <c r="AE381" s="13">
        <v>100000</v>
      </c>
      <c r="AF381" s="13">
        <v>100000</v>
      </c>
      <c r="AG381" s="13">
        <f t="shared" ref="AG381:AG385" si="133">AF381</f>
        <v>100000</v>
      </c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4" t="s">
        <v>902</v>
      </c>
      <c r="AU381" s="4" t="s">
        <v>685</v>
      </c>
      <c r="AV381" s="4" t="s">
        <v>1214</v>
      </c>
      <c r="AW381" s="3" t="s">
        <v>98</v>
      </c>
      <c r="AX381" s="4" t="s">
        <v>885</v>
      </c>
      <c r="AY381" s="4" t="s">
        <v>903</v>
      </c>
      <c r="AZ381" s="4"/>
      <c r="BA381" s="4" t="s">
        <v>923</v>
      </c>
      <c r="BB381" s="4"/>
      <c r="BC381" s="4"/>
      <c r="BD381" s="23">
        <v>1</v>
      </c>
      <c r="BE381" s="18"/>
      <c r="BF381" s="18">
        <v>45219</v>
      </c>
      <c r="BG381" s="18">
        <v>45224</v>
      </c>
      <c r="BH381" s="18">
        <v>45324</v>
      </c>
      <c r="BI381" s="18">
        <v>45718</v>
      </c>
      <c r="BJ381" s="18">
        <v>45779</v>
      </c>
      <c r="BK381" s="19" t="s">
        <v>883</v>
      </c>
      <c r="BL381" s="9"/>
      <c r="BM381" s="9">
        <f t="shared" ref="BM381:BM446" si="134">$Q381*Y381</f>
        <v>8000</v>
      </c>
      <c r="BN381" s="9">
        <f t="shared" si="108"/>
        <v>8000</v>
      </c>
      <c r="BO381" s="9">
        <f t="shared" si="109"/>
        <v>40000</v>
      </c>
      <c r="BP381" s="9">
        <f t="shared" si="113"/>
        <v>40000</v>
      </c>
      <c r="BQ381" s="9">
        <f t="shared" si="114"/>
        <v>80000</v>
      </c>
      <c r="BR381" s="9">
        <f t="shared" si="115"/>
        <v>80000</v>
      </c>
      <c r="BS381" s="9">
        <f t="shared" si="116"/>
        <v>80000</v>
      </c>
      <c r="BT381" s="9">
        <f t="shared" si="117"/>
        <v>80000</v>
      </c>
    </row>
    <row r="382" spans="1:72" hidden="1" x14ac:dyDescent="0.25">
      <c r="A382" s="11">
        <f t="shared" si="110"/>
        <v>381</v>
      </c>
      <c r="B382" s="3" t="s">
        <v>921</v>
      </c>
      <c r="C382" s="4" t="s">
        <v>186</v>
      </c>
      <c r="D382" s="3" t="s">
        <v>921</v>
      </c>
      <c r="E382" s="4" t="s">
        <v>795</v>
      </c>
      <c r="F382" s="4"/>
      <c r="G382" s="4" t="s">
        <v>904</v>
      </c>
      <c r="H382" s="4" t="s">
        <v>924</v>
      </c>
      <c r="I382" s="12">
        <v>69401</v>
      </c>
      <c r="J382" s="12"/>
      <c r="K382" s="4"/>
      <c r="L382" s="4" t="s">
        <v>925</v>
      </c>
      <c r="M382" s="13">
        <v>1500000</v>
      </c>
      <c r="N382" s="5" t="s">
        <v>926</v>
      </c>
      <c r="O382" s="4" t="s">
        <v>810</v>
      </c>
      <c r="P382" s="14">
        <v>5.0999999999999996</v>
      </c>
      <c r="Q382" s="17">
        <v>4.8</v>
      </c>
      <c r="R382" s="1">
        <f t="shared" si="111"/>
        <v>1200000</v>
      </c>
      <c r="S382" s="2">
        <v>1680000</v>
      </c>
      <c r="T382" s="2">
        <f t="shared" si="112"/>
        <v>250000</v>
      </c>
      <c r="U382" s="13">
        <v>0</v>
      </c>
      <c r="V382" s="13">
        <v>0</v>
      </c>
      <c r="W382" s="13">
        <v>0</v>
      </c>
      <c r="X382" s="13">
        <v>0</v>
      </c>
      <c r="Y382" s="13">
        <v>0</v>
      </c>
      <c r="Z382" s="13">
        <v>50000</v>
      </c>
      <c r="AA382" s="13">
        <v>50000</v>
      </c>
      <c r="AB382" s="13">
        <v>50000</v>
      </c>
      <c r="AC382" s="13">
        <v>50000</v>
      </c>
      <c r="AD382" s="13">
        <v>50000</v>
      </c>
      <c r="AE382" s="13">
        <v>50000</v>
      </c>
      <c r="AF382" s="13">
        <v>50000</v>
      </c>
      <c r="AG382" s="13">
        <f t="shared" si="133"/>
        <v>50000</v>
      </c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4" t="s">
        <v>355</v>
      </c>
      <c r="AU382" s="4" t="s">
        <v>685</v>
      </c>
      <c r="AV382" s="4" t="s">
        <v>1217</v>
      </c>
      <c r="AW382" s="3" t="s">
        <v>98</v>
      </c>
      <c r="AX382" s="4" t="s">
        <v>885</v>
      </c>
      <c r="AY382" s="4" t="s">
        <v>886</v>
      </c>
      <c r="AZ382" s="4"/>
      <c r="BA382" s="4" t="s">
        <v>927</v>
      </c>
      <c r="BB382" s="4"/>
      <c r="BC382" s="4"/>
      <c r="BD382" s="23">
        <v>1</v>
      </c>
      <c r="BE382" s="18"/>
      <c r="BF382" s="18">
        <v>45358</v>
      </c>
      <c r="BG382" s="18">
        <v>45358</v>
      </c>
      <c r="BH382" s="18">
        <v>45389</v>
      </c>
      <c r="BI382" s="18">
        <v>45511</v>
      </c>
      <c r="BJ382" s="18">
        <v>45633</v>
      </c>
      <c r="BK382" s="19" t="s">
        <v>883</v>
      </c>
      <c r="BL382" s="9"/>
      <c r="BM382" s="9">
        <f t="shared" si="134"/>
        <v>0</v>
      </c>
      <c r="BN382" s="9">
        <f t="shared" si="108"/>
        <v>240000</v>
      </c>
      <c r="BO382" s="9">
        <f t="shared" si="109"/>
        <v>240000</v>
      </c>
      <c r="BP382" s="9">
        <f t="shared" si="113"/>
        <v>240000</v>
      </c>
      <c r="BQ382" s="9">
        <f t="shared" si="114"/>
        <v>240000</v>
      </c>
      <c r="BR382" s="9">
        <f t="shared" si="115"/>
        <v>240000</v>
      </c>
      <c r="BS382" s="9">
        <f t="shared" si="116"/>
        <v>240000</v>
      </c>
      <c r="BT382" s="9">
        <f t="shared" si="117"/>
        <v>240000</v>
      </c>
    </row>
    <row r="383" spans="1:72" hidden="1" x14ac:dyDescent="0.25">
      <c r="A383" s="11">
        <f t="shared" si="110"/>
        <v>382</v>
      </c>
      <c r="B383" s="3" t="s">
        <v>921</v>
      </c>
      <c r="C383" s="4" t="s">
        <v>186</v>
      </c>
      <c r="D383" s="3" t="s">
        <v>921</v>
      </c>
      <c r="E383" s="4" t="s">
        <v>795</v>
      </c>
      <c r="F383" s="4"/>
      <c r="G383" s="4" t="s">
        <v>86</v>
      </c>
      <c r="H383" s="4" t="s">
        <v>87</v>
      </c>
      <c r="I383" s="12">
        <v>69401</v>
      </c>
      <c r="J383" s="12"/>
      <c r="K383" s="4"/>
      <c r="L383" s="4" t="s">
        <v>928</v>
      </c>
      <c r="M383" s="13" t="s">
        <v>929</v>
      </c>
      <c r="N383" s="5" t="s">
        <v>930</v>
      </c>
      <c r="O383" s="4" t="s">
        <v>810</v>
      </c>
      <c r="P383" s="14">
        <v>3.6</v>
      </c>
      <c r="Q383" s="17">
        <v>3.62</v>
      </c>
      <c r="R383" s="1">
        <f t="shared" si="111"/>
        <v>362000</v>
      </c>
      <c r="S383" s="2">
        <v>398200</v>
      </c>
      <c r="T383" s="2">
        <f t="shared" si="112"/>
        <v>100000</v>
      </c>
      <c r="U383" s="13">
        <v>0</v>
      </c>
      <c r="V383" s="13">
        <v>0</v>
      </c>
      <c r="W383" s="13">
        <v>0</v>
      </c>
      <c r="X383" s="13">
        <v>0</v>
      </c>
      <c r="Y383" s="13">
        <v>0</v>
      </c>
      <c r="Z383" s="13">
        <v>5000</v>
      </c>
      <c r="AA383" s="13">
        <v>5000</v>
      </c>
      <c r="AB383" s="13">
        <v>20000</v>
      </c>
      <c r="AC383" s="13">
        <v>20000</v>
      </c>
      <c r="AD383" s="13">
        <v>20000</v>
      </c>
      <c r="AE383" s="13">
        <v>20000</v>
      </c>
      <c r="AF383" s="13">
        <v>20000</v>
      </c>
      <c r="AG383" s="13">
        <f t="shared" si="133"/>
        <v>20000</v>
      </c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4"/>
      <c r="AU383" s="4" t="s">
        <v>685</v>
      </c>
      <c r="AV383" s="4" t="s">
        <v>1217</v>
      </c>
      <c r="AW383" s="3"/>
      <c r="AX383" s="4"/>
      <c r="AY383" s="4"/>
      <c r="AZ383" s="4"/>
      <c r="BA383" s="4" t="s">
        <v>931</v>
      </c>
      <c r="BB383" s="4"/>
      <c r="BC383" s="4"/>
      <c r="BD383" s="23">
        <v>1</v>
      </c>
      <c r="BE383" s="18"/>
      <c r="BF383" s="18">
        <v>45555</v>
      </c>
      <c r="BG383" s="18">
        <v>45556</v>
      </c>
      <c r="BH383" s="18">
        <v>45626</v>
      </c>
      <c r="BI383" s="18">
        <v>45745</v>
      </c>
      <c r="BJ383" s="18">
        <v>45806</v>
      </c>
      <c r="BK383" s="19" t="s">
        <v>453</v>
      </c>
      <c r="BL383" s="9"/>
      <c r="BM383" s="9">
        <f t="shared" si="134"/>
        <v>0</v>
      </c>
      <c r="BN383" s="9">
        <f t="shared" si="108"/>
        <v>18100</v>
      </c>
      <c r="BO383" s="9">
        <f t="shared" si="109"/>
        <v>18100</v>
      </c>
      <c r="BP383" s="9">
        <f t="shared" si="113"/>
        <v>72400</v>
      </c>
      <c r="BQ383" s="9">
        <f t="shared" si="114"/>
        <v>72400</v>
      </c>
      <c r="BR383" s="9">
        <f t="shared" si="115"/>
        <v>72400</v>
      </c>
      <c r="BS383" s="9">
        <f t="shared" si="116"/>
        <v>72400</v>
      </c>
      <c r="BT383" s="9">
        <f t="shared" si="117"/>
        <v>72400</v>
      </c>
    </row>
    <row r="384" spans="1:72" hidden="1" x14ac:dyDescent="0.25">
      <c r="A384" s="11">
        <f t="shared" si="110"/>
        <v>383</v>
      </c>
      <c r="B384" s="3" t="s">
        <v>921</v>
      </c>
      <c r="C384" s="4" t="s">
        <v>186</v>
      </c>
      <c r="D384" s="3" t="s">
        <v>921</v>
      </c>
      <c r="E384" s="4" t="s">
        <v>795</v>
      </c>
      <c r="F384" s="4"/>
      <c r="G384" s="4" t="s">
        <v>397</v>
      </c>
      <c r="H384" s="4" t="s">
        <v>932</v>
      </c>
      <c r="I384" s="12" t="s">
        <v>933</v>
      </c>
      <c r="J384" s="12"/>
      <c r="K384" s="4"/>
      <c r="L384" s="4" t="s">
        <v>934</v>
      </c>
      <c r="M384" s="13">
        <v>9000000</v>
      </c>
      <c r="N384" s="5" t="s">
        <v>935</v>
      </c>
      <c r="O384" s="4" t="s">
        <v>914</v>
      </c>
      <c r="P384" s="14">
        <v>3</v>
      </c>
      <c r="Q384" s="17">
        <v>2.42</v>
      </c>
      <c r="R384" s="1">
        <f t="shared" si="111"/>
        <v>7260000</v>
      </c>
      <c r="S384" s="2">
        <v>8833000</v>
      </c>
      <c r="T384" s="2">
        <f t="shared" si="112"/>
        <v>3000000</v>
      </c>
      <c r="U384" s="13">
        <v>450000</v>
      </c>
      <c r="V384" s="13">
        <v>300000</v>
      </c>
      <c r="W384" s="13">
        <v>300000</v>
      </c>
      <c r="X384" s="13">
        <v>300000</v>
      </c>
      <c r="Y384" s="13">
        <v>300000</v>
      </c>
      <c r="Z384" s="13">
        <v>450000</v>
      </c>
      <c r="AA384" s="13">
        <v>450000</v>
      </c>
      <c r="AB384" s="13">
        <v>600000</v>
      </c>
      <c r="AC384" s="13">
        <v>600000</v>
      </c>
      <c r="AD384" s="13">
        <v>600000</v>
      </c>
      <c r="AE384" s="13">
        <v>600000</v>
      </c>
      <c r="AF384" s="13">
        <v>600000</v>
      </c>
      <c r="AG384" s="13">
        <f t="shared" si="133"/>
        <v>600000</v>
      </c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4" t="s">
        <v>884</v>
      </c>
      <c r="AU384" s="4" t="s">
        <v>685</v>
      </c>
      <c r="AV384" s="4" t="s">
        <v>1217</v>
      </c>
      <c r="AW384" s="3" t="s">
        <v>98</v>
      </c>
      <c r="AX384" s="4" t="s">
        <v>885</v>
      </c>
      <c r="AY384" s="4" t="s">
        <v>886</v>
      </c>
      <c r="AZ384" s="4"/>
      <c r="BA384" s="4" t="s">
        <v>936</v>
      </c>
      <c r="BB384" s="4"/>
      <c r="BC384" s="4"/>
      <c r="BD384" s="23">
        <v>2</v>
      </c>
      <c r="BE384" s="18">
        <v>44621</v>
      </c>
      <c r="BF384" s="18">
        <v>43891</v>
      </c>
      <c r="BG384" s="18">
        <v>43922</v>
      </c>
      <c r="BH384" s="18">
        <v>44105</v>
      </c>
      <c r="BI384" s="18">
        <v>44348</v>
      </c>
      <c r="BJ384" s="18">
        <v>44593</v>
      </c>
      <c r="BK384" s="19">
        <v>0.7</v>
      </c>
      <c r="BL384" s="9"/>
      <c r="BM384" s="9">
        <f t="shared" si="134"/>
        <v>726000</v>
      </c>
      <c r="BN384" s="9">
        <f t="shared" ref="BN384:BN449" si="135">$Q384*Z384</f>
        <v>1089000</v>
      </c>
      <c r="BO384" s="9">
        <f t="shared" ref="BO384:BO449" si="136">$Q384*AA384</f>
        <v>1089000</v>
      </c>
      <c r="BP384" s="9">
        <f t="shared" si="113"/>
        <v>1452000</v>
      </c>
      <c r="BQ384" s="9">
        <f t="shared" si="114"/>
        <v>1452000</v>
      </c>
      <c r="BR384" s="9">
        <f t="shared" si="115"/>
        <v>1452000</v>
      </c>
      <c r="BS384" s="9">
        <f t="shared" si="116"/>
        <v>1452000</v>
      </c>
      <c r="BT384" s="9">
        <f t="shared" si="117"/>
        <v>1452000</v>
      </c>
    </row>
    <row r="385" spans="1:72" hidden="1" x14ac:dyDescent="0.25">
      <c r="A385" s="11">
        <f t="shared" ref="A385:A450" si="137">ROW()-1</f>
        <v>384</v>
      </c>
      <c r="B385" s="3" t="s">
        <v>921</v>
      </c>
      <c r="C385" s="4" t="s">
        <v>186</v>
      </c>
      <c r="D385" s="3" t="s">
        <v>921</v>
      </c>
      <c r="E385" s="4" t="s">
        <v>795</v>
      </c>
      <c r="F385" s="4"/>
      <c r="G385" s="4" t="s">
        <v>937</v>
      </c>
      <c r="H385" s="4" t="s">
        <v>228</v>
      </c>
      <c r="I385" s="12">
        <v>1138</v>
      </c>
      <c r="J385" s="12" t="s">
        <v>870</v>
      </c>
      <c r="K385" s="4"/>
      <c r="L385" s="4" t="s">
        <v>938</v>
      </c>
      <c r="M385" s="13">
        <v>2350000</v>
      </c>
      <c r="N385" s="5" t="s">
        <v>292</v>
      </c>
      <c r="O385" s="4" t="s">
        <v>109</v>
      </c>
      <c r="P385" s="14" t="s">
        <v>109</v>
      </c>
      <c r="Q385" s="17">
        <v>0.42</v>
      </c>
      <c r="R385" s="1">
        <f t="shared" ref="R385:R450" si="138">Q385*T385</f>
        <v>420000</v>
      </c>
      <c r="S385" s="2">
        <v>420000</v>
      </c>
      <c r="T385" s="2">
        <f t="shared" ref="T385:T450" si="139">SUM(AB385:AF385)</f>
        <v>1000000</v>
      </c>
      <c r="U385" s="13">
        <v>180000</v>
      </c>
      <c r="V385" s="13">
        <v>0</v>
      </c>
      <c r="W385" s="13">
        <v>180000</v>
      </c>
      <c r="X385" s="13">
        <v>180000</v>
      </c>
      <c r="Y385" s="13">
        <v>0</v>
      </c>
      <c r="Z385" s="13">
        <v>0</v>
      </c>
      <c r="AA385" s="13">
        <v>0</v>
      </c>
      <c r="AB385" s="13">
        <v>200000</v>
      </c>
      <c r="AC385" s="13">
        <v>200000</v>
      </c>
      <c r="AD385" s="13">
        <v>200000</v>
      </c>
      <c r="AE385" s="13">
        <v>200000</v>
      </c>
      <c r="AF385" s="13">
        <v>200000</v>
      </c>
      <c r="AG385" s="13">
        <f t="shared" si="133"/>
        <v>200000</v>
      </c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4" t="s">
        <v>884</v>
      </c>
      <c r="AU385" s="4" t="s">
        <v>685</v>
      </c>
      <c r="AV385" s="4" t="s">
        <v>1218</v>
      </c>
      <c r="AW385" s="3" t="s">
        <v>98</v>
      </c>
      <c r="AX385" s="4" t="s">
        <v>885</v>
      </c>
      <c r="AY385" s="4" t="s">
        <v>903</v>
      </c>
      <c r="AZ385" s="4"/>
      <c r="BA385" s="4" t="s">
        <v>112</v>
      </c>
      <c r="BB385" s="4"/>
      <c r="BC385" s="4"/>
      <c r="BD385" s="23">
        <v>3</v>
      </c>
      <c r="BE385" s="18">
        <v>44621</v>
      </c>
      <c r="BF385" s="18">
        <v>43891</v>
      </c>
      <c r="BG385" s="18">
        <v>43922</v>
      </c>
      <c r="BH385" s="18">
        <v>44105</v>
      </c>
      <c r="BI385" s="18">
        <v>44348</v>
      </c>
      <c r="BJ385" s="18">
        <v>44593</v>
      </c>
      <c r="BK385" s="19" t="s">
        <v>883</v>
      </c>
      <c r="BL385" s="9"/>
      <c r="BM385" s="9">
        <f t="shared" si="134"/>
        <v>0</v>
      </c>
      <c r="BN385" s="9">
        <f t="shared" si="135"/>
        <v>0</v>
      </c>
      <c r="BO385" s="9">
        <f t="shared" si="136"/>
        <v>0</v>
      </c>
      <c r="BP385" s="9">
        <f t="shared" si="113"/>
        <v>84000</v>
      </c>
      <c r="BQ385" s="9">
        <f t="shared" si="114"/>
        <v>84000</v>
      </c>
      <c r="BR385" s="9">
        <f t="shared" si="115"/>
        <v>84000</v>
      </c>
      <c r="BS385" s="9">
        <f t="shared" si="116"/>
        <v>84000</v>
      </c>
      <c r="BT385" s="9">
        <f t="shared" si="117"/>
        <v>84000</v>
      </c>
    </row>
    <row r="386" spans="1:72" hidden="1" x14ac:dyDescent="0.25">
      <c r="A386" s="11">
        <f t="shared" si="137"/>
        <v>385</v>
      </c>
      <c r="B386" s="3" t="s">
        <v>921</v>
      </c>
      <c r="C386" s="4" t="s">
        <v>186</v>
      </c>
      <c r="D386" s="3" t="s">
        <v>921</v>
      </c>
      <c r="E386" s="4" t="s">
        <v>795</v>
      </c>
      <c r="F386" s="4"/>
      <c r="G386" s="4" t="s">
        <v>345</v>
      </c>
      <c r="H386" s="4" t="s">
        <v>346</v>
      </c>
      <c r="I386" s="12">
        <v>1134</v>
      </c>
      <c r="J386" s="12" t="s">
        <v>870</v>
      </c>
      <c r="K386" s="4"/>
      <c r="L386" s="4" t="s">
        <v>938</v>
      </c>
      <c r="M386" s="13">
        <v>540000</v>
      </c>
      <c r="N386" s="5" t="s">
        <v>292</v>
      </c>
      <c r="O386" s="4" t="s">
        <v>109</v>
      </c>
      <c r="P386" s="14" t="s">
        <v>109</v>
      </c>
      <c r="Q386" s="17">
        <v>0.42</v>
      </c>
      <c r="R386" s="1">
        <f t="shared" si="138"/>
        <v>105000</v>
      </c>
      <c r="S386" s="2">
        <v>168000</v>
      </c>
      <c r="T386" s="2">
        <f t="shared" si="139"/>
        <v>250000</v>
      </c>
      <c r="U386" s="13">
        <v>0</v>
      </c>
      <c r="V386" s="13">
        <v>0</v>
      </c>
      <c r="W386" s="13">
        <v>50000</v>
      </c>
      <c r="X386" s="13">
        <v>50000</v>
      </c>
      <c r="Y386" s="13">
        <v>50000</v>
      </c>
      <c r="Z386" s="13">
        <v>50000</v>
      </c>
      <c r="AA386" s="13">
        <v>50000</v>
      </c>
      <c r="AB386" s="13">
        <v>50000</v>
      </c>
      <c r="AC386" s="13">
        <v>50000</v>
      </c>
      <c r="AD386" s="13">
        <v>50000</v>
      </c>
      <c r="AE386" s="13">
        <v>50000</v>
      </c>
      <c r="AF386" s="13">
        <v>50000</v>
      </c>
      <c r="AG386" s="13">
        <f>AF386</f>
        <v>50000</v>
      </c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4" t="s">
        <v>884</v>
      </c>
      <c r="AU386" s="4" t="s">
        <v>685</v>
      </c>
      <c r="AV386" s="4" t="s">
        <v>1218</v>
      </c>
      <c r="AW386" s="3" t="s">
        <v>98</v>
      </c>
      <c r="AX386" s="4" t="s">
        <v>885</v>
      </c>
      <c r="AY386" s="4" t="s">
        <v>903</v>
      </c>
      <c r="AZ386" s="4"/>
      <c r="BA386" s="4" t="s">
        <v>112</v>
      </c>
      <c r="BB386" s="4"/>
      <c r="BC386" s="4"/>
      <c r="BD386" s="23">
        <v>2</v>
      </c>
      <c r="BE386" s="18">
        <v>44621</v>
      </c>
      <c r="BF386" s="18">
        <v>43891</v>
      </c>
      <c r="BG386" s="18">
        <v>43922</v>
      </c>
      <c r="BH386" s="18">
        <v>44105</v>
      </c>
      <c r="BI386" s="18">
        <v>44348</v>
      </c>
      <c r="BJ386" s="18">
        <v>44593</v>
      </c>
      <c r="BK386" s="19" t="s">
        <v>883</v>
      </c>
      <c r="BL386" s="9"/>
      <c r="BM386" s="9">
        <f t="shared" si="134"/>
        <v>21000</v>
      </c>
      <c r="BN386" s="9">
        <f t="shared" si="135"/>
        <v>21000</v>
      </c>
      <c r="BO386" s="9">
        <f t="shared" si="136"/>
        <v>21000</v>
      </c>
      <c r="BP386" s="9">
        <f t="shared" si="113"/>
        <v>21000</v>
      </c>
      <c r="BQ386" s="9">
        <f t="shared" si="114"/>
        <v>21000</v>
      </c>
      <c r="BR386" s="9">
        <f t="shared" si="115"/>
        <v>21000</v>
      </c>
      <c r="BS386" s="9">
        <f t="shared" si="116"/>
        <v>21000</v>
      </c>
      <c r="BT386" s="9">
        <f t="shared" si="117"/>
        <v>21000</v>
      </c>
    </row>
    <row r="387" spans="1:72" hidden="1" x14ac:dyDescent="0.25">
      <c r="A387" s="11">
        <f t="shared" si="137"/>
        <v>386</v>
      </c>
      <c r="B387" s="12" t="s">
        <v>944</v>
      </c>
      <c r="C387" s="4" t="s">
        <v>186</v>
      </c>
      <c r="D387" s="4" t="s">
        <v>490</v>
      </c>
      <c r="E387" s="12" t="s">
        <v>795</v>
      </c>
      <c r="F387" s="5"/>
      <c r="G387" s="4" t="s">
        <v>939</v>
      </c>
      <c r="H387" s="4" t="s">
        <v>940</v>
      </c>
      <c r="I387" s="12">
        <v>60370</v>
      </c>
      <c r="J387" s="12"/>
      <c r="K387" s="4"/>
      <c r="L387" s="5" t="s">
        <v>941</v>
      </c>
      <c r="M387" s="13">
        <v>100000</v>
      </c>
      <c r="N387" s="5" t="s">
        <v>292</v>
      </c>
      <c r="O387" s="4" t="s">
        <v>109</v>
      </c>
      <c r="P387" s="14" t="s">
        <v>883</v>
      </c>
      <c r="Q387" s="17">
        <v>8.5</v>
      </c>
      <c r="R387" s="1">
        <f t="shared" si="138"/>
        <v>425000</v>
      </c>
      <c r="S387" s="2">
        <v>425000</v>
      </c>
      <c r="T387" s="2">
        <f t="shared" si="139"/>
        <v>50000</v>
      </c>
      <c r="U387" s="13">
        <v>50000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13">
        <v>0</v>
      </c>
      <c r="AF387" s="13">
        <v>50000</v>
      </c>
      <c r="AG387" s="13">
        <f>AF387</f>
        <v>50000</v>
      </c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4" t="s">
        <v>884</v>
      </c>
      <c r="AU387" s="4" t="s">
        <v>685</v>
      </c>
      <c r="AV387" s="4" t="s">
        <v>1216</v>
      </c>
      <c r="AW387" s="3" t="s">
        <v>222</v>
      </c>
      <c r="AX387" s="3" t="s">
        <v>275</v>
      </c>
      <c r="AY387" s="3" t="s">
        <v>276</v>
      </c>
      <c r="AZ387" s="4" t="s">
        <v>942</v>
      </c>
      <c r="BA387" s="4" t="s">
        <v>943</v>
      </c>
      <c r="BB387" s="4"/>
      <c r="BC387" s="4"/>
      <c r="BD387" s="23">
        <v>1</v>
      </c>
      <c r="BE387" s="18"/>
      <c r="BF387" s="18"/>
      <c r="BG387" s="18"/>
      <c r="BH387" s="18"/>
      <c r="BI387" s="18"/>
      <c r="BJ387" s="18"/>
      <c r="BK387" s="19" t="s">
        <v>453</v>
      </c>
      <c r="BL387" s="9"/>
      <c r="BM387" s="9">
        <f t="shared" si="134"/>
        <v>0</v>
      </c>
      <c r="BN387" s="9">
        <f t="shared" si="135"/>
        <v>0</v>
      </c>
      <c r="BO387" s="9">
        <f t="shared" si="136"/>
        <v>0</v>
      </c>
      <c r="BP387" s="9">
        <f t="shared" ref="BP387:BP450" si="140">$Q387*AB387</f>
        <v>0</v>
      </c>
      <c r="BQ387" s="9">
        <f t="shared" ref="BQ387:BQ450" si="141">$Q387*AC387</f>
        <v>0</v>
      </c>
      <c r="BR387" s="9">
        <f t="shared" ref="BR387:BR450" si="142">$Q387*AD387</f>
        <v>0</v>
      </c>
      <c r="BS387" s="9">
        <f t="shared" ref="BS387:BS450" si="143">$Q387*AE387</f>
        <v>0</v>
      </c>
      <c r="BT387" s="9">
        <f t="shared" ref="BT387:BT450" si="144">$Q387*AF387</f>
        <v>425000</v>
      </c>
    </row>
    <row r="388" spans="1:72" hidden="1" x14ac:dyDescent="0.25">
      <c r="A388" s="11">
        <f t="shared" si="137"/>
        <v>387</v>
      </c>
      <c r="B388" s="12" t="s">
        <v>944</v>
      </c>
      <c r="C388" s="4" t="s">
        <v>186</v>
      </c>
      <c r="D388" s="4" t="s">
        <v>490</v>
      </c>
      <c r="E388" s="12" t="s">
        <v>795</v>
      </c>
      <c r="F388" s="5"/>
      <c r="G388" s="4" t="s">
        <v>458</v>
      </c>
      <c r="H388" s="4" t="s">
        <v>945</v>
      </c>
      <c r="I388" s="12">
        <v>2662</v>
      </c>
      <c r="J388" s="12"/>
      <c r="K388" s="4"/>
      <c r="L388" s="5" t="s">
        <v>946</v>
      </c>
      <c r="M388" s="13" t="s">
        <v>929</v>
      </c>
      <c r="N388" s="5" t="s">
        <v>947</v>
      </c>
      <c r="O388" s="4" t="s">
        <v>109</v>
      </c>
      <c r="P388" s="14" t="s">
        <v>883</v>
      </c>
      <c r="Q388" s="17">
        <v>0.25</v>
      </c>
      <c r="R388" s="1">
        <f t="shared" si="138"/>
        <v>280000</v>
      </c>
      <c r="S388" s="2">
        <v>175000</v>
      </c>
      <c r="T388" s="2">
        <f t="shared" si="139"/>
        <v>1120000</v>
      </c>
      <c r="U388" s="13">
        <v>0</v>
      </c>
      <c r="V388" s="13">
        <v>0</v>
      </c>
      <c r="W388" s="13">
        <v>0</v>
      </c>
      <c r="X388" s="13">
        <v>0</v>
      </c>
      <c r="Y388" s="13">
        <v>0</v>
      </c>
      <c r="Z388" s="13">
        <v>212000</v>
      </c>
      <c r="AA388" s="13">
        <v>242000</v>
      </c>
      <c r="AB388" s="13">
        <v>212000</v>
      </c>
      <c r="AC388" s="13">
        <v>212000</v>
      </c>
      <c r="AD388" s="13">
        <v>242000</v>
      </c>
      <c r="AE388" s="13">
        <v>212000</v>
      </c>
      <c r="AF388" s="13">
        <v>242000</v>
      </c>
      <c r="AG388" s="13">
        <f>AF388</f>
        <v>242000</v>
      </c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4" t="s">
        <v>884</v>
      </c>
      <c r="AU388" s="4" t="s">
        <v>685</v>
      </c>
      <c r="AV388" s="4" t="s">
        <v>1218</v>
      </c>
      <c r="AW388" s="3" t="s">
        <v>222</v>
      </c>
      <c r="AX388" s="3" t="s">
        <v>948</v>
      </c>
      <c r="AY388" s="3" t="s">
        <v>276</v>
      </c>
      <c r="AZ388" s="4" t="s">
        <v>942</v>
      </c>
      <c r="BA388" s="4" t="s">
        <v>943</v>
      </c>
      <c r="BB388" s="4"/>
      <c r="BC388" s="4"/>
      <c r="BD388" s="23">
        <v>3</v>
      </c>
      <c r="BE388" s="18"/>
      <c r="BF388" s="18"/>
      <c r="BG388" s="18"/>
      <c r="BH388" s="18"/>
      <c r="BI388" s="18"/>
      <c r="BJ388" s="18"/>
      <c r="BK388" s="19" t="s">
        <v>453</v>
      </c>
      <c r="BL388" s="9"/>
      <c r="BM388" s="9">
        <f t="shared" si="134"/>
        <v>0</v>
      </c>
      <c r="BN388" s="9">
        <f t="shared" si="135"/>
        <v>53000</v>
      </c>
      <c r="BO388" s="9">
        <f t="shared" si="136"/>
        <v>60500</v>
      </c>
      <c r="BP388" s="9">
        <f t="shared" si="140"/>
        <v>53000</v>
      </c>
      <c r="BQ388" s="9">
        <f t="shared" si="141"/>
        <v>53000</v>
      </c>
      <c r="BR388" s="9">
        <f t="shared" si="142"/>
        <v>60500</v>
      </c>
      <c r="BS388" s="9">
        <f t="shared" si="143"/>
        <v>53000</v>
      </c>
      <c r="BT388" s="9">
        <f t="shared" si="144"/>
        <v>60500</v>
      </c>
    </row>
    <row r="389" spans="1:72" hidden="1" x14ac:dyDescent="0.25">
      <c r="A389" s="11">
        <f t="shared" si="137"/>
        <v>388</v>
      </c>
      <c r="B389" s="3" t="s">
        <v>949</v>
      </c>
      <c r="C389" s="4" t="s">
        <v>59</v>
      </c>
      <c r="D389" s="4" t="s">
        <v>1172</v>
      </c>
      <c r="E389" s="4" t="s">
        <v>795</v>
      </c>
      <c r="F389" s="4"/>
      <c r="G389" s="4" t="s">
        <v>397</v>
      </c>
      <c r="H389" s="4" t="s">
        <v>398</v>
      </c>
      <c r="I389" s="12">
        <v>4688</v>
      </c>
      <c r="J389" s="12"/>
      <c r="K389" s="4"/>
      <c r="L389" s="4" t="s">
        <v>950</v>
      </c>
      <c r="M389" s="13">
        <v>500000</v>
      </c>
      <c r="N389" s="5" t="s">
        <v>951</v>
      </c>
      <c r="O389" s="4" t="s">
        <v>914</v>
      </c>
      <c r="P389" s="14">
        <v>4.2</v>
      </c>
      <c r="Q389" s="17">
        <v>2.66</v>
      </c>
      <c r="R389" s="1">
        <f t="shared" si="138"/>
        <v>266000</v>
      </c>
      <c r="S389" s="2">
        <v>425600</v>
      </c>
      <c r="T389" s="2">
        <f t="shared" si="139"/>
        <v>100000</v>
      </c>
      <c r="U389" s="13">
        <v>0</v>
      </c>
      <c r="V389" s="13">
        <v>0</v>
      </c>
      <c r="W389" s="13">
        <v>0</v>
      </c>
      <c r="X389" s="13">
        <v>20000</v>
      </c>
      <c r="Y389" s="13">
        <v>20000</v>
      </c>
      <c r="Z389" s="13">
        <v>20000</v>
      </c>
      <c r="AA389" s="13">
        <v>20000</v>
      </c>
      <c r="AB389" s="13">
        <v>20000</v>
      </c>
      <c r="AC389" s="13">
        <v>20000</v>
      </c>
      <c r="AD389" s="13">
        <v>20000</v>
      </c>
      <c r="AE389" s="13">
        <v>20000</v>
      </c>
      <c r="AF389" s="13">
        <v>20000</v>
      </c>
      <c r="AG389" s="13">
        <v>20000</v>
      </c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4" t="s">
        <v>884</v>
      </c>
      <c r="AU389" s="4" t="s">
        <v>685</v>
      </c>
      <c r="AV389" s="4" t="s">
        <v>1217</v>
      </c>
      <c r="AW389" s="3"/>
      <c r="AX389" s="4"/>
      <c r="AY389" s="4"/>
      <c r="AZ389" s="4"/>
      <c r="BA389" s="4" t="s">
        <v>952</v>
      </c>
      <c r="BB389" s="4"/>
      <c r="BC389" s="4"/>
      <c r="BD389" s="23">
        <v>2</v>
      </c>
      <c r="BE389" s="18"/>
      <c r="BF389" s="18">
        <v>44197</v>
      </c>
      <c r="BG389" s="18">
        <v>44197</v>
      </c>
      <c r="BH389" s="18">
        <v>44348</v>
      </c>
      <c r="BI389" s="18">
        <v>44562</v>
      </c>
      <c r="BJ389" s="18">
        <v>45444</v>
      </c>
      <c r="BK389" s="19" t="s">
        <v>453</v>
      </c>
      <c r="BL389" s="9"/>
      <c r="BM389" s="9">
        <f t="shared" si="134"/>
        <v>53200</v>
      </c>
      <c r="BN389" s="9">
        <f t="shared" si="135"/>
        <v>53200</v>
      </c>
      <c r="BO389" s="9">
        <f t="shared" si="136"/>
        <v>53200</v>
      </c>
      <c r="BP389" s="9">
        <f t="shared" si="140"/>
        <v>53200</v>
      </c>
      <c r="BQ389" s="9">
        <f t="shared" si="141"/>
        <v>53200</v>
      </c>
      <c r="BR389" s="9">
        <f t="shared" si="142"/>
        <v>53200</v>
      </c>
      <c r="BS389" s="9">
        <f t="shared" si="143"/>
        <v>53200</v>
      </c>
      <c r="BT389" s="9">
        <f t="shared" si="144"/>
        <v>53200</v>
      </c>
    </row>
    <row r="390" spans="1:72" hidden="1" x14ac:dyDescent="0.25">
      <c r="A390" s="11">
        <f t="shared" si="137"/>
        <v>389</v>
      </c>
      <c r="B390" s="4" t="s">
        <v>298</v>
      </c>
      <c r="C390" s="4" t="s">
        <v>59</v>
      </c>
      <c r="D390" s="4" t="s">
        <v>298</v>
      </c>
      <c r="E390" s="4" t="s">
        <v>795</v>
      </c>
      <c r="F390" s="4"/>
      <c r="G390" s="4" t="s">
        <v>436</v>
      </c>
      <c r="H390" s="4" t="s">
        <v>435</v>
      </c>
      <c r="I390" s="12">
        <v>2425</v>
      </c>
      <c r="J390" s="12"/>
      <c r="K390" s="6" t="s">
        <v>302</v>
      </c>
      <c r="L390" s="4"/>
      <c r="M390" s="6" t="s">
        <v>291</v>
      </c>
      <c r="N390" s="5" t="s">
        <v>953</v>
      </c>
      <c r="O390" s="4" t="s">
        <v>199</v>
      </c>
      <c r="P390" s="14"/>
      <c r="Q390" s="17" t="s">
        <v>954</v>
      </c>
      <c r="R390" s="1">
        <f t="shared" si="138"/>
        <v>2500000</v>
      </c>
      <c r="S390" s="2">
        <v>4000000</v>
      </c>
      <c r="T390" s="2">
        <f t="shared" si="139"/>
        <v>1000000</v>
      </c>
      <c r="U390" s="13">
        <v>200000</v>
      </c>
      <c r="V390" s="13">
        <v>200000</v>
      </c>
      <c r="W390" s="13">
        <v>200000</v>
      </c>
      <c r="X390" s="13">
        <v>200000</v>
      </c>
      <c r="Y390" s="13">
        <v>200000</v>
      </c>
      <c r="Z390" s="13">
        <v>200000</v>
      </c>
      <c r="AA390" s="13">
        <v>200000</v>
      </c>
      <c r="AB390" s="13">
        <v>200000</v>
      </c>
      <c r="AC390" s="13">
        <v>200000</v>
      </c>
      <c r="AD390" s="13">
        <v>200000</v>
      </c>
      <c r="AE390" s="13">
        <v>200000</v>
      </c>
      <c r="AF390" s="13">
        <v>200000</v>
      </c>
      <c r="AG390" s="13">
        <v>200000</v>
      </c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4" t="s">
        <v>884</v>
      </c>
      <c r="AU390" s="4" t="s">
        <v>685</v>
      </c>
      <c r="AV390" s="4" t="s">
        <v>1217</v>
      </c>
      <c r="AW390" s="3" t="s">
        <v>141</v>
      </c>
      <c r="AX390" s="4" t="s">
        <v>142</v>
      </c>
      <c r="AY390" s="4" t="s">
        <v>955</v>
      </c>
      <c r="AZ390" s="4"/>
      <c r="BA390" s="4"/>
      <c r="BB390" s="4"/>
      <c r="BC390" s="4"/>
      <c r="BD390" s="23"/>
      <c r="BE390" s="18"/>
      <c r="BF390" s="18"/>
      <c r="BG390" s="18"/>
      <c r="BH390" s="18"/>
      <c r="BI390" s="18"/>
      <c r="BJ390" s="18"/>
      <c r="BK390" s="19"/>
      <c r="BL390" s="9"/>
      <c r="BM390" s="9">
        <f t="shared" si="134"/>
        <v>500000</v>
      </c>
      <c r="BN390" s="9">
        <f t="shared" si="135"/>
        <v>500000</v>
      </c>
      <c r="BO390" s="9">
        <f t="shared" si="136"/>
        <v>500000</v>
      </c>
      <c r="BP390" s="9">
        <f t="shared" si="140"/>
        <v>500000</v>
      </c>
      <c r="BQ390" s="9">
        <f t="shared" si="141"/>
        <v>500000</v>
      </c>
      <c r="BR390" s="9">
        <f t="shared" si="142"/>
        <v>500000</v>
      </c>
      <c r="BS390" s="9">
        <f t="shared" si="143"/>
        <v>500000</v>
      </c>
      <c r="BT390" s="9">
        <f t="shared" si="144"/>
        <v>500000</v>
      </c>
    </row>
    <row r="391" spans="1:72" hidden="1" x14ac:dyDescent="0.25">
      <c r="A391" s="11">
        <f t="shared" si="137"/>
        <v>390</v>
      </c>
      <c r="B391" s="3" t="s">
        <v>1539</v>
      </c>
      <c r="C391" s="4" t="s">
        <v>128</v>
      </c>
      <c r="D391" s="4" t="s">
        <v>1539</v>
      </c>
      <c r="E391" s="4" t="s">
        <v>795</v>
      </c>
      <c r="F391" s="4"/>
      <c r="G391" s="4" t="s">
        <v>494</v>
      </c>
      <c r="H391" s="4" t="s">
        <v>1751</v>
      </c>
      <c r="I391" s="12">
        <v>2443</v>
      </c>
      <c r="J391" s="12"/>
      <c r="K391" s="4"/>
      <c r="L391" s="4" t="s">
        <v>956</v>
      </c>
      <c r="M391" s="13">
        <v>8000000</v>
      </c>
      <c r="N391" s="5" t="s">
        <v>957</v>
      </c>
      <c r="O391" s="4" t="s">
        <v>958</v>
      </c>
      <c r="P391" s="14" t="s">
        <v>453</v>
      </c>
      <c r="Q391" s="17">
        <v>0.65</v>
      </c>
      <c r="R391" s="1">
        <f t="shared" si="138"/>
        <v>2600000</v>
      </c>
      <c r="S391" s="2">
        <v>4160000</v>
      </c>
      <c r="T391" s="2">
        <f t="shared" si="139"/>
        <v>4000000</v>
      </c>
      <c r="U391" s="13">
        <v>288187</v>
      </c>
      <c r="V391" s="13">
        <v>212300</v>
      </c>
      <c r="W391" s="13">
        <v>536969</v>
      </c>
      <c r="X391" s="13">
        <v>529507</v>
      </c>
      <c r="Y391" s="13">
        <v>800000</v>
      </c>
      <c r="Z391" s="13">
        <v>800000</v>
      </c>
      <c r="AA391" s="13">
        <v>903893</v>
      </c>
      <c r="AB391" s="13">
        <v>800000</v>
      </c>
      <c r="AC391" s="13">
        <v>800000</v>
      </c>
      <c r="AD391" s="13">
        <v>800000</v>
      </c>
      <c r="AE391" s="13">
        <v>800000</v>
      </c>
      <c r="AF391" s="13">
        <v>800000</v>
      </c>
      <c r="AG391" s="13">
        <f t="shared" ref="AG391:AG392" si="145">AF391</f>
        <v>800000</v>
      </c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4" t="s">
        <v>884</v>
      </c>
      <c r="AU391" s="4" t="s">
        <v>685</v>
      </c>
      <c r="AV391" s="4" t="s">
        <v>1218</v>
      </c>
      <c r="AW391" s="3" t="s">
        <v>98</v>
      </c>
      <c r="AX391" s="4" t="s">
        <v>356</v>
      </c>
      <c r="AY391" s="4" t="s">
        <v>959</v>
      </c>
      <c r="AZ391" s="4"/>
      <c r="BA391" s="4"/>
      <c r="BB391" s="4"/>
      <c r="BC391" s="4"/>
      <c r="BD391" s="23">
        <v>2</v>
      </c>
      <c r="BE391" s="18"/>
      <c r="BF391" s="18">
        <v>44621</v>
      </c>
      <c r="BG391" s="18">
        <v>44630</v>
      </c>
      <c r="BH391" s="18">
        <v>44691</v>
      </c>
      <c r="BI391" s="18">
        <v>44844</v>
      </c>
      <c r="BJ391" s="18">
        <v>44896</v>
      </c>
      <c r="BK391" s="19" t="s">
        <v>883</v>
      </c>
      <c r="BL391" s="9"/>
      <c r="BM391" s="9">
        <f t="shared" si="134"/>
        <v>520000</v>
      </c>
      <c r="BN391" s="9">
        <f t="shared" si="135"/>
        <v>520000</v>
      </c>
      <c r="BO391" s="9">
        <f t="shared" si="136"/>
        <v>587530.45000000007</v>
      </c>
      <c r="BP391" s="9">
        <f t="shared" si="140"/>
        <v>520000</v>
      </c>
      <c r="BQ391" s="9">
        <f t="shared" si="141"/>
        <v>520000</v>
      </c>
      <c r="BR391" s="9">
        <f t="shared" si="142"/>
        <v>520000</v>
      </c>
      <c r="BS391" s="9">
        <f t="shared" si="143"/>
        <v>520000</v>
      </c>
      <c r="BT391" s="9">
        <f t="shared" si="144"/>
        <v>520000</v>
      </c>
    </row>
    <row r="392" spans="1:72" hidden="1" x14ac:dyDescent="0.25">
      <c r="A392" s="11">
        <f t="shared" si="137"/>
        <v>391</v>
      </c>
      <c r="B392" s="3" t="s">
        <v>1539</v>
      </c>
      <c r="C392" s="4" t="s">
        <v>128</v>
      </c>
      <c r="D392" s="4" t="s">
        <v>1539</v>
      </c>
      <c r="E392" s="4" t="s">
        <v>795</v>
      </c>
      <c r="F392" s="4"/>
      <c r="G392" s="4" t="s">
        <v>260</v>
      </c>
      <c r="H392" s="4" t="s">
        <v>1750</v>
      </c>
      <c r="I392" s="12">
        <v>2443</v>
      </c>
      <c r="J392" s="12"/>
      <c r="K392" s="4"/>
      <c r="L392" s="4" t="s">
        <v>956</v>
      </c>
      <c r="M392" s="13">
        <v>300000</v>
      </c>
      <c r="N392" s="5" t="s">
        <v>960</v>
      </c>
      <c r="O392" s="4" t="s">
        <v>696</v>
      </c>
      <c r="P392" s="14" t="s">
        <v>883</v>
      </c>
      <c r="Q392" s="17">
        <v>0.65</v>
      </c>
      <c r="R392" s="1">
        <f t="shared" si="138"/>
        <v>130000</v>
      </c>
      <c r="S392" s="2">
        <v>208000</v>
      </c>
      <c r="T392" s="2">
        <f t="shared" si="139"/>
        <v>200000</v>
      </c>
      <c r="U392" s="13">
        <v>33340</v>
      </c>
      <c r="V392" s="13">
        <v>15245</v>
      </c>
      <c r="W392" s="13">
        <v>23069</v>
      </c>
      <c r="X392" s="13">
        <v>31033</v>
      </c>
      <c r="Y392" s="13">
        <v>40000</v>
      </c>
      <c r="Z392" s="13">
        <v>40000</v>
      </c>
      <c r="AA392" s="13">
        <v>40000</v>
      </c>
      <c r="AB392" s="13">
        <v>40000</v>
      </c>
      <c r="AC392" s="13">
        <v>40000</v>
      </c>
      <c r="AD392" s="13">
        <v>40000</v>
      </c>
      <c r="AE392" s="13">
        <v>40000</v>
      </c>
      <c r="AF392" s="13">
        <v>40000</v>
      </c>
      <c r="AG392" s="13">
        <f t="shared" si="145"/>
        <v>40000</v>
      </c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4" t="s">
        <v>884</v>
      </c>
      <c r="AU392" s="4" t="s">
        <v>685</v>
      </c>
      <c r="AV392" s="4" t="s">
        <v>1218</v>
      </c>
      <c r="AW392" s="3" t="s">
        <v>98</v>
      </c>
      <c r="AX392" s="4" t="s">
        <v>356</v>
      </c>
      <c r="AY392" s="4" t="s">
        <v>959</v>
      </c>
      <c r="AZ392" s="4"/>
      <c r="BA392" s="4"/>
      <c r="BB392" s="4"/>
      <c r="BC392" s="4"/>
      <c r="BD392" s="23">
        <v>2</v>
      </c>
      <c r="BE392" s="18"/>
      <c r="BF392" s="18">
        <v>44621</v>
      </c>
      <c r="BG392" s="18">
        <v>44630</v>
      </c>
      <c r="BH392" s="18">
        <v>44691</v>
      </c>
      <c r="BI392" s="18">
        <v>44844</v>
      </c>
      <c r="BJ392" s="18">
        <v>44896</v>
      </c>
      <c r="BK392" s="19" t="s">
        <v>883</v>
      </c>
      <c r="BL392" s="9"/>
      <c r="BM392" s="9">
        <f t="shared" si="134"/>
        <v>26000</v>
      </c>
      <c r="BN392" s="9">
        <f t="shared" si="135"/>
        <v>26000</v>
      </c>
      <c r="BO392" s="9">
        <f t="shared" si="136"/>
        <v>26000</v>
      </c>
      <c r="BP392" s="9">
        <f t="shared" si="140"/>
        <v>26000</v>
      </c>
      <c r="BQ392" s="9">
        <f t="shared" si="141"/>
        <v>26000</v>
      </c>
      <c r="BR392" s="9">
        <f t="shared" si="142"/>
        <v>26000</v>
      </c>
      <c r="BS392" s="9">
        <f t="shared" si="143"/>
        <v>26000</v>
      </c>
      <c r="BT392" s="9">
        <f t="shared" si="144"/>
        <v>26000</v>
      </c>
    </row>
    <row r="393" spans="1:72" hidden="1" x14ac:dyDescent="0.25">
      <c r="A393" s="11">
        <f t="shared" si="137"/>
        <v>392</v>
      </c>
      <c r="B393" s="3" t="s">
        <v>1540</v>
      </c>
      <c r="C393" s="4" t="s">
        <v>59</v>
      </c>
      <c r="D393" s="4" t="s">
        <v>1541</v>
      </c>
      <c r="E393" s="4" t="s">
        <v>1542</v>
      </c>
      <c r="F393" s="4"/>
      <c r="G393" s="4" t="s">
        <v>177</v>
      </c>
      <c r="H393" s="33" t="s">
        <v>178</v>
      </c>
      <c r="I393" s="4"/>
      <c r="J393" s="4"/>
      <c r="K393" s="4" t="s">
        <v>1543</v>
      </c>
      <c r="L393" s="13">
        <v>3000000</v>
      </c>
      <c r="M393" s="4" t="s">
        <v>291</v>
      </c>
      <c r="N393" s="5"/>
      <c r="O393" s="3" t="s">
        <v>109</v>
      </c>
      <c r="P393" s="29"/>
      <c r="Q393" s="14">
        <v>0.125</v>
      </c>
      <c r="R393" s="1">
        <f t="shared" si="138"/>
        <v>125000</v>
      </c>
      <c r="S393" s="40"/>
      <c r="T393" s="2">
        <f t="shared" si="139"/>
        <v>1000000</v>
      </c>
      <c r="U393" s="13"/>
      <c r="V393" s="13"/>
      <c r="W393" s="13">
        <v>1000000</v>
      </c>
      <c r="X393" s="13"/>
      <c r="Y393" s="13"/>
      <c r="Z393" s="13"/>
      <c r="AA393" s="13"/>
      <c r="AB393" s="13">
        <v>0</v>
      </c>
      <c r="AC393" s="13">
        <v>1000000</v>
      </c>
      <c r="AD393" s="13"/>
      <c r="AE393" s="13"/>
      <c r="AF393" s="13"/>
      <c r="AG393" s="13">
        <f>AF393</f>
        <v>0</v>
      </c>
      <c r="AH393" s="5"/>
      <c r="AI393" s="5">
        <v>0</v>
      </c>
      <c r="AJ393" s="5">
        <v>0</v>
      </c>
      <c r="AK393" s="5">
        <v>0</v>
      </c>
      <c r="AL393" s="5"/>
      <c r="AM393" s="13"/>
      <c r="AN393" s="13">
        <v>0</v>
      </c>
      <c r="AO393" s="13"/>
      <c r="AP393" s="13"/>
      <c r="AQ393" s="13"/>
      <c r="AR393" s="13"/>
      <c r="AS393" s="13"/>
      <c r="AT393" s="4" t="s">
        <v>963</v>
      </c>
      <c r="AU393" s="4" t="s">
        <v>964</v>
      </c>
      <c r="AV393" s="4" t="s">
        <v>1218</v>
      </c>
      <c r="AW393" s="4" t="s">
        <v>141</v>
      </c>
      <c r="AX393" s="4" t="s">
        <v>149</v>
      </c>
      <c r="AY393" s="4" t="s">
        <v>965</v>
      </c>
      <c r="AZ393" s="7"/>
      <c r="BA393" s="4"/>
      <c r="BB393" s="4"/>
      <c r="BC393" s="4"/>
      <c r="BD393" s="23"/>
      <c r="BE393" s="4"/>
      <c r="BF393" s="4"/>
      <c r="BG393" s="4"/>
      <c r="BH393" s="4"/>
      <c r="BI393" s="4"/>
      <c r="BJ393" s="4"/>
      <c r="BK393" s="3"/>
      <c r="BL393" s="3"/>
      <c r="BM393" s="9">
        <f t="shared" si="134"/>
        <v>0</v>
      </c>
      <c r="BN393" s="9">
        <f t="shared" si="135"/>
        <v>0</v>
      </c>
      <c r="BO393" s="9">
        <f t="shared" si="136"/>
        <v>0</v>
      </c>
      <c r="BP393" s="9">
        <f t="shared" si="140"/>
        <v>0</v>
      </c>
      <c r="BQ393" s="9">
        <f t="shared" si="141"/>
        <v>125000</v>
      </c>
      <c r="BR393" s="9">
        <f t="shared" si="142"/>
        <v>0</v>
      </c>
      <c r="BS393" s="9">
        <f t="shared" si="143"/>
        <v>0</v>
      </c>
      <c r="BT393" s="9">
        <f t="shared" si="144"/>
        <v>0</v>
      </c>
    </row>
    <row r="394" spans="1:72" hidden="1" x14ac:dyDescent="0.25">
      <c r="A394" s="11">
        <f t="shared" si="137"/>
        <v>393</v>
      </c>
      <c r="B394" s="3" t="s">
        <v>1544</v>
      </c>
      <c r="C394" s="4" t="s">
        <v>59</v>
      </c>
      <c r="D394" s="4" t="s">
        <v>1541</v>
      </c>
      <c r="E394" s="4" t="s">
        <v>1542</v>
      </c>
      <c r="F394" s="4"/>
      <c r="G394" s="4" t="s">
        <v>225</v>
      </c>
      <c r="H394" s="4" t="s">
        <v>226</v>
      </c>
      <c r="I394" s="4"/>
      <c r="J394" s="4"/>
      <c r="K394" s="4" t="s">
        <v>1404</v>
      </c>
      <c r="L394" s="13">
        <v>661230</v>
      </c>
      <c r="M394" s="4" t="s">
        <v>291</v>
      </c>
      <c r="N394" s="5"/>
      <c r="O394" s="3" t="s">
        <v>109</v>
      </c>
      <c r="P394" s="29"/>
      <c r="Q394" s="14">
        <v>0.23</v>
      </c>
      <c r="R394" s="1">
        <f t="shared" si="138"/>
        <v>55200</v>
      </c>
      <c r="S394" s="40"/>
      <c r="T394" s="2">
        <f t="shared" si="139"/>
        <v>240000</v>
      </c>
      <c r="U394" s="13">
        <v>60000</v>
      </c>
      <c r="V394" s="13">
        <v>60000</v>
      </c>
      <c r="W394" s="13">
        <v>60000</v>
      </c>
      <c r="X394" s="13">
        <v>60000</v>
      </c>
      <c r="Y394" s="13">
        <v>60000</v>
      </c>
      <c r="Z394" s="13">
        <v>60000</v>
      </c>
      <c r="AA394" s="13">
        <v>0</v>
      </c>
      <c r="AB394" s="13">
        <v>60000</v>
      </c>
      <c r="AC394" s="13">
        <v>0</v>
      </c>
      <c r="AD394" s="13">
        <v>60000</v>
      </c>
      <c r="AE394" s="13">
        <v>60000</v>
      </c>
      <c r="AF394" s="13">
        <v>60000</v>
      </c>
      <c r="AG394" s="13">
        <f>AF394</f>
        <v>60000</v>
      </c>
      <c r="AH394" s="13">
        <v>0</v>
      </c>
      <c r="AI394" s="13">
        <v>0</v>
      </c>
      <c r="AJ394" s="13">
        <v>0</v>
      </c>
      <c r="AK394" s="13">
        <v>0</v>
      </c>
      <c r="AL394" s="13">
        <v>0</v>
      </c>
      <c r="AM394" s="13">
        <v>0</v>
      </c>
      <c r="AN394" s="13">
        <v>0</v>
      </c>
      <c r="AO394" s="13"/>
      <c r="AP394" s="13"/>
      <c r="AQ394" s="13"/>
      <c r="AR394" s="13"/>
      <c r="AS394" s="13"/>
      <c r="AT394" s="4" t="s">
        <v>963</v>
      </c>
      <c r="AU394" s="4" t="s">
        <v>964</v>
      </c>
      <c r="AV394" s="4" t="s">
        <v>1218</v>
      </c>
      <c r="AW394" s="4" t="s">
        <v>222</v>
      </c>
      <c r="AX394" s="4" t="s">
        <v>238</v>
      </c>
      <c r="AY394" s="4" t="s">
        <v>251</v>
      </c>
      <c r="AZ394" s="7" t="s">
        <v>257</v>
      </c>
      <c r="BA394" s="4"/>
      <c r="BB394" s="4"/>
      <c r="BC394" s="4"/>
      <c r="BD394" s="23"/>
      <c r="BE394" s="4"/>
      <c r="BF394" s="4"/>
      <c r="BG394" s="4"/>
      <c r="BH394" s="4"/>
      <c r="BI394" s="4"/>
      <c r="BJ394" s="4"/>
      <c r="BK394" s="3"/>
      <c r="BL394" s="3"/>
      <c r="BM394" s="9">
        <f t="shared" si="134"/>
        <v>13800</v>
      </c>
      <c r="BN394" s="9">
        <f t="shared" si="135"/>
        <v>13800</v>
      </c>
      <c r="BO394" s="9">
        <f t="shared" si="136"/>
        <v>0</v>
      </c>
      <c r="BP394" s="9">
        <f t="shared" si="140"/>
        <v>13800</v>
      </c>
      <c r="BQ394" s="9">
        <f t="shared" si="141"/>
        <v>0</v>
      </c>
      <c r="BR394" s="9">
        <f t="shared" si="142"/>
        <v>13800</v>
      </c>
      <c r="BS394" s="9">
        <f t="shared" si="143"/>
        <v>13800</v>
      </c>
      <c r="BT394" s="9">
        <f t="shared" si="144"/>
        <v>13800</v>
      </c>
    </row>
    <row r="395" spans="1:72" hidden="1" x14ac:dyDescent="0.25">
      <c r="A395" s="11">
        <f t="shared" si="137"/>
        <v>394</v>
      </c>
      <c r="B395" s="3" t="s">
        <v>1545</v>
      </c>
      <c r="C395" s="4" t="s">
        <v>59</v>
      </c>
      <c r="D395" s="4" t="s">
        <v>1546</v>
      </c>
      <c r="E395" s="4" t="s">
        <v>1735</v>
      </c>
      <c r="F395" s="4"/>
      <c r="G395" s="4" t="s">
        <v>1547</v>
      </c>
      <c r="H395" s="4" t="s">
        <v>1736</v>
      </c>
      <c r="I395" s="4"/>
      <c r="J395" s="4"/>
      <c r="K395" s="4" t="s">
        <v>1548</v>
      </c>
      <c r="L395" s="13">
        <v>300000</v>
      </c>
      <c r="M395" s="4" t="s">
        <v>291</v>
      </c>
      <c r="N395" s="5"/>
      <c r="O395" s="3" t="s">
        <v>199</v>
      </c>
      <c r="P395" s="29"/>
      <c r="Q395" s="14">
        <v>0.495</v>
      </c>
      <c r="R395" s="1">
        <f t="shared" si="138"/>
        <v>74250</v>
      </c>
      <c r="S395" s="40"/>
      <c r="T395" s="2">
        <f t="shared" si="139"/>
        <v>150000</v>
      </c>
      <c r="U395" s="13"/>
      <c r="V395" s="13">
        <v>0</v>
      </c>
      <c r="W395" s="13"/>
      <c r="X395" s="13">
        <v>0</v>
      </c>
      <c r="Y395" s="13">
        <v>0</v>
      </c>
      <c r="Z395" s="13">
        <v>0</v>
      </c>
      <c r="AA395" s="13">
        <v>30000</v>
      </c>
      <c r="AB395" s="13">
        <v>30000</v>
      </c>
      <c r="AC395" s="13">
        <v>30000</v>
      </c>
      <c r="AD395" s="13">
        <v>30000</v>
      </c>
      <c r="AE395" s="13">
        <v>30000</v>
      </c>
      <c r="AF395" s="13">
        <v>30000</v>
      </c>
      <c r="AG395" s="13">
        <f t="shared" ref="AG395:AG405" si="146">AF395</f>
        <v>30000</v>
      </c>
      <c r="AH395" s="13"/>
      <c r="AI395" s="13">
        <v>0</v>
      </c>
      <c r="AJ395" s="13"/>
      <c r="AK395" s="13">
        <v>0</v>
      </c>
      <c r="AL395" s="13">
        <v>0</v>
      </c>
      <c r="AM395" s="13"/>
      <c r="AN395" s="13">
        <v>0</v>
      </c>
      <c r="AO395" s="13"/>
      <c r="AP395" s="13"/>
      <c r="AQ395" s="13"/>
      <c r="AR395" s="13"/>
      <c r="AS395" s="13"/>
      <c r="AT395" s="4" t="s">
        <v>192</v>
      </c>
      <c r="AU395" s="4" t="s">
        <v>1741</v>
      </c>
      <c r="AV395" s="4" t="s">
        <v>1218</v>
      </c>
      <c r="AW395" s="4" t="s">
        <v>222</v>
      </c>
      <c r="AX395" s="4" t="s">
        <v>216</v>
      </c>
      <c r="AY395" s="4" t="s">
        <v>966</v>
      </c>
      <c r="AZ395" s="4" t="s">
        <v>248</v>
      </c>
      <c r="BA395" s="4"/>
      <c r="BB395" s="4"/>
      <c r="BC395" s="4"/>
      <c r="BD395" s="23"/>
      <c r="BE395" s="4"/>
      <c r="BF395" s="4"/>
      <c r="BG395" s="4"/>
      <c r="BH395" s="4"/>
      <c r="BI395" s="4"/>
      <c r="BJ395" s="4"/>
      <c r="BK395" s="3"/>
      <c r="BL395" s="3"/>
      <c r="BM395" s="9">
        <f t="shared" si="134"/>
        <v>0</v>
      </c>
      <c r="BN395" s="9">
        <f t="shared" si="135"/>
        <v>0</v>
      </c>
      <c r="BO395" s="9">
        <f t="shared" si="136"/>
        <v>14850</v>
      </c>
      <c r="BP395" s="9">
        <f t="shared" si="140"/>
        <v>14850</v>
      </c>
      <c r="BQ395" s="9">
        <f t="shared" si="141"/>
        <v>14850</v>
      </c>
      <c r="BR395" s="9">
        <f t="shared" si="142"/>
        <v>14850</v>
      </c>
      <c r="BS395" s="9">
        <f t="shared" si="143"/>
        <v>14850</v>
      </c>
      <c r="BT395" s="9">
        <f t="shared" si="144"/>
        <v>14850</v>
      </c>
    </row>
    <row r="396" spans="1:72" hidden="1" x14ac:dyDescent="0.25">
      <c r="A396" s="11">
        <f t="shared" si="137"/>
        <v>395</v>
      </c>
      <c r="B396" s="3" t="s">
        <v>1545</v>
      </c>
      <c r="C396" s="4" t="s">
        <v>59</v>
      </c>
      <c r="D396" s="4" t="s">
        <v>1546</v>
      </c>
      <c r="E396" s="4" t="s">
        <v>1735</v>
      </c>
      <c r="F396" s="4"/>
      <c r="G396" s="4" t="s">
        <v>937</v>
      </c>
      <c r="H396" s="4" t="s">
        <v>228</v>
      </c>
      <c r="I396" s="4"/>
      <c r="J396" s="4" t="s">
        <v>491</v>
      </c>
      <c r="K396" s="4" t="s">
        <v>1548</v>
      </c>
      <c r="L396" s="13">
        <v>600000</v>
      </c>
      <c r="M396" s="4" t="s">
        <v>291</v>
      </c>
      <c r="N396" s="5"/>
      <c r="O396" s="3" t="s">
        <v>199</v>
      </c>
      <c r="P396" s="29"/>
      <c r="Q396" s="14">
        <v>0.4</v>
      </c>
      <c r="R396" s="1">
        <f t="shared" si="138"/>
        <v>6000</v>
      </c>
      <c r="S396" s="40"/>
      <c r="T396" s="2">
        <f t="shared" si="139"/>
        <v>15000</v>
      </c>
      <c r="U396" s="13">
        <v>0</v>
      </c>
      <c r="V396" s="13"/>
      <c r="W396" s="13"/>
      <c r="X396" s="13"/>
      <c r="Y396" s="13"/>
      <c r="Z396" s="13"/>
      <c r="AA396" s="13">
        <v>3000</v>
      </c>
      <c r="AB396" s="13">
        <v>3000</v>
      </c>
      <c r="AC396" s="13">
        <v>3000</v>
      </c>
      <c r="AD396" s="13">
        <v>3000</v>
      </c>
      <c r="AE396" s="13">
        <v>3000</v>
      </c>
      <c r="AF396" s="13">
        <v>3000</v>
      </c>
      <c r="AG396" s="13">
        <f t="shared" si="146"/>
        <v>3000</v>
      </c>
      <c r="AH396" s="13">
        <v>0</v>
      </c>
      <c r="AI396" s="13">
        <v>0</v>
      </c>
      <c r="AJ396" s="13">
        <v>0</v>
      </c>
      <c r="AK396" s="13">
        <v>0</v>
      </c>
      <c r="AL396" s="13">
        <v>0</v>
      </c>
      <c r="AM396" s="13"/>
      <c r="AN396" s="13">
        <v>0</v>
      </c>
      <c r="AO396" s="13"/>
      <c r="AP396" s="13"/>
      <c r="AQ396" s="13"/>
      <c r="AR396" s="13"/>
      <c r="AS396" s="13"/>
      <c r="AT396" s="4" t="s">
        <v>192</v>
      </c>
      <c r="AU396" s="4" t="s">
        <v>1741</v>
      </c>
      <c r="AV396" s="4" t="s">
        <v>1218</v>
      </c>
      <c r="AW396" s="4" t="s">
        <v>222</v>
      </c>
      <c r="AX396" s="4" t="s">
        <v>216</v>
      </c>
      <c r="AY396" s="4" t="s">
        <v>966</v>
      </c>
      <c r="AZ396" s="4" t="s">
        <v>248</v>
      </c>
      <c r="BA396" s="4"/>
      <c r="BB396" s="4"/>
      <c r="BC396" s="4"/>
      <c r="BD396" s="23"/>
      <c r="BE396" s="4"/>
      <c r="BF396" s="4"/>
      <c r="BG396" s="4"/>
      <c r="BH396" s="4"/>
      <c r="BI396" s="4"/>
      <c r="BJ396" s="4"/>
      <c r="BK396" s="3"/>
      <c r="BL396" s="3"/>
      <c r="BM396" s="9">
        <f t="shared" si="134"/>
        <v>0</v>
      </c>
      <c r="BN396" s="9">
        <f t="shared" si="135"/>
        <v>0</v>
      </c>
      <c r="BO396" s="9">
        <f t="shared" si="136"/>
        <v>1200</v>
      </c>
      <c r="BP396" s="9">
        <f t="shared" si="140"/>
        <v>1200</v>
      </c>
      <c r="BQ396" s="9">
        <f t="shared" si="141"/>
        <v>1200</v>
      </c>
      <c r="BR396" s="9">
        <f t="shared" si="142"/>
        <v>1200</v>
      </c>
      <c r="BS396" s="9">
        <f t="shared" si="143"/>
        <v>1200</v>
      </c>
      <c r="BT396" s="9">
        <f t="shared" si="144"/>
        <v>1200</v>
      </c>
    </row>
    <row r="397" spans="1:72" hidden="1" x14ac:dyDescent="0.25">
      <c r="A397" s="11">
        <f t="shared" si="137"/>
        <v>396</v>
      </c>
      <c r="B397" s="3" t="s">
        <v>1545</v>
      </c>
      <c r="C397" s="4" t="s">
        <v>59</v>
      </c>
      <c r="D397" s="4" t="s">
        <v>1546</v>
      </c>
      <c r="E397" s="4" t="s">
        <v>1735</v>
      </c>
      <c r="F397" s="4"/>
      <c r="G397" s="4" t="s">
        <v>397</v>
      </c>
      <c r="H397" s="4" t="s">
        <v>398</v>
      </c>
      <c r="I397" s="4"/>
      <c r="J397" s="4"/>
      <c r="K397" s="4" t="s">
        <v>1548</v>
      </c>
      <c r="L397" s="13">
        <v>20000</v>
      </c>
      <c r="M397" s="4" t="s">
        <v>291</v>
      </c>
      <c r="N397" s="5"/>
      <c r="O397" s="3"/>
      <c r="P397" s="29"/>
      <c r="Q397" s="14">
        <v>2.6</v>
      </c>
      <c r="R397" s="1">
        <f t="shared" si="138"/>
        <v>130000</v>
      </c>
      <c r="S397" s="40"/>
      <c r="T397" s="2">
        <f t="shared" si="139"/>
        <v>50000</v>
      </c>
      <c r="U397" s="13"/>
      <c r="V397" s="13"/>
      <c r="W397" s="13"/>
      <c r="X397" s="13"/>
      <c r="Y397" s="13"/>
      <c r="Z397" s="13"/>
      <c r="AA397" s="13">
        <v>10000</v>
      </c>
      <c r="AB397" s="13">
        <v>10000</v>
      </c>
      <c r="AC397" s="13">
        <v>10000</v>
      </c>
      <c r="AD397" s="13">
        <v>10000</v>
      </c>
      <c r="AE397" s="13">
        <v>10000</v>
      </c>
      <c r="AF397" s="13">
        <v>10000</v>
      </c>
      <c r="AG397" s="13">
        <f t="shared" si="146"/>
        <v>10000</v>
      </c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4" t="s">
        <v>963</v>
      </c>
      <c r="AU397" s="4" t="s">
        <v>1741</v>
      </c>
      <c r="AV397" s="4" t="s">
        <v>1217</v>
      </c>
      <c r="AW397" s="4" t="s">
        <v>222</v>
      </c>
      <c r="AX397" s="4" t="s">
        <v>216</v>
      </c>
      <c r="AY397" s="4" t="s">
        <v>966</v>
      </c>
      <c r="AZ397" s="4" t="s">
        <v>248</v>
      </c>
      <c r="BA397" s="4"/>
      <c r="BB397" s="4"/>
      <c r="BC397" s="4"/>
      <c r="BD397" s="23"/>
      <c r="BE397" s="4"/>
      <c r="BF397" s="4"/>
      <c r="BG397" s="4"/>
      <c r="BH397" s="4"/>
      <c r="BI397" s="4"/>
      <c r="BJ397" s="4"/>
      <c r="BK397" s="3"/>
      <c r="BL397" s="3"/>
      <c r="BM397" s="9">
        <f t="shared" si="134"/>
        <v>0</v>
      </c>
      <c r="BN397" s="9">
        <f t="shared" si="135"/>
        <v>0</v>
      </c>
      <c r="BO397" s="9">
        <f t="shared" si="136"/>
        <v>26000</v>
      </c>
      <c r="BP397" s="9">
        <f t="shared" si="140"/>
        <v>26000</v>
      </c>
      <c r="BQ397" s="9">
        <f t="shared" si="141"/>
        <v>26000</v>
      </c>
      <c r="BR397" s="9">
        <f t="shared" si="142"/>
        <v>26000</v>
      </c>
      <c r="BS397" s="9">
        <f t="shared" si="143"/>
        <v>26000</v>
      </c>
      <c r="BT397" s="9">
        <f t="shared" si="144"/>
        <v>26000</v>
      </c>
    </row>
    <row r="398" spans="1:72" hidden="1" x14ac:dyDescent="0.25">
      <c r="A398" s="11">
        <f t="shared" si="137"/>
        <v>397</v>
      </c>
      <c r="B398" s="3" t="s">
        <v>1545</v>
      </c>
      <c r="C398" s="4" t="s">
        <v>59</v>
      </c>
      <c r="D398" s="4" t="s">
        <v>1546</v>
      </c>
      <c r="E398" s="4" t="s">
        <v>1735</v>
      </c>
      <c r="F398" s="4"/>
      <c r="G398" s="4" t="s">
        <v>300</v>
      </c>
      <c r="H398" s="4" t="s">
        <v>301</v>
      </c>
      <c r="I398" s="4"/>
      <c r="J398" s="4"/>
      <c r="K398" s="4" t="s">
        <v>1548</v>
      </c>
      <c r="L398" s="13"/>
      <c r="M398" s="4" t="s">
        <v>320</v>
      </c>
      <c r="N398" s="5" t="s">
        <v>1549</v>
      </c>
      <c r="O398" s="3"/>
      <c r="P398" s="29"/>
      <c r="Q398" s="14"/>
      <c r="R398" s="1">
        <f t="shared" si="138"/>
        <v>0</v>
      </c>
      <c r="S398" s="40"/>
      <c r="T398" s="2">
        <f t="shared" si="139"/>
        <v>0</v>
      </c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>
        <f t="shared" si="146"/>
        <v>0</v>
      </c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4" t="s">
        <v>963</v>
      </c>
      <c r="AU398" s="4" t="s">
        <v>1741</v>
      </c>
      <c r="AV398" s="4" t="s">
        <v>1217</v>
      </c>
      <c r="AW398" s="4" t="s">
        <v>222</v>
      </c>
      <c r="AX398" s="4" t="s">
        <v>216</v>
      </c>
      <c r="AY398" s="4" t="s">
        <v>966</v>
      </c>
      <c r="AZ398" s="4" t="s">
        <v>248</v>
      </c>
      <c r="BA398" s="4"/>
      <c r="BB398" s="4"/>
      <c r="BC398" s="4"/>
      <c r="BD398" s="23"/>
      <c r="BE398" s="4"/>
      <c r="BF398" s="4"/>
      <c r="BG398" s="4"/>
      <c r="BH398" s="4"/>
      <c r="BI398" s="4"/>
      <c r="BJ398" s="4"/>
      <c r="BK398" s="3"/>
      <c r="BL398" s="3"/>
      <c r="BM398" s="9">
        <f t="shared" si="134"/>
        <v>0</v>
      </c>
      <c r="BN398" s="9">
        <f t="shared" si="135"/>
        <v>0</v>
      </c>
      <c r="BO398" s="9">
        <f t="shared" si="136"/>
        <v>0</v>
      </c>
      <c r="BP398" s="9">
        <f t="shared" si="140"/>
        <v>0</v>
      </c>
      <c r="BQ398" s="9">
        <f t="shared" si="141"/>
        <v>0</v>
      </c>
      <c r="BR398" s="9">
        <f t="shared" si="142"/>
        <v>0</v>
      </c>
      <c r="BS398" s="9">
        <f t="shared" si="143"/>
        <v>0</v>
      </c>
      <c r="BT398" s="9">
        <f t="shared" si="144"/>
        <v>0</v>
      </c>
    </row>
    <row r="399" spans="1:72" hidden="1" x14ac:dyDescent="0.25">
      <c r="A399" s="11">
        <f t="shared" si="137"/>
        <v>398</v>
      </c>
      <c r="B399" s="3" t="s">
        <v>1545</v>
      </c>
      <c r="C399" s="4" t="s">
        <v>59</v>
      </c>
      <c r="D399" s="4" t="s">
        <v>1546</v>
      </c>
      <c r="E399" s="4" t="s">
        <v>1735</v>
      </c>
      <c r="F399" s="4"/>
      <c r="G399" s="5" t="s">
        <v>853</v>
      </c>
      <c r="H399" s="4" t="s">
        <v>854</v>
      </c>
      <c r="I399" s="4"/>
      <c r="J399" s="4"/>
      <c r="K399" s="4" t="s">
        <v>1548</v>
      </c>
      <c r="L399" s="13"/>
      <c r="M399" s="4" t="s">
        <v>291</v>
      </c>
      <c r="N399" s="5"/>
      <c r="O399" s="3"/>
      <c r="P399" s="29"/>
      <c r="Q399" s="14"/>
      <c r="R399" s="1">
        <f t="shared" si="138"/>
        <v>0</v>
      </c>
      <c r="S399" s="40"/>
      <c r="T399" s="2">
        <f t="shared" si="139"/>
        <v>0</v>
      </c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>
        <f t="shared" si="146"/>
        <v>0</v>
      </c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4" t="s">
        <v>963</v>
      </c>
      <c r="AU399" s="4" t="s">
        <v>1741</v>
      </c>
      <c r="AV399" s="4" t="s">
        <v>1216</v>
      </c>
      <c r="AW399" s="4" t="s">
        <v>222</v>
      </c>
      <c r="AX399" s="4" t="s">
        <v>216</v>
      </c>
      <c r="AY399" s="4" t="s">
        <v>966</v>
      </c>
      <c r="AZ399" s="4" t="s">
        <v>248</v>
      </c>
      <c r="BA399" s="4"/>
      <c r="BB399" s="4"/>
      <c r="BC399" s="4"/>
      <c r="BD399" s="23"/>
      <c r="BE399" s="4"/>
      <c r="BF399" s="4"/>
      <c r="BG399" s="4"/>
      <c r="BH399" s="4"/>
      <c r="BI399" s="4"/>
      <c r="BJ399" s="4"/>
      <c r="BK399" s="3"/>
      <c r="BL399" s="3"/>
      <c r="BM399" s="9">
        <f t="shared" si="134"/>
        <v>0</v>
      </c>
      <c r="BN399" s="9">
        <f t="shared" si="135"/>
        <v>0</v>
      </c>
      <c r="BO399" s="9">
        <f t="shared" si="136"/>
        <v>0</v>
      </c>
      <c r="BP399" s="9">
        <f t="shared" si="140"/>
        <v>0</v>
      </c>
      <c r="BQ399" s="9">
        <f t="shared" si="141"/>
        <v>0</v>
      </c>
      <c r="BR399" s="9">
        <f t="shared" si="142"/>
        <v>0</v>
      </c>
      <c r="BS399" s="9">
        <f t="shared" si="143"/>
        <v>0</v>
      </c>
      <c r="BT399" s="9">
        <f t="shared" si="144"/>
        <v>0</v>
      </c>
    </row>
    <row r="400" spans="1:72" hidden="1" x14ac:dyDescent="0.25">
      <c r="A400" s="11">
        <f t="shared" si="137"/>
        <v>399</v>
      </c>
      <c r="B400" s="3" t="s">
        <v>1545</v>
      </c>
      <c r="C400" s="4" t="s">
        <v>59</v>
      </c>
      <c r="D400" s="4" t="s">
        <v>1546</v>
      </c>
      <c r="E400" s="4" t="s">
        <v>1735</v>
      </c>
      <c r="F400" s="4"/>
      <c r="G400" s="4" t="s">
        <v>1808</v>
      </c>
      <c r="H400" s="4" t="s">
        <v>1808</v>
      </c>
      <c r="I400" s="4"/>
      <c r="J400" s="4"/>
      <c r="K400" s="4" t="s">
        <v>1548</v>
      </c>
      <c r="L400" s="13">
        <v>10000</v>
      </c>
      <c r="M400" s="4" t="s">
        <v>297</v>
      </c>
      <c r="N400" s="5"/>
      <c r="O400" s="3"/>
      <c r="P400" s="29"/>
      <c r="Q400" s="14"/>
      <c r="R400" s="1">
        <f t="shared" si="138"/>
        <v>0</v>
      </c>
      <c r="S400" s="40"/>
      <c r="T400" s="2">
        <f t="shared" si="139"/>
        <v>0</v>
      </c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>
        <f t="shared" si="146"/>
        <v>0</v>
      </c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4" t="s">
        <v>963</v>
      </c>
      <c r="AU400" s="4" t="s">
        <v>1741</v>
      </c>
      <c r="AV400" s="4" t="s">
        <v>1216</v>
      </c>
      <c r="AW400" s="4" t="s">
        <v>222</v>
      </c>
      <c r="AX400" s="4" t="s">
        <v>216</v>
      </c>
      <c r="AY400" s="4" t="s">
        <v>966</v>
      </c>
      <c r="AZ400" s="4" t="s">
        <v>248</v>
      </c>
      <c r="BA400" s="4"/>
      <c r="BB400" s="4"/>
      <c r="BC400" s="4"/>
      <c r="BD400" s="23"/>
      <c r="BE400" s="4"/>
      <c r="BF400" s="4"/>
      <c r="BG400" s="4"/>
      <c r="BH400" s="4"/>
      <c r="BI400" s="4"/>
      <c r="BJ400" s="4"/>
      <c r="BK400" s="3"/>
      <c r="BL400" s="3"/>
      <c r="BM400" s="9">
        <f t="shared" si="134"/>
        <v>0</v>
      </c>
      <c r="BN400" s="9">
        <f t="shared" si="135"/>
        <v>0</v>
      </c>
      <c r="BO400" s="9">
        <f t="shared" si="136"/>
        <v>0</v>
      </c>
      <c r="BP400" s="9">
        <f t="shared" si="140"/>
        <v>0</v>
      </c>
      <c r="BQ400" s="9">
        <f t="shared" si="141"/>
        <v>0</v>
      </c>
      <c r="BR400" s="9">
        <f t="shared" si="142"/>
        <v>0</v>
      </c>
      <c r="BS400" s="9">
        <f t="shared" si="143"/>
        <v>0</v>
      </c>
      <c r="BT400" s="9">
        <f t="shared" si="144"/>
        <v>0</v>
      </c>
    </row>
    <row r="401" spans="1:72" hidden="1" x14ac:dyDescent="0.25">
      <c r="A401" s="11">
        <f t="shared" si="137"/>
        <v>400</v>
      </c>
      <c r="B401" s="3" t="s">
        <v>1550</v>
      </c>
      <c r="C401" s="4" t="s">
        <v>59</v>
      </c>
      <c r="D401" s="4" t="s">
        <v>1551</v>
      </c>
      <c r="E401" s="4" t="s">
        <v>1542</v>
      </c>
      <c r="F401" s="4"/>
      <c r="G401" s="4" t="s">
        <v>1552</v>
      </c>
      <c r="H401" s="4" t="s">
        <v>1062</v>
      </c>
      <c r="I401" s="4"/>
      <c r="J401" s="4"/>
      <c r="K401" s="4" t="s">
        <v>1553</v>
      </c>
      <c r="L401" s="13">
        <v>1000000</v>
      </c>
      <c r="M401" s="4" t="s">
        <v>291</v>
      </c>
      <c r="N401" s="5"/>
      <c r="O401" s="3" t="s">
        <v>967</v>
      </c>
      <c r="P401" s="29"/>
      <c r="Q401" s="14">
        <v>0.17</v>
      </c>
      <c r="R401" s="1">
        <f t="shared" si="138"/>
        <v>136000</v>
      </c>
      <c r="S401" s="40"/>
      <c r="T401" s="2">
        <f t="shared" si="139"/>
        <v>800000</v>
      </c>
      <c r="U401" s="13">
        <v>0</v>
      </c>
      <c r="V401" s="13">
        <v>0</v>
      </c>
      <c r="W401" s="13">
        <v>150000</v>
      </c>
      <c r="X401" s="13">
        <v>100000</v>
      </c>
      <c r="Y401" s="13">
        <v>200000</v>
      </c>
      <c r="Z401" s="13">
        <v>50000</v>
      </c>
      <c r="AA401" s="13">
        <v>0</v>
      </c>
      <c r="AB401" s="13">
        <v>200000</v>
      </c>
      <c r="AC401" s="13">
        <v>200000</v>
      </c>
      <c r="AD401" s="13">
        <v>100000</v>
      </c>
      <c r="AE401" s="13">
        <v>100000</v>
      </c>
      <c r="AF401" s="13">
        <v>200000</v>
      </c>
      <c r="AG401" s="13">
        <f t="shared" si="146"/>
        <v>200000</v>
      </c>
      <c r="AH401" s="13">
        <v>0</v>
      </c>
      <c r="AI401" s="13">
        <v>0</v>
      </c>
      <c r="AJ401" s="13">
        <v>0</v>
      </c>
      <c r="AK401" s="13">
        <v>0</v>
      </c>
      <c r="AL401" s="13">
        <v>0</v>
      </c>
      <c r="AM401" s="13">
        <v>0</v>
      </c>
      <c r="AN401" s="13">
        <v>0</v>
      </c>
      <c r="AO401" s="13"/>
      <c r="AP401" s="13"/>
      <c r="AQ401" s="13"/>
      <c r="AR401" s="13"/>
      <c r="AS401" s="13"/>
      <c r="AT401" s="4" t="s">
        <v>963</v>
      </c>
      <c r="AU401" s="4" t="s">
        <v>964</v>
      </c>
      <c r="AV401" s="4" t="s">
        <v>826</v>
      </c>
      <c r="AW401" s="4" t="s">
        <v>222</v>
      </c>
      <c r="AX401" s="4" t="s">
        <v>238</v>
      </c>
      <c r="AY401" s="4" t="s">
        <v>251</v>
      </c>
      <c r="AZ401" s="4" t="s">
        <v>257</v>
      </c>
      <c r="BA401" s="4"/>
      <c r="BB401" s="4"/>
      <c r="BC401" s="4"/>
      <c r="BD401" s="23"/>
      <c r="BE401" s="4"/>
      <c r="BF401" s="4"/>
      <c r="BG401" s="4"/>
      <c r="BH401" s="4"/>
      <c r="BI401" s="4"/>
      <c r="BJ401" s="4"/>
      <c r="BK401" s="3"/>
      <c r="BL401" s="3"/>
      <c r="BM401" s="9">
        <f t="shared" si="134"/>
        <v>34000</v>
      </c>
      <c r="BN401" s="9">
        <f t="shared" si="135"/>
        <v>8500</v>
      </c>
      <c r="BO401" s="9">
        <f t="shared" si="136"/>
        <v>0</v>
      </c>
      <c r="BP401" s="9">
        <f t="shared" si="140"/>
        <v>34000</v>
      </c>
      <c r="BQ401" s="9">
        <f t="shared" si="141"/>
        <v>34000</v>
      </c>
      <c r="BR401" s="9">
        <f t="shared" si="142"/>
        <v>17000</v>
      </c>
      <c r="BS401" s="9">
        <f t="shared" si="143"/>
        <v>17000</v>
      </c>
      <c r="BT401" s="9">
        <f t="shared" si="144"/>
        <v>34000</v>
      </c>
    </row>
    <row r="402" spans="1:72" hidden="1" x14ac:dyDescent="0.25">
      <c r="A402" s="11">
        <f t="shared" si="137"/>
        <v>401</v>
      </c>
      <c r="B402" s="3" t="s">
        <v>1554</v>
      </c>
      <c r="C402" s="4" t="s">
        <v>59</v>
      </c>
      <c r="D402" s="4" t="s">
        <v>1551</v>
      </c>
      <c r="E402" s="4" t="s">
        <v>1542</v>
      </c>
      <c r="F402" s="4"/>
      <c r="G402" s="4" t="s">
        <v>1555</v>
      </c>
      <c r="H402" s="4" t="s">
        <v>1063</v>
      </c>
      <c r="I402" s="4"/>
      <c r="J402" s="4"/>
      <c r="K402" s="4" t="s">
        <v>1384</v>
      </c>
      <c r="L402" s="13"/>
      <c r="M402" s="4" t="s">
        <v>291</v>
      </c>
      <c r="N402" s="5"/>
      <c r="O402" s="3" t="s">
        <v>968</v>
      </c>
      <c r="P402" s="29"/>
      <c r="Q402" s="14">
        <v>0.18</v>
      </c>
      <c r="R402" s="1">
        <f t="shared" si="138"/>
        <v>0</v>
      </c>
      <c r="S402" s="40"/>
      <c r="T402" s="2">
        <f t="shared" si="139"/>
        <v>0</v>
      </c>
      <c r="U402" s="13">
        <v>0</v>
      </c>
      <c r="V402" s="13">
        <v>0</v>
      </c>
      <c r="W402" s="13">
        <v>500000</v>
      </c>
      <c r="X402" s="13"/>
      <c r="Y402" s="13"/>
      <c r="Z402" s="13"/>
      <c r="AA402" s="13"/>
      <c r="AB402" s="13"/>
      <c r="AC402" s="13"/>
      <c r="AD402" s="13"/>
      <c r="AE402" s="13"/>
      <c r="AF402" s="13"/>
      <c r="AG402" s="13">
        <f t="shared" si="146"/>
        <v>0</v>
      </c>
      <c r="AH402" s="13">
        <v>0</v>
      </c>
      <c r="AI402" s="13">
        <v>0</v>
      </c>
      <c r="AJ402" s="13">
        <v>0</v>
      </c>
      <c r="AK402" s="13">
        <v>0</v>
      </c>
      <c r="AL402" s="13">
        <v>0</v>
      </c>
      <c r="AM402" s="13">
        <v>0</v>
      </c>
      <c r="AN402" s="13">
        <v>0</v>
      </c>
      <c r="AO402" s="13"/>
      <c r="AP402" s="13"/>
      <c r="AQ402" s="13"/>
      <c r="AR402" s="13"/>
      <c r="AS402" s="13"/>
      <c r="AT402" s="4" t="s">
        <v>963</v>
      </c>
      <c r="AU402" s="4" t="s">
        <v>964</v>
      </c>
      <c r="AV402" s="4" t="s">
        <v>1219</v>
      </c>
      <c r="AW402" s="4" t="s">
        <v>969</v>
      </c>
      <c r="AX402" s="4" t="s">
        <v>970</v>
      </c>
      <c r="AY402" s="4" t="s">
        <v>245</v>
      </c>
      <c r="AZ402" s="4" t="s">
        <v>245</v>
      </c>
      <c r="BA402" s="4"/>
      <c r="BB402" s="4"/>
      <c r="BC402" s="4"/>
      <c r="BD402" s="23"/>
      <c r="BE402" s="4"/>
      <c r="BF402" s="4"/>
      <c r="BG402" s="4"/>
      <c r="BH402" s="4"/>
      <c r="BI402" s="4"/>
      <c r="BJ402" s="4"/>
      <c r="BK402" s="3"/>
      <c r="BL402" s="3"/>
      <c r="BM402" s="9">
        <f t="shared" si="134"/>
        <v>0</v>
      </c>
      <c r="BN402" s="9">
        <f t="shared" si="135"/>
        <v>0</v>
      </c>
      <c r="BO402" s="9">
        <f t="shared" si="136"/>
        <v>0</v>
      </c>
      <c r="BP402" s="9">
        <f t="shared" si="140"/>
        <v>0</v>
      </c>
      <c r="BQ402" s="9">
        <f t="shared" si="141"/>
        <v>0</v>
      </c>
      <c r="BR402" s="9">
        <f t="shared" si="142"/>
        <v>0</v>
      </c>
      <c r="BS402" s="9">
        <f t="shared" si="143"/>
        <v>0</v>
      </c>
      <c r="BT402" s="9">
        <f t="shared" si="144"/>
        <v>0</v>
      </c>
    </row>
    <row r="403" spans="1:72" hidden="1" x14ac:dyDescent="0.25">
      <c r="A403" s="11">
        <f t="shared" si="137"/>
        <v>402</v>
      </c>
      <c r="B403" s="3" t="s">
        <v>1556</v>
      </c>
      <c r="C403" s="4" t="s">
        <v>59</v>
      </c>
      <c r="D403" s="4" t="s">
        <v>1551</v>
      </c>
      <c r="E403" s="4" t="s">
        <v>1542</v>
      </c>
      <c r="F403" s="4"/>
      <c r="G403" s="4" t="s">
        <v>1557</v>
      </c>
      <c r="H403" s="4" t="s">
        <v>1064</v>
      </c>
      <c r="I403" s="4"/>
      <c r="J403" s="4"/>
      <c r="K403" s="4" t="s">
        <v>1384</v>
      </c>
      <c r="L403" s="13"/>
      <c r="M403" s="4" t="s">
        <v>291</v>
      </c>
      <c r="N403" s="5"/>
      <c r="O403" s="3" t="s">
        <v>971</v>
      </c>
      <c r="P403" s="29"/>
      <c r="Q403" s="14">
        <v>0.125</v>
      </c>
      <c r="R403" s="1">
        <f t="shared" si="138"/>
        <v>1487500</v>
      </c>
      <c r="S403" s="40"/>
      <c r="T403" s="2">
        <f t="shared" si="139"/>
        <v>11900000</v>
      </c>
      <c r="U403" s="13">
        <v>2000000</v>
      </c>
      <c r="V403" s="13">
        <v>800000</v>
      </c>
      <c r="W403" s="13">
        <v>1200000</v>
      </c>
      <c r="X403" s="13">
        <v>800000</v>
      </c>
      <c r="Y403" s="13">
        <v>3000000</v>
      </c>
      <c r="Z403" s="13">
        <v>2000000</v>
      </c>
      <c r="AA403" s="13">
        <v>2000000</v>
      </c>
      <c r="AB403" s="13">
        <v>2000000</v>
      </c>
      <c r="AC403" s="13">
        <v>3000000</v>
      </c>
      <c r="AD403" s="13">
        <v>1900000</v>
      </c>
      <c r="AE403" s="13">
        <v>2000000</v>
      </c>
      <c r="AF403" s="13">
        <v>3000000</v>
      </c>
      <c r="AG403" s="13">
        <f t="shared" si="146"/>
        <v>3000000</v>
      </c>
      <c r="AH403" s="13">
        <v>0</v>
      </c>
      <c r="AI403" s="13"/>
      <c r="AJ403" s="13"/>
      <c r="AK403" s="13"/>
      <c r="AL403" s="13"/>
      <c r="AM403" s="13"/>
      <c r="AN403" s="13">
        <v>0</v>
      </c>
      <c r="AO403" s="13"/>
      <c r="AP403" s="13"/>
      <c r="AQ403" s="13"/>
      <c r="AR403" s="13"/>
      <c r="AS403" s="13"/>
      <c r="AT403" s="4" t="s">
        <v>963</v>
      </c>
      <c r="AU403" s="4" t="s">
        <v>964</v>
      </c>
      <c r="AV403" s="4" t="s">
        <v>1219</v>
      </c>
      <c r="AW403" s="4" t="s">
        <v>969</v>
      </c>
      <c r="AX403" s="4" t="s">
        <v>970</v>
      </c>
      <c r="AY403" s="4" t="s">
        <v>245</v>
      </c>
      <c r="AZ403" s="4" t="s">
        <v>245</v>
      </c>
      <c r="BA403" s="4"/>
      <c r="BB403" s="4"/>
      <c r="BC403" s="4"/>
      <c r="BD403" s="23"/>
      <c r="BE403" s="4"/>
      <c r="BF403" s="4"/>
      <c r="BG403" s="4"/>
      <c r="BH403" s="4"/>
      <c r="BI403" s="4"/>
      <c r="BJ403" s="4"/>
      <c r="BK403" s="3"/>
      <c r="BL403" s="3"/>
      <c r="BM403" s="9">
        <f t="shared" si="134"/>
        <v>375000</v>
      </c>
      <c r="BN403" s="9">
        <f t="shared" si="135"/>
        <v>250000</v>
      </c>
      <c r="BO403" s="9">
        <f t="shared" si="136"/>
        <v>250000</v>
      </c>
      <c r="BP403" s="9">
        <f t="shared" si="140"/>
        <v>250000</v>
      </c>
      <c r="BQ403" s="9">
        <f t="shared" si="141"/>
        <v>375000</v>
      </c>
      <c r="BR403" s="9">
        <f t="shared" si="142"/>
        <v>237500</v>
      </c>
      <c r="BS403" s="9">
        <f t="shared" si="143"/>
        <v>250000</v>
      </c>
      <c r="BT403" s="9">
        <f t="shared" si="144"/>
        <v>375000</v>
      </c>
    </row>
    <row r="404" spans="1:72" hidden="1" x14ac:dyDescent="0.25">
      <c r="A404" s="11">
        <f t="shared" si="137"/>
        <v>403</v>
      </c>
      <c r="B404" s="3" t="s">
        <v>1558</v>
      </c>
      <c r="C404" s="4" t="s">
        <v>59</v>
      </c>
      <c r="D404" s="4" t="s">
        <v>1551</v>
      </c>
      <c r="E404" s="4" t="s">
        <v>1542</v>
      </c>
      <c r="F404" s="4"/>
      <c r="G404" s="4" t="s">
        <v>1070</v>
      </c>
      <c r="H404" s="4" t="s">
        <v>1065</v>
      </c>
      <c r="I404" s="4"/>
      <c r="J404" s="4"/>
      <c r="K404" s="4" t="s">
        <v>1384</v>
      </c>
      <c r="L404" s="13"/>
      <c r="M404" s="4" t="s">
        <v>291</v>
      </c>
      <c r="N404" s="5"/>
      <c r="O404" s="3" t="s">
        <v>972</v>
      </c>
      <c r="P404" s="29"/>
      <c r="Q404" s="14">
        <v>0.14000000000000001</v>
      </c>
      <c r="R404" s="1">
        <f t="shared" si="138"/>
        <v>1036000.0000000001</v>
      </c>
      <c r="S404" s="40"/>
      <c r="T404" s="2">
        <f t="shared" si="139"/>
        <v>7400000</v>
      </c>
      <c r="U404" s="13">
        <v>1000000</v>
      </c>
      <c r="V404" s="13">
        <v>800000</v>
      </c>
      <c r="W404" s="13">
        <v>1200000</v>
      </c>
      <c r="X404" s="13">
        <v>800000</v>
      </c>
      <c r="Y404" s="13">
        <v>1000000</v>
      </c>
      <c r="Z404" s="13">
        <v>1000000</v>
      </c>
      <c r="AA404" s="13">
        <v>600000</v>
      </c>
      <c r="AB404" s="13">
        <v>1000000</v>
      </c>
      <c r="AC404" s="13">
        <v>1200000</v>
      </c>
      <c r="AD404" s="13">
        <v>2000000</v>
      </c>
      <c r="AE404" s="13">
        <v>1200000</v>
      </c>
      <c r="AF404" s="13">
        <v>2000000</v>
      </c>
      <c r="AG404" s="13">
        <f t="shared" si="146"/>
        <v>2000000</v>
      </c>
      <c r="AH404" s="13">
        <v>0</v>
      </c>
      <c r="AI404" s="13">
        <v>0</v>
      </c>
      <c r="AJ404" s="13">
        <v>0</v>
      </c>
      <c r="AK404" s="13"/>
      <c r="AL404" s="13"/>
      <c r="AM404" s="13"/>
      <c r="AN404" s="13">
        <v>0</v>
      </c>
      <c r="AO404" s="13"/>
      <c r="AP404" s="13"/>
      <c r="AQ404" s="13"/>
      <c r="AR404" s="13"/>
      <c r="AS404" s="13"/>
      <c r="AT404" s="4" t="s">
        <v>963</v>
      </c>
      <c r="AU404" s="4" t="s">
        <v>964</v>
      </c>
      <c r="AV404" s="4" t="s">
        <v>1219</v>
      </c>
      <c r="AW404" s="4" t="s">
        <v>969</v>
      </c>
      <c r="AX404" s="4" t="s">
        <v>970</v>
      </c>
      <c r="AY404" s="4" t="s">
        <v>245</v>
      </c>
      <c r="AZ404" s="4" t="s">
        <v>245</v>
      </c>
      <c r="BA404" s="4"/>
      <c r="BB404" s="4"/>
      <c r="BC404" s="4"/>
      <c r="BD404" s="23"/>
      <c r="BE404" s="4"/>
      <c r="BF404" s="4"/>
      <c r="BG404" s="4"/>
      <c r="BH404" s="4"/>
      <c r="BI404" s="4"/>
      <c r="BJ404" s="4"/>
      <c r="BK404" s="3"/>
      <c r="BL404" s="3"/>
      <c r="BM404" s="9">
        <f t="shared" si="134"/>
        <v>140000</v>
      </c>
      <c r="BN404" s="9">
        <f t="shared" si="135"/>
        <v>140000</v>
      </c>
      <c r="BO404" s="9">
        <f t="shared" si="136"/>
        <v>84000.000000000015</v>
      </c>
      <c r="BP404" s="9">
        <f t="shared" si="140"/>
        <v>140000</v>
      </c>
      <c r="BQ404" s="9">
        <f t="shared" si="141"/>
        <v>168000.00000000003</v>
      </c>
      <c r="BR404" s="9">
        <f t="shared" si="142"/>
        <v>280000</v>
      </c>
      <c r="BS404" s="9">
        <f t="shared" si="143"/>
        <v>168000.00000000003</v>
      </c>
      <c r="BT404" s="9">
        <f t="shared" si="144"/>
        <v>280000</v>
      </c>
    </row>
    <row r="405" spans="1:72" hidden="1" x14ac:dyDescent="0.25">
      <c r="A405" s="11">
        <f t="shared" si="137"/>
        <v>404</v>
      </c>
      <c r="B405" s="3" t="s">
        <v>1559</v>
      </c>
      <c r="C405" s="4" t="s">
        <v>59</v>
      </c>
      <c r="D405" s="4" t="s">
        <v>1551</v>
      </c>
      <c r="E405" s="4" t="s">
        <v>1542</v>
      </c>
      <c r="F405" s="4"/>
      <c r="G405" s="4" t="s">
        <v>397</v>
      </c>
      <c r="H405" s="4" t="s">
        <v>398</v>
      </c>
      <c r="I405" s="4"/>
      <c r="J405" s="4"/>
      <c r="K405" s="4" t="s">
        <v>1560</v>
      </c>
      <c r="L405" s="13">
        <v>100000</v>
      </c>
      <c r="M405" s="4" t="s">
        <v>291</v>
      </c>
      <c r="N405" s="5"/>
      <c r="O405" s="3" t="s">
        <v>914</v>
      </c>
      <c r="P405" s="29"/>
      <c r="Q405" s="14">
        <v>2.5499999999999998</v>
      </c>
      <c r="R405" s="1">
        <f t="shared" si="138"/>
        <v>127499.99999999999</v>
      </c>
      <c r="S405" s="40"/>
      <c r="T405" s="2">
        <f t="shared" si="139"/>
        <v>50000</v>
      </c>
      <c r="U405" s="13">
        <v>10000</v>
      </c>
      <c r="V405" s="13">
        <v>0</v>
      </c>
      <c r="W405" s="13">
        <v>10000</v>
      </c>
      <c r="X405" s="13">
        <v>5000</v>
      </c>
      <c r="Y405" s="13">
        <v>5000</v>
      </c>
      <c r="Z405" s="13">
        <v>10000</v>
      </c>
      <c r="AA405" s="13">
        <v>10000</v>
      </c>
      <c r="AB405" s="13">
        <v>10000</v>
      </c>
      <c r="AC405" s="13">
        <v>10000</v>
      </c>
      <c r="AD405" s="13">
        <v>10000</v>
      </c>
      <c r="AE405" s="13">
        <v>10000</v>
      </c>
      <c r="AF405" s="13">
        <v>10000</v>
      </c>
      <c r="AG405" s="13">
        <f t="shared" si="146"/>
        <v>10000</v>
      </c>
      <c r="AH405" s="13">
        <v>0</v>
      </c>
      <c r="AI405" s="13">
        <v>0</v>
      </c>
      <c r="AJ405" s="13">
        <v>0</v>
      </c>
      <c r="AK405" s="13">
        <v>0</v>
      </c>
      <c r="AL405" s="13">
        <v>0</v>
      </c>
      <c r="AM405" s="13">
        <v>0</v>
      </c>
      <c r="AN405" s="13">
        <v>0</v>
      </c>
      <c r="AO405" s="13"/>
      <c r="AP405" s="13"/>
      <c r="AQ405" s="13"/>
      <c r="AR405" s="13"/>
      <c r="AS405" s="13"/>
      <c r="AT405" s="4" t="s">
        <v>963</v>
      </c>
      <c r="AU405" s="4" t="s">
        <v>964</v>
      </c>
      <c r="AV405" s="4" t="s">
        <v>1217</v>
      </c>
      <c r="AW405" s="4" t="s">
        <v>303</v>
      </c>
      <c r="AX405" s="4" t="s">
        <v>973</v>
      </c>
      <c r="AY405" s="4" t="s">
        <v>974</v>
      </c>
      <c r="AZ405" s="4" t="s">
        <v>975</v>
      </c>
      <c r="BA405" s="4"/>
      <c r="BB405" s="4"/>
      <c r="BC405" s="4"/>
      <c r="BD405" s="23"/>
      <c r="BE405" s="4"/>
      <c r="BF405" s="4"/>
      <c r="BG405" s="4"/>
      <c r="BH405" s="4"/>
      <c r="BI405" s="4"/>
      <c r="BJ405" s="4"/>
      <c r="BK405" s="3"/>
      <c r="BL405" s="3"/>
      <c r="BM405" s="9">
        <f t="shared" si="134"/>
        <v>12750</v>
      </c>
      <c r="BN405" s="9">
        <f t="shared" si="135"/>
        <v>25500</v>
      </c>
      <c r="BO405" s="9">
        <f t="shared" si="136"/>
        <v>25500</v>
      </c>
      <c r="BP405" s="9">
        <f t="shared" si="140"/>
        <v>25500</v>
      </c>
      <c r="BQ405" s="9">
        <f t="shared" si="141"/>
        <v>25500</v>
      </c>
      <c r="BR405" s="9">
        <f t="shared" si="142"/>
        <v>25500</v>
      </c>
      <c r="BS405" s="9">
        <f t="shared" si="143"/>
        <v>25500</v>
      </c>
      <c r="BT405" s="9">
        <f t="shared" si="144"/>
        <v>25500</v>
      </c>
    </row>
    <row r="406" spans="1:72" hidden="1" x14ac:dyDescent="0.25">
      <c r="A406" s="11">
        <f t="shared" si="137"/>
        <v>405</v>
      </c>
      <c r="B406" s="3" t="s">
        <v>1561</v>
      </c>
      <c r="C406" s="4" t="s">
        <v>59</v>
      </c>
      <c r="D406" s="4" t="s">
        <v>1551</v>
      </c>
      <c r="E406" s="4" t="s">
        <v>1542</v>
      </c>
      <c r="F406" s="4"/>
      <c r="G406" s="4" t="s">
        <v>1547</v>
      </c>
      <c r="H406" s="4" t="s">
        <v>1066</v>
      </c>
      <c r="I406" s="4"/>
      <c r="J406" s="4"/>
      <c r="K406" s="4" t="s">
        <v>1562</v>
      </c>
      <c r="L406" s="13"/>
      <c r="M406" s="4" t="s">
        <v>291</v>
      </c>
      <c r="N406" s="5"/>
      <c r="O406" s="3" t="s">
        <v>199</v>
      </c>
      <c r="P406" s="29"/>
      <c r="Q406" s="14">
        <v>0.5</v>
      </c>
      <c r="R406" s="1">
        <f t="shared" si="138"/>
        <v>125000</v>
      </c>
      <c r="S406" s="40"/>
      <c r="T406" s="2">
        <f t="shared" si="139"/>
        <v>250000</v>
      </c>
      <c r="U406" s="13">
        <v>0</v>
      </c>
      <c r="V406" s="13">
        <v>50000</v>
      </c>
      <c r="W406" s="13">
        <v>50000</v>
      </c>
      <c r="X406" s="13">
        <v>50000</v>
      </c>
      <c r="Y406" s="13">
        <v>50000</v>
      </c>
      <c r="Z406" s="13">
        <v>50000</v>
      </c>
      <c r="AA406" s="13">
        <v>50000</v>
      </c>
      <c r="AB406" s="13">
        <v>50000</v>
      </c>
      <c r="AC406" s="13">
        <v>50000</v>
      </c>
      <c r="AD406" s="13">
        <v>50000</v>
      </c>
      <c r="AE406" s="13">
        <v>50000</v>
      </c>
      <c r="AF406" s="13">
        <v>50000</v>
      </c>
      <c r="AG406" s="13">
        <f>AF406</f>
        <v>50000</v>
      </c>
      <c r="AH406" s="13">
        <v>0</v>
      </c>
      <c r="AI406" s="13"/>
      <c r="AJ406" s="13"/>
      <c r="AK406" s="13">
        <v>0</v>
      </c>
      <c r="AL406" s="13">
        <v>0</v>
      </c>
      <c r="AM406" s="13"/>
      <c r="AN406" s="13">
        <v>0</v>
      </c>
      <c r="AO406" s="13"/>
      <c r="AP406" s="13"/>
      <c r="AQ406" s="13"/>
      <c r="AR406" s="13"/>
      <c r="AS406" s="13"/>
      <c r="AT406" s="4" t="s">
        <v>192</v>
      </c>
      <c r="AU406" s="4" t="s">
        <v>964</v>
      </c>
      <c r="AV406" s="4" t="s">
        <v>1218</v>
      </c>
      <c r="AW406" s="4" t="s">
        <v>222</v>
      </c>
      <c r="AX406" s="4" t="s">
        <v>216</v>
      </c>
      <c r="AY406" s="4" t="s">
        <v>966</v>
      </c>
      <c r="AZ406" s="4" t="s">
        <v>248</v>
      </c>
      <c r="BA406" s="4"/>
      <c r="BB406" s="4"/>
      <c r="BC406" s="4"/>
      <c r="BD406" s="23"/>
      <c r="BE406" s="4"/>
      <c r="BF406" s="4"/>
      <c r="BG406" s="4"/>
      <c r="BH406" s="4"/>
      <c r="BI406" s="4"/>
      <c r="BJ406" s="4"/>
      <c r="BK406" s="3"/>
      <c r="BL406" s="3"/>
      <c r="BM406" s="9">
        <f t="shared" si="134"/>
        <v>25000</v>
      </c>
      <c r="BN406" s="9">
        <f t="shared" si="135"/>
        <v>25000</v>
      </c>
      <c r="BO406" s="9">
        <f t="shared" si="136"/>
        <v>25000</v>
      </c>
      <c r="BP406" s="9">
        <f t="shared" si="140"/>
        <v>25000</v>
      </c>
      <c r="BQ406" s="9">
        <f t="shared" si="141"/>
        <v>25000</v>
      </c>
      <c r="BR406" s="9">
        <f t="shared" si="142"/>
        <v>25000</v>
      </c>
      <c r="BS406" s="9">
        <f t="shared" si="143"/>
        <v>25000</v>
      </c>
      <c r="BT406" s="9">
        <f t="shared" si="144"/>
        <v>25000</v>
      </c>
    </row>
    <row r="407" spans="1:72" hidden="1" x14ac:dyDescent="0.25">
      <c r="A407" s="11">
        <f t="shared" si="137"/>
        <v>406</v>
      </c>
      <c r="B407" s="3" t="s">
        <v>1563</v>
      </c>
      <c r="C407" s="4" t="s">
        <v>59</v>
      </c>
      <c r="D407" s="4" t="s">
        <v>1551</v>
      </c>
      <c r="E407" s="4" t="s">
        <v>1542</v>
      </c>
      <c r="F407" s="4"/>
      <c r="G407" s="4" t="s">
        <v>1564</v>
      </c>
      <c r="H407" s="4" t="s">
        <v>1067</v>
      </c>
      <c r="I407" s="4"/>
      <c r="J407" s="4"/>
      <c r="K407" s="4" t="s">
        <v>1565</v>
      </c>
      <c r="L407" s="13"/>
      <c r="M407" s="4" t="s">
        <v>291</v>
      </c>
      <c r="N407" s="5"/>
      <c r="O407" s="3" t="s">
        <v>199</v>
      </c>
      <c r="P407" s="29"/>
      <c r="Q407" s="14">
        <v>0.13</v>
      </c>
      <c r="R407" s="1">
        <f t="shared" si="138"/>
        <v>11700</v>
      </c>
      <c r="S407" s="40"/>
      <c r="T407" s="2">
        <f t="shared" si="139"/>
        <v>90000</v>
      </c>
      <c r="U407" s="13">
        <v>50000</v>
      </c>
      <c r="V407" s="13">
        <v>30000</v>
      </c>
      <c r="W407" s="13">
        <v>30000</v>
      </c>
      <c r="X407" s="13">
        <v>0</v>
      </c>
      <c r="Y407" s="13">
        <v>30000</v>
      </c>
      <c r="Z407" s="13">
        <v>0</v>
      </c>
      <c r="AA407" s="13">
        <v>30000</v>
      </c>
      <c r="AB407" s="13">
        <v>0</v>
      </c>
      <c r="AC407" s="13">
        <v>30000</v>
      </c>
      <c r="AD407" s="13">
        <v>0</v>
      </c>
      <c r="AE407" s="13">
        <v>30000</v>
      </c>
      <c r="AF407" s="13">
        <v>30000</v>
      </c>
      <c r="AG407" s="13">
        <f t="shared" ref="AG407:AG408" si="147">AF407</f>
        <v>30000</v>
      </c>
      <c r="AH407" s="13">
        <v>0</v>
      </c>
      <c r="AI407" s="13">
        <v>0</v>
      </c>
      <c r="AJ407" s="13"/>
      <c r="AK407" s="13">
        <v>0</v>
      </c>
      <c r="AL407" s="13"/>
      <c r="AM407" s="13">
        <v>0</v>
      </c>
      <c r="AN407" s="13">
        <v>0</v>
      </c>
      <c r="AO407" s="13"/>
      <c r="AP407" s="13"/>
      <c r="AQ407" s="13"/>
      <c r="AR407" s="13"/>
      <c r="AS407" s="13"/>
      <c r="AT407" s="4" t="s">
        <v>963</v>
      </c>
      <c r="AU407" s="4" t="s">
        <v>964</v>
      </c>
      <c r="AV407" s="4" t="s">
        <v>1218</v>
      </c>
      <c r="AW407" s="4" t="s">
        <v>222</v>
      </c>
      <c r="AX407" s="4" t="s">
        <v>216</v>
      </c>
      <c r="AY407" s="4" t="s">
        <v>966</v>
      </c>
      <c r="AZ407" s="4" t="s">
        <v>248</v>
      </c>
      <c r="BA407" s="4"/>
      <c r="BB407" s="4"/>
      <c r="BC407" s="4"/>
      <c r="BD407" s="23"/>
      <c r="BE407" s="4"/>
      <c r="BF407" s="4"/>
      <c r="BG407" s="4"/>
      <c r="BH407" s="4"/>
      <c r="BI407" s="4"/>
      <c r="BJ407" s="4"/>
      <c r="BK407" s="3"/>
      <c r="BL407" s="3"/>
      <c r="BM407" s="9">
        <f t="shared" si="134"/>
        <v>3900</v>
      </c>
      <c r="BN407" s="9">
        <f t="shared" si="135"/>
        <v>0</v>
      </c>
      <c r="BO407" s="9">
        <f t="shared" si="136"/>
        <v>3900</v>
      </c>
      <c r="BP407" s="9">
        <f t="shared" si="140"/>
        <v>0</v>
      </c>
      <c r="BQ407" s="9">
        <f t="shared" si="141"/>
        <v>3900</v>
      </c>
      <c r="BR407" s="9">
        <f t="shared" si="142"/>
        <v>0</v>
      </c>
      <c r="BS407" s="9">
        <f t="shared" si="143"/>
        <v>3900</v>
      </c>
      <c r="BT407" s="9">
        <f t="shared" si="144"/>
        <v>3900</v>
      </c>
    </row>
    <row r="408" spans="1:72" hidden="1" x14ac:dyDescent="0.25">
      <c r="A408" s="11">
        <f t="shared" si="137"/>
        <v>407</v>
      </c>
      <c r="B408" s="3" t="s">
        <v>1566</v>
      </c>
      <c r="C408" s="4" t="s">
        <v>59</v>
      </c>
      <c r="D408" s="4" t="s">
        <v>1551</v>
      </c>
      <c r="E408" s="4" t="s">
        <v>1542</v>
      </c>
      <c r="F408" s="4"/>
      <c r="G408" s="4" t="s">
        <v>225</v>
      </c>
      <c r="H408" s="4" t="s">
        <v>226</v>
      </c>
      <c r="I408" s="4"/>
      <c r="J408" s="4"/>
      <c r="K408" s="4" t="s">
        <v>1412</v>
      </c>
      <c r="L408" s="13"/>
      <c r="M408" s="4" t="s">
        <v>291</v>
      </c>
      <c r="N408" s="5"/>
      <c r="O408" s="3" t="s">
        <v>199</v>
      </c>
      <c r="P408" s="29"/>
      <c r="Q408" s="14">
        <v>0.2</v>
      </c>
      <c r="R408" s="1">
        <f t="shared" si="138"/>
        <v>12000</v>
      </c>
      <c r="S408" s="40"/>
      <c r="T408" s="2">
        <f t="shared" si="139"/>
        <v>60000</v>
      </c>
      <c r="U408" s="13">
        <v>18000</v>
      </c>
      <c r="V408" s="13">
        <v>12000</v>
      </c>
      <c r="W408" s="13">
        <v>0</v>
      </c>
      <c r="X408" s="13">
        <v>30000</v>
      </c>
      <c r="Y408" s="13">
        <v>0</v>
      </c>
      <c r="Z408" s="13">
        <v>0</v>
      </c>
      <c r="AA408" s="13">
        <v>30000</v>
      </c>
      <c r="AB408" s="13">
        <v>0</v>
      </c>
      <c r="AC408" s="13">
        <v>0</v>
      </c>
      <c r="AD408" s="13">
        <v>0</v>
      </c>
      <c r="AE408" s="13">
        <v>60000</v>
      </c>
      <c r="AF408" s="13">
        <v>0</v>
      </c>
      <c r="AG408" s="13">
        <f t="shared" si="147"/>
        <v>0</v>
      </c>
      <c r="AH408" s="13"/>
      <c r="AI408" s="13">
        <v>0</v>
      </c>
      <c r="AJ408" s="13">
        <v>0</v>
      </c>
      <c r="AK408" s="13">
        <v>0</v>
      </c>
      <c r="AL408" s="13"/>
      <c r="AM408" s="13">
        <v>0</v>
      </c>
      <c r="AN408" s="13">
        <v>0</v>
      </c>
      <c r="AO408" s="13"/>
      <c r="AP408" s="13"/>
      <c r="AQ408" s="13"/>
      <c r="AR408" s="13"/>
      <c r="AS408" s="13"/>
      <c r="AT408" s="4" t="s">
        <v>963</v>
      </c>
      <c r="AU408" s="4" t="s">
        <v>964</v>
      </c>
      <c r="AV408" s="4" t="s">
        <v>1218</v>
      </c>
      <c r="AW408" s="4" t="s">
        <v>222</v>
      </c>
      <c r="AX408" s="4" t="s">
        <v>216</v>
      </c>
      <c r="AY408" s="4" t="s">
        <v>966</v>
      </c>
      <c r="AZ408" s="4" t="s">
        <v>248</v>
      </c>
      <c r="BA408" s="4"/>
      <c r="BB408" s="4"/>
      <c r="BC408" s="4"/>
      <c r="BD408" s="23"/>
      <c r="BE408" s="4"/>
      <c r="BF408" s="4"/>
      <c r="BG408" s="4"/>
      <c r="BH408" s="4"/>
      <c r="BI408" s="4"/>
      <c r="BJ408" s="4"/>
      <c r="BK408" s="3"/>
      <c r="BL408" s="3"/>
      <c r="BM408" s="9">
        <f t="shared" si="134"/>
        <v>0</v>
      </c>
      <c r="BN408" s="9">
        <f t="shared" si="135"/>
        <v>0</v>
      </c>
      <c r="BO408" s="9">
        <f t="shared" si="136"/>
        <v>6000</v>
      </c>
      <c r="BP408" s="9">
        <f t="shared" si="140"/>
        <v>0</v>
      </c>
      <c r="BQ408" s="9">
        <f t="shared" si="141"/>
        <v>0</v>
      </c>
      <c r="BR408" s="9">
        <f t="shared" si="142"/>
        <v>0</v>
      </c>
      <c r="BS408" s="9">
        <f t="shared" si="143"/>
        <v>12000</v>
      </c>
      <c r="BT408" s="9">
        <f t="shared" si="144"/>
        <v>0</v>
      </c>
    </row>
    <row r="409" spans="1:72" hidden="1" x14ac:dyDescent="0.25">
      <c r="A409" s="11">
        <f t="shared" si="137"/>
        <v>408</v>
      </c>
      <c r="B409" s="3" t="s">
        <v>1567</v>
      </c>
      <c r="C409" s="4" t="s">
        <v>59</v>
      </c>
      <c r="D409" s="4" t="s">
        <v>1551</v>
      </c>
      <c r="E409" s="4" t="s">
        <v>1542</v>
      </c>
      <c r="F409" s="4"/>
      <c r="G409" s="4" t="s">
        <v>1755</v>
      </c>
      <c r="H409" s="4" t="s">
        <v>1754</v>
      </c>
      <c r="I409" s="4" t="s">
        <v>869</v>
      </c>
      <c r="J409" s="4"/>
      <c r="K409" s="4" t="s">
        <v>1412</v>
      </c>
      <c r="L409" s="13"/>
      <c r="M409" s="4" t="s">
        <v>291</v>
      </c>
      <c r="N409" s="5"/>
      <c r="O409" s="3" t="s">
        <v>199</v>
      </c>
      <c r="P409" s="29"/>
      <c r="Q409" s="14">
        <v>0.2</v>
      </c>
      <c r="R409" s="1">
        <f t="shared" si="138"/>
        <v>148000</v>
      </c>
      <c r="S409" s="40"/>
      <c r="T409" s="2">
        <f t="shared" si="139"/>
        <v>740000</v>
      </c>
      <c r="U409" s="13">
        <v>0</v>
      </c>
      <c r="V409" s="13">
        <v>370000</v>
      </c>
      <c r="W409" s="13">
        <v>0</v>
      </c>
      <c r="X409" s="13">
        <v>0</v>
      </c>
      <c r="Y409" s="13">
        <v>370000</v>
      </c>
      <c r="Z409" s="13">
        <v>0</v>
      </c>
      <c r="AA409" s="13">
        <v>0</v>
      </c>
      <c r="AB409" s="13">
        <v>0</v>
      </c>
      <c r="AC409" s="13">
        <v>370000</v>
      </c>
      <c r="AD409" s="13">
        <v>0</v>
      </c>
      <c r="AE409" s="13">
        <v>0</v>
      </c>
      <c r="AF409" s="13">
        <v>370000</v>
      </c>
      <c r="AG409" s="13">
        <f>AF409</f>
        <v>370000</v>
      </c>
      <c r="AH409" s="13">
        <v>0</v>
      </c>
      <c r="AI409" s="13">
        <v>0</v>
      </c>
      <c r="AJ409" s="13">
        <v>0</v>
      </c>
      <c r="AK409" s="13">
        <v>0</v>
      </c>
      <c r="AL409" s="13">
        <v>0</v>
      </c>
      <c r="AM409" s="13">
        <v>0</v>
      </c>
      <c r="AN409" s="13">
        <v>0</v>
      </c>
      <c r="AO409" s="13"/>
      <c r="AP409" s="13"/>
      <c r="AQ409" s="13"/>
      <c r="AR409" s="13"/>
      <c r="AS409" s="13"/>
      <c r="AT409" s="4" t="s">
        <v>963</v>
      </c>
      <c r="AU409" s="4" t="s">
        <v>964</v>
      </c>
      <c r="AV409" s="4" t="s">
        <v>1218</v>
      </c>
      <c r="AW409" s="4" t="s">
        <v>222</v>
      </c>
      <c r="AX409" s="4" t="s">
        <v>216</v>
      </c>
      <c r="AY409" s="4" t="s">
        <v>966</v>
      </c>
      <c r="AZ409" s="4" t="s">
        <v>248</v>
      </c>
      <c r="BA409" s="4"/>
      <c r="BB409" s="4"/>
      <c r="BC409" s="4"/>
      <c r="BD409" s="23"/>
      <c r="BE409" s="4"/>
      <c r="BF409" s="4"/>
      <c r="BG409" s="4"/>
      <c r="BH409" s="4"/>
      <c r="BI409" s="4"/>
      <c r="BJ409" s="4"/>
      <c r="BK409" s="3"/>
      <c r="BL409" s="3"/>
      <c r="BM409" s="9">
        <f t="shared" si="134"/>
        <v>74000</v>
      </c>
      <c r="BN409" s="9">
        <f t="shared" si="135"/>
        <v>0</v>
      </c>
      <c r="BO409" s="9">
        <f t="shared" si="136"/>
        <v>0</v>
      </c>
      <c r="BP409" s="9">
        <f t="shared" si="140"/>
        <v>0</v>
      </c>
      <c r="BQ409" s="9">
        <f t="shared" si="141"/>
        <v>74000</v>
      </c>
      <c r="BR409" s="9">
        <f t="shared" si="142"/>
        <v>0</v>
      </c>
      <c r="BS409" s="9">
        <f t="shared" si="143"/>
        <v>0</v>
      </c>
      <c r="BT409" s="9">
        <f t="shared" si="144"/>
        <v>74000</v>
      </c>
    </row>
    <row r="410" spans="1:72" hidden="1" x14ac:dyDescent="0.25">
      <c r="A410" s="11">
        <f t="shared" si="137"/>
        <v>409</v>
      </c>
      <c r="B410" s="3" t="s">
        <v>1568</v>
      </c>
      <c r="C410" s="4" t="s">
        <v>59</v>
      </c>
      <c r="D410" s="4" t="s">
        <v>1569</v>
      </c>
      <c r="E410" s="4" t="s">
        <v>1542</v>
      </c>
      <c r="F410" s="4"/>
      <c r="G410" s="4" t="s">
        <v>1555</v>
      </c>
      <c r="H410" s="4" t="s">
        <v>1068</v>
      </c>
      <c r="I410" s="4"/>
      <c r="J410" s="4"/>
      <c r="K410" s="4" t="s">
        <v>1384</v>
      </c>
      <c r="L410" s="13"/>
      <c r="M410" s="4" t="s">
        <v>291</v>
      </c>
      <c r="N410" s="5"/>
      <c r="O410" s="3"/>
      <c r="P410" s="29"/>
      <c r="Q410" s="14">
        <v>0.18</v>
      </c>
      <c r="R410" s="1">
        <f t="shared" si="138"/>
        <v>0</v>
      </c>
      <c r="S410" s="40"/>
      <c r="T410" s="2">
        <f t="shared" si="139"/>
        <v>0</v>
      </c>
      <c r="U410" s="13">
        <v>70000</v>
      </c>
      <c r="V410" s="13">
        <v>0</v>
      </c>
      <c r="W410" s="13">
        <v>0</v>
      </c>
      <c r="X410" s="13"/>
      <c r="Y410" s="13"/>
      <c r="Z410" s="13"/>
      <c r="AA410" s="13"/>
      <c r="AB410" s="13"/>
      <c r="AC410" s="13"/>
      <c r="AD410" s="13"/>
      <c r="AE410" s="13"/>
      <c r="AF410" s="13"/>
      <c r="AG410" s="13">
        <f>AF410</f>
        <v>0</v>
      </c>
      <c r="AH410" s="13"/>
      <c r="AI410" s="13">
        <v>0</v>
      </c>
      <c r="AJ410" s="13">
        <v>0</v>
      </c>
      <c r="AK410" s="13">
        <v>0</v>
      </c>
      <c r="AL410" s="13"/>
      <c r="AM410" s="13"/>
      <c r="AN410" s="13">
        <v>0</v>
      </c>
      <c r="AO410" s="13"/>
      <c r="AP410" s="13"/>
      <c r="AQ410" s="13"/>
      <c r="AR410" s="13"/>
      <c r="AS410" s="13"/>
      <c r="AT410" s="4" t="s">
        <v>126</v>
      </c>
      <c r="AU410" s="4" t="s">
        <v>964</v>
      </c>
      <c r="AV410" s="4" t="s">
        <v>1219</v>
      </c>
      <c r="AW410" s="4" t="s">
        <v>969</v>
      </c>
      <c r="AX410" s="4" t="s">
        <v>970</v>
      </c>
      <c r="AY410" s="4" t="s">
        <v>245</v>
      </c>
      <c r="AZ410" s="4" t="s">
        <v>245</v>
      </c>
      <c r="BA410" s="4"/>
      <c r="BB410" s="4"/>
      <c r="BC410" s="4"/>
      <c r="BD410" s="23"/>
      <c r="BE410" s="4"/>
      <c r="BF410" s="4"/>
      <c r="BG410" s="4"/>
      <c r="BH410" s="4"/>
      <c r="BI410" s="4"/>
      <c r="BJ410" s="4"/>
      <c r="BK410" s="3"/>
      <c r="BL410" s="3"/>
      <c r="BM410" s="9">
        <f t="shared" si="134"/>
        <v>0</v>
      </c>
      <c r="BN410" s="9">
        <f t="shared" si="135"/>
        <v>0</v>
      </c>
      <c r="BO410" s="9">
        <f t="shared" si="136"/>
        <v>0</v>
      </c>
      <c r="BP410" s="9">
        <f t="shared" si="140"/>
        <v>0</v>
      </c>
      <c r="BQ410" s="9">
        <f t="shared" si="141"/>
        <v>0</v>
      </c>
      <c r="BR410" s="9">
        <f t="shared" si="142"/>
        <v>0</v>
      </c>
      <c r="BS410" s="9">
        <f t="shared" si="143"/>
        <v>0</v>
      </c>
      <c r="BT410" s="9">
        <f t="shared" si="144"/>
        <v>0</v>
      </c>
    </row>
    <row r="411" spans="1:72" hidden="1" x14ac:dyDescent="0.25">
      <c r="A411" s="11">
        <f t="shared" si="137"/>
        <v>410</v>
      </c>
      <c r="B411" s="3" t="s">
        <v>1570</v>
      </c>
      <c r="C411" s="4" t="s">
        <v>59</v>
      </c>
      <c r="D411" s="4" t="s">
        <v>1569</v>
      </c>
      <c r="E411" s="4" t="s">
        <v>1542</v>
      </c>
      <c r="F411" s="4"/>
      <c r="G411" s="4" t="s">
        <v>1557</v>
      </c>
      <c r="H411" s="4" t="s">
        <v>1069</v>
      </c>
      <c r="I411" s="4"/>
      <c r="J411" s="4"/>
      <c r="K411" s="4" t="s">
        <v>1384</v>
      </c>
      <c r="L411" s="13"/>
      <c r="M411" s="4" t="s">
        <v>291</v>
      </c>
      <c r="N411" s="5"/>
      <c r="O411" s="3"/>
      <c r="P411" s="29"/>
      <c r="Q411" s="14">
        <v>0.13</v>
      </c>
      <c r="R411" s="1">
        <f t="shared" si="138"/>
        <v>416000</v>
      </c>
      <c r="S411" s="40"/>
      <c r="T411" s="2">
        <f t="shared" si="139"/>
        <v>3200000</v>
      </c>
      <c r="U411" s="13">
        <v>0</v>
      </c>
      <c r="V411" s="13">
        <v>400000</v>
      </c>
      <c r="W411" s="13">
        <v>800000</v>
      </c>
      <c r="X411" s="13">
        <v>400000</v>
      </c>
      <c r="Y411" s="13">
        <v>800000</v>
      </c>
      <c r="Z411" s="13">
        <v>800000</v>
      </c>
      <c r="AA411" s="13">
        <v>800000</v>
      </c>
      <c r="AB411" s="13">
        <v>800000</v>
      </c>
      <c r="AC411" s="13">
        <v>800000</v>
      </c>
      <c r="AD411" s="13">
        <v>400000</v>
      </c>
      <c r="AE411" s="13">
        <v>400000</v>
      </c>
      <c r="AF411" s="13">
        <v>800000</v>
      </c>
      <c r="AG411" s="13">
        <f t="shared" ref="AG411:AG419" si="148">AF411</f>
        <v>800000</v>
      </c>
      <c r="AH411" s="13"/>
      <c r="AI411" s="13">
        <v>0</v>
      </c>
      <c r="AJ411" s="13"/>
      <c r="AK411" s="13"/>
      <c r="AL411" s="13">
        <v>0</v>
      </c>
      <c r="AM411" s="13"/>
      <c r="AN411" s="13">
        <v>0</v>
      </c>
      <c r="AO411" s="13"/>
      <c r="AP411" s="13"/>
      <c r="AQ411" s="13"/>
      <c r="AR411" s="13"/>
      <c r="AS411" s="13"/>
      <c r="AT411" s="4" t="s">
        <v>126</v>
      </c>
      <c r="AU411" s="4" t="s">
        <v>964</v>
      </c>
      <c r="AV411" s="4" t="s">
        <v>1219</v>
      </c>
      <c r="AW411" s="4" t="s">
        <v>969</v>
      </c>
      <c r="AX411" s="4" t="s">
        <v>970</v>
      </c>
      <c r="AY411" s="4" t="s">
        <v>245</v>
      </c>
      <c r="AZ411" s="4" t="s">
        <v>245</v>
      </c>
      <c r="BA411" s="4"/>
      <c r="BB411" s="4"/>
      <c r="BC411" s="4"/>
      <c r="BD411" s="23"/>
      <c r="BE411" s="4"/>
      <c r="BF411" s="4"/>
      <c r="BG411" s="4"/>
      <c r="BH411" s="4"/>
      <c r="BI411" s="4"/>
      <c r="BJ411" s="4"/>
      <c r="BK411" s="3"/>
      <c r="BL411" s="3"/>
      <c r="BM411" s="9">
        <f t="shared" si="134"/>
        <v>104000</v>
      </c>
      <c r="BN411" s="9">
        <f t="shared" si="135"/>
        <v>104000</v>
      </c>
      <c r="BO411" s="9">
        <f t="shared" si="136"/>
        <v>104000</v>
      </c>
      <c r="BP411" s="9">
        <f t="shared" si="140"/>
        <v>104000</v>
      </c>
      <c r="BQ411" s="9">
        <f t="shared" si="141"/>
        <v>104000</v>
      </c>
      <c r="BR411" s="9">
        <f t="shared" si="142"/>
        <v>52000</v>
      </c>
      <c r="BS411" s="9">
        <f t="shared" si="143"/>
        <v>52000</v>
      </c>
      <c r="BT411" s="9">
        <f t="shared" si="144"/>
        <v>104000</v>
      </c>
    </row>
    <row r="412" spans="1:72" hidden="1" x14ac:dyDescent="0.25">
      <c r="A412" s="11">
        <f t="shared" si="137"/>
        <v>411</v>
      </c>
      <c r="B412" s="3" t="s">
        <v>1571</v>
      </c>
      <c r="C412" s="4" t="s">
        <v>59</v>
      </c>
      <c r="D412" s="4" t="s">
        <v>1569</v>
      </c>
      <c r="E412" s="4" t="s">
        <v>1542</v>
      </c>
      <c r="F412" s="4"/>
      <c r="G412" s="4" t="s">
        <v>1070</v>
      </c>
      <c r="H412" s="4" t="s">
        <v>1071</v>
      </c>
      <c r="I412" s="4"/>
      <c r="J412" s="4"/>
      <c r="K412" s="4" t="s">
        <v>1384</v>
      </c>
      <c r="L412" s="13"/>
      <c r="M412" s="4" t="s">
        <v>291</v>
      </c>
      <c r="N412" s="5"/>
      <c r="O412" s="3"/>
      <c r="P412" s="29"/>
      <c r="Q412" s="14">
        <v>0.14000000000000001</v>
      </c>
      <c r="R412" s="1">
        <f t="shared" si="138"/>
        <v>252000.00000000003</v>
      </c>
      <c r="S412" s="40"/>
      <c r="T412" s="2">
        <f t="shared" si="139"/>
        <v>1800000</v>
      </c>
      <c r="U412" s="13">
        <v>0</v>
      </c>
      <c r="V412" s="13">
        <v>0</v>
      </c>
      <c r="W412" s="13">
        <v>0</v>
      </c>
      <c r="X412" s="13">
        <v>0</v>
      </c>
      <c r="Y412" s="13">
        <v>300000</v>
      </c>
      <c r="Z412" s="13">
        <v>600000</v>
      </c>
      <c r="AA412" s="13">
        <v>400000</v>
      </c>
      <c r="AB412" s="13">
        <v>400000</v>
      </c>
      <c r="AC412" s="13">
        <v>600000</v>
      </c>
      <c r="AD412" s="13">
        <v>200000</v>
      </c>
      <c r="AE412" s="13">
        <v>200000</v>
      </c>
      <c r="AF412" s="13">
        <v>400000</v>
      </c>
      <c r="AG412" s="13">
        <f t="shared" si="148"/>
        <v>400000</v>
      </c>
      <c r="AH412" s="13"/>
      <c r="AI412" s="13">
        <v>0</v>
      </c>
      <c r="AJ412" s="13">
        <v>0</v>
      </c>
      <c r="AK412" s="13">
        <v>0</v>
      </c>
      <c r="AL412" s="13">
        <v>0</v>
      </c>
      <c r="AM412" s="13"/>
      <c r="AN412" s="13">
        <v>0</v>
      </c>
      <c r="AO412" s="13"/>
      <c r="AP412" s="13"/>
      <c r="AQ412" s="13"/>
      <c r="AR412" s="13"/>
      <c r="AS412" s="13"/>
      <c r="AT412" s="4" t="s">
        <v>126</v>
      </c>
      <c r="AU412" s="4" t="s">
        <v>964</v>
      </c>
      <c r="AV412" s="4" t="s">
        <v>1219</v>
      </c>
      <c r="AW412" s="4" t="s">
        <v>969</v>
      </c>
      <c r="AX412" s="4" t="s">
        <v>970</v>
      </c>
      <c r="AY412" s="4" t="s">
        <v>245</v>
      </c>
      <c r="AZ412" s="4" t="s">
        <v>245</v>
      </c>
      <c r="BA412" s="4"/>
      <c r="BB412" s="4"/>
      <c r="BC412" s="4"/>
      <c r="BD412" s="23"/>
      <c r="BE412" s="4"/>
      <c r="BF412" s="4"/>
      <c r="BG412" s="4"/>
      <c r="BH412" s="4"/>
      <c r="BI412" s="4"/>
      <c r="BJ412" s="4"/>
      <c r="BK412" s="3"/>
      <c r="BL412" s="3"/>
      <c r="BM412" s="9">
        <f t="shared" si="134"/>
        <v>42000.000000000007</v>
      </c>
      <c r="BN412" s="9">
        <f t="shared" si="135"/>
        <v>84000.000000000015</v>
      </c>
      <c r="BO412" s="9">
        <f t="shared" si="136"/>
        <v>56000.000000000007</v>
      </c>
      <c r="BP412" s="9">
        <f t="shared" si="140"/>
        <v>56000.000000000007</v>
      </c>
      <c r="BQ412" s="9">
        <f t="shared" si="141"/>
        <v>84000.000000000015</v>
      </c>
      <c r="BR412" s="9">
        <f t="shared" si="142"/>
        <v>28000.000000000004</v>
      </c>
      <c r="BS412" s="9">
        <f t="shared" si="143"/>
        <v>28000.000000000004</v>
      </c>
      <c r="BT412" s="9">
        <f t="shared" si="144"/>
        <v>56000.000000000007</v>
      </c>
    </row>
    <row r="413" spans="1:72" hidden="1" x14ac:dyDescent="0.25">
      <c r="A413" s="11">
        <f t="shared" si="137"/>
        <v>412</v>
      </c>
      <c r="B413" s="3" t="s">
        <v>1572</v>
      </c>
      <c r="C413" s="4" t="s">
        <v>59</v>
      </c>
      <c r="D413" s="4" t="s">
        <v>1551</v>
      </c>
      <c r="E413" s="4" t="s">
        <v>1542</v>
      </c>
      <c r="F413" s="4"/>
      <c r="G413" s="4" t="s">
        <v>1573</v>
      </c>
      <c r="H413" s="4" t="s">
        <v>1072</v>
      </c>
      <c r="I413" s="4"/>
      <c r="J413" s="4"/>
      <c r="K413" s="4" t="s">
        <v>1574</v>
      </c>
      <c r="L413" s="13">
        <v>200000</v>
      </c>
      <c r="M413" s="4" t="s">
        <v>297</v>
      </c>
      <c r="N413" s="5"/>
      <c r="O413" s="3" t="s">
        <v>976</v>
      </c>
      <c r="P413" s="29"/>
      <c r="Q413" s="14">
        <v>0.35</v>
      </c>
      <c r="R413" s="1">
        <f t="shared" si="138"/>
        <v>185500</v>
      </c>
      <c r="S413" s="40"/>
      <c r="T413" s="2">
        <f t="shared" si="139"/>
        <v>530000</v>
      </c>
      <c r="U413" s="13">
        <v>0</v>
      </c>
      <c r="V413" s="13">
        <v>0</v>
      </c>
      <c r="W413" s="13">
        <v>50000</v>
      </c>
      <c r="X413" s="13">
        <v>50000</v>
      </c>
      <c r="Y413" s="13">
        <v>50000</v>
      </c>
      <c r="Z413" s="13">
        <v>100000</v>
      </c>
      <c r="AA413" s="13">
        <v>50000</v>
      </c>
      <c r="AB413" s="13">
        <v>50000</v>
      </c>
      <c r="AC413" s="13">
        <v>80000</v>
      </c>
      <c r="AD413" s="13">
        <v>100000</v>
      </c>
      <c r="AE413" s="13">
        <v>100000</v>
      </c>
      <c r="AF413" s="13">
        <v>200000</v>
      </c>
      <c r="AG413" s="13">
        <f t="shared" si="148"/>
        <v>200000</v>
      </c>
      <c r="AH413" s="13">
        <v>0</v>
      </c>
      <c r="AI413" s="13">
        <v>0</v>
      </c>
      <c r="AJ413" s="13">
        <v>0</v>
      </c>
      <c r="AK413" s="13">
        <v>0</v>
      </c>
      <c r="AL413" s="13">
        <v>0</v>
      </c>
      <c r="AM413" s="13">
        <v>0</v>
      </c>
      <c r="AN413" s="13">
        <v>0</v>
      </c>
      <c r="AO413" s="13"/>
      <c r="AP413" s="13"/>
      <c r="AQ413" s="13"/>
      <c r="AR413" s="13"/>
      <c r="AS413" s="13"/>
      <c r="AT413" s="4" t="s">
        <v>963</v>
      </c>
      <c r="AU413" s="4" t="s">
        <v>964</v>
      </c>
      <c r="AV413" s="4" t="s">
        <v>826</v>
      </c>
      <c r="AW413" s="4" t="s">
        <v>222</v>
      </c>
      <c r="AX413" s="4" t="s">
        <v>238</v>
      </c>
      <c r="AY413" s="4" t="s">
        <v>251</v>
      </c>
      <c r="AZ413" s="4" t="s">
        <v>257</v>
      </c>
      <c r="BA413" s="4"/>
      <c r="BB413" s="4"/>
      <c r="BC413" s="4"/>
      <c r="BD413" s="23"/>
      <c r="BE413" s="4"/>
      <c r="BF413" s="4"/>
      <c r="BG413" s="4"/>
      <c r="BH413" s="4"/>
      <c r="BI413" s="4"/>
      <c r="BJ413" s="4"/>
      <c r="BK413" s="3"/>
      <c r="BL413" s="3"/>
      <c r="BM413" s="9">
        <f t="shared" si="134"/>
        <v>17500</v>
      </c>
      <c r="BN413" s="9">
        <f t="shared" si="135"/>
        <v>35000</v>
      </c>
      <c r="BO413" s="9">
        <f t="shared" si="136"/>
        <v>17500</v>
      </c>
      <c r="BP413" s="9">
        <f t="shared" si="140"/>
        <v>17500</v>
      </c>
      <c r="BQ413" s="9">
        <f t="shared" si="141"/>
        <v>28000</v>
      </c>
      <c r="BR413" s="9">
        <f t="shared" si="142"/>
        <v>35000</v>
      </c>
      <c r="BS413" s="9">
        <f t="shared" si="143"/>
        <v>35000</v>
      </c>
      <c r="BT413" s="9">
        <f t="shared" si="144"/>
        <v>70000</v>
      </c>
    </row>
    <row r="414" spans="1:72" hidden="1" x14ac:dyDescent="0.25">
      <c r="A414" s="11">
        <f t="shared" si="137"/>
        <v>413</v>
      </c>
      <c r="B414" s="3" t="s">
        <v>1572</v>
      </c>
      <c r="C414" s="4" t="s">
        <v>59</v>
      </c>
      <c r="D414" s="4" t="s">
        <v>1551</v>
      </c>
      <c r="E414" s="4" t="s">
        <v>1542</v>
      </c>
      <c r="F414" s="4"/>
      <c r="G414" s="4" t="s">
        <v>1552</v>
      </c>
      <c r="H414" s="4" t="s">
        <v>1062</v>
      </c>
      <c r="I414" s="4"/>
      <c r="J414" s="4"/>
      <c r="K414" s="4" t="s">
        <v>1574</v>
      </c>
      <c r="L414" s="13">
        <v>1000000</v>
      </c>
      <c r="M414" s="4" t="s">
        <v>297</v>
      </c>
      <c r="N414" s="5"/>
      <c r="O414" s="3" t="s">
        <v>977</v>
      </c>
      <c r="P414" s="29"/>
      <c r="Q414" s="14">
        <v>0.17</v>
      </c>
      <c r="R414" s="1">
        <f t="shared" si="138"/>
        <v>119000.00000000001</v>
      </c>
      <c r="S414" s="40"/>
      <c r="T414" s="2">
        <f t="shared" si="139"/>
        <v>700000</v>
      </c>
      <c r="U414" s="13">
        <v>0</v>
      </c>
      <c r="V414" s="13">
        <v>0</v>
      </c>
      <c r="W414" s="13">
        <v>50000</v>
      </c>
      <c r="X414" s="13">
        <v>100000</v>
      </c>
      <c r="Y414" s="13">
        <v>100000</v>
      </c>
      <c r="Z414" s="13">
        <v>50000</v>
      </c>
      <c r="AA414" s="13">
        <v>60000</v>
      </c>
      <c r="AB414" s="13">
        <v>100000</v>
      </c>
      <c r="AC414" s="13">
        <v>100000</v>
      </c>
      <c r="AD414" s="13">
        <v>200000</v>
      </c>
      <c r="AE414" s="13">
        <v>100000</v>
      </c>
      <c r="AF414" s="13">
        <v>200000</v>
      </c>
      <c r="AG414" s="13">
        <f t="shared" si="148"/>
        <v>200000</v>
      </c>
      <c r="AH414" s="13">
        <v>0</v>
      </c>
      <c r="AI414" s="13">
        <v>0</v>
      </c>
      <c r="AJ414" s="13">
        <v>0</v>
      </c>
      <c r="AK414" s="13">
        <v>0</v>
      </c>
      <c r="AL414" s="13">
        <v>0</v>
      </c>
      <c r="AM414" s="13">
        <v>0</v>
      </c>
      <c r="AN414" s="13">
        <v>0</v>
      </c>
      <c r="AO414" s="13"/>
      <c r="AP414" s="13"/>
      <c r="AQ414" s="13"/>
      <c r="AR414" s="13"/>
      <c r="AS414" s="13"/>
      <c r="AT414" s="4" t="s">
        <v>963</v>
      </c>
      <c r="AU414" s="4" t="s">
        <v>964</v>
      </c>
      <c r="AV414" s="4" t="s">
        <v>826</v>
      </c>
      <c r="AW414" s="4" t="s">
        <v>222</v>
      </c>
      <c r="AX414" s="4" t="s">
        <v>238</v>
      </c>
      <c r="AY414" s="4" t="s">
        <v>251</v>
      </c>
      <c r="AZ414" s="4" t="s">
        <v>257</v>
      </c>
      <c r="BA414" s="4"/>
      <c r="BB414" s="4"/>
      <c r="BC414" s="4"/>
      <c r="BD414" s="23"/>
      <c r="BE414" s="4"/>
      <c r="BF414" s="4"/>
      <c r="BG414" s="4"/>
      <c r="BH414" s="4"/>
      <c r="BI414" s="4"/>
      <c r="BJ414" s="4"/>
      <c r="BK414" s="3"/>
      <c r="BL414" s="3"/>
      <c r="BM414" s="9">
        <f t="shared" si="134"/>
        <v>17000</v>
      </c>
      <c r="BN414" s="9">
        <f t="shared" si="135"/>
        <v>8500</v>
      </c>
      <c r="BO414" s="9">
        <f t="shared" si="136"/>
        <v>10200</v>
      </c>
      <c r="BP414" s="9">
        <f t="shared" si="140"/>
        <v>17000</v>
      </c>
      <c r="BQ414" s="9">
        <f t="shared" si="141"/>
        <v>17000</v>
      </c>
      <c r="BR414" s="9">
        <f t="shared" si="142"/>
        <v>34000</v>
      </c>
      <c r="BS414" s="9">
        <f t="shared" si="143"/>
        <v>17000</v>
      </c>
      <c r="BT414" s="9">
        <f t="shared" si="144"/>
        <v>34000</v>
      </c>
    </row>
    <row r="415" spans="1:72" hidden="1" x14ac:dyDescent="0.25">
      <c r="A415" s="11">
        <f t="shared" si="137"/>
        <v>414</v>
      </c>
      <c r="B415" s="3" t="s">
        <v>1575</v>
      </c>
      <c r="C415" s="4" t="s">
        <v>59</v>
      </c>
      <c r="D415" s="4" t="s">
        <v>1551</v>
      </c>
      <c r="E415" s="4" t="s">
        <v>1542</v>
      </c>
      <c r="F415" s="4"/>
      <c r="G415" s="4" t="s">
        <v>1552</v>
      </c>
      <c r="H415" s="4" t="s">
        <v>1062</v>
      </c>
      <c r="I415" s="4"/>
      <c r="J415" s="4"/>
      <c r="K415" s="4" t="s">
        <v>1553</v>
      </c>
      <c r="L415" s="13">
        <v>3000000</v>
      </c>
      <c r="M415" s="4" t="s">
        <v>291</v>
      </c>
      <c r="N415" s="5"/>
      <c r="O415" s="3" t="s">
        <v>967</v>
      </c>
      <c r="P415" s="29"/>
      <c r="Q415" s="14">
        <v>0.17</v>
      </c>
      <c r="R415" s="1">
        <f t="shared" si="138"/>
        <v>289000</v>
      </c>
      <c r="S415" s="40"/>
      <c r="T415" s="2">
        <f t="shared" si="139"/>
        <v>1700000</v>
      </c>
      <c r="U415" s="13">
        <v>0</v>
      </c>
      <c r="V415" s="13">
        <v>0</v>
      </c>
      <c r="W415" s="13">
        <v>200000</v>
      </c>
      <c r="X415" s="13">
        <v>200000</v>
      </c>
      <c r="Y415" s="13">
        <v>300000</v>
      </c>
      <c r="Z415" s="13">
        <v>100000</v>
      </c>
      <c r="AA415" s="13">
        <v>100000</v>
      </c>
      <c r="AB415" s="13">
        <v>200000</v>
      </c>
      <c r="AC415" s="13">
        <v>200000</v>
      </c>
      <c r="AD415" s="13">
        <v>300000</v>
      </c>
      <c r="AE415" s="13">
        <v>400000</v>
      </c>
      <c r="AF415" s="13">
        <v>600000</v>
      </c>
      <c r="AG415" s="13">
        <f t="shared" si="148"/>
        <v>600000</v>
      </c>
      <c r="AH415" s="13">
        <v>0</v>
      </c>
      <c r="AI415" s="13">
        <v>0</v>
      </c>
      <c r="AJ415" s="13">
        <v>0</v>
      </c>
      <c r="AK415" s="13">
        <v>0</v>
      </c>
      <c r="AL415" s="13">
        <v>0</v>
      </c>
      <c r="AM415" s="13">
        <v>0</v>
      </c>
      <c r="AN415" s="13">
        <v>0</v>
      </c>
      <c r="AO415" s="13"/>
      <c r="AP415" s="13"/>
      <c r="AQ415" s="13"/>
      <c r="AR415" s="13"/>
      <c r="AS415" s="13"/>
      <c r="AT415" s="4" t="s">
        <v>963</v>
      </c>
      <c r="AU415" s="4" t="s">
        <v>964</v>
      </c>
      <c r="AV415" s="4" t="s">
        <v>826</v>
      </c>
      <c r="AW415" s="4" t="s">
        <v>222</v>
      </c>
      <c r="AX415" s="4" t="s">
        <v>238</v>
      </c>
      <c r="AY415" s="4" t="s">
        <v>251</v>
      </c>
      <c r="AZ415" s="4" t="s">
        <v>257</v>
      </c>
      <c r="BA415" s="4"/>
      <c r="BB415" s="4"/>
      <c r="BC415" s="4"/>
      <c r="BD415" s="23"/>
      <c r="BE415" s="4"/>
      <c r="BF415" s="4"/>
      <c r="BG415" s="4"/>
      <c r="BH415" s="4"/>
      <c r="BI415" s="4"/>
      <c r="BJ415" s="4"/>
      <c r="BK415" s="3"/>
      <c r="BL415" s="3"/>
      <c r="BM415" s="9">
        <f t="shared" si="134"/>
        <v>51000.000000000007</v>
      </c>
      <c r="BN415" s="9">
        <f t="shared" si="135"/>
        <v>17000</v>
      </c>
      <c r="BO415" s="9">
        <f t="shared" si="136"/>
        <v>17000</v>
      </c>
      <c r="BP415" s="9">
        <f t="shared" si="140"/>
        <v>34000</v>
      </c>
      <c r="BQ415" s="9">
        <f t="shared" si="141"/>
        <v>34000</v>
      </c>
      <c r="BR415" s="9">
        <f t="shared" si="142"/>
        <v>51000.000000000007</v>
      </c>
      <c r="BS415" s="9">
        <f t="shared" si="143"/>
        <v>68000</v>
      </c>
      <c r="BT415" s="9">
        <f t="shared" si="144"/>
        <v>102000.00000000001</v>
      </c>
    </row>
    <row r="416" spans="1:72" hidden="1" x14ac:dyDescent="0.25">
      <c r="A416" s="11">
        <f t="shared" si="137"/>
        <v>415</v>
      </c>
      <c r="B416" s="3" t="s">
        <v>1576</v>
      </c>
      <c r="C416" s="4" t="s">
        <v>59</v>
      </c>
      <c r="D416" s="4" t="s">
        <v>1551</v>
      </c>
      <c r="E416" s="4" t="s">
        <v>1542</v>
      </c>
      <c r="F416" s="4"/>
      <c r="G416" s="4" t="s">
        <v>1557</v>
      </c>
      <c r="H416" s="4" t="s">
        <v>1064</v>
      </c>
      <c r="I416" s="4"/>
      <c r="J416" s="4"/>
      <c r="K416" s="4" t="s">
        <v>1384</v>
      </c>
      <c r="L416" s="13">
        <v>5000000</v>
      </c>
      <c r="M416" s="4" t="s">
        <v>291</v>
      </c>
      <c r="N416" s="5"/>
      <c r="O416" s="3" t="s">
        <v>199</v>
      </c>
      <c r="P416" s="29"/>
      <c r="Q416" s="14">
        <v>0.13</v>
      </c>
      <c r="R416" s="1">
        <f t="shared" si="138"/>
        <v>312000</v>
      </c>
      <c r="S416" s="40"/>
      <c r="T416" s="2">
        <f t="shared" si="139"/>
        <v>2400000</v>
      </c>
      <c r="U416" s="13">
        <v>0</v>
      </c>
      <c r="V416" s="13">
        <v>200000</v>
      </c>
      <c r="W416" s="13">
        <v>400000</v>
      </c>
      <c r="X416" s="13">
        <v>600000</v>
      </c>
      <c r="Y416" s="13">
        <v>400000</v>
      </c>
      <c r="Z416" s="13">
        <v>400000</v>
      </c>
      <c r="AA416" s="13">
        <v>200000</v>
      </c>
      <c r="AB416" s="13">
        <v>400000</v>
      </c>
      <c r="AC416" s="13">
        <v>600000</v>
      </c>
      <c r="AD416" s="13">
        <v>200000</v>
      </c>
      <c r="AE416" s="13">
        <v>400000</v>
      </c>
      <c r="AF416" s="13">
        <v>800000</v>
      </c>
      <c r="AG416" s="13">
        <f t="shared" si="148"/>
        <v>800000</v>
      </c>
      <c r="AH416" s="13">
        <v>0</v>
      </c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3">
        <v>0</v>
      </c>
      <c r="AO416" s="13"/>
      <c r="AP416" s="13"/>
      <c r="AQ416" s="13"/>
      <c r="AR416" s="13"/>
      <c r="AS416" s="13"/>
      <c r="AT416" s="4" t="s">
        <v>963</v>
      </c>
      <c r="AU416" s="4" t="s">
        <v>964</v>
      </c>
      <c r="AV416" s="4" t="s">
        <v>1219</v>
      </c>
      <c r="AW416" s="4" t="s">
        <v>969</v>
      </c>
      <c r="AX416" s="4" t="s">
        <v>970</v>
      </c>
      <c r="AY416" s="4" t="s">
        <v>245</v>
      </c>
      <c r="AZ416" s="4" t="s">
        <v>245</v>
      </c>
      <c r="BA416" s="4"/>
      <c r="BB416" s="4"/>
      <c r="BC416" s="4"/>
      <c r="BD416" s="23"/>
      <c r="BE416" s="4"/>
      <c r="BF416" s="4"/>
      <c r="BG416" s="4"/>
      <c r="BH416" s="4"/>
      <c r="BI416" s="4"/>
      <c r="BJ416" s="4"/>
      <c r="BK416" s="3"/>
      <c r="BL416" s="3"/>
      <c r="BM416" s="9">
        <f t="shared" si="134"/>
        <v>52000</v>
      </c>
      <c r="BN416" s="9">
        <f t="shared" si="135"/>
        <v>52000</v>
      </c>
      <c r="BO416" s="9">
        <f t="shared" si="136"/>
        <v>26000</v>
      </c>
      <c r="BP416" s="9">
        <f t="shared" si="140"/>
        <v>52000</v>
      </c>
      <c r="BQ416" s="9">
        <f t="shared" si="141"/>
        <v>78000</v>
      </c>
      <c r="BR416" s="9">
        <f t="shared" si="142"/>
        <v>26000</v>
      </c>
      <c r="BS416" s="9">
        <f t="shared" si="143"/>
        <v>52000</v>
      </c>
      <c r="BT416" s="9">
        <f t="shared" si="144"/>
        <v>104000</v>
      </c>
    </row>
    <row r="417" spans="1:72" hidden="1" x14ac:dyDescent="0.25">
      <c r="A417" s="11">
        <f t="shared" si="137"/>
        <v>416</v>
      </c>
      <c r="B417" s="3" t="s">
        <v>1576</v>
      </c>
      <c r="C417" s="4" t="s">
        <v>59</v>
      </c>
      <c r="D417" s="4" t="s">
        <v>1551</v>
      </c>
      <c r="E417" s="4" t="s">
        <v>1542</v>
      </c>
      <c r="F417" s="4"/>
      <c r="G417" s="4" t="s">
        <v>144</v>
      </c>
      <c r="H417" s="4" t="s">
        <v>1809</v>
      </c>
      <c r="I417" s="4"/>
      <c r="J417" s="4"/>
      <c r="K417" s="4" t="s">
        <v>1577</v>
      </c>
      <c r="L417" s="13">
        <v>3500000</v>
      </c>
      <c r="M417" s="4" t="s">
        <v>291</v>
      </c>
      <c r="N417" s="5"/>
      <c r="O417" s="3" t="s">
        <v>199</v>
      </c>
      <c r="P417" s="29"/>
      <c r="Q417" s="14">
        <v>0.13</v>
      </c>
      <c r="R417" s="1">
        <f t="shared" si="138"/>
        <v>265200</v>
      </c>
      <c r="S417" s="40"/>
      <c r="T417" s="2">
        <f t="shared" si="139"/>
        <v>2040000</v>
      </c>
      <c r="U417" s="13">
        <v>0</v>
      </c>
      <c r="V417" s="13">
        <v>240000</v>
      </c>
      <c r="W417" s="13">
        <v>480000</v>
      </c>
      <c r="X417" s="13">
        <v>240000</v>
      </c>
      <c r="Y417" s="13">
        <v>240000</v>
      </c>
      <c r="Z417" s="13">
        <v>240000</v>
      </c>
      <c r="AA417" s="13">
        <v>480000</v>
      </c>
      <c r="AB417" s="13">
        <v>600000</v>
      </c>
      <c r="AC417" s="13">
        <v>480000</v>
      </c>
      <c r="AD417" s="13">
        <v>240000</v>
      </c>
      <c r="AE417" s="13">
        <v>240000</v>
      </c>
      <c r="AF417" s="13">
        <v>480000</v>
      </c>
      <c r="AG417" s="13">
        <f t="shared" si="148"/>
        <v>480000</v>
      </c>
      <c r="AH417" s="13"/>
      <c r="AI417" s="13"/>
      <c r="AJ417" s="13"/>
      <c r="AK417" s="13">
        <v>0</v>
      </c>
      <c r="AL417" s="13"/>
      <c r="AM417" s="13"/>
      <c r="AN417" s="13">
        <v>0</v>
      </c>
      <c r="AO417" s="13"/>
      <c r="AP417" s="13"/>
      <c r="AQ417" s="13"/>
      <c r="AR417" s="13"/>
      <c r="AS417" s="13"/>
      <c r="AT417" s="4" t="s">
        <v>963</v>
      </c>
      <c r="AU417" s="4" t="s">
        <v>964</v>
      </c>
      <c r="AV417" s="4" t="s">
        <v>1218</v>
      </c>
      <c r="AW417" s="4" t="s">
        <v>222</v>
      </c>
      <c r="AX417" s="4" t="s">
        <v>216</v>
      </c>
      <c r="AY417" s="4" t="s">
        <v>966</v>
      </c>
      <c r="AZ417" s="4"/>
      <c r="BA417" s="4"/>
      <c r="BB417" s="4"/>
      <c r="BC417" s="4"/>
      <c r="BD417" s="23"/>
      <c r="BE417" s="4"/>
      <c r="BF417" s="4"/>
      <c r="BG417" s="4"/>
      <c r="BH417" s="4"/>
      <c r="BI417" s="4"/>
      <c r="BJ417" s="4"/>
      <c r="BK417" s="3"/>
      <c r="BL417" s="3"/>
      <c r="BM417" s="9">
        <f t="shared" si="134"/>
        <v>31200</v>
      </c>
      <c r="BN417" s="9">
        <f t="shared" si="135"/>
        <v>31200</v>
      </c>
      <c r="BO417" s="9">
        <f t="shared" si="136"/>
        <v>62400</v>
      </c>
      <c r="BP417" s="9">
        <f t="shared" si="140"/>
        <v>78000</v>
      </c>
      <c r="BQ417" s="9">
        <f t="shared" si="141"/>
        <v>62400</v>
      </c>
      <c r="BR417" s="9">
        <f t="shared" si="142"/>
        <v>31200</v>
      </c>
      <c r="BS417" s="9">
        <f t="shared" si="143"/>
        <v>31200</v>
      </c>
      <c r="BT417" s="9">
        <f t="shared" si="144"/>
        <v>62400</v>
      </c>
    </row>
    <row r="418" spans="1:72" hidden="1" x14ac:dyDescent="0.25">
      <c r="A418" s="11">
        <f t="shared" si="137"/>
        <v>417</v>
      </c>
      <c r="B418" s="3" t="s">
        <v>1576</v>
      </c>
      <c r="C418" s="4" t="s">
        <v>59</v>
      </c>
      <c r="D418" s="4" t="s">
        <v>1551</v>
      </c>
      <c r="E418" s="4" t="s">
        <v>1542</v>
      </c>
      <c r="F418" s="4"/>
      <c r="G418" s="4" t="s">
        <v>157</v>
      </c>
      <c r="H418" s="4" t="s">
        <v>1073</v>
      </c>
      <c r="I418" s="4">
        <v>177</v>
      </c>
      <c r="J418" s="4"/>
      <c r="K418" s="4" t="s">
        <v>1577</v>
      </c>
      <c r="L418" s="13">
        <v>3200000</v>
      </c>
      <c r="M418" s="4" t="s">
        <v>291</v>
      </c>
      <c r="N418" s="5"/>
      <c r="O418" s="3" t="s">
        <v>199</v>
      </c>
      <c r="P418" s="29"/>
      <c r="Q418" s="14">
        <v>0.13</v>
      </c>
      <c r="R418" s="1">
        <f t="shared" si="138"/>
        <v>182000</v>
      </c>
      <c r="S418" s="40"/>
      <c r="T418" s="2">
        <f t="shared" si="139"/>
        <v>1400000</v>
      </c>
      <c r="U418" s="13">
        <v>0</v>
      </c>
      <c r="V418" s="13">
        <v>0</v>
      </c>
      <c r="W418" s="13">
        <v>0</v>
      </c>
      <c r="X418" s="13">
        <v>400000</v>
      </c>
      <c r="Y418" s="13">
        <v>0</v>
      </c>
      <c r="Z418" s="13">
        <v>400000</v>
      </c>
      <c r="AA418" s="13">
        <v>0</v>
      </c>
      <c r="AB418" s="13">
        <v>400000</v>
      </c>
      <c r="AC418" s="13">
        <v>0</v>
      </c>
      <c r="AD418" s="13">
        <v>600000</v>
      </c>
      <c r="AE418" s="13">
        <v>0</v>
      </c>
      <c r="AF418" s="13">
        <v>400000</v>
      </c>
      <c r="AG418" s="13">
        <f t="shared" si="148"/>
        <v>400000</v>
      </c>
      <c r="AH418" s="13">
        <v>0</v>
      </c>
      <c r="AI418" s="13">
        <v>0</v>
      </c>
      <c r="AJ418" s="13"/>
      <c r="AK418" s="13"/>
      <c r="AL418" s="13">
        <v>0</v>
      </c>
      <c r="AM418" s="13">
        <v>0</v>
      </c>
      <c r="AN418" s="13">
        <v>0</v>
      </c>
      <c r="AO418" s="13"/>
      <c r="AP418" s="13"/>
      <c r="AQ418" s="13"/>
      <c r="AR418" s="13"/>
      <c r="AS418" s="13"/>
      <c r="AT418" s="4" t="s">
        <v>963</v>
      </c>
      <c r="AU418" s="4" t="s">
        <v>964</v>
      </c>
      <c r="AV418" s="4" t="s">
        <v>1218</v>
      </c>
      <c r="AW418" s="4" t="s">
        <v>222</v>
      </c>
      <c r="AX418" s="4" t="s">
        <v>216</v>
      </c>
      <c r="AY418" s="4" t="s">
        <v>966</v>
      </c>
      <c r="AZ418" s="4"/>
      <c r="BA418" s="4"/>
      <c r="BB418" s="4"/>
      <c r="BC418" s="4"/>
      <c r="BD418" s="23"/>
      <c r="BE418" s="4"/>
      <c r="BF418" s="4"/>
      <c r="BG418" s="4"/>
      <c r="BH418" s="4"/>
      <c r="BI418" s="4"/>
      <c r="BJ418" s="4"/>
      <c r="BK418" s="3"/>
      <c r="BL418" s="3"/>
      <c r="BM418" s="9">
        <f t="shared" si="134"/>
        <v>0</v>
      </c>
      <c r="BN418" s="9">
        <f t="shared" si="135"/>
        <v>52000</v>
      </c>
      <c r="BO418" s="9">
        <f t="shared" si="136"/>
        <v>0</v>
      </c>
      <c r="BP418" s="9">
        <f t="shared" si="140"/>
        <v>52000</v>
      </c>
      <c r="BQ418" s="9">
        <f t="shared" si="141"/>
        <v>0</v>
      </c>
      <c r="BR418" s="9">
        <f t="shared" si="142"/>
        <v>78000</v>
      </c>
      <c r="BS418" s="9">
        <f t="shared" si="143"/>
        <v>0</v>
      </c>
      <c r="BT418" s="9">
        <f t="shared" si="144"/>
        <v>52000</v>
      </c>
    </row>
    <row r="419" spans="1:72" hidden="1" x14ac:dyDescent="0.25">
      <c r="A419" s="11">
        <f t="shared" si="137"/>
        <v>418</v>
      </c>
      <c r="B419" s="3" t="s">
        <v>1576</v>
      </c>
      <c r="C419" s="4" t="s">
        <v>59</v>
      </c>
      <c r="D419" s="4" t="s">
        <v>1551</v>
      </c>
      <c r="E419" s="4" t="s">
        <v>1542</v>
      </c>
      <c r="F419" s="4"/>
      <c r="G419" s="4" t="s">
        <v>937</v>
      </c>
      <c r="H419" s="4" t="s">
        <v>228</v>
      </c>
      <c r="I419" s="4"/>
      <c r="J419" s="4" t="s">
        <v>870</v>
      </c>
      <c r="K419" s="4" t="s">
        <v>1412</v>
      </c>
      <c r="L419" s="13">
        <v>150000</v>
      </c>
      <c r="M419" s="4" t="s">
        <v>291</v>
      </c>
      <c r="N419" s="5"/>
      <c r="O419" s="3" t="s">
        <v>199</v>
      </c>
      <c r="P419" s="29"/>
      <c r="Q419" s="14">
        <v>0.11</v>
      </c>
      <c r="R419" s="1">
        <f t="shared" si="138"/>
        <v>5610</v>
      </c>
      <c r="S419" s="40"/>
      <c r="T419" s="2">
        <f t="shared" si="139"/>
        <v>51000</v>
      </c>
      <c r="U419" s="13">
        <v>0</v>
      </c>
      <c r="V419" s="13">
        <v>0</v>
      </c>
      <c r="W419" s="13">
        <v>30000</v>
      </c>
      <c r="X419" s="13">
        <v>30000</v>
      </c>
      <c r="Y419" s="13">
        <v>0</v>
      </c>
      <c r="Z419" s="13">
        <v>30000</v>
      </c>
      <c r="AA419" s="13">
        <v>0</v>
      </c>
      <c r="AB419" s="13">
        <v>12000</v>
      </c>
      <c r="AC419" s="13">
        <v>0</v>
      </c>
      <c r="AD419" s="13">
        <v>18000</v>
      </c>
      <c r="AE419" s="13">
        <v>0</v>
      </c>
      <c r="AF419" s="13">
        <v>21000</v>
      </c>
      <c r="AG419" s="13">
        <f t="shared" si="148"/>
        <v>21000</v>
      </c>
      <c r="AH419" s="13">
        <v>0</v>
      </c>
      <c r="AI419" s="13">
        <v>0</v>
      </c>
      <c r="AJ419" s="13">
        <v>0</v>
      </c>
      <c r="AK419" s="13">
        <v>0</v>
      </c>
      <c r="AL419" s="13">
        <v>0</v>
      </c>
      <c r="AM419" s="13">
        <v>0</v>
      </c>
      <c r="AN419" s="13">
        <v>0</v>
      </c>
      <c r="AO419" s="13"/>
      <c r="AP419" s="13"/>
      <c r="AQ419" s="13"/>
      <c r="AR419" s="13"/>
      <c r="AS419" s="13"/>
      <c r="AT419" s="4" t="s">
        <v>963</v>
      </c>
      <c r="AU419" s="4" t="s">
        <v>964</v>
      </c>
      <c r="AV419" s="4" t="s">
        <v>1218</v>
      </c>
      <c r="AW419" s="4" t="s">
        <v>141</v>
      </c>
      <c r="AX419" s="4" t="s">
        <v>149</v>
      </c>
      <c r="AY419" s="4" t="s">
        <v>965</v>
      </c>
      <c r="AZ419" s="4"/>
      <c r="BA419" s="4"/>
      <c r="BB419" s="4"/>
      <c r="BC419" s="4"/>
      <c r="BD419" s="23"/>
      <c r="BE419" s="4"/>
      <c r="BF419" s="4"/>
      <c r="BG419" s="4"/>
      <c r="BH419" s="4"/>
      <c r="BI419" s="4"/>
      <c r="BJ419" s="4"/>
      <c r="BK419" s="3"/>
      <c r="BL419" s="3"/>
      <c r="BM419" s="9">
        <f t="shared" si="134"/>
        <v>0</v>
      </c>
      <c r="BN419" s="9">
        <f t="shared" si="135"/>
        <v>3300</v>
      </c>
      <c r="BO419" s="9">
        <f t="shared" si="136"/>
        <v>0</v>
      </c>
      <c r="BP419" s="9">
        <f t="shared" si="140"/>
        <v>1320</v>
      </c>
      <c r="BQ419" s="9">
        <f t="shared" si="141"/>
        <v>0</v>
      </c>
      <c r="BR419" s="9">
        <f t="shared" si="142"/>
        <v>1980</v>
      </c>
      <c r="BS419" s="9">
        <f t="shared" si="143"/>
        <v>0</v>
      </c>
      <c r="BT419" s="9">
        <f t="shared" si="144"/>
        <v>2310</v>
      </c>
    </row>
    <row r="420" spans="1:72" hidden="1" x14ac:dyDescent="0.25">
      <c r="A420" s="11">
        <f t="shared" si="137"/>
        <v>419</v>
      </c>
      <c r="B420" s="3" t="s">
        <v>1578</v>
      </c>
      <c r="C420" s="4" t="s">
        <v>59</v>
      </c>
      <c r="D420" s="4" t="s">
        <v>1551</v>
      </c>
      <c r="E420" s="4" t="s">
        <v>1542</v>
      </c>
      <c r="F420" s="4"/>
      <c r="G420" s="4" t="s">
        <v>324</v>
      </c>
      <c r="H420" s="4" t="s">
        <v>1074</v>
      </c>
      <c r="I420" s="4" t="s">
        <v>1042</v>
      </c>
      <c r="J420" s="4"/>
      <c r="K420" s="4" t="s">
        <v>319</v>
      </c>
      <c r="L420" s="13">
        <v>2000000</v>
      </c>
      <c r="M420" s="4" t="s">
        <v>291</v>
      </c>
      <c r="N420" s="5"/>
      <c r="O420" s="4" t="s">
        <v>199</v>
      </c>
      <c r="P420" s="14"/>
      <c r="Q420" s="41">
        <v>0.8</v>
      </c>
      <c r="R420" s="1">
        <f t="shared" si="138"/>
        <v>400000</v>
      </c>
      <c r="S420" s="40"/>
      <c r="T420" s="2">
        <f t="shared" si="139"/>
        <v>500000</v>
      </c>
      <c r="U420" s="13">
        <v>0</v>
      </c>
      <c r="V420" s="13">
        <v>0</v>
      </c>
      <c r="W420" s="13">
        <v>100000</v>
      </c>
      <c r="X420" s="13">
        <v>200000</v>
      </c>
      <c r="Y420" s="13">
        <v>200000</v>
      </c>
      <c r="Z420" s="13">
        <v>200000</v>
      </c>
      <c r="AA420" s="13">
        <v>200000</v>
      </c>
      <c r="AB420" s="13">
        <v>100000</v>
      </c>
      <c r="AC420" s="13">
        <v>100000</v>
      </c>
      <c r="AD420" s="13">
        <v>100000</v>
      </c>
      <c r="AE420" s="13">
        <v>100000</v>
      </c>
      <c r="AF420" s="13">
        <v>100000</v>
      </c>
      <c r="AG420" s="13">
        <v>100000</v>
      </c>
      <c r="AH420" s="13">
        <v>0</v>
      </c>
      <c r="AI420" s="13">
        <v>0</v>
      </c>
      <c r="AJ420" s="13">
        <v>0</v>
      </c>
      <c r="AK420" s="13"/>
      <c r="AL420" s="13"/>
      <c r="AM420" s="13">
        <v>0</v>
      </c>
      <c r="AN420" s="13">
        <v>0</v>
      </c>
      <c r="AO420" s="13"/>
      <c r="AP420" s="13"/>
      <c r="AQ420" s="13"/>
      <c r="AR420" s="13"/>
      <c r="AS420" s="13"/>
      <c r="AT420" s="4" t="s">
        <v>963</v>
      </c>
      <c r="AU420" s="4" t="s">
        <v>964</v>
      </c>
      <c r="AV420" s="4" t="s">
        <v>1220</v>
      </c>
      <c r="AW420" s="3" t="s">
        <v>98</v>
      </c>
      <c r="AX420" s="4" t="s">
        <v>89</v>
      </c>
      <c r="AY420" s="4" t="s">
        <v>90</v>
      </c>
      <c r="AZ420" s="4"/>
      <c r="BA420" s="4"/>
      <c r="BB420" s="4"/>
      <c r="BC420" s="4"/>
      <c r="BD420" s="23"/>
      <c r="BE420" s="4"/>
      <c r="BF420" s="18"/>
      <c r="BG420" s="18"/>
      <c r="BH420" s="18"/>
      <c r="BI420" s="18"/>
      <c r="BJ420" s="18"/>
      <c r="BK420" s="19"/>
      <c r="BL420" s="13"/>
      <c r="BM420" s="9">
        <f t="shared" si="134"/>
        <v>160000</v>
      </c>
      <c r="BN420" s="9">
        <f t="shared" si="135"/>
        <v>160000</v>
      </c>
      <c r="BO420" s="9">
        <f t="shared" si="136"/>
        <v>160000</v>
      </c>
      <c r="BP420" s="9">
        <f t="shared" si="140"/>
        <v>80000</v>
      </c>
      <c r="BQ420" s="9">
        <f t="shared" si="141"/>
        <v>80000</v>
      </c>
      <c r="BR420" s="9">
        <f t="shared" si="142"/>
        <v>80000</v>
      </c>
      <c r="BS420" s="9">
        <f t="shared" si="143"/>
        <v>80000</v>
      </c>
      <c r="BT420" s="9">
        <f t="shared" si="144"/>
        <v>80000</v>
      </c>
    </row>
    <row r="421" spans="1:72" hidden="1" x14ac:dyDescent="0.25">
      <c r="A421" s="11">
        <f t="shared" si="137"/>
        <v>420</v>
      </c>
      <c r="B421" s="3" t="s">
        <v>1579</v>
      </c>
      <c r="C421" s="4" t="s">
        <v>186</v>
      </c>
      <c r="D421" s="4" t="s">
        <v>1569</v>
      </c>
      <c r="E421" s="4" t="s">
        <v>1542</v>
      </c>
      <c r="F421" s="4"/>
      <c r="G421" s="4" t="s">
        <v>458</v>
      </c>
      <c r="H421" s="4" t="s">
        <v>1759</v>
      </c>
      <c r="I421" s="4"/>
      <c r="J421" s="4"/>
      <c r="K421" s="4" t="s">
        <v>1580</v>
      </c>
      <c r="L421" s="13"/>
      <c r="M421" s="4" t="s">
        <v>291</v>
      </c>
      <c r="N421" s="5"/>
      <c r="O421" s="4" t="s">
        <v>199</v>
      </c>
      <c r="P421" s="14"/>
      <c r="Q421" s="14">
        <v>0.33</v>
      </c>
      <c r="R421" s="1">
        <f t="shared" si="138"/>
        <v>1353000</v>
      </c>
      <c r="S421" s="40"/>
      <c r="T421" s="2">
        <f t="shared" si="139"/>
        <v>4100000</v>
      </c>
      <c r="U421" s="13">
        <v>400000</v>
      </c>
      <c r="V421" s="13">
        <v>700000</v>
      </c>
      <c r="W421" s="13">
        <v>700000</v>
      </c>
      <c r="X421" s="13">
        <v>700000</v>
      </c>
      <c r="Y421" s="13">
        <v>700000</v>
      </c>
      <c r="Z421" s="13">
        <v>2000000</v>
      </c>
      <c r="AA421" s="13">
        <v>2000000</v>
      </c>
      <c r="AB421" s="13">
        <v>600000</v>
      </c>
      <c r="AC421" s="13">
        <v>600000</v>
      </c>
      <c r="AD421" s="13">
        <v>700000</v>
      </c>
      <c r="AE421" s="13">
        <v>1000000</v>
      </c>
      <c r="AF421" s="13">
        <v>1200000</v>
      </c>
      <c r="AG421" s="13">
        <f t="shared" ref="AG421:AG422" si="149">AF421</f>
        <v>1200000</v>
      </c>
      <c r="AH421" s="13"/>
      <c r="AI421" s="13"/>
      <c r="AJ421" s="13"/>
      <c r="AK421" s="13"/>
      <c r="AL421" s="13"/>
      <c r="AM421" s="13"/>
      <c r="AN421" s="13">
        <v>0</v>
      </c>
      <c r="AO421" s="13"/>
      <c r="AP421" s="13"/>
      <c r="AQ421" s="13"/>
      <c r="AR421" s="13"/>
      <c r="AS421" s="13"/>
      <c r="AT421" s="4" t="s">
        <v>192</v>
      </c>
      <c r="AU421" s="4" t="s">
        <v>964</v>
      </c>
      <c r="AV421" s="4" t="s">
        <v>1218</v>
      </c>
      <c r="AW421" s="4" t="s">
        <v>222</v>
      </c>
      <c r="AX421" s="4" t="s">
        <v>275</v>
      </c>
      <c r="AY421" s="4" t="s">
        <v>276</v>
      </c>
      <c r="AZ421" s="4" t="s">
        <v>245</v>
      </c>
      <c r="BA421" s="4"/>
      <c r="BB421" s="4"/>
      <c r="BC421" s="4"/>
      <c r="BD421" s="23"/>
      <c r="BE421" s="4"/>
      <c r="BF421" s="18"/>
      <c r="BG421" s="18"/>
      <c r="BH421" s="18"/>
      <c r="BI421" s="18"/>
      <c r="BJ421" s="18"/>
      <c r="BK421" s="19"/>
      <c r="BL421" s="13"/>
      <c r="BM421" s="9">
        <f t="shared" si="134"/>
        <v>231000</v>
      </c>
      <c r="BN421" s="9">
        <f t="shared" si="135"/>
        <v>660000</v>
      </c>
      <c r="BO421" s="9">
        <f t="shared" si="136"/>
        <v>660000</v>
      </c>
      <c r="BP421" s="9">
        <f t="shared" si="140"/>
        <v>198000</v>
      </c>
      <c r="BQ421" s="9">
        <f t="shared" si="141"/>
        <v>198000</v>
      </c>
      <c r="BR421" s="9">
        <f t="shared" si="142"/>
        <v>231000</v>
      </c>
      <c r="BS421" s="9">
        <f t="shared" si="143"/>
        <v>330000</v>
      </c>
      <c r="BT421" s="9">
        <f t="shared" si="144"/>
        <v>396000</v>
      </c>
    </row>
    <row r="422" spans="1:72" hidden="1" x14ac:dyDescent="0.25">
      <c r="A422" s="11">
        <f t="shared" si="137"/>
        <v>421</v>
      </c>
      <c r="B422" s="3" t="s">
        <v>1581</v>
      </c>
      <c r="C422" s="4" t="s">
        <v>59</v>
      </c>
      <c r="D422" s="4" t="s">
        <v>1582</v>
      </c>
      <c r="E422" s="4" t="s">
        <v>1542</v>
      </c>
      <c r="F422" s="4"/>
      <c r="G422" s="4" t="s">
        <v>1824</v>
      </c>
      <c r="H422" s="4" t="s">
        <v>1824</v>
      </c>
      <c r="I422" s="4"/>
      <c r="J422" s="4"/>
      <c r="K422" s="4" t="s">
        <v>1384</v>
      </c>
      <c r="L422" s="13"/>
      <c r="M422" s="4" t="s">
        <v>291</v>
      </c>
      <c r="N422" s="5"/>
      <c r="O422" s="4"/>
      <c r="P422" s="14"/>
      <c r="Q422" s="14">
        <f>0.06*18326</f>
        <v>1099.56</v>
      </c>
      <c r="R422" s="1">
        <f t="shared" si="138"/>
        <v>422231.03999999998</v>
      </c>
      <c r="S422" s="40"/>
      <c r="T422" s="2">
        <f t="shared" si="139"/>
        <v>384</v>
      </c>
      <c r="U422" s="13">
        <v>1680000</v>
      </c>
      <c r="V422" s="13">
        <v>840000</v>
      </c>
      <c r="W422" s="13">
        <v>0</v>
      </c>
      <c r="X422" s="13">
        <v>0</v>
      </c>
      <c r="Y422" s="13">
        <v>96</v>
      </c>
      <c r="Z422" s="13">
        <v>96</v>
      </c>
      <c r="AA422" s="13">
        <v>48</v>
      </c>
      <c r="AB422" s="13">
        <v>48</v>
      </c>
      <c r="AC422" s="13">
        <v>120</v>
      </c>
      <c r="AD422" s="13">
        <v>96</v>
      </c>
      <c r="AE422" s="13">
        <v>96</v>
      </c>
      <c r="AF422" s="13">
        <v>24</v>
      </c>
      <c r="AG422" s="13">
        <f t="shared" si="149"/>
        <v>24</v>
      </c>
      <c r="AH422" s="13"/>
      <c r="AI422" s="13"/>
      <c r="AJ422" s="13">
        <v>0</v>
      </c>
      <c r="AK422" s="13">
        <v>0</v>
      </c>
      <c r="AL422" s="13"/>
      <c r="AM422" s="13">
        <v>0</v>
      </c>
      <c r="AN422" s="13">
        <v>48</v>
      </c>
      <c r="AO422" s="13"/>
      <c r="AP422" s="13"/>
      <c r="AQ422" s="13"/>
      <c r="AR422" s="13"/>
      <c r="AS422" s="13"/>
      <c r="AT422" s="4" t="s">
        <v>126</v>
      </c>
      <c r="AU422" s="4" t="s">
        <v>964</v>
      </c>
      <c r="AV422" s="4" t="s">
        <v>1219</v>
      </c>
      <c r="AW422" s="4" t="s">
        <v>969</v>
      </c>
      <c r="AX422" s="4" t="s">
        <v>970</v>
      </c>
      <c r="AY422" s="4" t="s">
        <v>245</v>
      </c>
      <c r="AZ422" s="4" t="s">
        <v>245</v>
      </c>
      <c r="BA422" s="4"/>
      <c r="BB422" s="4"/>
      <c r="BC422" s="4"/>
      <c r="BD422" s="23"/>
      <c r="BE422" s="4"/>
      <c r="BF422" s="18"/>
      <c r="BG422" s="18"/>
      <c r="BH422" s="18"/>
      <c r="BI422" s="18"/>
      <c r="BJ422" s="18"/>
      <c r="BK422" s="19"/>
      <c r="BL422" s="13"/>
      <c r="BM422" s="9">
        <f t="shared" si="134"/>
        <v>105557.75999999999</v>
      </c>
      <c r="BN422" s="9">
        <f t="shared" si="135"/>
        <v>105557.75999999999</v>
      </c>
      <c r="BO422" s="9">
        <f t="shared" si="136"/>
        <v>52778.879999999997</v>
      </c>
      <c r="BP422" s="9">
        <f t="shared" si="140"/>
        <v>52778.879999999997</v>
      </c>
      <c r="BQ422" s="9">
        <f t="shared" si="141"/>
        <v>131947.19999999998</v>
      </c>
      <c r="BR422" s="9">
        <f t="shared" si="142"/>
        <v>105557.75999999999</v>
      </c>
      <c r="BS422" s="9">
        <f t="shared" si="143"/>
        <v>105557.75999999999</v>
      </c>
      <c r="BT422" s="9">
        <f t="shared" si="144"/>
        <v>26389.439999999999</v>
      </c>
    </row>
    <row r="423" spans="1:72" hidden="1" x14ac:dyDescent="0.25">
      <c r="A423" s="11">
        <f t="shared" si="137"/>
        <v>422</v>
      </c>
      <c r="B423" s="3" t="s">
        <v>1583</v>
      </c>
      <c r="C423" s="4" t="s">
        <v>59</v>
      </c>
      <c r="D423" s="4" t="s">
        <v>1582</v>
      </c>
      <c r="E423" s="4" t="s">
        <v>1542</v>
      </c>
      <c r="F423" s="4"/>
      <c r="G423" s="4" t="s">
        <v>1584</v>
      </c>
      <c r="H423" s="4" t="s">
        <v>978</v>
      </c>
      <c r="I423" s="4"/>
      <c r="J423" s="4"/>
      <c r="K423" s="4" t="s">
        <v>1585</v>
      </c>
      <c r="L423" s="13"/>
      <c r="M423" s="4" t="s">
        <v>291</v>
      </c>
      <c r="N423" s="5"/>
      <c r="O423" s="4"/>
      <c r="P423" s="14"/>
      <c r="Q423" s="14">
        <f>0.06*75000</f>
        <v>4500</v>
      </c>
      <c r="R423" s="1">
        <f t="shared" si="138"/>
        <v>225000</v>
      </c>
      <c r="S423" s="40"/>
      <c r="T423" s="2">
        <f t="shared" si="139"/>
        <v>50</v>
      </c>
      <c r="U423" s="13">
        <v>0</v>
      </c>
      <c r="V423" s="13">
        <v>0</v>
      </c>
      <c r="W423" s="13">
        <v>25</v>
      </c>
      <c r="X423" s="13">
        <v>25</v>
      </c>
      <c r="Y423" s="13">
        <v>25</v>
      </c>
      <c r="Z423" s="13">
        <v>25</v>
      </c>
      <c r="AA423" s="13">
        <v>0</v>
      </c>
      <c r="AB423" s="13">
        <v>0</v>
      </c>
      <c r="AC423" s="13">
        <v>25</v>
      </c>
      <c r="AD423" s="13">
        <v>0</v>
      </c>
      <c r="AE423" s="13">
        <v>0</v>
      </c>
      <c r="AF423" s="13">
        <v>25</v>
      </c>
      <c r="AG423" s="13">
        <f>AF423</f>
        <v>25</v>
      </c>
      <c r="AH423" s="13"/>
      <c r="AI423" s="13">
        <v>0</v>
      </c>
      <c r="AJ423" s="13"/>
      <c r="AK423" s="13"/>
      <c r="AL423" s="13">
        <v>0</v>
      </c>
      <c r="AM423" s="13">
        <v>0</v>
      </c>
      <c r="AN423" s="13">
        <v>0</v>
      </c>
      <c r="AO423" s="13"/>
      <c r="AP423" s="13"/>
      <c r="AQ423" s="13"/>
      <c r="AR423" s="13"/>
      <c r="AS423" s="13"/>
      <c r="AT423" s="4" t="s">
        <v>192</v>
      </c>
      <c r="AU423" s="4" t="s">
        <v>964</v>
      </c>
      <c r="AV423" s="4" t="s">
        <v>1218</v>
      </c>
      <c r="AW423" s="3" t="s">
        <v>141</v>
      </c>
      <c r="AX423" s="4" t="s">
        <v>149</v>
      </c>
      <c r="AY423" s="4" t="s">
        <v>965</v>
      </c>
      <c r="AZ423" s="4" t="s">
        <v>965</v>
      </c>
      <c r="BA423" s="4"/>
      <c r="BB423" s="4"/>
      <c r="BC423" s="4"/>
      <c r="BD423" s="23"/>
      <c r="BE423" s="4"/>
      <c r="BF423" s="18"/>
      <c r="BG423" s="18"/>
      <c r="BH423" s="18"/>
      <c r="BI423" s="18"/>
      <c r="BJ423" s="18"/>
      <c r="BK423" s="19"/>
      <c r="BL423" s="13"/>
      <c r="BM423" s="9">
        <f t="shared" si="134"/>
        <v>112500</v>
      </c>
      <c r="BN423" s="9">
        <f t="shared" si="135"/>
        <v>112500</v>
      </c>
      <c r="BO423" s="9">
        <f t="shared" si="136"/>
        <v>0</v>
      </c>
      <c r="BP423" s="9">
        <f t="shared" si="140"/>
        <v>0</v>
      </c>
      <c r="BQ423" s="9">
        <f t="shared" si="141"/>
        <v>112500</v>
      </c>
      <c r="BR423" s="9">
        <f t="shared" si="142"/>
        <v>0</v>
      </c>
      <c r="BS423" s="9">
        <f t="shared" si="143"/>
        <v>0</v>
      </c>
      <c r="BT423" s="9">
        <f t="shared" si="144"/>
        <v>112500</v>
      </c>
    </row>
    <row r="424" spans="1:72" hidden="1" x14ac:dyDescent="0.25">
      <c r="A424" s="11">
        <f t="shared" si="137"/>
        <v>423</v>
      </c>
      <c r="B424" s="3" t="s">
        <v>1586</v>
      </c>
      <c r="C424" s="4" t="s">
        <v>59</v>
      </c>
      <c r="D424" s="4" t="s">
        <v>1551</v>
      </c>
      <c r="E424" s="4" t="s">
        <v>1542</v>
      </c>
      <c r="F424" s="4"/>
      <c r="G424" s="4" t="s">
        <v>443</v>
      </c>
      <c r="H424" s="4" t="s">
        <v>1814</v>
      </c>
      <c r="I424" s="4"/>
      <c r="J424" s="4"/>
      <c r="K424" s="4" t="s">
        <v>1242</v>
      </c>
      <c r="L424" s="13">
        <v>2000000</v>
      </c>
      <c r="M424" s="4" t="s">
        <v>297</v>
      </c>
      <c r="N424" s="5"/>
      <c r="O424" s="4"/>
      <c r="P424" s="14"/>
      <c r="Q424" s="14">
        <v>0.38</v>
      </c>
      <c r="R424" s="1">
        <f t="shared" si="138"/>
        <v>387600</v>
      </c>
      <c r="S424" s="40"/>
      <c r="T424" s="2">
        <f t="shared" si="139"/>
        <v>1020000</v>
      </c>
      <c r="U424" s="13">
        <v>200000</v>
      </c>
      <c r="V424" s="13">
        <v>120000</v>
      </c>
      <c r="W424" s="13">
        <v>240000</v>
      </c>
      <c r="X424" s="13">
        <v>120000</v>
      </c>
      <c r="Y424" s="13">
        <v>120000</v>
      </c>
      <c r="Z424" s="13">
        <v>120000</v>
      </c>
      <c r="AA424" s="13">
        <v>120000</v>
      </c>
      <c r="AB424" s="13">
        <v>120000</v>
      </c>
      <c r="AC424" s="13">
        <v>180000</v>
      </c>
      <c r="AD424" s="13">
        <v>240000</v>
      </c>
      <c r="AE424" s="13">
        <v>240000</v>
      </c>
      <c r="AF424" s="13">
        <v>240000</v>
      </c>
      <c r="AG424" s="13">
        <f>AF424</f>
        <v>240000</v>
      </c>
      <c r="AH424" s="13">
        <v>0</v>
      </c>
      <c r="AI424" s="13">
        <v>0</v>
      </c>
      <c r="AJ424" s="13">
        <v>0</v>
      </c>
      <c r="AK424" s="13">
        <v>0</v>
      </c>
      <c r="AL424" s="13">
        <v>0</v>
      </c>
      <c r="AM424" s="13">
        <v>0</v>
      </c>
      <c r="AN424" s="13">
        <v>0</v>
      </c>
      <c r="AO424" s="13"/>
      <c r="AP424" s="13"/>
      <c r="AQ424" s="13"/>
      <c r="AR424" s="13"/>
      <c r="AS424" s="13"/>
      <c r="AT424" s="4" t="s">
        <v>963</v>
      </c>
      <c r="AU424" s="4" t="s">
        <v>964</v>
      </c>
      <c r="AV424" s="4" t="s">
        <v>1218</v>
      </c>
      <c r="AW424" s="3" t="s">
        <v>98</v>
      </c>
      <c r="AX424" s="4" t="s">
        <v>110</v>
      </c>
      <c r="AY424" s="4" t="s">
        <v>172</v>
      </c>
      <c r="AZ424" s="4" t="s">
        <v>171</v>
      </c>
      <c r="BA424" s="4"/>
      <c r="BB424" s="4"/>
      <c r="BC424" s="4"/>
      <c r="BD424" s="23"/>
      <c r="BE424" s="4"/>
      <c r="BF424" s="18"/>
      <c r="BG424" s="18"/>
      <c r="BH424" s="18"/>
      <c r="BI424" s="18"/>
      <c r="BJ424" s="18"/>
      <c r="BK424" s="19"/>
      <c r="BL424" s="13"/>
      <c r="BM424" s="9">
        <f t="shared" si="134"/>
        <v>45600</v>
      </c>
      <c r="BN424" s="9">
        <f t="shared" si="135"/>
        <v>45600</v>
      </c>
      <c r="BO424" s="9">
        <f t="shared" si="136"/>
        <v>45600</v>
      </c>
      <c r="BP424" s="9">
        <f t="shared" si="140"/>
        <v>45600</v>
      </c>
      <c r="BQ424" s="9">
        <f t="shared" si="141"/>
        <v>68400</v>
      </c>
      <c r="BR424" s="9">
        <f t="shared" si="142"/>
        <v>91200</v>
      </c>
      <c r="BS424" s="9">
        <f t="shared" si="143"/>
        <v>91200</v>
      </c>
      <c r="BT424" s="9">
        <f t="shared" si="144"/>
        <v>91200</v>
      </c>
    </row>
    <row r="425" spans="1:72" hidden="1" x14ac:dyDescent="0.25">
      <c r="A425" s="11">
        <f t="shared" si="137"/>
        <v>424</v>
      </c>
      <c r="B425" s="3" t="s">
        <v>1587</v>
      </c>
      <c r="C425" s="4" t="s">
        <v>59</v>
      </c>
      <c r="D425" s="4" t="s">
        <v>1551</v>
      </c>
      <c r="E425" s="4" t="s">
        <v>1542</v>
      </c>
      <c r="F425" s="4"/>
      <c r="G425" s="4" t="s">
        <v>1311</v>
      </c>
      <c r="H425" s="4" t="s">
        <v>1075</v>
      </c>
      <c r="I425" s="4"/>
      <c r="J425" s="4"/>
      <c r="K425" s="4"/>
      <c r="L425" s="13"/>
      <c r="M425" s="4" t="s">
        <v>291</v>
      </c>
      <c r="N425" s="5"/>
      <c r="O425" s="4"/>
      <c r="P425" s="14"/>
      <c r="Q425" s="14">
        <v>5.3</v>
      </c>
      <c r="R425" s="1">
        <f t="shared" ref="R425" si="150">Q425*T425</f>
        <v>265000</v>
      </c>
      <c r="S425" s="40"/>
      <c r="T425" s="2">
        <f t="shared" ref="T425" si="151">SUM(AB425:AF425)</f>
        <v>50000</v>
      </c>
      <c r="U425" s="13">
        <v>10000</v>
      </c>
      <c r="V425" s="13">
        <v>5000</v>
      </c>
      <c r="W425" s="13">
        <v>10000</v>
      </c>
      <c r="X425" s="13">
        <v>10000</v>
      </c>
      <c r="Y425" s="13">
        <v>10000</v>
      </c>
      <c r="Z425" s="13">
        <v>10000</v>
      </c>
      <c r="AA425" s="13">
        <v>20000</v>
      </c>
      <c r="AB425" s="13">
        <v>10000</v>
      </c>
      <c r="AC425" s="13">
        <v>10000</v>
      </c>
      <c r="AD425" s="13">
        <v>10000</v>
      </c>
      <c r="AE425" s="13">
        <v>10000</v>
      </c>
      <c r="AF425" s="13">
        <v>10000</v>
      </c>
      <c r="AG425" s="13">
        <v>10000</v>
      </c>
      <c r="AH425" s="13"/>
      <c r="AI425" s="13">
        <v>0</v>
      </c>
      <c r="AJ425" s="13"/>
      <c r="AK425" s="13">
        <v>0</v>
      </c>
      <c r="AL425" s="13"/>
      <c r="AM425" s="13"/>
      <c r="AN425" s="13">
        <v>0</v>
      </c>
      <c r="AO425" s="13"/>
      <c r="AP425" s="13"/>
      <c r="AQ425" s="13"/>
      <c r="AR425" s="13"/>
      <c r="AS425" s="13"/>
      <c r="AT425" s="4" t="s">
        <v>963</v>
      </c>
      <c r="AU425" s="4" t="s">
        <v>964</v>
      </c>
      <c r="AV425" s="4" t="s">
        <v>1220</v>
      </c>
      <c r="AW425" s="4" t="s">
        <v>222</v>
      </c>
      <c r="AX425" s="4" t="s">
        <v>275</v>
      </c>
      <c r="AY425" s="4" t="s">
        <v>979</v>
      </c>
      <c r="AZ425" s="4" t="s">
        <v>980</v>
      </c>
      <c r="BA425" s="4"/>
      <c r="BB425" s="4"/>
      <c r="BC425" s="4"/>
      <c r="BD425" s="23"/>
      <c r="BE425" s="4"/>
      <c r="BF425" s="18"/>
      <c r="BG425" s="18"/>
      <c r="BH425" s="18"/>
      <c r="BI425" s="18"/>
      <c r="BJ425" s="18"/>
      <c r="BK425" s="19"/>
      <c r="BL425" s="13"/>
      <c r="BM425" s="9">
        <f t="shared" ref="BM425" si="152">$Q425*Y425</f>
        <v>53000</v>
      </c>
      <c r="BN425" s="9">
        <f t="shared" ref="BN425" si="153">$Q425*Z425</f>
        <v>53000</v>
      </c>
      <c r="BO425" s="9">
        <f t="shared" ref="BO425" si="154">$Q425*AA425</f>
        <v>106000</v>
      </c>
      <c r="BP425" s="9">
        <f t="shared" si="140"/>
        <v>53000</v>
      </c>
      <c r="BQ425" s="9">
        <f t="shared" si="141"/>
        <v>53000</v>
      </c>
      <c r="BR425" s="9">
        <f t="shared" si="142"/>
        <v>53000</v>
      </c>
      <c r="BS425" s="9">
        <f t="shared" si="143"/>
        <v>53000</v>
      </c>
      <c r="BT425" s="9">
        <f t="shared" si="144"/>
        <v>53000</v>
      </c>
    </row>
    <row r="426" spans="1:72" hidden="1" x14ac:dyDescent="0.25">
      <c r="A426" s="11">
        <f t="shared" si="137"/>
        <v>425</v>
      </c>
      <c r="B426" s="3" t="s">
        <v>1587</v>
      </c>
      <c r="C426" s="4" t="s">
        <v>59</v>
      </c>
      <c r="D426" s="4" t="s">
        <v>1551</v>
      </c>
      <c r="E426" s="4" t="s">
        <v>1542</v>
      </c>
      <c r="F426" s="4"/>
      <c r="G426" s="4" t="s">
        <v>1311</v>
      </c>
      <c r="H426" s="4" t="s">
        <v>1075</v>
      </c>
      <c r="I426" s="4"/>
      <c r="J426" s="4"/>
      <c r="K426" s="4"/>
      <c r="L426" s="13"/>
      <c r="M426" s="4" t="s">
        <v>291</v>
      </c>
      <c r="N426" s="5"/>
      <c r="O426" s="4"/>
      <c r="P426" s="14"/>
      <c r="Q426" s="14">
        <v>5.3</v>
      </c>
      <c r="R426" s="1">
        <f t="shared" si="138"/>
        <v>265000</v>
      </c>
      <c r="S426" s="40"/>
      <c r="T426" s="2">
        <f t="shared" si="139"/>
        <v>50000</v>
      </c>
      <c r="U426" s="13">
        <v>10000</v>
      </c>
      <c r="V426" s="13">
        <v>5000</v>
      </c>
      <c r="W426" s="13">
        <v>10000</v>
      </c>
      <c r="X426" s="13">
        <v>10000</v>
      </c>
      <c r="Y426" s="13">
        <v>10000</v>
      </c>
      <c r="Z426" s="13">
        <v>10000</v>
      </c>
      <c r="AA426" s="13">
        <v>20000</v>
      </c>
      <c r="AB426" s="13">
        <v>10000</v>
      </c>
      <c r="AC426" s="13">
        <v>10000</v>
      </c>
      <c r="AD426" s="13">
        <v>10000</v>
      </c>
      <c r="AE426" s="13">
        <v>10000</v>
      </c>
      <c r="AF426" s="13">
        <v>10000</v>
      </c>
      <c r="AG426" s="13">
        <v>10000</v>
      </c>
      <c r="AH426" s="13"/>
      <c r="AI426" s="13">
        <v>0</v>
      </c>
      <c r="AJ426" s="13"/>
      <c r="AK426" s="13">
        <v>0</v>
      </c>
      <c r="AL426" s="13"/>
      <c r="AM426" s="13"/>
      <c r="AN426" s="13">
        <v>0</v>
      </c>
      <c r="AO426" s="13"/>
      <c r="AP426" s="13"/>
      <c r="AQ426" s="13"/>
      <c r="AR426" s="13"/>
      <c r="AS426" s="13"/>
      <c r="AT426" s="4" t="s">
        <v>963</v>
      </c>
      <c r="AU426" s="4" t="s">
        <v>964</v>
      </c>
      <c r="AV426" s="4" t="s">
        <v>1220</v>
      </c>
      <c r="AW426" s="4" t="s">
        <v>222</v>
      </c>
      <c r="AX426" s="4" t="s">
        <v>275</v>
      </c>
      <c r="AY426" s="4" t="s">
        <v>979</v>
      </c>
      <c r="AZ426" s="4" t="s">
        <v>980</v>
      </c>
      <c r="BA426" s="4"/>
      <c r="BB426" s="4"/>
      <c r="BC426" s="4"/>
      <c r="BD426" s="23"/>
      <c r="BE426" s="4"/>
      <c r="BF426" s="18"/>
      <c r="BG426" s="18"/>
      <c r="BH426" s="18"/>
      <c r="BI426" s="18"/>
      <c r="BJ426" s="18"/>
      <c r="BK426" s="19"/>
      <c r="BL426" s="13"/>
      <c r="BM426" s="9">
        <f t="shared" si="134"/>
        <v>53000</v>
      </c>
      <c r="BN426" s="9">
        <f t="shared" si="135"/>
        <v>53000</v>
      </c>
      <c r="BO426" s="9">
        <f t="shared" si="136"/>
        <v>106000</v>
      </c>
      <c r="BP426" s="9">
        <f t="shared" si="140"/>
        <v>53000</v>
      </c>
      <c r="BQ426" s="9">
        <f t="shared" si="141"/>
        <v>53000</v>
      </c>
      <c r="BR426" s="9">
        <f t="shared" si="142"/>
        <v>53000</v>
      </c>
      <c r="BS426" s="9">
        <f t="shared" si="143"/>
        <v>53000</v>
      </c>
      <c r="BT426" s="9">
        <f t="shared" si="144"/>
        <v>53000</v>
      </c>
    </row>
    <row r="427" spans="1:72" hidden="1" x14ac:dyDescent="0.25">
      <c r="A427" s="11">
        <f t="shared" si="137"/>
        <v>426</v>
      </c>
      <c r="B427" s="3" t="s">
        <v>1588</v>
      </c>
      <c r="C427" s="4" t="s">
        <v>59</v>
      </c>
      <c r="D427" s="4" t="s">
        <v>1551</v>
      </c>
      <c r="E427" s="4" t="s">
        <v>1542</v>
      </c>
      <c r="F427" s="4"/>
      <c r="G427" s="4" t="s">
        <v>1328</v>
      </c>
      <c r="H427" s="4" t="s">
        <v>315</v>
      </c>
      <c r="I427" s="4"/>
      <c r="J427" s="4"/>
      <c r="K427" s="4"/>
      <c r="L427" s="13"/>
      <c r="M427" s="4" t="s">
        <v>297</v>
      </c>
      <c r="N427" s="5"/>
      <c r="O427" s="4"/>
      <c r="P427" s="14"/>
      <c r="Q427" s="14">
        <v>2</v>
      </c>
      <c r="R427" s="1">
        <f t="shared" si="138"/>
        <v>100000</v>
      </c>
      <c r="S427" s="40"/>
      <c r="T427" s="2">
        <f t="shared" si="139"/>
        <v>50000</v>
      </c>
      <c r="U427" s="13">
        <v>10000</v>
      </c>
      <c r="V427" s="13">
        <v>5000</v>
      </c>
      <c r="W427" s="13">
        <v>10000</v>
      </c>
      <c r="X427" s="13">
        <v>10000</v>
      </c>
      <c r="Y427" s="13">
        <v>10000</v>
      </c>
      <c r="Z427" s="13">
        <v>10000</v>
      </c>
      <c r="AA427" s="13">
        <v>10000</v>
      </c>
      <c r="AB427" s="13">
        <v>10000</v>
      </c>
      <c r="AC427" s="13">
        <v>10000</v>
      </c>
      <c r="AD427" s="13">
        <v>10000</v>
      </c>
      <c r="AE427" s="13">
        <v>10000</v>
      </c>
      <c r="AF427" s="13">
        <v>10000</v>
      </c>
      <c r="AG427" s="13">
        <f>AF427</f>
        <v>10000</v>
      </c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4"/>
      <c r="AU427" s="4" t="s">
        <v>1105</v>
      </c>
      <c r="AV427" s="4" t="s">
        <v>1220</v>
      </c>
      <c r="AW427" s="3"/>
      <c r="AX427" s="4"/>
      <c r="AY427" s="4"/>
      <c r="AZ427" s="4"/>
      <c r="BA427" s="4"/>
      <c r="BB427" s="4"/>
      <c r="BC427" s="4"/>
      <c r="BD427" s="23"/>
      <c r="BE427" s="4"/>
      <c r="BF427" s="18"/>
      <c r="BG427" s="18"/>
      <c r="BH427" s="18"/>
      <c r="BI427" s="18"/>
      <c r="BJ427" s="18"/>
      <c r="BK427" s="19"/>
      <c r="BL427" s="13"/>
      <c r="BM427" s="9">
        <f t="shared" si="134"/>
        <v>20000</v>
      </c>
      <c r="BN427" s="9">
        <f t="shared" si="135"/>
        <v>20000</v>
      </c>
      <c r="BO427" s="9">
        <f t="shared" si="136"/>
        <v>20000</v>
      </c>
      <c r="BP427" s="9">
        <f t="shared" si="140"/>
        <v>20000</v>
      </c>
      <c r="BQ427" s="9">
        <f t="shared" si="141"/>
        <v>20000</v>
      </c>
      <c r="BR427" s="9">
        <f t="shared" si="142"/>
        <v>20000</v>
      </c>
      <c r="BS427" s="9">
        <f t="shared" si="143"/>
        <v>20000</v>
      </c>
      <c r="BT427" s="9">
        <f t="shared" si="144"/>
        <v>20000</v>
      </c>
    </row>
    <row r="428" spans="1:72" hidden="1" x14ac:dyDescent="0.25">
      <c r="A428" s="11">
        <f t="shared" si="137"/>
        <v>427</v>
      </c>
      <c r="B428" s="3" t="s">
        <v>1589</v>
      </c>
      <c r="C428" s="4" t="s">
        <v>59</v>
      </c>
      <c r="D428" s="4" t="s">
        <v>1551</v>
      </c>
      <c r="E428" s="4" t="s">
        <v>1542</v>
      </c>
      <c r="F428" s="4"/>
      <c r="G428" s="77" t="s">
        <v>1590</v>
      </c>
      <c r="H428" s="4"/>
      <c r="I428" s="4"/>
      <c r="J428" s="4"/>
      <c r="K428" s="4" t="s">
        <v>1591</v>
      </c>
      <c r="L428" s="13"/>
      <c r="M428" s="4" t="s">
        <v>320</v>
      </c>
      <c r="N428" s="5" t="s">
        <v>1592</v>
      </c>
      <c r="O428" s="4" t="s">
        <v>199</v>
      </c>
      <c r="P428" s="14"/>
      <c r="Q428" s="14">
        <v>0.42</v>
      </c>
      <c r="R428" s="1">
        <f t="shared" si="138"/>
        <v>176400</v>
      </c>
      <c r="S428" s="40"/>
      <c r="T428" s="2">
        <f t="shared" si="139"/>
        <v>420000</v>
      </c>
      <c r="U428" s="13">
        <v>0</v>
      </c>
      <c r="V428" s="13">
        <v>0</v>
      </c>
      <c r="W428" s="13">
        <v>0</v>
      </c>
      <c r="X428" s="13"/>
      <c r="Y428" s="13">
        <v>30000</v>
      </c>
      <c r="Z428" s="13">
        <v>30000</v>
      </c>
      <c r="AA428" s="13">
        <v>30000</v>
      </c>
      <c r="AB428" s="13">
        <v>60000</v>
      </c>
      <c r="AC428" s="13">
        <v>60000</v>
      </c>
      <c r="AD428" s="13">
        <v>60000</v>
      </c>
      <c r="AE428" s="13">
        <v>120000</v>
      </c>
      <c r="AF428" s="13">
        <v>120000</v>
      </c>
      <c r="AG428" s="13">
        <f>AF428</f>
        <v>120000</v>
      </c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4" t="s">
        <v>963</v>
      </c>
      <c r="AU428" s="4" t="s">
        <v>964</v>
      </c>
      <c r="AV428" s="4" t="s">
        <v>1218</v>
      </c>
      <c r="AW428" s="3" t="s">
        <v>98</v>
      </c>
      <c r="AX428" s="4" t="s">
        <v>110</v>
      </c>
      <c r="AY428" s="4" t="s">
        <v>982</v>
      </c>
      <c r="AZ428" s="4" t="s">
        <v>981</v>
      </c>
      <c r="BA428" s="4"/>
      <c r="BB428" s="4"/>
      <c r="BC428" s="4"/>
      <c r="BD428" s="23"/>
      <c r="BE428" s="4"/>
      <c r="BF428" s="18"/>
      <c r="BG428" s="18"/>
      <c r="BH428" s="18"/>
      <c r="BI428" s="18"/>
      <c r="BJ428" s="18"/>
      <c r="BK428" s="19"/>
      <c r="BL428" s="13"/>
      <c r="BM428" s="9">
        <f t="shared" si="134"/>
        <v>12600</v>
      </c>
      <c r="BN428" s="9">
        <f t="shared" si="135"/>
        <v>12600</v>
      </c>
      <c r="BO428" s="9">
        <f t="shared" si="136"/>
        <v>12600</v>
      </c>
      <c r="BP428" s="9">
        <f t="shared" si="140"/>
        <v>25200</v>
      </c>
      <c r="BQ428" s="9">
        <f t="shared" si="141"/>
        <v>25200</v>
      </c>
      <c r="BR428" s="9">
        <f t="shared" si="142"/>
        <v>25200</v>
      </c>
      <c r="BS428" s="9">
        <f t="shared" si="143"/>
        <v>50400</v>
      </c>
      <c r="BT428" s="9">
        <f t="shared" si="144"/>
        <v>50400</v>
      </c>
    </row>
    <row r="429" spans="1:72" hidden="1" x14ac:dyDescent="0.25">
      <c r="A429" s="11">
        <f t="shared" si="137"/>
        <v>428</v>
      </c>
      <c r="B429" s="3" t="s">
        <v>1593</v>
      </c>
      <c r="C429" s="4" t="s">
        <v>186</v>
      </c>
      <c r="D429" s="4" t="s">
        <v>1551</v>
      </c>
      <c r="E429" s="4" t="s">
        <v>1542</v>
      </c>
      <c r="F429" s="4"/>
      <c r="G429" s="4" t="s">
        <v>443</v>
      </c>
      <c r="H429" s="4" t="s">
        <v>1814</v>
      </c>
      <c r="I429" s="4"/>
      <c r="J429" s="4"/>
      <c r="K429" s="4" t="s">
        <v>1242</v>
      </c>
      <c r="L429" s="13"/>
      <c r="M429" s="4" t="s">
        <v>291</v>
      </c>
      <c r="N429" s="5" t="s">
        <v>1594</v>
      </c>
      <c r="O429" s="4" t="s">
        <v>199</v>
      </c>
      <c r="P429" s="14"/>
      <c r="Q429" s="14">
        <v>0.38</v>
      </c>
      <c r="R429" s="1">
        <f t="shared" si="138"/>
        <v>1482000</v>
      </c>
      <c r="S429" s="40"/>
      <c r="T429" s="2">
        <f t="shared" si="139"/>
        <v>3900000</v>
      </c>
      <c r="U429" s="13">
        <v>459000</v>
      </c>
      <c r="V429" s="13">
        <v>300000</v>
      </c>
      <c r="W429" s="13">
        <v>600000</v>
      </c>
      <c r="X429" s="13">
        <v>600000</v>
      </c>
      <c r="Y429" s="13">
        <v>600000</v>
      </c>
      <c r="Z429" s="13">
        <v>600000</v>
      </c>
      <c r="AA429" s="13">
        <v>600000</v>
      </c>
      <c r="AB429" s="13">
        <v>600000</v>
      </c>
      <c r="AC429" s="13">
        <v>600000</v>
      </c>
      <c r="AD429" s="13">
        <v>700000</v>
      </c>
      <c r="AE429" s="13">
        <v>1000000</v>
      </c>
      <c r="AF429" s="13">
        <v>1000000</v>
      </c>
      <c r="AG429" s="13">
        <f>AF429</f>
        <v>1000000</v>
      </c>
      <c r="AH429" s="13"/>
      <c r="AI429" s="13"/>
      <c r="AJ429" s="13"/>
      <c r="AK429" s="13">
        <v>0</v>
      </c>
      <c r="AL429" s="13"/>
      <c r="AM429" s="13"/>
      <c r="AN429" s="13">
        <v>0</v>
      </c>
      <c r="AO429" s="13"/>
      <c r="AP429" s="13"/>
      <c r="AQ429" s="13"/>
      <c r="AR429" s="13"/>
      <c r="AS429" s="13"/>
      <c r="AT429" s="4" t="s">
        <v>963</v>
      </c>
      <c r="AU429" s="4" t="s">
        <v>964</v>
      </c>
      <c r="AV429" s="4" t="s">
        <v>1218</v>
      </c>
      <c r="AW429" s="3" t="s">
        <v>98</v>
      </c>
      <c r="AX429" s="4" t="s">
        <v>110</v>
      </c>
      <c r="AY429" s="4" t="s">
        <v>172</v>
      </c>
      <c r="AZ429" s="4" t="s">
        <v>171</v>
      </c>
      <c r="BA429" s="4"/>
      <c r="BB429" s="4"/>
      <c r="BC429" s="4"/>
      <c r="BD429" s="23"/>
      <c r="BE429" s="4"/>
      <c r="BF429" s="18"/>
      <c r="BG429" s="18"/>
      <c r="BH429" s="18"/>
      <c r="BI429" s="18"/>
      <c r="BJ429" s="18"/>
      <c r="BK429" s="19"/>
      <c r="BL429" s="13"/>
      <c r="BM429" s="9">
        <f t="shared" si="134"/>
        <v>228000</v>
      </c>
      <c r="BN429" s="9">
        <f t="shared" si="135"/>
        <v>228000</v>
      </c>
      <c r="BO429" s="9">
        <f t="shared" si="136"/>
        <v>228000</v>
      </c>
      <c r="BP429" s="9">
        <f t="shared" si="140"/>
        <v>228000</v>
      </c>
      <c r="BQ429" s="9">
        <f t="shared" si="141"/>
        <v>228000</v>
      </c>
      <c r="BR429" s="9">
        <f t="shared" si="142"/>
        <v>266000</v>
      </c>
      <c r="BS429" s="9">
        <f t="shared" si="143"/>
        <v>380000</v>
      </c>
      <c r="BT429" s="9">
        <f t="shared" si="144"/>
        <v>380000</v>
      </c>
    </row>
    <row r="430" spans="1:72" hidden="1" x14ac:dyDescent="0.25">
      <c r="A430" s="11">
        <f t="shared" si="137"/>
        <v>429</v>
      </c>
      <c r="B430" s="3" t="s">
        <v>1593</v>
      </c>
      <c r="C430" s="4" t="s">
        <v>186</v>
      </c>
      <c r="D430" s="4" t="s">
        <v>1551</v>
      </c>
      <c r="E430" s="4" t="s">
        <v>1542</v>
      </c>
      <c r="F430" s="4"/>
      <c r="G430" s="4" t="s">
        <v>458</v>
      </c>
      <c r="H430" s="4" t="s">
        <v>481</v>
      </c>
      <c r="I430" s="4"/>
      <c r="J430" s="4"/>
      <c r="K430" s="4" t="s">
        <v>1591</v>
      </c>
      <c r="L430" s="13"/>
      <c r="M430" s="4" t="s">
        <v>291</v>
      </c>
      <c r="N430" s="5" t="s">
        <v>1594</v>
      </c>
      <c r="O430" s="4" t="s">
        <v>199</v>
      </c>
      <c r="P430" s="14"/>
      <c r="Q430" s="14">
        <v>0.25</v>
      </c>
      <c r="R430" s="1">
        <f t="shared" si="138"/>
        <v>300000</v>
      </c>
      <c r="S430" s="40"/>
      <c r="T430" s="2">
        <f t="shared" si="139"/>
        <v>1200000</v>
      </c>
      <c r="U430" s="13">
        <v>0</v>
      </c>
      <c r="V430" s="13">
        <v>200000</v>
      </c>
      <c r="W430" s="13">
        <v>200000</v>
      </c>
      <c r="X430" s="13">
        <v>200000</v>
      </c>
      <c r="Y430" s="13">
        <v>240000</v>
      </c>
      <c r="Z430" s="13">
        <v>240000</v>
      </c>
      <c r="AA430" s="13">
        <v>120000</v>
      </c>
      <c r="AB430" s="13">
        <v>240000</v>
      </c>
      <c r="AC430" s="13">
        <v>240000</v>
      </c>
      <c r="AD430" s="13">
        <v>240000</v>
      </c>
      <c r="AE430" s="13">
        <v>240000</v>
      </c>
      <c r="AF430" s="13">
        <v>240000</v>
      </c>
      <c r="AG430" s="13">
        <f>AF430</f>
        <v>240000</v>
      </c>
      <c r="AH430" s="13">
        <v>0</v>
      </c>
      <c r="AI430" s="13">
        <v>0</v>
      </c>
      <c r="AJ430" s="13"/>
      <c r="AK430" s="13"/>
      <c r="AL430" s="13"/>
      <c r="AM430" s="13">
        <v>0</v>
      </c>
      <c r="AN430" s="13">
        <v>0</v>
      </c>
      <c r="AO430" s="13"/>
      <c r="AP430" s="13"/>
      <c r="AQ430" s="13"/>
      <c r="AR430" s="13"/>
      <c r="AS430" s="13"/>
      <c r="AT430" s="4" t="s">
        <v>963</v>
      </c>
      <c r="AU430" s="4" t="s">
        <v>964</v>
      </c>
      <c r="AV430" s="4" t="s">
        <v>1218</v>
      </c>
      <c r="AW430" s="3" t="s">
        <v>98</v>
      </c>
      <c r="AX430" s="4" t="s">
        <v>110</v>
      </c>
      <c r="AY430" s="4" t="s">
        <v>982</v>
      </c>
      <c r="AZ430" s="4" t="s">
        <v>981</v>
      </c>
      <c r="BA430" s="4"/>
      <c r="BB430" s="4"/>
      <c r="BC430" s="4"/>
      <c r="BD430" s="23"/>
      <c r="BE430" s="4"/>
      <c r="BF430" s="18"/>
      <c r="BG430" s="18"/>
      <c r="BH430" s="18"/>
      <c r="BI430" s="18"/>
      <c r="BJ430" s="18"/>
      <c r="BK430" s="19"/>
      <c r="BL430" s="13"/>
      <c r="BM430" s="9">
        <f t="shared" si="134"/>
        <v>60000</v>
      </c>
      <c r="BN430" s="9">
        <f t="shared" si="135"/>
        <v>60000</v>
      </c>
      <c r="BO430" s="9">
        <f t="shared" si="136"/>
        <v>30000</v>
      </c>
      <c r="BP430" s="9">
        <f t="shared" si="140"/>
        <v>60000</v>
      </c>
      <c r="BQ430" s="9">
        <f t="shared" si="141"/>
        <v>60000</v>
      </c>
      <c r="BR430" s="9">
        <f t="shared" si="142"/>
        <v>60000</v>
      </c>
      <c r="BS430" s="9">
        <f t="shared" si="143"/>
        <v>60000</v>
      </c>
      <c r="BT430" s="9">
        <f t="shared" si="144"/>
        <v>60000</v>
      </c>
    </row>
    <row r="431" spans="1:72" hidden="1" x14ac:dyDescent="0.25">
      <c r="A431" s="11">
        <f t="shared" si="137"/>
        <v>430</v>
      </c>
      <c r="B431" s="3" t="s">
        <v>1593</v>
      </c>
      <c r="C431" s="4" t="s">
        <v>186</v>
      </c>
      <c r="D431" s="4" t="s">
        <v>1551</v>
      </c>
      <c r="E431" s="4" t="s">
        <v>1542</v>
      </c>
      <c r="F431" s="4"/>
      <c r="G431" s="4" t="s">
        <v>1241</v>
      </c>
      <c r="H431" s="4" t="s">
        <v>1052</v>
      </c>
      <c r="I431" s="4"/>
      <c r="J431" s="4"/>
      <c r="K431" s="4" t="s">
        <v>1591</v>
      </c>
      <c r="L431" s="13"/>
      <c r="M431" s="4" t="s">
        <v>291</v>
      </c>
      <c r="N431" s="5" t="s">
        <v>1594</v>
      </c>
      <c r="O431" s="4" t="s">
        <v>199</v>
      </c>
      <c r="P431" s="14"/>
      <c r="Q431" s="14">
        <v>0.25</v>
      </c>
      <c r="R431" s="1">
        <f t="shared" si="138"/>
        <v>270000</v>
      </c>
      <c r="S431" s="40"/>
      <c r="T431" s="2">
        <f t="shared" si="139"/>
        <v>1080000</v>
      </c>
      <c r="U431" s="13">
        <v>6000</v>
      </c>
      <c r="V431" s="13">
        <v>0</v>
      </c>
      <c r="W431" s="13">
        <v>10000</v>
      </c>
      <c r="X431" s="13">
        <v>0</v>
      </c>
      <c r="Y431" s="13">
        <v>240000</v>
      </c>
      <c r="Z431" s="13">
        <v>120000</v>
      </c>
      <c r="AA431" s="13">
        <v>120000</v>
      </c>
      <c r="AB431" s="13">
        <v>120000</v>
      </c>
      <c r="AC431" s="13">
        <v>240000</v>
      </c>
      <c r="AD431" s="13">
        <v>240000</v>
      </c>
      <c r="AE431" s="13">
        <v>240000</v>
      </c>
      <c r="AF431" s="13">
        <v>240000</v>
      </c>
      <c r="AG431" s="13">
        <f t="shared" ref="AG431:AG432" si="155">AF431</f>
        <v>240000</v>
      </c>
      <c r="AH431" s="13"/>
      <c r="AI431" s="13">
        <v>0</v>
      </c>
      <c r="AJ431" s="13">
        <v>0</v>
      </c>
      <c r="AK431" s="13"/>
      <c r="AL431" s="13">
        <v>0</v>
      </c>
      <c r="AM431" s="13">
        <v>0</v>
      </c>
      <c r="AN431" s="13">
        <v>0</v>
      </c>
      <c r="AO431" s="13"/>
      <c r="AP431" s="13"/>
      <c r="AQ431" s="13"/>
      <c r="AR431" s="13"/>
      <c r="AS431" s="13"/>
      <c r="AT431" s="4" t="s">
        <v>963</v>
      </c>
      <c r="AU431" s="4" t="s">
        <v>964</v>
      </c>
      <c r="AV431" s="4" t="s">
        <v>1218</v>
      </c>
      <c r="AW431" s="3" t="s">
        <v>98</v>
      </c>
      <c r="AX431" s="4" t="s">
        <v>110</v>
      </c>
      <c r="AY431" s="4" t="s">
        <v>982</v>
      </c>
      <c r="AZ431" s="4" t="s">
        <v>981</v>
      </c>
      <c r="BA431" s="4"/>
      <c r="BB431" s="4"/>
      <c r="BC431" s="4"/>
      <c r="BD431" s="23"/>
      <c r="BE431" s="4"/>
      <c r="BF431" s="18"/>
      <c r="BG431" s="18"/>
      <c r="BH431" s="18"/>
      <c r="BI431" s="18"/>
      <c r="BJ431" s="18"/>
      <c r="BK431" s="19"/>
      <c r="BL431" s="13"/>
      <c r="BM431" s="9">
        <f t="shared" si="134"/>
        <v>60000</v>
      </c>
      <c r="BN431" s="9">
        <f t="shared" si="135"/>
        <v>30000</v>
      </c>
      <c r="BO431" s="9">
        <f t="shared" si="136"/>
        <v>30000</v>
      </c>
      <c r="BP431" s="9">
        <f t="shared" si="140"/>
        <v>30000</v>
      </c>
      <c r="BQ431" s="9">
        <f t="shared" si="141"/>
        <v>60000</v>
      </c>
      <c r="BR431" s="9">
        <f t="shared" si="142"/>
        <v>60000</v>
      </c>
      <c r="BS431" s="9">
        <f t="shared" si="143"/>
        <v>60000</v>
      </c>
      <c r="BT431" s="9">
        <f t="shared" si="144"/>
        <v>60000</v>
      </c>
    </row>
    <row r="432" spans="1:72" hidden="1" x14ac:dyDescent="0.25">
      <c r="A432" s="11">
        <f t="shared" si="137"/>
        <v>431</v>
      </c>
      <c r="B432" s="3" t="s">
        <v>1595</v>
      </c>
      <c r="C432" s="4" t="s">
        <v>186</v>
      </c>
      <c r="D432" s="4" t="s">
        <v>1551</v>
      </c>
      <c r="E432" s="4" t="s">
        <v>1542</v>
      </c>
      <c r="F432" s="4"/>
      <c r="G432" s="4" t="s">
        <v>105</v>
      </c>
      <c r="H432" s="4" t="s">
        <v>106</v>
      </c>
      <c r="I432" s="4"/>
      <c r="J432" s="4"/>
      <c r="K432" s="4" t="s">
        <v>523</v>
      </c>
      <c r="L432" s="13"/>
      <c r="M432" s="4" t="s">
        <v>74</v>
      </c>
      <c r="N432" s="5" t="s">
        <v>1596</v>
      </c>
      <c r="O432" s="4" t="s">
        <v>984</v>
      </c>
      <c r="P432" s="14"/>
      <c r="Q432" s="14">
        <v>0.42</v>
      </c>
      <c r="R432" s="1">
        <f t="shared" si="138"/>
        <v>75600</v>
      </c>
      <c r="S432" s="40"/>
      <c r="T432" s="2">
        <f t="shared" si="139"/>
        <v>180000</v>
      </c>
      <c r="U432" s="13">
        <v>21000</v>
      </c>
      <c r="V432" s="13">
        <v>0</v>
      </c>
      <c r="W432" s="13">
        <v>21000</v>
      </c>
      <c r="X432" s="13">
        <v>0</v>
      </c>
      <c r="Y432" s="13">
        <v>0</v>
      </c>
      <c r="Z432" s="13">
        <v>0</v>
      </c>
      <c r="AA432" s="13">
        <v>60000</v>
      </c>
      <c r="AB432" s="13">
        <v>0</v>
      </c>
      <c r="AC432" s="13">
        <v>60000</v>
      </c>
      <c r="AD432" s="13">
        <v>0</v>
      </c>
      <c r="AE432" s="13">
        <v>0</v>
      </c>
      <c r="AF432" s="13">
        <v>120000</v>
      </c>
      <c r="AG432" s="13">
        <f t="shared" si="155"/>
        <v>120000</v>
      </c>
      <c r="AH432" s="13">
        <v>0</v>
      </c>
      <c r="AI432" s="13">
        <v>0</v>
      </c>
      <c r="AJ432" s="13">
        <v>0</v>
      </c>
      <c r="AK432" s="13">
        <v>0</v>
      </c>
      <c r="AL432" s="13">
        <v>0</v>
      </c>
      <c r="AM432" s="13">
        <v>0</v>
      </c>
      <c r="AN432" s="13">
        <v>0</v>
      </c>
      <c r="AO432" s="13"/>
      <c r="AP432" s="13"/>
      <c r="AQ432" s="13"/>
      <c r="AR432" s="13"/>
      <c r="AS432" s="13"/>
      <c r="AT432" s="4" t="s">
        <v>963</v>
      </c>
      <c r="AU432" s="4" t="s">
        <v>964</v>
      </c>
      <c r="AV432" s="4" t="s">
        <v>1218</v>
      </c>
      <c r="AW432" s="3" t="s">
        <v>98</v>
      </c>
      <c r="AX432" s="4" t="s">
        <v>110</v>
      </c>
      <c r="AY432" s="4" t="s">
        <v>985</v>
      </c>
      <c r="AZ432" s="4" t="s">
        <v>983</v>
      </c>
      <c r="BA432" s="4"/>
      <c r="BB432" s="4"/>
      <c r="BC432" s="4"/>
      <c r="BD432" s="23"/>
      <c r="BE432" s="4"/>
      <c r="BF432" s="18"/>
      <c r="BG432" s="18"/>
      <c r="BH432" s="18"/>
      <c r="BI432" s="18"/>
      <c r="BJ432" s="18"/>
      <c r="BK432" s="19"/>
      <c r="BL432" s="13"/>
      <c r="BM432" s="9">
        <f t="shared" si="134"/>
        <v>0</v>
      </c>
      <c r="BN432" s="9">
        <f t="shared" si="135"/>
        <v>0</v>
      </c>
      <c r="BO432" s="9">
        <f t="shared" si="136"/>
        <v>25200</v>
      </c>
      <c r="BP432" s="9">
        <f t="shared" si="140"/>
        <v>0</v>
      </c>
      <c r="BQ432" s="9">
        <f t="shared" si="141"/>
        <v>25200</v>
      </c>
      <c r="BR432" s="9">
        <f t="shared" si="142"/>
        <v>0</v>
      </c>
      <c r="BS432" s="9">
        <f t="shared" si="143"/>
        <v>0</v>
      </c>
      <c r="BT432" s="9">
        <f t="shared" si="144"/>
        <v>50400</v>
      </c>
    </row>
    <row r="433" spans="1:72" hidden="1" x14ac:dyDescent="0.25">
      <c r="A433" s="11">
        <f t="shared" si="137"/>
        <v>432</v>
      </c>
      <c r="B433" s="3" t="s">
        <v>1597</v>
      </c>
      <c r="C433" s="4" t="s">
        <v>59</v>
      </c>
      <c r="D433" s="4" t="s">
        <v>1569</v>
      </c>
      <c r="E433" s="4" t="s">
        <v>1542</v>
      </c>
      <c r="F433" s="4"/>
      <c r="G433" s="4" t="s">
        <v>1070</v>
      </c>
      <c r="H433" s="4" t="s">
        <v>1071</v>
      </c>
      <c r="I433" s="4"/>
      <c r="J433" s="4"/>
      <c r="K433" s="4" t="s">
        <v>1384</v>
      </c>
      <c r="L433" s="13"/>
      <c r="M433" s="4" t="s">
        <v>291</v>
      </c>
      <c r="N433" s="5"/>
      <c r="O433" s="4" t="s">
        <v>972</v>
      </c>
      <c r="P433" s="14"/>
      <c r="Q433" s="14">
        <v>0.14000000000000001</v>
      </c>
      <c r="R433" s="1">
        <f t="shared" si="138"/>
        <v>238000.00000000003</v>
      </c>
      <c r="S433" s="40"/>
      <c r="T433" s="2">
        <f t="shared" si="139"/>
        <v>1700000</v>
      </c>
      <c r="U433" s="13">
        <v>0</v>
      </c>
      <c r="V433" s="13">
        <v>0</v>
      </c>
      <c r="W433" s="13">
        <v>0</v>
      </c>
      <c r="X433" s="13">
        <v>0</v>
      </c>
      <c r="Y433" s="13">
        <v>300000</v>
      </c>
      <c r="Z433" s="13">
        <v>400000</v>
      </c>
      <c r="AA433" s="13">
        <v>200000</v>
      </c>
      <c r="AB433" s="13">
        <v>200000</v>
      </c>
      <c r="AC433" s="13">
        <v>400000</v>
      </c>
      <c r="AD433" s="13">
        <v>300000</v>
      </c>
      <c r="AE433" s="13">
        <v>400000</v>
      </c>
      <c r="AF433" s="13">
        <v>400000</v>
      </c>
      <c r="AG433" s="13">
        <f t="shared" ref="AG433:AG436" si="156">AF433</f>
        <v>400000</v>
      </c>
      <c r="AH433" s="13"/>
      <c r="AI433" s="13">
        <v>0</v>
      </c>
      <c r="AJ433" s="13"/>
      <c r="AK433" s="13">
        <v>0</v>
      </c>
      <c r="AL433" s="13">
        <v>0</v>
      </c>
      <c r="AM433" s="13"/>
      <c r="AN433" s="13">
        <v>0</v>
      </c>
      <c r="AO433" s="13"/>
      <c r="AP433" s="13"/>
      <c r="AQ433" s="13"/>
      <c r="AR433" s="13"/>
      <c r="AS433" s="13"/>
      <c r="AT433" s="4" t="s">
        <v>126</v>
      </c>
      <c r="AU433" s="4" t="s">
        <v>964</v>
      </c>
      <c r="AV433" s="4" t="s">
        <v>1219</v>
      </c>
      <c r="AW433" s="4" t="s">
        <v>969</v>
      </c>
      <c r="AX433" s="4" t="s">
        <v>970</v>
      </c>
      <c r="AY433" s="4" t="s">
        <v>245</v>
      </c>
      <c r="AZ433" s="4" t="s">
        <v>245</v>
      </c>
      <c r="BA433" s="4"/>
      <c r="BB433" s="4"/>
      <c r="BC433" s="4"/>
      <c r="BD433" s="23"/>
      <c r="BE433" s="4"/>
      <c r="BF433" s="18"/>
      <c r="BG433" s="18"/>
      <c r="BH433" s="18"/>
      <c r="BI433" s="18"/>
      <c r="BJ433" s="18"/>
      <c r="BK433" s="19"/>
      <c r="BL433" s="13"/>
      <c r="BM433" s="9">
        <f t="shared" si="134"/>
        <v>42000.000000000007</v>
      </c>
      <c r="BN433" s="9">
        <f t="shared" si="135"/>
        <v>56000.000000000007</v>
      </c>
      <c r="BO433" s="9">
        <f t="shared" si="136"/>
        <v>28000.000000000004</v>
      </c>
      <c r="BP433" s="9">
        <f t="shared" si="140"/>
        <v>28000.000000000004</v>
      </c>
      <c r="BQ433" s="9">
        <f t="shared" si="141"/>
        <v>56000.000000000007</v>
      </c>
      <c r="BR433" s="9">
        <f t="shared" si="142"/>
        <v>42000.000000000007</v>
      </c>
      <c r="BS433" s="9">
        <f t="shared" si="143"/>
        <v>56000.000000000007</v>
      </c>
      <c r="BT433" s="9">
        <f t="shared" si="144"/>
        <v>56000.000000000007</v>
      </c>
    </row>
    <row r="434" spans="1:72" hidden="1" x14ac:dyDescent="0.25">
      <c r="A434" s="11">
        <f t="shared" si="137"/>
        <v>433</v>
      </c>
      <c r="B434" s="3" t="s">
        <v>1598</v>
      </c>
      <c r="C434" s="4" t="s">
        <v>59</v>
      </c>
      <c r="D434" s="4" t="s">
        <v>1551</v>
      </c>
      <c r="E434" s="4" t="s">
        <v>1542</v>
      </c>
      <c r="F434" s="4"/>
      <c r="G434" s="4" t="s">
        <v>1043</v>
      </c>
      <c r="H434" s="4" t="s">
        <v>1076</v>
      </c>
      <c r="I434" s="4" t="s">
        <v>1044</v>
      </c>
      <c r="J434" s="4"/>
      <c r="K434" s="4" t="s">
        <v>1577</v>
      </c>
      <c r="L434" s="13">
        <v>2800000</v>
      </c>
      <c r="M434" s="4" t="s">
        <v>291</v>
      </c>
      <c r="N434" s="5"/>
      <c r="O434" s="4" t="s">
        <v>199</v>
      </c>
      <c r="P434" s="14"/>
      <c r="Q434" s="14">
        <v>0.14000000000000001</v>
      </c>
      <c r="R434" s="1">
        <f t="shared" si="138"/>
        <v>168000.00000000003</v>
      </c>
      <c r="S434" s="40"/>
      <c r="T434" s="2">
        <f t="shared" si="139"/>
        <v>1200000</v>
      </c>
      <c r="U434" s="13">
        <v>0</v>
      </c>
      <c r="V434" s="13">
        <v>600000</v>
      </c>
      <c r="W434" s="13">
        <v>0</v>
      </c>
      <c r="X434" s="13">
        <v>0</v>
      </c>
      <c r="Y434" s="13">
        <v>600000</v>
      </c>
      <c r="Z434" s="13">
        <v>0</v>
      </c>
      <c r="AA434" s="13">
        <v>600000</v>
      </c>
      <c r="AB434" s="13">
        <v>600000</v>
      </c>
      <c r="AC434" s="13">
        <v>0</v>
      </c>
      <c r="AD434" s="13">
        <v>0</v>
      </c>
      <c r="AE434" s="13">
        <v>600000</v>
      </c>
      <c r="AF434" s="13"/>
      <c r="AG434" s="13">
        <f t="shared" si="156"/>
        <v>0</v>
      </c>
      <c r="AH434" s="13">
        <v>0</v>
      </c>
      <c r="AI434" s="13"/>
      <c r="AJ434" s="13"/>
      <c r="AK434" s="13">
        <v>0</v>
      </c>
      <c r="AL434" s="13">
        <v>0</v>
      </c>
      <c r="AM434" s="13"/>
      <c r="AN434" s="13">
        <v>0</v>
      </c>
      <c r="AO434" s="13"/>
      <c r="AP434" s="13"/>
      <c r="AQ434" s="13"/>
      <c r="AR434" s="13"/>
      <c r="AS434" s="13"/>
      <c r="AT434" s="4" t="s">
        <v>963</v>
      </c>
      <c r="AU434" s="4" t="s">
        <v>964</v>
      </c>
      <c r="AV434" s="4" t="s">
        <v>1218</v>
      </c>
      <c r="AW434" s="4" t="s">
        <v>222</v>
      </c>
      <c r="AX434" s="4" t="s">
        <v>216</v>
      </c>
      <c r="AY434" s="4" t="s">
        <v>966</v>
      </c>
      <c r="AZ434" s="4" t="s">
        <v>248</v>
      </c>
      <c r="BA434" s="4"/>
      <c r="BB434" s="4"/>
      <c r="BC434" s="4"/>
      <c r="BD434" s="23"/>
      <c r="BE434" s="4"/>
      <c r="BF434" s="18"/>
      <c r="BG434" s="18"/>
      <c r="BH434" s="18"/>
      <c r="BI434" s="18"/>
      <c r="BJ434" s="18"/>
      <c r="BK434" s="19"/>
      <c r="BL434" s="13"/>
      <c r="BM434" s="9">
        <f t="shared" si="134"/>
        <v>84000.000000000015</v>
      </c>
      <c r="BN434" s="9">
        <f t="shared" si="135"/>
        <v>0</v>
      </c>
      <c r="BO434" s="9">
        <f t="shared" si="136"/>
        <v>84000.000000000015</v>
      </c>
      <c r="BP434" s="9">
        <f t="shared" si="140"/>
        <v>84000.000000000015</v>
      </c>
      <c r="BQ434" s="9">
        <f t="shared" si="141"/>
        <v>0</v>
      </c>
      <c r="BR434" s="9">
        <f t="shared" si="142"/>
        <v>0</v>
      </c>
      <c r="BS434" s="9">
        <f t="shared" si="143"/>
        <v>84000.000000000015</v>
      </c>
      <c r="BT434" s="9">
        <f t="shared" si="144"/>
        <v>0</v>
      </c>
    </row>
    <row r="435" spans="1:72" hidden="1" x14ac:dyDescent="0.25">
      <c r="A435" s="11">
        <f t="shared" si="137"/>
        <v>434</v>
      </c>
      <c r="B435" s="3" t="s">
        <v>1599</v>
      </c>
      <c r="C435" s="4" t="s">
        <v>59</v>
      </c>
      <c r="D435" s="4" t="s">
        <v>1551</v>
      </c>
      <c r="E435" s="4" t="s">
        <v>1542</v>
      </c>
      <c r="F435" s="4"/>
      <c r="G435" s="4" t="s">
        <v>1077</v>
      </c>
      <c r="H435" s="4" t="s">
        <v>1078</v>
      </c>
      <c r="I435" s="4"/>
      <c r="J435" s="4"/>
      <c r="K435" s="4" t="s">
        <v>1484</v>
      </c>
      <c r="L435" s="13"/>
      <c r="M435" s="4" t="s">
        <v>74</v>
      </c>
      <c r="N435" s="5"/>
      <c r="O435" s="4"/>
      <c r="P435" s="14"/>
      <c r="Q435" s="14">
        <v>0.16</v>
      </c>
      <c r="R435" s="1">
        <f t="shared" si="138"/>
        <v>192000</v>
      </c>
      <c r="S435" s="40"/>
      <c r="T435" s="2">
        <f t="shared" si="139"/>
        <v>1200000</v>
      </c>
      <c r="U435" s="13">
        <v>0</v>
      </c>
      <c r="V435" s="13">
        <v>0</v>
      </c>
      <c r="W435" s="13">
        <v>0</v>
      </c>
      <c r="X435" s="13">
        <v>0</v>
      </c>
      <c r="Y435" s="13">
        <v>240000</v>
      </c>
      <c r="Z435" s="13">
        <v>240000</v>
      </c>
      <c r="AA435" s="13">
        <v>240000</v>
      </c>
      <c r="AB435" s="13">
        <v>240000</v>
      </c>
      <c r="AC435" s="13">
        <v>240000</v>
      </c>
      <c r="AD435" s="13">
        <v>240000</v>
      </c>
      <c r="AE435" s="13">
        <v>240000</v>
      </c>
      <c r="AF435" s="13">
        <v>240000</v>
      </c>
      <c r="AG435" s="13">
        <f t="shared" si="156"/>
        <v>240000</v>
      </c>
      <c r="AH435" s="13">
        <v>0</v>
      </c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3">
        <v>0</v>
      </c>
      <c r="AO435" s="13"/>
      <c r="AP435" s="13"/>
      <c r="AQ435" s="13"/>
      <c r="AR435" s="13"/>
      <c r="AS435" s="13"/>
      <c r="AT435" s="4" t="s">
        <v>192</v>
      </c>
      <c r="AU435" s="4" t="s">
        <v>964</v>
      </c>
      <c r="AV435" s="4" t="s">
        <v>1218</v>
      </c>
      <c r="AW435" s="4" t="s">
        <v>222</v>
      </c>
      <c r="AX435" s="4" t="s">
        <v>238</v>
      </c>
      <c r="AY435" s="4" t="s">
        <v>975</v>
      </c>
      <c r="AZ435" s="4" t="s">
        <v>975</v>
      </c>
      <c r="BA435" s="4"/>
      <c r="BB435" s="4"/>
      <c r="BC435" s="4"/>
      <c r="BD435" s="23"/>
      <c r="BE435" s="4"/>
      <c r="BF435" s="18"/>
      <c r="BG435" s="18"/>
      <c r="BH435" s="18"/>
      <c r="BI435" s="18"/>
      <c r="BJ435" s="18"/>
      <c r="BK435" s="19"/>
      <c r="BL435" s="13"/>
      <c r="BM435" s="9">
        <f t="shared" si="134"/>
        <v>38400</v>
      </c>
      <c r="BN435" s="9">
        <f t="shared" si="135"/>
        <v>38400</v>
      </c>
      <c r="BO435" s="9">
        <f t="shared" si="136"/>
        <v>38400</v>
      </c>
      <c r="BP435" s="9">
        <f t="shared" si="140"/>
        <v>38400</v>
      </c>
      <c r="BQ435" s="9">
        <f t="shared" si="141"/>
        <v>38400</v>
      </c>
      <c r="BR435" s="9">
        <f t="shared" si="142"/>
        <v>38400</v>
      </c>
      <c r="BS435" s="9">
        <f t="shared" si="143"/>
        <v>38400</v>
      </c>
      <c r="BT435" s="9">
        <f t="shared" si="144"/>
        <v>38400</v>
      </c>
    </row>
    <row r="436" spans="1:72" hidden="1" x14ac:dyDescent="0.25">
      <c r="A436" s="11">
        <f t="shared" si="137"/>
        <v>435</v>
      </c>
      <c r="B436" s="3" t="s">
        <v>1832</v>
      </c>
      <c r="C436" s="4" t="s">
        <v>59</v>
      </c>
      <c r="D436" s="4" t="s">
        <v>1551</v>
      </c>
      <c r="E436" s="4" t="s">
        <v>1542</v>
      </c>
      <c r="F436" s="4"/>
      <c r="G436" s="4" t="s">
        <v>157</v>
      </c>
      <c r="H436" s="4" t="s">
        <v>1833</v>
      </c>
      <c r="I436" s="4">
        <v>177</v>
      </c>
      <c r="J436" s="4"/>
      <c r="K436" s="4" t="s">
        <v>1577</v>
      </c>
      <c r="L436" s="13">
        <v>3200000</v>
      </c>
      <c r="M436" s="4" t="s">
        <v>291</v>
      </c>
      <c r="N436" s="5"/>
      <c r="O436" s="3" t="s">
        <v>199</v>
      </c>
      <c r="P436" s="29"/>
      <c r="Q436" s="14">
        <v>0.13</v>
      </c>
      <c r="R436" s="1">
        <f t="shared" ref="R436" si="157">Q436*T436</f>
        <v>130000</v>
      </c>
      <c r="S436" s="40"/>
      <c r="T436" s="2">
        <f t="shared" ref="T436" si="158">SUM(AB436:AF436)</f>
        <v>1000000</v>
      </c>
      <c r="U436" s="13">
        <v>0</v>
      </c>
      <c r="V436" s="13">
        <v>0</v>
      </c>
      <c r="W436" s="13">
        <v>0</v>
      </c>
      <c r="X436" s="13"/>
      <c r="Y436" s="13">
        <v>500000</v>
      </c>
      <c r="Z436" s="13"/>
      <c r="AA436" s="13">
        <v>500000</v>
      </c>
      <c r="AB436" s="13"/>
      <c r="AC436" s="13">
        <v>500000</v>
      </c>
      <c r="AD436" s="13"/>
      <c r="AE436" s="13">
        <v>500000</v>
      </c>
      <c r="AF436" s="13"/>
      <c r="AG436" s="13">
        <f t="shared" si="156"/>
        <v>0</v>
      </c>
      <c r="AH436" s="13">
        <v>0</v>
      </c>
      <c r="AI436" s="13">
        <v>0</v>
      </c>
      <c r="AJ436" s="13"/>
      <c r="AK436" s="13"/>
      <c r="AL436" s="13">
        <v>0</v>
      </c>
      <c r="AM436" s="13">
        <v>0</v>
      </c>
      <c r="AN436" s="13">
        <v>0</v>
      </c>
      <c r="AO436" s="13"/>
      <c r="AP436" s="13"/>
      <c r="AQ436" s="13"/>
      <c r="AR436" s="13"/>
      <c r="AS436" s="13"/>
      <c r="AT436" s="4" t="s">
        <v>963</v>
      </c>
      <c r="AU436" s="4" t="s">
        <v>964</v>
      </c>
      <c r="AV436" s="4" t="s">
        <v>1218</v>
      </c>
      <c r="AW436" s="4" t="s">
        <v>222</v>
      </c>
      <c r="AX436" s="4" t="s">
        <v>216</v>
      </c>
      <c r="AY436" s="4" t="s">
        <v>966</v>
      </c>
      <c r="AZ436" s="4"/>
      <c r="BA436" s="4"/>
      <c r="BB436" s="4"/>
      <c r="BC436" s="4"/>
      <c r="BD436" s="23"/>
      <c r="BE436" s="4"/>
      <c r="BF436" s="4"/>
      <c r="BG436" s="4"/>
      <c r="BH436" s="4"/>
      <c r="BI436" s="4"/>
      <c r="BJ436" s="4"/>
      <c r="BK436" s="3"/>
      <c r="BL436" s="3"/>
      <c r="BM436" s="9">
        <f t="shared" ref="BM436" si="159">$Q436*Y436</f>
        <v>65000</v>
      </c>
      <c r="BN436" s="9">
        <f t="shared" ref="BN436" si="160">$Q436*Z436</f>
        <v>0</v>
      </c>
      <c r="BO436" s="9">
        <f t="shared" ref="BO436" si="161">$Q436*AA436</f>
        <v>65000</v>
      </c>
      <c r="BP436" s="9">
        <f t="shared" si="140"/>
        <v>0</v>
      </c>
      <c r="BQ436" s="9">
        <f t="shared" si="141"/>
        <v>65000</v>
      </c>
      <c r="BR436" s="9">
        <f t="shared" si="142"/>
        <v>0</v>
      </c>
      <c r="BS436" s="9">
        <f t="shared" si="143"/>
        <v>65000</v>
      </c>
      <c r="BT436" s="9">
        <f t="shared" si="144"/>
        <v>0</v>
      </c>
    </row>
    <row r="437" spans="1:72" hidden="1" x14ac:dyDescent="0.25">
      <c r="A437" s="11">
        <f t="shared" si="137"/>
        <v>436</v>
      </c>
      <c r="B437" s="3" t="s">
        <v>1600</v>
      </c>
      <c r="C437" s="4" t="s">
        <v>59</v>
      </c>
      <c r="D437" s="4" t="s">
        <v>1569</v>
      </c>
      <c r="E437" s="4" t="s">
        <v>1542</v>
      </c>
      <c r="F437" s="4"/>
      <c r="G437" s="4" t="s">
        <v>157</v>
      </c>
      <c r="H437" s="4" t="s">
        <v>1079</v>
      </c>
      <c r="I437" s="4"/>
      <c r="J437" s="4"/>
      <c r="K437" s="4" t="s">
        <v>1384</v>
      </c>
      <c r="L437" s="13"/>
      <c r="M437" s="4" t="s">
        <v>291</v>
      </c>
      <c r="N437" s="5"/>
      <c r="O437" s="4" t="s">
        <v>199</v>
      </c>
      <c r="P437" s="14"/>
      <c r="Q437" s="14">
        <v>0.15</v>
      </c>
      <c r="R437" s="1">
        <f t="shared" si="138"/>
        <v>300000</v>
      </c>
      <c r="S437" s="40"/>
      <c r="T437" s="2">
        <f t="shared" si="139"/>
        <v>2000000</v>
      </c>
      <c r="U437" s="13">
        <v>300000</v>
      </c>
      <c r="V437" s="13">
        <v>400000</v>
      </c>
      <c r="W437" s="13">
        <v>400000</v>
      </c>
      <c r="X437" s="13">
        <v>400000</v>
      </c>
      <c r="Y437" s="13">
        <v>400000</v>
      </c>
      <c r="Z437" s="13">
        <v>400000</v>
      </c>
      <c r="AA437" s="13">
        <v>400000</v>
      </c>
      <c r="AB437" s="13">
        <v>400000</v>
      </c>
      <c r="AC437" s="13">
        <v>400000</v>
      </c>
      <c r="AD437" s="13">
        <v>400000</v>
      </c>
      <c r="AE437" s="13">
        <v>400000</v>
      </c>
      <c r="AF437" s="13">
        <v>400000</v>
      </c>
      <c r="AG437" s="13">
        <f>AF437</f>
        <v>400000</v>
      </c>
      <c r="AH437" s="13"/>
      <c r="AI437" s="13">
        <v>0</v>
      </c>
      <c r="AJ437" s="13">
        <v>0</v>
      </c>
      <c r="AK437" s="13">
        <v>0</v>
      </c>
      <c r="AL437" s="13">
        <v>0</v>
      </c>
      <c r="AM437" s="13">
        <v>0</v>
      </c>
      <c r="AN437" s="13">
        <v>0</v>
      </c>
      <c r="AO437" s="13"/>
      <c r="AP437" s="13"/>
      <c r="AQ437" s="13"/>
      <c r="AR437" s="13"/>
      <c r="AS437" s="13"/>
      <c r="AT437" s="4" t="s">
        <v>963</v>
      </c>
      <c r="AU437" s="4" t="s">
        <v>964</v>
      </c>
      <c r="AV437" s="4" t="s">
        <v>1218</v>
      </c>
      <c r="AW437" s="4" t="s">
        <v>222</v>
      </c>
      <c r="AX437" s="4" t="s">
        <v>216</v>
      </c>
      <c r="AY437" s="4" t="s">
        <v>247</v>
      </c>
      <c r="AZ437" s="4" t="s">
        <v>986</v>
      </c>
      <c r="BA437" s="4"/>
      <c r="BB437" s="4"/>
      <c r="BC437" s="4"/>
      <c r="BD437" s="23"/>
      <c r="BE437" s="4"/>
      <c r="BF437" s="18"/>
      <c r="BG437" s="18"/>
      <c r="BH437" s="18"/>
      <c r="BI437" s="18"/>
      <c r="BJ437" s="18"/>
      <c r="BK437" s="19"/>
      <c r="BL437" s="13"/>
      <c r="BM437" s="9">
        <f t="shared" si="134"/>
        <v>60000</v>
      </c>
      <c r="BN437" s="9">
        <f t="shared" si="135"/>
        <v>60000</v>
      </c>
      <c r="BO437" s="9">
        <f t="shared" si="136"/>
        <v>60000</v>
      </c>
      <c r="BP437" s="9">
        <f t="shared" si="140"/>
        <v>60000</v>
      </c>
      <c r="BQ437" s="9">
        <f t="shared" si="141"/>
        <v>60000</v>
      </c>
      <c r="BR437" s="9">
        <f t="shared" si="142"/>
        <v>60000</v>
      </c>
      <c r="BS437" s="9">
        <f t="shared" si="143"/>
        <v>60000</v>
      </c>
      <c r="BT437" s="9">
        <f t="shared" si="144"/>
        <v>60000</v>
      </c>
    </row>
    <row r="438" spans="1:72" hidden="1" x14ac:dyDescent="0.25">
      <c r="A438" s="11">
        <f t="shared" si="137"/>
        <v>437</v>
      </c>
      <c r="B438" s="3" t="s">
        <v>1601</v>
      </c>
      <c r="C438" s="4" t="s">
        <v>59</v>
      </c>
      <c r="D438" s="4" t="s">
        <v>1551</v>
      </c>
      <c r="E438" s="4" t="s">
        <v>1542</v>
      </c>
      <c r="F438" s="4"/>
      <c r="G438" s="4" t="s">
        <v>1045</v>
      </c>
      <c r="H438" s="4" t="s">
        <v>1045</v>
      </c>
      <c r="I438" s="4"/>
      <c r="J438" s="4"/>
      <c r="K438" s="4" t="s">
        <v>1562</v>
      </c>
      <c r="L438" s="13">
        <v>1000000</v>
      </c>
      <c r="M438" s="4" t="s">
        <v>74</v>
      </c>
      <c r="N438" s="5"/>
      <c r="O438" s="4"/>
      <c r="P438" s="14"/>
      <c r="Q438" s="14">
        <v>0.55000000000000004</v>
      </c>
      <c r="R438" s="1">
        <f t="shared" si="138"/>
        <v>127600.00000000001</v>
      </c>
      <c r="S438" s="40"/>
      <c r="T438" s="2">
        <f t="shared" si="139"/>
        <v>232000</v>
      </c>
      <c r="U438" s="13"/>
      <c r="V438" s="13">
        <v>3000</v>
      </c>
      <c r="W438" s="13">
        <v>3000</v>
      </c>
      <c r="X438" s="13">
        <v>10000</v>
      </c>
      <c r="Y438" s="13">
        <v>10000</v>
      </c>
      <c r="Z438" s="13">
        <v>12000</v>
      </c>
      <c r="AA438" s="13">
        <v>12000</v>
      </c>
      <c r="AB438" s="13">
        <v>12000</v>
      </c>
      <c r="AC438" s="13">
        <v>20000</v>
      </c>
      <c r="AD438" s="13">
        <v>20000</v>
      </c>
      <c r="AE438" s="13">
        <v>60000</v>
      </c>
      <c r="AF438" s="13">
        <v>120000</v>
      </c>
      <c r="AG438" s="13">
        <f t="shared" ref="AG438:AG439" si="162">AF438</f>
        <v>120000</v>
      </c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4" t="s">
        <v>192</v>
      </c>
      <c r="AU438" s="4" t="s">
        <v>964</v>
      </c>
      <c r="AV438" s="4" t="s">
        <v>1219</v>
      </c>
      <c r="AW438" s="4" t="s">
        <v>987</v>
      </c>
      <c r="AX438" s="4" t="s">
        <v>988</v>
      </c>
      <c r="AY438" s="4" t="s">
        <v>989</v>
      </c>
      <c r="AZ438" s="4" t="s">
        <v>990</v>
      </c>
      <c r="BA438" s="4"/>
      <c r="BB438" s="4"/>
      <c r="BC438" s="4"/>
      <c r="BD438" s="23"/>
      <c r="BE438" s="4"/>
      <c r="BF438" s="18"/>
      <c r="BG438" s="18"/>
      <c r="BH438" s="18"/>
      <c r="BI438" s="18"/>
      <c r="BJ438" s="18"/>
      <c r="BK438" s="19"/>
      <c r="BL438" s="13"/>
      <c r="BM438" s="9">
        <f t="shared" si="134"/>
        <v>5500</v>
      </c>
      <c r="BN438" s="9">
        <f t="shared" si="135"/>
        <v>6600.0000000000009</v>
      </c>
      <c r="BO438" s="9">
        <f t="shared" si="136"/>
        <v>6600.0000000000009</v>
      </c>
      <c r="BP438" s="9">
        <f t="shared" si="140"/>
        <v>6600.0000000000009</v>
      </c>
      <c r="BQ438" s="9">
        <f t="shared" si="141"/>
        <v>11000</v>
      </c>
      <c r="BR438" s="9">
        <f t="shared" si="142"/>
        <v>11000</v>
      </c>
      <c r="BS438" s="9">
        <f t="shared" si="143"/>
        <v>33000</v>
      </c>
      <c r="BT438" s="9">
        <f t="shared" si="144"/>
        <v>66000</v>
      </c>
    </row>
    <row r="439" spans="1:72" hidden="1" x14ac:dyDescent="0.25">
      <c r="A439" s="11">
        <f t="shared" si="137"/>
        <v>438</v>
      </c>
      <c r="B439" s="3" t="s">
        <v>1602</v>
      </c>
      <c r="C439" s="4" t="s">
        <v>59</v>
      </c>
      <c r="D439" s="4" t="s">
        <v>1551</v>
      </c>
      <c r="E439" s="4" t="s">
        <v>1542</v>
      </c>
      <c r="F439" s="4"/>
      <c r="G439" s="4" t="s">
        <v>1045</v>
      </c>
      <c r="H439" s="4" t="s">
        <v>1045</v>
      </c>
      <c r="I439" s="4"/>
      <c r="J439" s="4"/>
      <c r="K439" s="4" t="s">
        <v>1577</v>
      </c>
      <c r="L439" s="13">
        <v>1000000</v>
      </c>
      <c r="M439" s="4" t="s">
        <v>320</v>
      </c>
      <c r="N439" s="5"/>
      <c r="O439" s="4"/>
      <c r="P439" s="14"/>
      <c r="Q439" s="14">
        <v>0.53</v>
      </c>
      <c r="R439" s="1">
        <f t="shared" si="138"/>
        <v>0</v>
      </c>
      <c r="S439" s="40"/>
      <c r="T439" s="2">
        <f t="shared" si="139"/>
        <v>0</v>
      </c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>
        <f t="shared" si="162"/>
        <v>0</v>
      </c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4" t="s">
        <v>192</v>
      </c>
      <c r="AU439" s="4" t="s">
        <v>964</v>
      </c>
      <c r="AV439" s="4" t="s">
        <v>1219</v>
      </c>
      <c r="AW439" s="4" t="s">
        <v>222</v>
      </c>
      <c r="AX439" s="4" t="s">
        <v>275</v>
      </c>
      <c r="AY439" s="4" t="s">
        <v>247</v>
      </c>
      <c r="AZ439" s="4" t="s">
        <v>986</v>
      </c>
      <c r="BA439" s="4"/>
      <c r="BB439" s="4"/>
      <c r="BC439" s="4"/>
      <c r="BD439" s="23"/>
      <c r="BE439" s="4"/>
      <c r="BF439" s="18"/>
      <c r="BG439" s="18"/>
      <c r="BH439" s="18"/>
      <c r="BI439" s="18"/>
      <c r="BJ439" s="18"/>
      <c r="BK439" s="19"/>
      <c r="BL439" s="13"/>
      <c r="BM439" s="9">
        <f t="shared" si="134"/>
        <v>0</v>
      </c>
      <c r="BN439" s="9">
        <f t="shared" si="135"/>
        <v>0</v>
      </c>
      <c r="BO439" s="9">
        <f t="shared" si="136"/>
        <v>0</v>
      </c>
      <c r="BP439" s="9">
        <f t="shared" si="140"/>
        <v>0</v>
      </c>
      <c r="BQ439" s="9">
        <f t="shared" si="141"/>
        <v>0</v>
      </c>
      <c r="BR439" s="9">
        <f t="shared" si="142"/>
        <v>0</v>
      </c>
      <c r="BS439" s="9">
        <f t="shared" si="143"/>
        <v>0</v>
      </c>
      <c r="BT439" s="9">
        <f t="shared" si="144"/>
        <v>0</v>
      </c>
    </row>
    <row r="440" spans="1:72" hidden="1" x14ac:dyDescent="0.25">
      <c r="A440" s="11">
        <f t="shared" si="137"/>
        <v>439</v>
      </c>
      <c r="B440" s="3" t="s">
        <v>1603</v>
      </c>
      <c r="C440" s="4" t="s">
        <v>59</v>
      </c>
      <c r="D440" s="4" t="s">
        <v>1551</v>
      </c>
      <c r="E440" s="4" t="s">
        <v>1542</v>
      </c>
      <c r="F440" s="4"/>
      <c r="G440" s="4" t="s">
        <v>300</v>
      </c>
      <c r="H440" s="4" t="s">
        <v>301</v>
      </c>
      <c r="I440" s="4"/>
      <c r="J440" s="4"/>
      <c r="K440" s="4" t="s">
        <v>1577</v>
      </c>
      <c r="L440" s="13">
        <v>150000</v>
      </c>
      <c r="M440" s="4" t="s">
        <v>291</v>
      </c>
      <c r="N440" s="5"/>
      <c r="O440" s="4"/>
      <c r="P440" s="14"/>
      <c r="Q440" s="14">
        <v>2.5499999999999998</v>
      </c>
      <c r="R440" s="1">
        <f t="shared" si="138"/>
        <v>153000</v>
      </c>
      <c r="S440" s="40"/>
      <c r="T440" s="2">
        <f t="shared" si="139"/>
        <v>60000</v>
      </c>
      <c r="U440" s="13">
        <v>5000</v>
      </c>
      <c r="V440" s="13">
        <v>5000</v>
      </c>
      <c r="W440" s="13">
        <v>10000</v>
      </c>
      <c r="X440" s="13">
        <v>10000</v>
      </c>
      <c r="Y440" s="13">
        <v>10000</v>
      </c>
      <c r="Z440" s="13">
        <v>10000</v>
      </c>
      <c r="AA440" s="13">
        <v>10000</v>
      </c>
      <c r="AB440" s="13">
        <v>10000</v>
      </c>
      <c r="AC440" s="13">
        <v>10000</v>
      </c>
      <c r="AD440" s="13">
        <v>10000</v>
      </c>
      <c r="AE440" s="13">
        <v>10000</v>
      </c>
      <c r="AF440" s="13">
        <v>20000</v>
      </c>
      <c r="AG440" s="13">
        <f>AF440</f>
        <v>20000</v>
      </c>
      <c r="AH440" s="13">
        <v>0</v>
      </c>
      <c r="AI440" s="13">
        <v>0</v>
      </c>
      <c r="AJ440" s="13">
        <v>0</v>
      </c>
      <c r="AK440" s="13">
        <v>0</v>
      </c>
      <c r="AL440" s="13">
        <v>0</v>
      </c>
      <c r="AM440" s="13">
        <v>0</v>
      </c>
      <c r="AN440" s="13">
        <v>0</v>
      </c>
      <c r="AO440" s="13"/>
      <c r="AP440" s="13"/>
      <c r="AQ440" s="13"/>
      <c r="AR440" s="13"/>
      <c r="AS440" s="13"/>
      <c r="AT440" s="4" t="s">
        <v>963</v>
      </c>
      <c r="AU440" s="4" t="s">
        <v>964</v>
      </c>
      <c r="AV440" s="4" t="s">
        <v>1217</v>
      </c>
      <c r="AW440" s="4" t="s">
        <v>969</v>
      </c>
      <c r="AX440" s="4" t="s">
        <v>991</v>
      </c>
      <c r="AY440" s="4" t="s">
        <v>992</v>
      </c>
      <c r="AZ440" s="4" t="s">
        <v>993</v>
      </c>
      <c r="BA440" s="4"/>
      <c r="BB440" s="4"/>
      <c r="BC440" s="4"/>
      <c r="BD440" s="23"/>
      <c r="BE440" s="4"/>
      <c r="BF440" s="18"/>
      <c r="BG440" s="18"/>
      <c r="BH440" s="18"/>
      <c r="BI440" s="18"/>
      <c r="BJ440" s="18"/>
      <c r="BK440" s="19"/>
      <c r="BL440" s="13"/>
      <c r="BM440" s="9">
        <f t="shared" si="134"/>
        <v>25500</v>
      </c>
      <c r="BN440" s="9">
        <f t="shared" si="135"/>
        <v>25500</v>
      </c>
      <c r="BO440" s="9">
        <f t="shared" si="136"/>
        <v>25500</v>
      </c>
      <c r="BP440" s="9">
        <f t="shared" si="140"/>
        <v>25500</v>
      </c>
      <c r="BQ440" s="9">
        <f t="shared" si="141"/>
        <v>25500</v>
      </c>
      <c r="BR440" s="9">
        <f t="shared" si="142"/>
        <v>25500</v>
      </c>
      <c r="BS440" s="9">
        <f t="shared" si="143"/>
        <v>25500</v>
      </c>
      <c r="BT440" s="9">
        <f t="shared" si="144"/>
        <v>51000</v>
      </c>
    </row>
    <row r="441" spans="1:72" hidden="1" x14ac:dyDescent="0.25">
      <c r="A441" s="11">
        <f t="shared" si="137"/>
        <v>440</v>
      </c>
      <c r="B441" s="3" t="s">
        <v>1604</v>
      </c>
      <c r="C441" s="4" t="s">
        <v>59</v>
      </c>
      <c r="D441" s="4" t="s">
        <v>1551</v>
      </c>
      <c r="E441" s="4" t="s">
        <v>1542</v>
      </c>
      <c r="F441" s="4"/>
      <c r="G441" s="4" t="s">
        <v>177</v>
      </c>
      <c r="H441" s="33" t="s">
        <v>178</v>
      </c>
      <c r="I441" s="4"/>
      <c r="J441" s="4"/>
      <c r="K441" s="4" t="s">
        <v>1605</v>
      </c>
      <c r="L441" s="13"/>
      <c r="M441" s="4" t="s">
        <v>74</v>
      </c>
      <c r="N441" s="5"/>
      <c r="O441" s="4"/>
      <c r="P441" s="14"/>
      <c r="Q441" s="14"/>
      <c r="R441" s="1">
        <f t="shared" si="138"/>
        <v>0</v>
      </c>
      <c r="S441" s="40"/>
      <c r="T441" s="2">
        <f t="shared" si="139"/>
        <v>0</v>
      </c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>
        <f>AF441</f>
        <v>0</v>
      </c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4" t="s">
        <v>963</v>
      </c>
      <c r="AU441" s="4" t="s">
        <v>964</v>
      </c>
      <c r="AV441" s="4" t="s">
        <v>1218</v>
      </c>
      <c r="AW441" s="4" t="s">
        <v>222</v>
      </c>
      <c r="AX441" s="4" t="s">
        <v>264</v>
      </c>
      <c r="AY441" s="4" t="s">
        <v>994</v>
      </c>
      <c r="AZ441" s="4" t="s">
        <v>995</v>
      </c>
      <c r="BA441" s="4"/>
      <c r="BB441" s="4"/>
      <c r="BC441" s="4"/>
      <c r="BD441" s="23"/>
      <c r="BE441" s="4"/>
      <c r="BF441" s="18"/>
      <c r="BG441" s="18"/>
      <c r="BH441" s="18"/>
      <c r="BI441" s="18"/>
      <c r="BJ441" s="18"/>
      <c r="BK441" s="19"/>
      <c r="BL441" s="13"/>
      <c r="BM441" s="9">
        <f t="shared" si="134"/>
        <v>0</v>
      </c>
      <c r="BN441" s="9">
        <f t="shared" si="135"/>
        <v>0</v>
      </c>
      <c r="BO441" s="9">
        <f t="shared" si="136"/>
        <v>0</v>
      </c>
      <c r="BP441" s="9">
        <f t="shared" si="140"/>
        <v>0</v>
      </c>
      <c r="BQ441" s="9">
        <f t="shared" si="141"/>
        <v>0</v>
      </c>
      <c r="BR441" s="9">
        <f t="shared" si="142"/>
        <v>0</v>
      </c>
      <c r="BS441" s="9">
        <f t="shared" si="143"/>
        <v>0</v>
      </c>
      <c r="BT441" s="9">
        <f t="shared" si="144"/>
        <v>0</v>
      </c>
    </row>
    <row r="442" spans="1:72" hidden="1" x14ac:dyDescent="0.25">
      <c r="A442" s="11">
        <f t="shared" si="137"/>
        <v>441</v>
      </c>
      <c r="B442" s="3" t="s">
        <v>1606</v>
      </c>
      <c r="C442" s="4" t="s">
        <v>59</v>
      </c>
      <c r="D442" s="4" t="s">
        <v>1569</v>
      </c>
      <c r="E442" s="4" t="s">
        <v>1542</v>
      </c>
      <c r="F442" s="4"/>
      <c r="G442" s="4" t="s">
        <v>144</v>
      </c>
      <c r="H442" s="4" t="s">
        <v>1080</v>
      </c>
      <c r="I442" s="4"/>
      <c r="J442" s="4"/>
      <c r="K442" s="4" t="s">
        <v>1607</v>
      </c>
      <c r="L442" s="13">
        <v>1200000</v>
      </c>
      <c r="M442" s="4" t="s">
        <v>291</v>
      </c>
      <c r="N442" s="5"/>
      <c r="O442" s="4" t="s">
        <v>657</v>
      </c>
      <c r="P442" s="14"/>
      <c r="Q442" s="14">
        <v>0.15</v>
      </c>
      <c r="R442" s="1">
        <f t="shared" si="138"/>
        <v>90000</v>
      </c>
      <c r="S442" s="40"/>
      <c r="T442" s="2">
        <f t="shared" si="139"/>
        <v>600000</v>
      </c>
      <c r="U442" s="13">
        <v>120000</v>
      </c>
      <c r="V442" s="13">
        <v>120000</v>
      </c>
      <c r="W442" s="13">
        <v>0</v>
      </c>
      <c r="X442" s="13">
        <v>120000</v>
      </c>
      <c r="Y442" s="13">
        <v>120000</v>
      </c>
      <c r="Z442" s="13">
        <v>120000</v>
      </c>
      <c r="AA442" s="13">
        <v>120000</v>
      </c>
      <c r="AB442" s="13">
        <v>120000</v>
      </c>
      <c r="AC442" s="13">
        <v>120000</v>
      </c>
      <c r="AD442" s="13">
        <v>120000</v>
      </c>
      <c r="AE442" s="13">
        <v>120000</v>
      </c>
      <c r="AF442" s="13">
        <v>120000</v>
      </c>
      <c r="AG442" s="13">
        <f>AF442</f>
        <v>120000</v>
      </c>
      <c r="AH442" s="13">
        <v>0</v>
      </c>
      <c r="AI442" s="13">
        <v>0</v>
      </c>
      <c r="AJ442" s="13">
        <v>0</v>
      </c>
      <c r="AK442" s="13">
        <v>0</v>
      </c>
      <c r="AL442" s="13">
        <v>0</v>
      </c>
      <c r="AM442" s="13">
        <v>0</v>
      </c>
      <c r="AN442" s="13">
        <v>0</v>
      </c>
      <c r="AO442" s="13"/>
      <c r="AP442" s="13"/>
      <c r="AQ442" s="13"/>
      <c r="AR442" s="13"/>
      <c r="AS442" s="13"/>
      <c r="AT442" s="4" t="s">
        <v>192</v>
      </c>
      <c r="AU442" s="4" t="s">
        <v>964</v>
      </c>
      <c r="AV442" s="4" t="s">
        <v>1218</v>
      </c>
      <c r="AW442" s="4" t="s">
        <v>969</v>
      </c>
      <c r="AX442" s="4" t="s">
        <v>991</v>
      </c>
      <c r="AY442" s="4" t="s">
        <v>992</v>
      </c>
      <c r="AZ442" s="4" t="s">
        <v>993</v>
      </c>
      <c r="BA442" s="4"/>
      <c r="BB442" s="4"/>
      <c r="BC442" s="4"/>
      <c r="BD442" s="23"/>
      <c r="BE442" s="4"/>
      <c r="BF442" s="18"/>
      <c r="BG442" s="18"/>
      <c r="BH442" s="18"/>
      <c r="BI442" s="18"/>
      <c r="BJ442" s="18"/>
      <c r="BK442" s="19"/>
      <c r="BL442" s="13"/>
      <c r="BM442" s="9">
        <f t="shared" si="134"/>
        <v>18000</v>
      </c>
      <c r="BN442" s="9">
        <f t="shared" si="135"/>
        <v>18000</v>
      </c>
      <c r="BO442" s="9">
        <f t="shared" si="136"/>
        <v>18000</v>
      </c>
      <c r="BP442" s="9">
        <f t="shared" si="140"/>
        <v>18000</v>
      </c>
      <c r="BQ442" s="9">
        <f t="shared" si="141"/>
        <v>18000</v>
      </c>
      <c r="BR442" s="9">
        <f t="shared" si="142"/>
        <v>18000</v>
      </c>
      <c r="BS442" s="9">
        <f t="shared" si="143"/>
        <v>18000</v>
      </c>
      <c r="BT442" s="9">
        <f t="shared" si="144"/>
        <v>18000</v>
      </c>
    </row>
    <row r="443" spans="1:72" hidden="1" x14ac:dyDescent="0.25">
      <c r="A443" s="11">
        <f t="shared" si="137"/>
        <v>442</v>
      </c>
      <c r="B443" s="3" t="s">
        <v>1593</v>
      </c>
      <c r="C443" s="4" t="s">
        <v>186</v>
      </c>
      <c r="D443" s="4" t="s">
        <v>1551</v>
      </c>
      <c r="E443" s="4" t="s">
        <v>1542</v>
      </c>
      <c r="F443" s="4"/>
      <c r="G443" s="4" t="s">
        <v>105</v>
      </c>
      <c r="H443" s="4" t="s">
        <v>1081</v>
      </c>
      <c r="I443" s="4"/>
      <c r="J443" s="4"/>
      <c r="K443" s="4" t="s">
        <v>1242</v>
      </c>
      <c r="L443" s="13">
        <v>50000</v>
      </c>
      <c r="M443" s="4" t="s">
        <v>297</v>
      </c>
      <c r="N443" s="5"/>
      <c r="O443" s="4"/>
      <c r="P443" s="14"/>
      <c r="Q443" s="14">
        <v>0.42</v>
      </c>
      <c r="R443" s="1">
        <f t="shared" si="138"/>
        <v>176400</v>
      </c>
      <c r="S443" s="40"/>
      <c r="T443" s="2">
        <f t="shared" si="139"/>
        <v>420000</v>
      </c>
      <c r="U443" s="13"/>
      <c r="V443" s="13">
        <v>9000</v>
      </c>
      <c r="W443" s="13">
        <v>12000</v>
      </c>
      <c r="X443" s="13"/>
      <c r="Y443" s="13">
        <v>9000</v>
      </c>
      <c r="Z443" s="13"/>
      <c r="AA443" s="13">
        <v>30000</v>
      </c>
      <c r="AB443" s="13">
        <v>0</v>
      </c>
      <c r="AC443" s="13">
        <v>90000</v>
      </c>
      <c r="AD443" s="13">
        <v>90000</v>
      </c>
      <c r="AE443" s="13">
        <v>120000</v>
      </c>
      <c r="AF443" s="13">
        <v>120000</v>
      </c>
      <c r="AG443" s="13">
        <f>AF443</f>
        <v>120000</v>
      </c>
      <c r="AH443" s="13">
        <v>0</v>
      </c>
      <c r="AI443" s="13">
        <v>0</v>
      </c>
      <c r="AJ443" s="13">
        <v>0</v>
      </c>
      <c r="AK443" s="13">
        <v>0</v>
      </c>
      <c r="AL443" s="13">
        <v>9000</v>
      </c>
      <c r="AM443" s="13">
        <v>0</v>
      </c>
      <c r="AN443" s="13">
        <v>0</v>
      </c>
      <c r="AO443" s="13"/>
      <c r="AP443" s="13"/>
      <c r="AQ443" s="13"/>
      <c r="AR443" s="13"/>
      <c r="AS443" s="13"/>
      <c r="AT443" s="4" t="s">
        <v>963</v>
      </c>
      <c r="AU443" s="4" t="s">
        <v>964</v>
      </c>
      <c r="AV443" s="4" t="s">
        <v>1218</v>
      </c>
      <c r="AW443" s="4" t="s">
        <v>98</v>
      </c>
      <c r="AX443" s="4" t="s">
        <v>110</v>
      </c>
      <c r="AY443" s="4" t="s">
        <v>172</v>
      </c>
      <c r="AZ443" s="4" t="s">
        <v>171</v>
      </c>
      <c r="BA443" s="4" t="s">
        <v>996</v>
      </c>
      <c r="BB443" s="4"/>
      <c r="BC443" s="4"/>
      <c r="BD443" s="23"/>
      <c r="BE443" s="4"/>
      <c r="BF443" s="18"/>
      <c r="BG443" s="18"/>
      <c r="BH443" s="18"/>
      <c r="BI443" s="18"/>
      <c r="BJ443" s="18"/>
      <c r="BK443" s="19"/>
      <c r="BL443" s="13"/>
      <c r="BM443" s="9">
        <f t="shared" si="134"/>
        <v>3780</v>
      </c>
      <c r="BN443" s="9">
        <f t="shared" si="135"/>
        <v>0</v>
      </c>
      <c r="BO443" s="9">
        <f t="shared" si="136"/>
        <v>12600</v>
      </c>
      <c r="BP443" s="9">
        <f t="shared" si="140"/>
        <v>0</v>
      </c>
      <c r="BQ443" s="9">
        <f t="shared" si="141"/>
        <v>37800</v>
      </c>
      <c r="BR443" s="9">
        <f t="shared" si="142"/>
        <v>37800</v>
      </c>
      <c r="BS443" s="9">
        <f t="shared" si="143"/>
        <v>50400</v>
      </c>
      <c r="BT443" s="9">
        <f t="shared" si="144"/>
        <v>50400</v>
      </c>
    </row>
    <row r="444" spans="1:72" hidden="1" x14ac:dyDescent="0.25">
      <c r="A444" s="11">
        <f t="shared" si="137"/>
        <v>443</v>
      </c>
      <c r="B444" s="3" t="s">
        <v>1823</v>
      </c>
      <c r="C444" s="4" t="s">
        <v>59</v>
      </c>
      <c r="D444" s="4" t="s">
        <v>1551</v>
      </c>
      <c r="E444" s="4" t="s">
        <v>1542</v>
      </c>
      <c r="F444" s="4"/>
      <c r="G444" s="4" t="s">
        <v>184</v>
      </c>
      <c r="H444" s="4" t="s">
        <v>1083</v>
      </c>
      <c r="I444" s="4"/>
      <c r="J444" s="4"/>
      <c r="K444" s="4" t="s">
        <v>1548</v>
      </c>
      <c r="L444" s="13">
        <v>2000000</v>
      </c>
      <c r="M444" s="4" t="s">
        <v>291</v>
      </c>
      <c r="N444" s="5"/>
      <c r="O444" s="4"/>
      <c r="P444" s="14"/>
      <c r="Q444" s="14">
        <v>0.28000000000000003</v>
      </c>
      <c r="R444" s="1">
        <f t="shared" si="138"/>
        <v>168000.00000000003</v>
      </c>
      <c r="S444" s="40"/>
      <c r="T444" s="2">
        <f t="shared" si="139"/>
        <v>600000</v>
      </c>
      <c r="U444" s="13">
        <v>120000</v>
      </c>
      <c r="V444" s="13">
        <v>120000</v>
      </c>
      <c r="W444" s="13">
        <v>120000</v>
      </c>
      <c r="X444" s="13">
        <v>120000</v>
      </c>
      <c r="Y444" s="13">
        <v>120000</v>
      </c>
      <c r="Z444" s="13">
        <v>120000</v>
      </c>
      <c r="AA444" s="13">
        <v>120000</v>
      </c>
      <c r="AB444" s="13">
        <v>120000</v>
      </c>
      <c r="AC444" s="13">
        <v>120000</v>
      </c>
      <c r="AD444" s="13">
        <v>120000</v>
      </c>
      <c r="AE444" s="13">
        <v>120000</v>
      </c>
      <c r="AF444" s="13">
        <v>120000</v>
      </c>
      <c r="AG444" s="13">
        <f t="shared" ref="AG444:AG446" si="163">AF444</f>
        <v>120000</v>
      </c>
      <c r="AH444" s="13">
        <v>0</v>
      </c>
      <c r="AI444" s="13">
        <v>0</v>
      </c>
      <c r="AJ444" s="13">
        <v>0</v>
      </c>
      <c r="AK444" s="13">
        <v>0</v>
      </c>
      <c r="AL444" s="13">
        <v>0</v>
      </c>
      <c r="AM444" s="13">
        <v>0</v>
      </c>
      <c r="AN444" s="13">
        <v>0</v>
      </c>
      <c r="AO444" s="13"/>
      <c r="AP444" s="13"/>
      <c r="AQ444" s="13"/>
      <c r="AR444" s="13"/>
      <c r="AS444" s="13"/>
      <c r="AT444" s="4" t="s">
        <v>963</v>
      </c>
      <c r="AU444" s="4" t="s">
        <v>964</v>
      </c>
      <c r="AV444" s="4" t="s">
        <v>1218</v>
      </c>
      <c r="AW444" s="4" t="s">
        <v>222</v>
      </c>
      <c r="AX444" s="4" t="s">
        <v>238</v>
      </c>
      <c r="AY444" s="4" t="s">
        <v>975</v>
      </c>
      <c r="AZ444" s="4" t="s">
        <v>975</v>
      </c>
      <c r="BA444" s="4"/>
      <c r="BB444" s="4"/>
      <c r="BC444" s="4"/>
      <c r="BD444" s="23"/>
      <c r="BE444" s="4"/>
      <c r="BF444" s="18"/>
      <c r="BG444" s="18"/>
      <c r="BH444" s="18"/>
      <c r="BI444" s="18"/>
      <c r="BJ444" s="18"/>
      <c r="BK444" s="19"/>
      <c r="BL444" s="13"/>
      <c r="BM444" s="9">
        <f t="shared" si="134"/>
        <v>33600</v>
      </c>
      <c r="BN444" s="9">
        <f t="shared" si="135"/>
        <v>33600</v>
      </c>
      <c r="BO444" s="9">
        <f t="shared" si="136"/>
        <v>33600</v>
      </c>
      <c r="BP444" s="9">
        <f t="shared" si="140"/>
        <v>33600</v>
      </c>
      <c r="BQ444" s="9">
        <f t="shared" si="141"/>
        <v>33600</v>
      </c>
      <c r="BR444" s="9">
        <f t="shared" si="142"/>
        <v>33600</v>
      </c>
      <c r="BS444" s="9">
        <f t="shared" si="143"/>
        <v>33600</v>
      </c>
      <c r="BT444" s="9">
        <f t="shared" si="144"/>
        <v>33600</v>
      </c>
    </row>
    <row r="445" spans="1:72" hidden="1" x14ac:dyDescent="0.25">
      <c r="A445" s="11">
        <f t="shared" si="137"/>
        <v>444</v>
      </c>
      <c r="B445" s="3" t="s">
        <v>1608</v>
      </c>
      <c r="C445" s="4" t="s">
        <v>59</v>
      </c>
      <c r="D445" s="4" t="s">
        <v>1551</v>
      </c>
      <c r="E445" s="4" t="s">
        <v>1542</v>
      </c>
      <c r="F445" s="4"/>
      <c r="G445" s="4" t="s">
        <v>184</v>
      </c>
      <c r="H445" s="4" t="s">
        <v>1082</v>
      </c>
      <c r="I445" s="4"/>
      <c r="J445" s="4"/>
      <c r="K445" s="4" t="s">
        <v>1548</v>
      </c>
      <c r="L445" s="13">
        <v>900000</v>
      </c>
      <c r="M445" s="4" t="s">
        <v>297</v>
      </c>
      <c r="N445" s="5"/>
      <c r="O445" s="4"/>
      <c r="P445" s="14"/>
      <c r="Q445" s="14">
        <v>0.28000000000000003</v>
      </c>
      <c r="R445" s="1">
        <f t="shared" si="138"/>
        <v>42000.000000000007</v>
      </c>
      <c r="S445" s="40"/>
      <c r="T445" s="2">
        <f t="shared" si="139"/>
        <v>150000</v>
      </c>
      <c r="U445" s="13">
        <v>12000</v>
      </c>
      <c r="V445" s="13"/>
      <c r="W445" s="13">
        <v>30000</v>
      </c>
      <c r="X445" s="13">
        <v>30000</v>
      </c>
      <c r="Y445" s="13">
        <v>30000</v>
      </c>
      <c r="Z445" s="13">
        <v>30000</v>
      </c>
      <c r="AA445" s="13">
        <v>30000</v>
      </c>
      <c r="AB445" s="13">
        <v>30000</v>
      </c>
      <c r="AC445" s="13">
        <v>30000</v>
      </c>
      <c r="AD445" s="13">
        <v>30000</v>
      </c>
      <c r="AE445" s="13">
        <v>30000</v>
      </c>
      <c r="AF445" s="13">
        <v>30000</v>
      </c>
      <c r="AG445" s="13">
        <f t="shared" si="163"/>
        <v>30000</v>
      </c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4" t="s">
        <v>963</v>
      </c>
      <c r="AU445" s="4" t="s">
        <v>964</v>
      </c>
      <c r="AV445" s="4" t="s">
        <v>1218</v>
      </c>
      <c r="AW445" s="4" t="s">
        <v>222</v>
      </c>
      <c r="AX445" s="4" t="s">
        <v>238</v>
      </c>
      <c r="AY445" s="4" t="s">
        <v>251</v>
      </c>
      <c r="AZ445" s="4" t="s">
        <v>257</v>
      </c>
      <c r="BA445" s="4"/>
      <c r="BB445" s="4"/>
      <c r="BC445" s="4"/>
      <c r="BD445" s="23"/>
      <c r="BE445" s="4"/>
      <c r="BF445" s="18"/>
      <c r="BG445" s="18"/>
      <c r="BH445" s="18"/>
      <c r="BI445" s="18"/>
      <c r="BJ445" s="18"/>
      <c r="BK445" s="19"/>
      <c r="BL445" s="13"/>
      <c r="BM445" s="9">
        <f t="shared" si="134"/>
        <v>8400</v>
      </c>
      <c r="BN445" s="9">
        <f t="shared" si="135"/>
        <v>8400</v>
      </c>
      <c r="BO445" s="9">
        <f t="shared" si="136"/>
        <v>8400</v>
      </c>
      <c r="BP445" s="9">
        <f t="shared" si="140"/>
        <v>8400</v>
      </c>
      <c r="BQ445" s="9">
        <f t="shared" si="141"/>
        <v>8400</v>
      </c>
      <c r="BR445" s="9">
        <f t="shared" si="142"/>
        <v>8400</v>
      </c>
      <c r="BS445" s="9">
        <f t="shared" si="143"/>
        <v>8400</v>
      </c>
      <c r="BT445" s="9">
        <f t="shared" si="144"/>
        <v>8400</v>
      </c>
    </row>
    <row r="446" spans="1:72" hidden="1" x14ac:dyDescent="0.25">
      <c r="A446" s="11">
        <f t="shared" si="137"/>
        <v>445</v>
      </c>
      <c r="B446" s="3" t="s">
        <v>1576</v>
      </c>
      <c r="C446" s="4" t="s">
        <v>59</v>
      </c>
      <c r="D446" s="4" t="s">
        <v>1551</v>
      </c>
      <c r="E446" s="4" t="s">
        <v>1542</v>
      </c>
      <c r="F446" s="4"/>
      <c r="G446" s="4" t="s">
        <v>157</v>
      </c>
      <c r="H446" s="4" t="s">
        <v>1084</v>
      </c>
      <c r="I446" s="4" t="s">
        <v>872</v>
      </c>
      <c r="J446" s="4"/>
      <c r="K446" s="4" t="s">
        <v>1609</v>
      </c>
      <c r="L446" s="13"/>
      <c r="M446" s="4" t="s">
        <v>320</v>
      </c>
      <c r="N446" s="5"/>
      <c r="O446" s="4"/>
      <c r="P446" s="14"/>
      <c r="Q446" s="14">
        <v>0.13</v>
      </c>
      <c r="R446" s="1">
        <f t="shared" si="138"/>
        <v>260000</v>
      </c>
      <c r="S446" s="40"/>
      <c r="T446" s="2">
        <f t="shared" si="139"/>
        <v>2000000</v>
      </c>
      <c r="U446" s="13">
        <v>1000000</v>
      </c>
      <c r="V446" s="13"/>
      <c r="W446" s="13">
        <v>1000000</v>
      </c>
      <c r="X446" s="13"/>
      <c r="Y446" s="13">
        <v>1000000</v>
      </c>
      <c r="Z446" s="13"/>
      <c r="AA446" s="13"/>
      <c r="AB446" s="13">
        <v>1000000</v>
      </c>
      <c r="AC446" s="13"/>
      <c r="AD446" s="13"/>
      <c r="AE446" s="13">
        <v>1000000</v>
      </c>
      <c r="AF446" s="13"/>
      <c r="AG446" s="13">
        <f t="shared" si="163"/>
        <v>0</v>
      </c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4" t="s">
        <v>963</v>
      </c>
      <c r="AU446" s="4" t="s">
        <v>964</v>
      </c>
      <c r="AV446" s="4" t="s">
        <v>1218</v>
      </c>
      <c r="AW446" s="4" t="s">
        <v>222</v>
      </c>
      <c r="AX446" s="4" t="s">
        <v>216</v>
      </c>
      <c r="AY446" s="4" t="s">
        <v>966</v>
      </c>
      <c r="AZ446" s="4" t="s">
        <v>248</v>
      </c>
      <c r="BA446" s="4"/>
      <c r="BB446" s="4"/>
      <c r="BC446" s="4"/>
      <c r="BD446" s="23"/>
      <c r="BE446" s="4"/>
      <c r="BF446" s="18"/>
      <c r="BG446" s="18"/>
      <c r="BH446" s="18"/>
      <c r="BI446" s="18"/>
      <c r="BJ446" s="18"/>
      <c r="BK446" s="19"/>
      <c r="BL446" s="13"/>
      <c r="BM446" s="9">
        <f t="shared" si="134"/>
        <v>130000</v>
      </c>
      <c r="BN446" s="9">
        <f t="shared" si="135"/>
        <v>0</v>
      </c>
      <c r="BO446" s="9">
        <f t="shared" si="136"/>
        <v>0</v>
      </c>
      <c r="BP446" s="9">
        <f t="shared" si="140"/>
        <v>130000</v>
      </c>
      <c r="BQ446" s="9">
        <f t="shared" si="141"/>
        <v>0</v>
      </c>
      <c r="BR446" s="9">
        <f t="shared" si="142"/>
        <v>0</v>
      </c>
      <c r="BS446" s="9">
        <f t="shared" si="143"/>
        <v>130000</v>
      </c>
      <c r="BT446" s="9">
        <f t="shared" si="144"/>
        <v>0</v>
      </c>
    </row>
    <row r="447" spans="1:72" hidden="1" x14ac:dyDescent="0.25">
      <c r="A447" s="11">
        <f t="shared" si="137"/>
        <v>446</v>
      </c>
      <c r="B447" s="3" t="s">
        <v>1610</v>
      </c>
      <c r="C447" s="4" t="s">
        <v>59</v>
      </c>
      <c r="D447" s="4" t="s">
        <v>1551</v>
      </c>
      <c r="E447" s="4" t="s">
        <v>1542</v>
      </c>
      <c r="F447" s="4"/>
      <c r="G447" s="4" t="s">
        <v>458</v>
      </c>
      <c r="H447" s="4" t="s">
        <v>1085</v>
      </c>
      <c r="I447" s="4"/>
      <c r="J447" s="4"/>
      <c r="K447" s="4" t="s">
        <v>523</v>
      </c>
      <c r="L447" s="13"/>
      <c r="M447" s="4" t="s">
        <v>297</v>
      </c>
      <c r="N447" s="5" t="s">
        <v>1611</v>
      </c>
      <c r="O447" s="4"/>
      <c r="P447" s="14"/>
      <c r="Q447" s="14">
        <v>0.25</v>
      </c>
      <c r="R447" s="1">
        <f t="shared" si="138"/>
        <v>45000</v>
      </c>
      <c r="S447" s="40"/>
      <c r="T447" s="2">
        <f t="shared" si="139"/>
        <v>180000</v>
      </c>
      <c r="U447" s="13"/>
      <c r="V447" s="13"/>
      <c r="W447" s="13">
        <v>51000</v>
      </c>
      <c r="X447" s="13"/>
      <c r="Y447" s="13">
        <v>51000</v>
      </c>
      <c r="Z447" s="13"/>
      <c r="AA447" s="13">
        <v>51000</v>
      </c>
      <c r="AB447" s="13"/>
      <c r="AC447" s="13"/>
      <c r="AD447" s="13">
        <v>60000</v>
      </c>
      <c r="AE447" s="13">
        <v>60000</v>
      </c>
      <c r="AF447" s="13">
        <v>60000</v>
      </c>
      <c r="AG447" s="13">
        <f>AF447</f>
        <v>60000</v>
      </c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4" t="s">
        <v>963</v>
      </c>
      <c r="AU447" s="4" t="s">
        <v>964</v>
      </c>
      <c r="AV447" s="4" t="s">
        <v>1218</v>
      </c>
      <c r="AW447" s="4" t="s">
        <v>98</v>
      </c>
      <c r="AX447" s="4" t="s">
        <v>110</v>
      </c>
      <c r="AY447" s="4" t="s">
        <v>985</v>
      </c>
      <c r="AZ447" s="4" t="s">
        <v>983</v>
      </c>
      <c r="BA447" s="4"/>
      <c r="BB447" s="4"/>
      <c r="BC447" s="4"/>
      <c r="BD447" s="23"/>
      <c r="BE447" s="4"/>
      <c r="BF447" s="18"/>
      <c r="BG447" s="18"/>
      <c r="BH447" s="18"/>
      <c r="BI447" s="18"/>
      <c r="BJ447" s="18"/>
      <c r="BK447" s="19"/>
      <c r="BL447" s="13"/>
      <c r="BM447" s="9">
        <f t="shared" ref="BM447:BM494" si="164">$Q447*Y447</f>
        <v>12750</v>
      </c>
      <c r="BN447" s="9">
        <f t="shared" si="135"/>
        <v>0</v>
      </c>
      <c r="BO447" s="9">
        <f t="shared" si="136"/>
        <v>12750</v>
      </c>
      <c r="BP447" s="9">
        <f t="shared" si="140"/>
        <v>0</v>
      </c>
      <c r="BQ447" s="9">
        <f t="shared" si="141"/>
        <v>0</v>
      </c>
      <c r="BR447" s="9">
        <f t="shared" si="142"/>
        <v>15000</v>
      </c>
      <c r="BS447" s="9">
        <f t="shared" si="143"/>
        <v>15000</v>
      </c>
      <c r="BT447" s="9">
        <f t="shared" si="144"/>
        <v>15000</v>
      </c>
    </row>
    <row r="448" spans="1:72" hidden="1" x14ac:dyDescent="0.25">
      <c r="A448" s="11">
        <f t="shared" si="137"/>
        <v>447</v>
      </c>
      <c r="B448" s="3" t="s">
        <v>1612</v>
      </c>
      <c r="C448" s="4" t="s">
        <v>59</v>
      </c>
      <c r="D448" s="4" t="s">
        <v>1551</v>
      </c>
      <c r="E448" s="4" t="s">
        <v>1542</v>
      </c>
      <c r="F448" s="4"/>
      <c r="G448" s="4" t="s">
        <v>105</v>
      </c>
      <c r="H448" s="4" t="s">
        <v>1081</v>
      </c>
      <c r="I448" s="4"/>
      <c r="J448" s="4"/>
      <c r="K448" s="4" t="s">
        <v>523</v>
      </c>
      <c r="L448" s="13">
        <v>300000</v>
      </c>
      <c r="M448" s="4" t="s">
        <v>297</v>
      </c>
      <c r="N448" s="5"/>
      <c r="O448" s="4"/>
      <c r="P448" s="14"/>
      <c r="Q448" s="14">
        <v>0.42</v>
      </c>
      <c r="R448" s="1">
        <f t="shared" si="138"/>
        <v>189000</v>
      </c>
      <c r="S448" s="40"/>
      <c r="T448" s="2">
        <f t="shared" si="139"/>
        <v>450000</v>
      </c>
      <c r="U448" s="13">
        <v>9000</v>
      </c>
      <c r="V448" s="13"/>
      <c r="W448" s="13">
        <v>12000</v>
      </c>
      <c r="X448" s="13">
        <v>60000</v>
      </c>
      <c r="Y448" s="13">
        <v>60000</v>
      </c>
      <c r="Z448" s="13">
        <v>60000</v>
      </c>
      <c r="AA448" s="13">
        <v>60000</v>
      </c>
      <c r="AB448" s="13">
        <v>90000</v>
      </c>
      <c r="AC448" s="13">
        <v>90000</v>
      </c>
      <c r="AD448" s="13">
        <v>60000</v>
      </c>
      <c r="AE448" s="13">
        <v>90000</v>
      </c>
      <c r="AF448" s="13">
        <v>120000</v>
      </c>
      <c r="AG448" s="13">
        <f>AF448</f>
        <v>120000</v>
      </c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4" t="s">
        <v>683</v>
      </c>
      <c r="AU448" s="4" t="s">
        <v>964</v>
      </c>
      <c r="AV448" s="4" t="s">
        <v>1218</v>
      </c>
      <c r="AW448" s="4" t="s">
        <v>222</v>
      </c>
      <c r="AX448" s="4" t="s">
        <v>275</v>
      </c>
      <c r="AY448" s="4" t="s">
        <v>276</v>
      </c>
      <c r="AZ448" s="4" t="s">
        <v>997</v>
      </c>
      <c r="BA448" s="4"/>
      <c r="BB448" s="4"/>
      <c r="BC448" s="4"/>
      <c r="BD448" s="23"/>
      <c r="BE448" s="4"/>
      <c r="BF448" s="18"/>
      <c r="BG448" s="18"/>
      <c r="BH448" s="18"/>
      <c r="BI448" s="18"/>
      <c r="BJ448" s="18"/>
      <c r="BK448" s="19"/>
      <c r="BL448" s="13"/>
      <c r="BM448" s="9">
        <f t="shared" si="164"/>
        <v>25200</v>
      </c>
      <c r="BN448" s="9">
        <f t="shared" si="135"/>
        <v>25200</v>
      </c>
      <c r="BO448" s="9">
        <f t="shared" si="136"/>
        <v>25200</v>
      </c>
      <c r="BP448" s="9">
        <f t="shared" si="140"/>
        <v>37800</v>
      </c>
      <c r="BQ448" s="9">
        <f t="shared" si="141"/>
        <v>37800</v>
      </c>
      <c r="BR448" s="9">
        <f t="shared" si="142"/>
        <v>25200</v>
      </c>
      <c r="BS448" s="9">
        <f t="shared" si="143"/>
        <v>37800</v>
      </c>
      <c r="BT448" s="9">
        <f t="shared" si="144"/>
        <v>50400</v>
      </c>
    </row>
    <row r="449" spans="1:72" hidden="1" x14ac:dyDescent="0.25">
      <c r="A449" s="11">
        <f t="shared" si="137"/>
        <v>448</v>
      </c>
      <c r="B449" s="3" t="s">
        <v>1613</v>
      </c>
      <c r="C449" s="4" t="s">
        <v>59</v>
      </c>
      <c r="D449" s="4" t="s">
        <v>1551</v>
      </c>
      <c r="E449" s="4" t="s">
        <v>1542</v>
      </c>
      <c r="F449" s="4"/>
      <c r="G449" s="4" t="s">
        <v>1087</v>
      </c>
      <c r="H449" s="4" t="s">
        <v>1086</v>
      </c>
      <c r="I449" s="4"/>
      <c r="J449" s="4"/>
      <c r="K449" s="4"/>
      <c r="L449" s="13"/>
      <c r="M449" s="4"/>
      <c r="N449" s="5"/>
      <c r="O449" s="4"/>
      <c r="P449" s="14"/>
      <c r="Q449" s="14">
        <v>0.14000000000000001</v>
      </c>
      <c r="R449" s="1">
        <f t="shared" si="138"/>
        <v>96600.000000000015</v>
      </c>
      <c r="S449" s="40"/>
      <c r="T449" s="2">
        <f t="shared" si="139"/>
        <v>690000</v>
      </c>
      <c r="U449" s="13"/>
      <c r="V449" s="13"/>
      <c r="W449" s="13"/>
      <c r="X449" s="13"/>
      <c r="Y449" s="13"/>
      <c r="Z449" s="13"/>
      <c r="AA449" s="13">
        <v>690000</v>
      </c>
      <c r="AB449" s="13"/>
      <c r="AC449" s="13"/>
      <c r="AD449" s="13">
        <v>690000</v>
      </c>
      <c r="AE449" s="13"/>
      <c r="AF449" s="13"/>
      <c r="AG449" s="13">
        <f t="shared" ref="AG449:AG453" si="165">AF449</f>
        <v>0</v>
      </c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4"/>
      <c r="AU449" s="4" t="s">
        <v>1105</v>
      </c>
      <c r="AV449" s="4" t="s">
        <v>1218</v>
      </c>
      <c r="AW449" s="4"/>
      <c r="AX449" s="4"/>
      <c r="AY449" s="4"/>
      <c r="AZ449" s="4"/>
      <c r="BA449" s="4"/>
      <c r="BB449" s="4"/>
      <c r="BC449" s="4"/>
      <c r="BD449" s="23"/>
      <c r="BE449" s="4"/>
      <c r="BF449" s="18"/>
      <c r="BG449" s="18"/>
      <c r="BH449" s="18"/>
      <c r="BI449" s="18"/>
      <c r="BJ449" s="18"/>
      <c r="BK449" s="19"/>
      <c r="BL449" s="13"/>
      <c r="BM449" s="9">
        <f t="shared" si="164"/>
        <v>0</v>
      </c>
      <c r="BN449" s="9">
        <f t="shared" si="135"/>
        <v>0</v>
      </c>
      <c r="BO449" s="9">
        <f t="shared" si="136"/>
        <v>96600.000000000015</v>
      </c>
      <c r="BP449" s="9">
        <f t="shared" si="140"/>
        <v>0</v>
      </c>
      <c r="BQ449" s="9">
        <f t="shared" si="141"/>
        <v>0</v>
      </c>
      <c r="BR449" s="9">
        <f t="shared" si="142"/>
        <v>96600.000000000015</v>
      </c>
      <c r="BS449" s="9">
        <f t="shared" si="143"/>
        <v>0</v>
      </c>
      <c r="BT449" s="9">
        <f t="shared" si="144"/>
        <v>0</v>
      </c>
    </row>
    <row r="450" spans="1:72" hidden="1" x14ac:dyDescent="0.25">
      <c r="A450" s="11">
        <f t="shared" si="137"/>
        <v>449</v>
      </c>
      <c r="B450" s="3" t="s">
        <v>1614</v>
      </c>
      <c r="C450" s="4" t="s">
        <v>59</v>
      </c>
      <c r="D450" s="4" t="s">
        <v>1551</v>
      </c>
      <c r="E450" s="4" t="s">
        <v>1542</v>
      </c>
      <c r="F450" s="4"/>
      <c r="G450" s="4" t="s">
        <v>1036</v>
      </c>
      <c r="H450" s="4"/>
      <c r="I450" s="4"/>
      <c r="J450" s="4"/>
      <c r="K450" s="4" t="s">
        <v>1577</v>
      </c>
      <c r="L450" s="13"/>
      <c r="M450" s="4" t="s">
        <v>320</v>
      </c>
      <c r="N450" s="5"/>
      <c r="O450" s="4"/>
      <c r="P450" s="14"/>
      <c r="Q450" s="14"/>
      <c r="R450" s="1">
        <f t="shared" si="138"/>
        <v>0</v>
      </c>
      <c r="S450" s="40"/>
      <c r="T450" s="2">
        <f t="shared" si="139"/>
        <v>0</v>
      </c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>
        <f t="shared" si="165"/>
        <v>0</v>
      </c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4"/>
      <c r="AU450" s="4" t="s">
        <v>1105</v>
      </c>
      <c r="AV450" s="4" t="s">
        <v>1219</v>
      </c>
      <c r="AW450" s="4"/>
      <c r="AX450" s="4"/>
      <c r="AY450" s="4"/>
      <c r="AZ450" s="4"/>
      <c r="BA450" s="4"/>
      <c r="BB450" s="4"/>
      <c r="BC450" s="4"/>
      <c r="BD450" s="23"/>
      <c r="BE450" s="4"/>
      <c r="BF450" s="18"/>
      <c r="BG450" s="18"/>
      <c r="BH450" s="18"/>
      <c r="BI450" s="18"/>
      <c r="BJ450" s="18"/>
      <c r="BK450" s="19"/>
      <c r="BL450" s="13"/>
      <c r="BM450" s="9">
        <f t="shared" si="164"/>
        <v>0</v>
      </c>
      <c r="BN450" s="9">
        <f t="shared" ref="BN450:BN515" si="166">$Q450*Z450</f>
        <v>0</v>
      </c>
      <c r="BO450" s="9">
        <f t="shared" ref="BO450:BO515" si="167">$Q450*AA450</f>
        <v>0</v>
      </c>
      <c r="BP450" s="9">
        <f t="shared" si="140"/>
        <v>0</v>
      </c>
      <c r="BQ450" s="9">
        <f t="shared" si="141"/>
        <v>0</v>
      </c>
      <c r="BR450" s="9">
        <f t="shared" si="142"/>
        <v>0</v>
      </c>
      <c r="BS450" s="9">
        <f t="shared" si="143"/>
        <v>0</v>
      </c>
      <c r="BT450" s="9">
        <f t="shared" si="144"/>
        <v>0</v>
      </c>
    </row>
    <row r="451" spans="1:72" hidden="1" x14ac:dyDescent="0.25">
      <c r="A451" s="11">
        <f t="shared" ref="A451:A517" si="168">ROW()-1</f>
        <v>450</v>
      </c>
      <c r="B451" s="3" t="s">
        <v>1614</v>
      </c>
      <c r="C451" s="4" t="s">
        <v>59</v>
      </c>
      <c r="D451" s="4" t="s">
        <v>1551</v>
      </c>
      <c r="E451" s="4" t="s">
        <v>1542</v>
      </c>
      <c r="F451" s="4"/>
      <c r="G451" s="4" t="s">
        <v>1036</v>
      </c>
      <c r="H451" s="4"/>
      <c r="I451" s="4"/>
      <c r="J451" s="4"/>
      <c r="K451" s="4" t="s">
        <v>1562</v>
      </c>
      <c r="L451" s="13"/>
      <c r="M451" s="4" t="s">
        <v>320</v>
      </c>
      <c r="N451" s="5"/>
      <c r="O451" s="4"/>
      <c r="P451" s="14"/>
      <c r="Q451" s="14"/>
      <c r="R451" s="1">
        <f t="shared" ref="R451:R515" si="169">Q451*T451</f>
        <v>0</v>
      </c>
      <c r="S451" s="40"/>
      <c r="T451" s="2">
        <f t="shared" ref="T451:T515" si="170">SUM(AB451:AF451)</f>
        <v>0</v>
      </c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>
        <f t="shared" si="165"/>
        <v>0</v>
      </c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4"/>
      <c r="AU451" s="4" t="s">
        <v>1105</v>
      </c>
      <c r="AV451" s="4" t="s">
        <v>1219</v>
      </c>
      <c r="AW451" s="4"/>
      <c r="AX451" s="4"/>
      <c r="AY451" s="4"/>
      <c r="AZ451" s="4"/>
      <c r="BA451" s="4"/>
      <c r="BB451" s="4"/>
      <c r="BC451" s="4"/>
      <c r="BD451" s="23"/>
      <c r="BE451" s="4"/>
      <c r="BF451" s="18"/>
      <c r="BG451" s="18"/>
      <c r="BH451" s="18"/>
      <c r="BI451" s="18"/>
      <c r="BJ451" s="18"/>
      <c r="BK451" s="19"/>
      <c r="BL451" s="13"/>
      <c r="BM451" s="9">
        <f t="shared" si="164"/>
        <v>0</v>
      </c>
      <c r="BN451" s="9">
        <f t="shared" si="166"/>
        <v>0</v>
      </c>
      <c r="BO451" s="9">
        <f t="shared" si="167"/>
        <v>0</v>
      </c>
      <c r="BP451" s="9">
        <f t="shared" ref="BP451:BP514" si="171">$Q451*AB451</f>
        <v>0</v>
      </c>
      <c r="BQ451" s="9">
        <f t="shared" ref="BQ451:BQ514" si="172">$Q451*AC451</f>
        <v>0</v>
      </c>
      <c r="BR451" s="9">
        <f t="shared" ref="BR451:BR514" si="173">$Q451*AD451</f>
        <v>0</v>
      </c>
      <c r="BS451" s="9">
        <f t="shared" ref="BS451:BS514" si="174">$Q451*AE451</f>
        <v>0</v>
      </c>
      <c r="BT451" s="9">
        <f t="shared" ref="BT451:BT514" si="175">$Q451*AF451</f>
        <v>0</v>
      </c>
    </row>
    <row r="452" spans="1:72" hidden="1" x14ac:dyDescent="0.25">
      <c r="A452" s="11">
        <f t="shared" si="168"/>
        <v>451</v>
      </c>
      <c r="B452" s="3" t="s">
        <v>1615</v>
      </c>
      <c r="C452" s="4" t="s">
        <v>128</v>
      </c>
      <c r="D452" s="4" t="s">
        <v>1551</v>
      </c>
      <c r="E452" s="4" t="s">
        <v>1542</v>
      </c>
      <c r="F452" s="4"/>
      <c r="G452" s="4" t="s">
        <v>144</v>
      </c>
      <c r="H452" s="4" t="s">
        <v>1809</v>
      </c>
      <c r="I452" s="4"/>
      <c r="J452" s="4"/>
      <c r="K452" s="4"/>
      <c r="L452" s="13"/>
      <c r="M452" s="4"/>
      <c r="N452" s="5"/>
      <c r="O452" s="4"/>
      <c r="P452" s="14"/>
      <c r="Q452" s="14">
        <v>0.13</v>
      </c>
      <c r="R452" s="1">
        <f t="shared" si="169"/>
        <v>1950000</v>
      </c>
      <c r="S452" s="40"/>
      <c r="T452" s="2">
        <f t="shared" si="170"/>
        <v>15000000</v>
      </c>
      <c r="U452" s="13"/>
      <c r="V452" s="13"/>
      <c r="W452" s="13"/>
      <c r="X452" s="13"/>
      <c r="Y452" s="13">
        <v>3000000</v>
      </c>
      <c r="Z452" s="13">
        <v>3000000</v>
      </c>
      <c r="AA452" s="13">
        <v>3000000</v>
      </c>
      <c r="AB452" s="13">
        <v>3000000</v>
      </c>
      <c r="AC452" s="13">
        <v>3000000</v>
      </c>
      <c r="AD452" s="13">
        <v>3000000</v>
      </c>
      <c r="AE452" s="13">
        <v>3000000</v>
      </c>
      <c r="AF452" s="13">
        <v>3000000</v>
      </c>
      <c r="AG452" s="13">
        <f t="shared" si="165"/>
        <v>3000000</v>
      </c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4"/>
      <c r="AU452" s="4" t="s">
        <v>1105</v>
      </c>
      <c r="AV452" s="4" t="s">
        <v>1218</v>
      </c>
      <c r="AW452" s="4"/>
      <c r="AX452" s="4"/>
      <c r="AY452" s="4"/>
      <c r="AZ452" s="4"/>
      <c r="BA452" s="4"/>
      <c r="BB452" s="4"/>
      <c r="BC452" s="4"/>
      <c r="BD452" s="23"/>
      <c r="BE452" s="4"/>
      <c r="BF452" s="18"/>
      <c r="BG452" s="18"/>
      <c r="BH452" s="18"/>
      <c r="BI452" s="18"/>
      <c r="BJ452" s="18"/>
      <c r="BK452" s="19"/>
      <c r="BL452" s="13"/>
      <c r="BM452" s="9">
        <f t="shared" si="164"/>
        <v>390000</v>
      </c>
      <c r="BN452" s="9">
        <f t="shared" si="166"/>
        <v>390000</v>
      </c>
      <c r="BO452" s="9">
        <f t="shared" si="167"/>
        <v>390000</v>
      </c>
      <c r="BP452" s="9">
        <f t="shared" si="171"/>
        <v>390000</v>
      </c>
      <c r="BQ452" s="9">
        <f t="shared" si="172"/>
        <v>390000</v>
      </c>
      <c r="BR452" s="9">
        <f t="shared" si="173"/>
        <v>390000</v>
      </c>
      <c r="BS452" s="9">
        <f t="shared" si="174"/>
        <v>390000</v>
      </c>
      <c r="BT452" s="9">
        <f t="shared" si="175"/>
        <v>390000</v>
      </c>
    </row>
    <row r="453" spans="1:72" hidden="1" x14ac:dyDescent="0.25">
      <c r="A453" s="11">
        <f t="shared" si="168"/>
        <v>452</v>
      </c>
      <c r="B453" s="3" t="s">
        <v>1608</v>
      </c>
      <c r="C453" s="4" t="s">
        <v>59</v>
      </c>
      <c r="D453" s="4" t="s">
        <v>1551</v>
      </c>
      <c r="E453" s="4" t="s">
        <v>1542</v>
      </c>
      <c r="F453" s="4"/>
      <c r="G453" s="4" t="s">
        <v>844</v>
      </c>
      <c r="H453" s="4" t="s">
        <v>1088</v>
      </c>
      <c r="I453" s="4"/>
      <c r="J453" s="4"/>
      <c r="K453" s="4" t="s">
        <v>499</v>
      </c>
      <c r="L453" s="13"/>
      <c r="M453" s="4" t="s">
        <v>74</v>
      </c>
      <c r="N453" s="5"/>
      <c r="O453" s="4"/>
      <c r="P453" s="14"/>
      <c r="Q453" s="14">
        <v>0.38</v>
      </c>
      <c r="R453" s="1">
        <f t="shared" si="169"/>
        <v>57000</v>
      </c>
      <c r="S453" s="40"/>
      <c r="T453" s="2">
        <f t="shared" si="170"/>
        <v>150000</v>
      </c>
      <c r="U453" s="13"/>
      <c r="V453" s="13"/>
      <c r="W453" s="13">
        <v>10000</v>
      </c>
      <c r="X453" s="13"/>
      <c r="Y453" s="13">
        <v>10000</v>
      </c>
      <c r="Z453" s="13"/>
      <c r="AA453" s="13"/>
      <c r="AB453" s="13">
        <v>30000</v>
      </c>
      <c r="AC453" s="13"/>
      <c r="AD453" s="13"/>
      <c r="AE453" s="13">
        <v>60000</v>
      </c>
      <c r="AF453" s="13">
        <v>60000</v>
      </c>
      <c r="AG453" s="13">
        <f t="shared" si="165"/>
        <v>60000</v>
      </c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4" t="s">
        <v>963</v>
      </c>
      <c r="AU453" s="4" t="s">
        <v>964</v>
      </c>
      <c r="AV453" s="4" t="s">
        <v>1218</v>
      </c>
      <c r="AW453" s="4" t="s">
        <v>141</v>
      </c>
      <c r="AX453" s="4" t="s">
        <v>142</v>
      </c>
      <c r="AY453" s="4" t="s">
        <v>998</v>
      </c>
      <c r="AZ453" s="4" t="s">
        <v>999</v>
      </c>
      <c r="BA453" s="4"/>
      <c r="BB453" s="4"/>
      <c r="BC453" s="4"/>
      <c r="BD453" s="23"/>
      <c r="BE453" s="4"/>
      <c r="BF453" s="18"/>
      <c r="BG453" s="18"/>
      <c r="BH453" s="18"/>
      <c r="BI453" s="18"/>
      <c r="BJ453" s="18"/>
      <c r="BK453" s="19"/>
      <c r="BL453" s="13"/>
      <c r="BM453" s="9">
        <f t="shared" si="164"/>
        <v>3800</v>
      </c>
      <c r="BN453" s="9">
        <f t="shared" si="166"/>
        <v>0</v>
      </c>
      <c r="BO453" s="9">
        <f t="shared" si="167"/>
        <v>0</v>
      </c>
      <c r="BP453" s="9">
        <f t="shared" si="171"/>
        <v>11400</v>
      </c>
      <c r="BQ453" s="9">
        <f t="shared" si="172"/>
        <v>0</v>
      </c>
      <c r="BR453" s="9">
        <f t="shared" si="173"/>
        <v>0</v>
      </c>
      <c r="BS453" s="9">
        <f t="shared" si="174"/>
        <v>22800</v>
      </c>
      <c r="BT453" s="9">
        <f t="shared" si="175"/>
        <v>22800</v>
      </c>
    </row>
    <row r="454" spans="1:72" hidden="1" x14ac:dyDescent="0.25">
      <c r="A454" s="11">
        <f t="shared" si="168"/>
        <v>453</v>
      </c>
      <c r="B454" s="5" t="s">
        <v>1616</v>
      </c>
      <c r="C454" s="4" t="s">
        <v>186</v>
      </c>
      <c r="D454" s="4" t="s">
        <v>724</v>
      </c>
      <c r="E454" s="4" t="s">
        <v>710</v>
      </c>
      <c r="F454" s="4" t="s">
        <v>1617</v>
      </c>
      <c r="G454" s="4" t="s">
        <v>116</v>
      </c>
      <c r="H454" s="4" t="s">
        <v>1089</v>
      </c>
      <c r="I454" s="4"/>
      <c r="J454" s="4"/>
      <c r="K454" s="4" t="s">
        <v>1618</v>
      </c>
      <c r="L454" s="24">
        <v>2400000</v>
      </c>
      <c r="M454" s="13" t="s">
        <v>291</v>
      </c>
      <c r="N454" s="5" t="s">
        <v>1619</v>
      </c>
      <c r="O454" s="4" t="s">
        <v>684</v>
      </c>
      <c r="P454" s="4"/>
      <c r="Q454" s="42">
        <v>0.36899999999999999</v>
      </c>
      <c r="R454" s="1">
        <f t="shared" si="169"/>
        <v>199260</v>
      </c>
      <c r="S454" s="34">
        <f t="shared" ref="S454:S494" si="176">Q454*SUM(AH454:AM454)</f>
        <v>0</v>
      </c>
      <c r="T454" s="2">
        <f t="shared" si="170"/>
        <v>540000</v>
      </c>
      <c r="U454" s="24">
        <v>200000</v>
      </c>
      <c r="V454" s="24">
        <v>200000</v>
      </c>
      <c r="W454" s="24">
        <v>200000</v>
      </c>
      <c r="X454" s="24">
        <v>201000</v>
      </c>
      <c r="Y454" s="24">
        <v>201000</v>
      </c>
      <c r="Z454" s="24">
        <v>201000</v>
      </c>
      <c r="AA454" s="24">
        <v>0</v>
      </c>
      <c r="AB454" s="24">
        <v>0</v>
      </c>
      <c r="AC454" s="24">
        <v>0</v>
      </c>
      <c r="AD454" s="24">
        <v>180000</v>
      </c>
      <c r="AE454" s="24">
        <v>180000</v>
      </c>
      <c r="AF454" s="24">
        <v>180000</v>
      </c>
      <c r="AG454" s="13">
        <f>AF454</f>
        <v>180000</v>
      </c>
      <c r="AH454" s="24">
        <v>0</v>
      </c>
      <c r="AI454" s="24">
        <v>0</v>
      </c>
      <c r="AJ454" s="24">
        <v>0</v>
      </c>
      <c r="AK454" s="24">
        <v>0</v>
      </c>
      <c r="AL454" s="24">
        <v>0</v>
      </c>
      <c r="AM454" s="24">
        <v>0</v>
      </c>
      <c r="AN454" s="24">
        <v>0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4" t="s">
        <v>192</v>
      </c>
      <c r="AU454" s="4" t="s">
        <v>685</v>
      </c>
      <c r="AV454" s="4" t="s">
        <v>1218</v>
      </c>
      <c r="AW454" s="4" t="s">
        <v>98</v>
      </c>
      <c r="AX454" s="4" t="s">
        <v>110</v>
      </c>
      <c r="AY454" s="4" t="s">
        <v>686</v>
      </c>
      <c r="AZ454" s="4" t="s">
        <v>687</v>
      </c>
      <c r="BA454" s="4" t="s">
        <v>688</v>
      </c>
      <c r="BB454" s="4"/>
      <c r="BC454" s="4"/>
      <c r="BD454" s="23">
        <v>3</v>
      </c>
      <c r="BE454" s="4"/>
      <c r="BF454" s="18"/>
      <c r="BG454" s="18"/>
      <c r="BH454" s="18"/>
      <c r="BI454" s="18"/>
      <c r="BJ454" s="18"/>
      <c r="BK454" s="26"/>
      <c r="BL454" s="13"/>
      <c r="BM454" s="9">
        <f t="shared" si="164"/>
        <v>74169</v>
      </c>
      <c r="BN454" s="9">
        <f t="shared" si="166"/>
        <v>74169</v>
      </c>
      <c r="BO454" s="9">
        <f t="shared" si="167"/>
        <v>0</v>
      </c>
      <c r="BP454" s="9">
        <f t="shared" si="171"/>
        <v>0</v>
      </c>
      <c r="BQ454" s="9">
        <f t="shared" si="172"/>
        <v>0</v>
      </c>
      <c r="BR454" s="9">
        <f t="shared" si="173"/>
        <v>66420</v>
      </c>
      <c r="BS454" s="9">
        <f t="shared" si="174"/>
        <v>66420</v>
      </c>
      <c r="BT454" s="9">
        <f t="shared" si="175"/>
        <v>66420</v>
      </c>
    </row>
    <row r="455" spans="1:72" hidden="1" x14ac:dyDescent="0.25">
      <c r="A455" s="11">
        <f t="shared" si="168"/>
        <v>454</v>
      </c>
      <c r="B455" s="5" t="s">
        <v>1616</v>
      </c>
      <c r="C455" s="4" t="s">
        <v>186</v>
      </c>
      <c r="D455" s="4" t="s">
        <v>724</v>
      </c>
      <c r="E455" s="4" t="s">
        <v>710</v>
      </c>
      <c r="F455" s="4" t="s">
        <v>1617</v>
      </c>
      <c r="G455" s="4" t="s">
        <v>689</v>
      </c>
      <c r="H455" s="4"/>
      <c r="I455" s="4"/>
      <c r="J455" s="4"/>
      <c r="K455" s="4" t="s">
        <v>1618</v>
      </c>
      <c r="L455" s="24"/>
      <c r="M455" s="13" t="s">
        <v>74</v>
      </c>
      <c r="N455" s="5" t="s">
        <v>1620</v>
      </c>
      <c r="O455" s="4" t="s">
        <v>199</v>
      </c>
      <c r="P455" s="4"/>
      <c r="Q455" s="42">
        <v>0.38</v>
      </c>
      <c r="R455" s="1">
        <f t="shared" si="169"/>
        <v>0</v>
      </c>
      <c r="S455" s="34">
        <f t="shared" si="176"/>
        <v>0</v>
      </c>
      <c r="T455" s="2">
        <f t="shared" si="170"/>
        <v>0</v>
      </c>
      <c r="U455" s="24">
        <v>0</v>
      </c>
      <c r="V455" s="24">
        <v>0</v>
      </c>
      <c r="W455" s="24">
        <v>0</v>
      </c>
      <c r="X455" s="24">
        <v>0</v>
      </c>
      <c r="Y455" s="24">
        <v>0</v>
      </c>
      <c r="Z455" s="24">
        <v>0</v>
      </c>
      <c r="AA455" s="24">
        <v>0</v>
      </c>
      <c r="AB455" s="24">
        <v>0</v>
      </c>
      <c r="AC455" s="24">
        <v>0</v>
      </c>
      <c r="AD455" s="24">
        <v>0</v>
      </c>
      <c r="AE455" s="24">
        <v>0</v>
      </c>
      <c r="AF455" s="24">
        <v>0</v>
      </c>
      <c r="AG455" s="13">
        <f t="shared" ref="AG455:AG459" si="177">AF455</f>
        <v>0</v>
      </c>
      <c r="AH455" s="24">
        <v>0</v>
      </c>
      <c r="AI455" s="24">
        <v>0</v>
      </c>
      <c r="AJ455" s="24">
        <v>0</v>
      </c>
      <c r="AK455" s="24">
        <v>0</v>
      </c>
      <c r="AL455" s="24">
        <v>0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4" t="s">
        <v>192</v>
      </c>
      <c r="AU455" s="4" t="s">
        <v>685</v>
      </c>
      <c r="AV455" s="4" t="s">
        <v>1214</v>
      </c>
      <c r="AW455" s="4" t="s">
        <v>98</v>
      </c>
      <c r="AX455" s="4" t="s">
        <v>110</v>
      </c>
      <c r="AY455" s="4" t="s">
        <v>686</v>
      </c>
      <c r="AZ455" s="4" t="s">
        <v>687</v>
      </c>
      <c r="BA455" s="4" t="s">
        <v>688</v>
      </c>
      <c r="BB455" s="4"/>
      <c r="BC455" s="4"/>
      <c r="BD455" s="23">
        <v>3</v>
      </c>
      <c r="BE455" s="4"/>
      <c r="BF455" s="18"/>
      <c r="BG455" s="18"/>
      <c r="BH455" s="18"/>
      <c r="BI455" s="18"/>
      <c r="BJ455" s="18"/>
      <c r="BK455" s="26"/>
      <c r="BL455" s="13"/>
      <c r="BM455" s="9">
        <f t="shared" si="164"/>
        <v>0</v>
      </c>
      <c r="BN455" s="9">
        <f t="shared" si="166"/>
        <v>0</v>
      </c>
      <c r="BO455" s="9">
        <f t="shared" si="167"/>
        <v>0</v>
      </c>
      <c r="BP455" s="9">
        <f t="shared" si="171"/>
        <v>0</v>
      </c>
      <c r="BQ455" s="9">
        <f t="shared" si="172"/>
        <v>0</v>
      </c>
      <c r="BR455" s="9">
        <f t="shared" si="173"/>
        <v>0</v>
      </c>
      <c r="BS455" s="9">
        <f t="shared" si="174"/>
        <v>0</v>
      </c>
      <c r="BT455" s="9">
        <f t="shared" si="175"/>
        <v>0</v>
      </c>
    </row>
    <row r="456" spans="1:72" hidden="1" x14ac:dyDescent="0.25">
      <c r="A456" s="11">
        <f t="shared" si="168"/>
        <v>455</v>
      </c>
      <c r="B456" s="5" t="s">
        <v>1616</v>
      </c>
      <c r="C456" s="4" t="s">
        <v>186</v>
      </c>
      <c r="D456" s="4" t="s">
        <v>724</v>
      </c>
      <c r="E456" s="4" t="s">
        <v>710</v>
      </c>
      <c r="F456" s="4" t="s">
        <v>1617</v>
      </c>
      <c r="G456" s="4" t="s">
        <v>690</v>
      </c>
      <c r="H456" s="4" t="s">
        <v>1090</v>
      </c>
      <c r="I456" s="4"/>
      <c r="J456" s="4"/>
      <c r="K456" s="5" t="s">
        <v>1621</v>
      </c>
      <c r="L456" s="24">
        <v>4000000</v>
      </c>
      <c r="M456" s="13" t="s">
        <v>74</v>
      </c>
      <c r="N456" s="5" t="s">
        <v>1622</v>
      </c>
      <c r="O456" s="4" t="s">
        <v>691</v>
      </c>
      <c r="P456" s="4"/>
      <c r="Q456" s="42">
        <v>0.66</v>
      </c>
      <c r="R456" s="1">
        <f t="shared" si="169"/>
        <v>132000</v>
      </c>
      <c r="S456" s="34">
        <f t="shared" si="176"/>
        <v>0</v>
      </c>
      <c r="T456" s="2">
        <f t="shared" si="170"/>
        <v>200000</v>
      </c>
      <c r="U456" s="24">
        <v>0</v>
      </c>
      <c r="V456" s="24">
        <v>0</v>
      </c>
      <c r="W456" s="24">
        <v>0</v>
      </c>
      <c r="X456" s="24">
        <v>0</v>
      </c>
      <c r="Y456" s="24">
        <v>30000</v>
      </c>
      <c r="Z456" s="24">
        <v>0</v>
      </c>
      <c r="AA456" s="24">
        <v>50000</v>
      </c>
      <c r="AB456" s="24">
        <v>0</v>
      </c>
      <c r="AC456" s="13">
        <v>0</v>
      </c>
      <c r="AD456" s="13">
        <v>50000</v>
      </c>
      <c r="AE456" s="13">
        <v>50000</v>
      </c>
      <c r="AF456" s="13">
        <v>100000</v>
      </c>
      <c r="AG456" s="13">
        <f t="shared" si="177"/>
        <v>100000</v>
      </c>
      <c r="AH456" s="24">
        <v>0</v>
      </c>
      <c r="AI456" s="24">
        <v>0</v>
      </c>
      <c r="AJ456" s="24">
        <v>0</v>
      </c>
      <c r="AK456" s="24">
        <v>0</v>
      </c>
      <c r="AL456" s="24">
        <v>0</v>
      </c>
      <c r="AM456" s="24">
        <v>0</v>
      </c>
      <c r="AN456" s="24">
        <v>0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4" t="s">
        <v>192</v>
      </c>
      <c r="AU456" s="4" t="s">
        <v>685</v>
      </c>
      <c r="AV456" s="4" t="s">
        <v>1218</v>
      </c>
      <c r="AW456" s="4" t="s">
        <v>98</v>
      </c>
      <c r="AX456" s="4" t="s">
        <v>110</v>
      </c>
      <c r="AY456" s="4" t="s">
        <v>692</v>
      </c>
      <c r="AZ456" s="4" t="s">
        <v>693</v>
      </c>
      <c r="BA456" s="4" t="s">
        <v>688</v>
      </c>
      <c r="BB456" s="4"/>
      <c r="BC456" s="4"/>
      <c r="BD456" s="23">
        <v>1</v>
      </c>
      <c r="BE456" s="4"/>
      <c r="BF456" s="18"/>
      <c r="BG456" s="18"/>
      <c r="BH456" s="18"/>
      <c r="BI456" s="18"/>
      <c r="BJ456" s="18"/>
      <c r="BK456" s="26"/>
      <c r="BL456" s="13"/>
      <c r="BM456" s="9">
        <f t="shared" si="164"/>
        <v>19800</v>
      </c>
      <c r="BN456" s="9">
        <f t="shared" si="166"/>
        <v>0</v>
      </c>
      <c r="BO456" s="9">
        <f t="shared" si="167"/>
        <v>33000</v>
      </c>
      <c r="BP456" s="9">
        <f t="shared" si="171"/>
        <v>0</v>
      </c>
      <c r="BQ456" s="9">
        <f t="shared" si="172"/>
        <v>0</v>
      </c>
      <c r="BR456" s="9">
        <f t="shared" si="173"/>
        <v>33000</v>
      </c>
      <c r="BS456" s="9">
        <f t="shared" si="174"/>
        <v>33000</v>
      </c>
      <c r="BT456" s="9">
        <f t="shared" si="175"/>
        <v>66000</v>
      </c>
    </row>
    <row r="457" spans="1:72" hidden="1" x14ac:dyDescent="0.25">
      <c r="A457" s="11">
        <f t="shared" si="168"/>
        <v>456</v>
      </c>
      <c r="B457" s="5" t="s">
        <v>1616</v>
      </c>
      <c r="C457" s="4" t="s">
        <v>186</v>
      </c>
      <c r="D457" s="4" t="s">
        <v>724</v>
      </c>
      <c r="E457" s="4" t="s">
        <v>710</v>
      </c>
      <c r="F457" s="4" t="s">
        <v>1617</v>
      </c>
      <c r="G457" s="4" t="s">
        <v>694</v>
      </c>
      <c r="H457" s="4"/>
      <c r="I457" s="4"/>
      <c r="J457" s="4"/>
      <c r="K457" s="5" t="s">
        <v>1623</v>
      </c>
      <c r="L457" s="24"/>
      <c r="M457" s="13" t="s">
        <v>74</v>
      </c>
      <c r="N457" s="5" t="s">
        <v>1624</v>
      </c>
      <c r="O457" s="4" t="s">
        <v>199</v>
      </c>
      <c r="P457" s="4"/>
      <c r="Q457" s="42">
        <v>0.66</v>
      </c>
      <c r="R457" s="1">
        <f t="shared" si="169"/>
        <v>0</v>
      </c>
      <c r="S457" s="34">
        <f t="shared" si="176"/>
        <v>0</v>
      </c>
      <c r="T457" s="2">
        <f t="shared" si="170"/>
        <v>0</v>
      </c>
      <c r="U457" s="24">
        <v>0</v>
      </c>
      <c r="V457" s="24">
        <v>0</v>
      </c>
      <c r="W457" s="24">
        <v>0</v>
      </c>
      <c r="X457" s="24">
        <v>0</v>
      </c>
      <c r="Y457" s="24">
        <v>0</v>
      </c>
      <c r="Z457" s="24">
        <v>0</v>
      </c>
      <c r="AA457" s="24">
        <v>0</v>
      </c>
      <c r="AB457" s="24">
        <v>0</v>
      </c>
      <c r="AC457" s="24">
        <v>0</v>
      </c>
      <c r="AD457" s="24">
        <v>0</v>
      </c>
      <c r="AE457" s="24">
        <v>0</v>
      </c>
      <c r="AF457" s="24">
        <v>0</v>
      </c>
      <c r="AG457" s="13">
        <f t="shared" si="177"/>
        <v>0</v>
      </c>
      <c r="AH457" s="24">
        <v>0</v>
      </c>
      <c r="AI457" s="24">
        <v>0</v>
      </c>
      <c r="AJ457" s="24">
        <v>0</v>
      </c>
      <c r="AK457" s="24">
        <v>0</v>
      </c>
      <c r="AL457" s="24">
        <v>0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4" t="s">
        <v>192</v>
      </c>
      <c r="AU457" s="4" t="s">
        <v>685</v>
      </c>
      <c r="AV457" s="4" t="s">
        <v>1218</v>
      </c>
      <c r="AW457" s="4" t="s">
        <v>98</v>
      </c>
      <c r="AX457" s="4" t="s">
        <v>110</v>
      </c>
      <c r="AY457" s="4" t="s">
        <v>686</v>
      </c>
      <c r="AZ457" s="4" t="s">
        <v>687</v>
      </c>
      <c r="BA457" s="4" t="s">
        <v>688</v>
      </c>
      <c r="BB457" s="4"/>
      <c r="BC457" s="4"/>
      <c r="BD457" s="23">
        <v>1</v>
      </c>
      <c r="BE457" s="4"/>
      <c r="BF457" s="18"/>
      <c r="BG457" s="18"/>
      <c r="BH457" s="18"/>
      <c r="BI457" s="18"/>
      <c r="BJ457" s="18"/>
      <c r="BK457" s="26"/>
      <c r="BL457" s="13"/>
      <c r="BM457" s="9">
        <f t="shared" si="164"/>
        <v>0</v>
      </c>
      <c r="BN457" s="9">
        <f t="shared" si="166"/>
        <v>0</v>
      </c>
      <c r="BO457" s="9">
        <f t="shared" si="167"/>
        <v>0</v>
      </c>
      <c r="BP457" s="9">
        <f t="shared" si="171"/>
        <v>0</v>
      </c>
      <c r="BQ457" s="9">
        <f t="shared" si="172"/>
        <v>0</v>
      </c>
      <c r="BR457" s="9">
        <f t="shared" si="173"/>
        <v>0</v>
      </c>
      <c r="BS457" s="9">
        <f t="shared" si="174"/>
        <v>0</v>
      </c>
      <c r="BT457" s="9">
        <f t="shared" si="175"/>
        <v>0</v>
      </c>
    </row>
    <row r="458" spans="1:72" hidden="1" x14ac:dyDescent="0.25">
      <c r="A458" s="11">
        <f t="shared" si="168"/>
        <v>457</v>
      </c>
      <c r="B458" s="5" t="s">
        <v>1625</v>
      </c>
      <c r="C458" s="4" t="s">
        <v>186</v>
      </c>
      <c r="D458" s="4" t="s">
        <v>709</v>
      </c>
      <c r="E458" s="4" t="s">
        <v>710</v>
      </c>
      <c r="F458" s="4" t="s">
        <v>711</v>
      </c>
      <c r="G458" s="4" t="s">
        <v>260</v>
      </c>
      <c r="H458" s="4" t="s">
        <v>1750</v>
      </c>
      <c r="I458" s="4"/>
      <c r="J458" s="4"/>
      <c r="K458" s="5" t="s">
        <v>1132</v>
      </c>
      <c r="L458" s="24">
        <v>6000000</v>
      </c>
      <c r="M458" s="13" t="s">
        <v>291</v>
      </c>
      <c r="N458" s="21" t="s">
        <v>1626</v>
      </c>
      <c r="O458" s="4" t="s">
        <v>696</v>
      </c>
      <c r="P458" s="4"/>
      <c r="Q458" s="42">
        <v>0.4</v>
      </c>
      <c r="R458" s="1">
        <f t="shared" si="169"/>
        <v>240000</v>
      </c>
      <c r="S458" s="34">
        <f t="shared" si="176"/>
        <v>0</v>
      </c>
      <c r="T458" s="2">
        <f t="shared" si="170"/>
        <v>600000</v>
      </c>
      <c r="U458" s="24">
        <v>140000</v>
      </c>
      <c r="V458" s="24">
        <v>140000</v>
      </c>
      <c r="W458" s="24">
        <v>150000</v>
      </c>
      <c r="X458" s="24">
        <v>160000</v>
      </c>
      <c r="Y458" s="24">
        <v>120000</v>
      </c>
      <c r="Z458" s="24">
        <v>120000</v>
      </c>
      <c r="AA458" s="24">
        <v>120000</v>
      </c>
      <c r="AB458" s="24">
        <v>120000</v>
      </c>
      <c r="AC458" s="24">
        <v>120000</v>
      </c>
      <c r="AD458" s="24">
        <v>120000</v>
      </c>
      <c r="AE458" s="24">
        <v>120000</v>
      </c>
      <c r="AF458" s="24">
        <v>120000</v>
      </c>
      <c r="AG458" s="13">
        <f t="shared" si="177"/>
        <v>120000</v>
      </c>
      <c r="AH458" s="24">
        <v>0</v>
      </c>
      <c r="AI458" s="24">
        <v>0</v>
      </c>
      <c r="AJ458" s="24">
        <v>0</v>
      </c>
      <c r="AK458" s="24">
        <v>0</v>
      </c>
      <c r="AL458" s="24">
        <v>0</v>
      </c>
      <c r="AM458" s="24">
        <v>0</v>
      </c>
      <c r="AN458" s="24">
        <v>0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4" t="s">
        <v>192</v>
      </c>
      <c r="AU458" s="4" t="s">
        <v>685</v>
      </c>
      <c r="AV458" s="4" t="s">
        <v>1218</v>
      </c>
      <c r="AW458" s="4" t="s">
        <v>98</v>
      </c>
      <c r="AX458" s="4" t="s">
        <v>110</v>
      </c>
      <c r="AY458" s="4" t="s">
        <v>697</v>
      </c>
      <c r="AZ458" s="4" t="s">
        <v>695</v>
      </c>
      <c r="BA458" s="4" t="s">
        <v>698</v>
      </c>
      <c r="BB458" s="4"/>
      <c r="BC458" s="4"/>
      <c r="BD458" s="23">
        <v>1</v>
      </c>
      <c r="BE458" s="4"/>
      <c r="BF458" s="18"/>
      <c r="BG458" s="18"/>
      <c r="BH458" s="18"/>
      <c r="BI458" s="18"/>
      <c r="BJ458" s="18"/>
      <c r="BK458" s="26"/>
      <c r="BL458" s="13"/>
      <c r="BM458" s="9">
        <f t="shared" si="164"/>
        <v>48000</v>
      </c>
      <c r="BN458" s="9">
        <f t="shared" si="166"/>
        <v>48000</v>
      </c>
      <c r="BO458" s="9">
        <f t="shared" si="167"/>
        <v>48000</v>
      </c>
      <c r="BP458" s="9">
        <f t="shared" si="171"/>
        <v>48000</v>
      </c>
      <c r="BQ458" s="9">
        <f t="shared" si="172"/>
        <v>48000</v>
      </c>
      <c r="BR458" s="9">
        <f t="shared" si="173"/>
        <v>48000</v>
      </c>
      <c r="BS458" s="9">
        <f t="shared" si="174"/>
        <v>48000</v>
      </c>
      <c r="BT458" s="9">
        <f t="shared" si="175"/>
        <v>48000</v>
      </c>
    </row>
    <row r="459" spans="1:72" hidden="1" x14ac:dyDescent="0.25">
      <c r="A459" s="11">
        <f t="shared" si="168"/>
        <v>458</v>
      </c>
      <c r="B459" s="5" t="s">
        <v>1625</v>
      </c>
      <c r="C459" s="4" t="s">
        <v>186</v>
      </c>
      <c r="D459" s="4" t="s">
        <v>709</v>
      </c>
      <c r="E459" s="4" t="s">
        <v>710</v>
      </c>
      <c r="F459" s="4" t="s">
        <v>711</v>
      </c>
      <c r="G459" s="4" t="s">
        <v>699</v>
      </c>
      <c r="H459" s="4" t="s">
        <v>1091</v>
      </c>
      <c r="I459" s="4"/>
      <c r="J459" s="4"/>
      <c r="K459" s="4" t="s">
        <v>1627</v>
      </c>
      <c r="L459" s="24">
        <v>400000</v>
      </c>
      <c r="M459" s="13" t="s">
        <v>291</v>
      </c>
      <c r="N459" s="21" t="s">
        <v>700</v>
      </c>
      <c r="O459" s="4" t="s">
        <v>199</v>
      </c>
      <c r="P459" s="4"/>
      <c r="Q459" s="42">
        <v>0.4</v>
      </c>
      <c r="R459" s="1">
        <f t="shared" si="169"/>
        <v>40000</v>
      </c>
      <c r="S459" s="34">
        <f t="shared" si="176"/>
        <v>0</v>
      </c>
      <c r="T459" s="2">
        <f t="shared" si="170"/>
        <v>100000</v>
      </c>
      <c r="U459" s="24">
        <v>40000</v>
      </c>
      <c r="V459" s="24">
        <v>40000</v>
      </c>
      <c r="W459" s="24">
        <v>40000</v>
      </c>
      <c r="X459" s="24">
        <v>40000</v>
      </c>
      <c r="Y459" s="24">
        <v>40000</v>
      </c>
      <c r="Z459" s="24">
        <v>20000</v>
      </c>
      <c r="AA459" s="24">
        <v>20000</v>
      </c>
      <c r="AB459" s="24">
        <v>20000</v>
      </c>
      <c r="AC459" s="24">
        <v>20000</v>
      </c>
      <c r="AD459" s="24">
        <v>20000</v>
      </c>
      <c r="AE459" s="24">
        <v>20000</v>
      </c>
      <c r="AF459" s="24">
        <v>20000</v>
      </c>
      <c r="AG459" s="13">
        <f t="shared" si="177"/>
        <v>20000</v>
      </c>
      <c r="AH459" s="24">
        <v>0</v>
      </c>
      <c r="AI459" s="24">
        <v>0</v>
      </c>
      <c r="AJ459" s="24">
        <v>0</v>
      </c>
      <c r="AK459" s="24">
        <v>0</v>
      </c>
      <c r="AL459" s="24">
        <v>0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4" t="s">
        <v>192</v>
      </c>
      <c r="AU459" s="4" t="s">
        <v>685</v>
      </c>
      <c r="AV459" s="4" t="s">
        <v>1218</v>
      </c>
      <c r="AW459" s="33" t="s">
        <v>98</v>
      </c>
      <c r="AX459" s="33" t="s">
        <v>110</v>
      </c>
      <c r="AY459" s="33" t="s">
        <v>701</v>
      </c>
      <c r="AZ459" s="33" t="s">
        <v>702</v>
      </c>
      <c r="BA459" s="4" t="s">
        <v>703</v>
      </c>
      <c r="BB459" s="4"/>
      <c r="BC459" s="4" t="s">
        <v>704</v>
      </c>
      <c r="BD459" s="23">
        <v>1</v>
      </c>
      <c r="BE459" s="4"/>
      <c r="BF459" s="18"/>
      <c r="BG459" s="18"/>
      <c r="BH459" s="18"/>
      <c r="BI459" s="18"/>
      <c r="BJ459" s="18"/>
      <c r="BK459" s="26"/>
      <c r="BL459" s="13"/>
      <c r="BM459" s="9">
        <f t="shared" si="164"/>
        <v>16000</v>
      </c>
      <c r="BN459" s="9">
        <f t="shared" si="166"/>
        <v>8000</v>
      </c>
      <c r="BO459" s="9">
        <f t="shared" si="167"/>
        <v>8000</v>
      </c>
      <c r="BP459" s="9">
        <f t="shared" si="171"/>
        <v>8000</v>
      </c>
      <c r="BQ459" s="9">
        <f t="shared" si="172"/>
        <v>8000</v>
      </c>
      <c r="BR459" s="9">
        <f t="shared" si="173"/>
        <v>8000</v>
      </c>
      <c r="BS459" s="9">
        <f t="shared" si="174"/>
        <v>8000</v>
      </c>
      <c r="BT459" s="9">
        <f t="shared" si="175"/>
        <v>8000</v>
      </c>
    </row>
    <row r="460" spans="1:72" hidden="1" x14ac:dyDescent="0.25">
      <c r="A460" s="11">
        <f t="shared" si="168"/>
        <v>459</v>
      </c>
      <c r="B460" s="5" t="s">
        <v>1625</v>
      </c>
      <c r="C460" s="4" t="s">
        <v>186</v>
      </c>
      <c r="D460" s="4" t="s">
        <v>709</v>
      </c>
      <c r="E460" s="4" t="s">
        <v>710</v>
      </c>
      <c r="F460" s="4" t="s">
        <v>711</v>
      </c>
      <c r="G460" s="4" t="s">
        <v>497</v>
      </c>
      <c r="H460" s="4" t="s">
        <v>1092</v>
      </c>
      <c r="I460" s="4"/>
      <c r="J460" s="4"/>
      <c r="K460" s="4" t="s">
        <v>1628</v>
      </c>
      <c r="L460" s="24">
        <v>1000000</v>
      </c>
      <c r="M460" s="13" t="s">
        <v>291</v>
      </c>
      <c r="N460" s="21" t="s">
        <v>1629</v>
      </c>
      <c r="O460" s="4" t="s">
        <v>199</v>
      </c>
      <c r="P460" s="4"/>
      <c r="Q460" s="42">
        <v>0.4</v>
      </c>
      <c r="R460" s="1">
        <f t="shared" si="169"/>
        <v>120000</v>
      </c>
      <c r="S460" s="34">
        <f t="shared" si="176"/>
        <v>0</v>
      </c>
      <c r="T460" s="2">
        <f t="shared" si="170"/>
        <v>300000</v>
      </c>
      <c r="U460" s="24">
        <v>0</v>
      </c>
      <c r="V460" s="24">
        <v>0</v>
      </c>
      <c r="W460" s="24">
        <v>0</v>
      </c>
      <c r="X460" s="24">
        <v>0</v>
      </c>
      <c r="Y460" s="24">
        <v>54000</v>
      </c>
      <c r="Z460" s="24">
        <v>0</v>
      </c>
      <c r="AA460" s="24">
        <v>0</v>
      </c>
      <c r="AB460" s="24">
        <v>60000</v>
      </c>
      <c r="AC460" s="24">
        <v>60000</v>
      </c>
      <c r="AD460" s="24">
        <v>60000</v>
      </c>
      <c r="AE460" s="24">
        <v>60000</v>
      </c>
      <c r="AF460" s="24">
        <v>60000</v>
      </c>
      <c r="AG460" s="13">
        <f t="shared" ref="AG460:AG461" si="178">AF460</f>
        <v>60000</v>
      </c>
      <c r="AH460" s="24">
        <v>0</v>
      </c>
      <c r="AI460" s="24">
        <v>0</v>
      </c>
      <c r="AJ460" s="24">
        <v>0</v>
      </c>
      <c r="AK460" s="24">
        <v>0</v>
      </c>
      <c r="AL460" s="24">
        <v>0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4" t="s">
        <v>192</v>
      </c>
      <c r="AU460" s="4" t="s">
        <v>685</v>
      </c>
      <c r="AV460" s="4" t="s">
        <v>1218</v>
      </c>
      <c r="AW460" s="33" t="s">
        <v>98</v>
      </c>
      <c r="AX460" s="33" t="s">
        <v>110</v>
      </c>
      <c r="AY460" s="33" t="s">
        <v>701</v>
      </c>
      <c r="AZ460" s="33" t="s">
        <v>705</v>
      </c>
      <c r="BA460" s="4" t="s">
        <v>706</v>
      </c>
      <c r="BB460" s="4"/>
      <c r="BC460" s="4" t="s">
        <v>707</v>
      </c>
      <c r="BD460" s="23">
        <v>3</v>
      </c>
      <c r="BE460" s="4"/>
      <c r="BF460" s="18"/>
      <c r="BG460" s="18"/>
      <c r="BH460" s="18"/>
      <c r="BI460" s="18"/>
      <c r="BJ460" s="18"/>
      <c r="BK460" s="26"/>
      <c r="BL460" s="13"/>
      <c r="BM460" s="9">
        <f t="shared" si="164"/>
        <v>21600</v>
      </c>
      <c r="BN460" s="9">
        <f t="shared" si="166"/>
        <v>0</v>
      </c>
      <c r="BO460" s="9">
        <f t="shared" si="167"/>
        <v>0</v>
      </c>
      <c r="BP460" s="9">
        <f t="shared" si="171"/>
        <v>24000</v>
      </c>
      <c r="BQ460" s="9">
        <f t="shared" si="172"/>
        <v>24000</v>
      </c>
      <c r="BR460" s="9">
        <f t="shared" si="173"/>
        <v>24000</v>
      </c>
      <c r="BS460" s="9">
        <f t="shared" si="174"/>
        <v>24000</v>
      </c>
      <c r="BT460" s="9">
        <f t="shared" si="175"/>
        <v>24000</v>
      </c>
    </row>
    <row r="461" spans="1:72" hidden="1" x14ac:dyDescent="0.25">
      <c r="A461" s="11">
        <f t="shared" si="168"/>
        <v>460</v>
      </c>
      <c r="B461" s="5" t="s">
        <v>708</v>
      </c>
      <c r="C461" s="11" t="s">
        <v>59</v>
      </c>
      <c r="D461" s="4" t="s">
        <v>709</v>
      </c>
      <c r="E461" s="4" t="s">
        <v>710</v>
      </c>
      <c r="F461" s="4" t="s">
        <v>711</v>
      </c>
      <c r="G461" s="4" t="s">
        <v>712</v>
      </c>
      <c r="H461" s="4"/>
      <c r="I461" s="4"/>
      <c r="J461" s="4"/>
      <c r="K461" s="5" t="s">
        <v>713</v>
      </c>
      <c r="L461" s="24">
        <v>20000</v>
      </c>
      <c r="M461" s="13" t="s">
        <v>74</v>
      </c>
      <c r="N461" s="11" t="s">
        <v>714</v>
      </c>
      <c r="O461" s="4"/>
      <c r="P461" s="4"/>
      <c r="Q461" s="42">
        <v>5</v>
      </c>
      <c r="R461" s="1">
        <f t="shared" si="169"/>
        <v>0</v>
      </c>
      <c r="S461" s="38"/>
      <c r="T461" s="2">
        <f t="shared" si="170"/>
        <v>0</v>
      </c>
      <c r="U461" s="24"/>
      <c r="V461" s="24"/>
      <c r="W461" s="24"/>
      <c r="X461" s="24"/>
      <c r="Y461" s="24"/>
      <c r="Z461" s="24"/>
      <c r="AA461" s="24"/>
      <c r="AB461" s="13"/>
      <c r="AC461" s="13"/>
      <c r="AD461" s="13"/>
      <c r="AE461" s="13"/>
      <c r="AF461" s="13"/>
      <c r="AG461" s="13">
        <f t="shared" si="178"/>
        <v>0</v>
      </c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4" t="s">
        <v>715</v>
      </c>
      <c r="AU461" s="4" t="s">
        <v>685</v>
      </c>
      <c r="AV461" s="4" t="s">
        <v>826</v>
      </c>
      <c r="AW461" s="4"/>
      <c r="AX461" s="4"/>
      <c r="AY461" s="4"/>
      <c r="AZ461" s="4"/>
      <c r="BA461" s="4"/>
      <c r="BB461" s="4"/>
      <c r="BC461" s="4"/>
      <c r="BD461" s="23"/>
      <c r="BE461" s="4"/>
      <c r="BF461" s="18"/>
      <c r="BG461" s="18"/>
      <c r="BH461" s="18"/>
      <c r="BI461" s="18"/>
      <c r="BJ461" s="18"/>
      <c r="BK461" s="26"/>
      <c r="BL461" s="13"/>
      <c r="BM461" s="9">
        <f t="shared" si="164"/>
        <v>0</v>
      </c>
      <c r="BN461" s="9">
        <f t="shared" si="166"/>
        <v>0</v>
      </c>
      <c r="BO461" s="9">
        <f t="shared" si="167"/>
        <v>0</v>
      </c>
      <c r="BP461" s="9">
        <f t="shared" si="171"/>
        <v>0</v>
      </c>
      <c r="BQ461" s="9">
        <f t="shared" si="172"/>
        <v>0</v>
      </c>
      <c r="BR461" s="9">
        <f t="shared" si="173"/>
        <v>0</v>
      </c>
      <c r="BS461" s="9">
        <f t="shared" si="174"/>
        <v>0</v>
      </c>
      <c r="BT461" s="9">
        <f t="shared" si="175"/>
        <v>0</v>
      </c>
    </row>
    <row r="462" spans="1:72" hidden="1" x14ac:dyDescent="0.25">
      <c r="A462" s="11">
        <f t="shared" si="168"/>
        <v>461</v>
      </c>
      <c r="B462" s="5" t="s">
        <v>1630</v>
      </c>
      <c r="C462" s="4" t="s">
        <v>128</v>
      </c>
      <c r="D462" s="4" t="s">
        <v>759</v>
      </c>
      <c r="E462" s="4" t="s">
        <v>710</v>
      </c>
      <c r="F462" s="4" t="s">
        <v>779</v>
      </c>
      <c r="G462" s="4" t="s">
        <v>105</v>
      </c>
      <c r="H462" s="4" t="s">
        <v>1081</v>
      </c>
      <c r="I462" s="4"/>
      <c r="J462" s="4"/>
      <c r="K462" s="4" t="s">
        <v>1631</v>
      </c>
      <c r="L462" s="24">
        <v>2000000</v>
      </c>
      <c r="M462" s="13" t="s">
        <v>291</v>
      </c>
      <c r="N462" s="5" t="s">
        <v>1632</v>
      </c>
      <c r="O462" s="4" t="s">
        <v>199</v>
      </c>
      <c r="P462" s="4"/>
      <c r="Q462" s="42">
        <v>0.57999999999999996</v>
      </c>
      <c r="R462" s="1">
        <f t="shared" si="169"/>
        <v>243599.99999999997</v>
      </c>
      <c r="S462" s="34">
        <f t="shared" si="176"/>
        <v>0</v>
      </c>
      <c r="T462" s="2">
        <f t="shared" si="170"/>
        <v>420000</v>
      </c>
      <c r="U462" s="24">
        <v>60000</v>
      </c>
      <c r="V462" s="13">
        <v>0</v>
      </c>
      <c r="W462" s="13">
        <v>0</v>
      </c>
      <c r="X462" s="13">
        <v>0</v>
      </c>
      <c r="Y462" s="13">
        <v>0</v>
      </c>
      <c r="Z462" s="13">
        <v>60000</v>
      </c>
      <c r="AA462" s="13">
        <v>0</v>
      </c>
      <c r="AB462" s="13">
        <v>60000</v>
      </c>
      <c r="AC462" s="13">
        <v>60000</v>
      </c>
      <c r="AD462" s="13">
        <v>100000</v>
      </c>
      <c r="AE462" s="13">
        <v>100000</v>
      </c>
      <c r="AF462" s="13">
        <v>100000</v>
      </c>
      <c r="AG462" s="13">
        <f>AF462</f>
        <v>100000</v>
      </c>
      <c r="AH462" s="24">
        <v>0</v>
      </c>
      <c r="AI462" s="24">
        <v>0</v>
      </c>
      <c r="AJ462" s="24">
        <v>0</v>
      </c>
      <c r="AK462" s="24">
        <v>0</v>
      </c>
      <c r="AL462" s="24">
        <v>0</v>
      </c>
      <c r="AM462" s="24">
        <v>0</v>
      </c>
      <c r="AN462" s="24">
        <v>0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4" t="s">
        <v>716</v>
      </c>
      <c r="AU462" s="4" t="s">
        <v>685</v>
      </c>
      <c r="AV462" s="4" t="s">
        <v>1218</v>
      </c>
      <c r="AW462" s="4" t="s">
        <v>98</v>
      </c>
      <c r="AX462" s="4" t="s">
        <v>99</v>
      </c>
      <c r="AY462" s="4" t="s">
        <v>717</v>
      </c>
      <c r="AZ462" s="4" t="s">
        <v>718</v>
      </c>
      <c r="BA462" s="4" t="s">
        <v>719</v>
      </c>
      <c r="BB462" s="4"/>
      <c r="BC462" s="4"/>
      <c r="BD462" s="23">
        <v>1</v>
      </c>
      <c r="BE462" s="4"/>
      <c r="BF462" s="18"/>
      <c r="BG462" s="18"/>
      <c r="BH462" s="18"/>
      <c r="BI462" s="18"/>
      <c r="BJ462" s="18"/>
      <c r="BK462" s="26"/>
      <c r="BL462" s="13"/>
      <c r="BM462" s="9">
        <f t="shared" si="164"/>
        <v>0</v>
      </c>
      <c r="BN462" s="9">
        <f t="shared" si="166"/>
        <v>34800</v>
      </c>
      <c r="BO462" s="9">
        <f t="shared" si="167"/>
        <v>0</v>
      </c>
      <c r="BP462" s="9">
        <f t="shared" si="171"/>
        <v>34800</v>
      </c>
      <c r="BQ462" s="9">
        <f t="shared" si="172"/>
        <v>34800</v>
      </c>
      <c r="BR462" s="9">
        <f t="shared" si="173"/>
        <v>57999.999999999993</v>
      </c>
      <c r="BS462" s="9">
        <f t="shared" si="174"/>
        <v>57999.999999999993</v>
      </c>
      <c r="BT462" s="9">
        <f t="shared" si="175"/>
        <v>57999.999999999993</v>
      </c>
    </row>
    <row r="463" spans="1:72" hidden="1" x14ac:dyDescent="0.25">
      <c r="A463" s="11">
        <f t="shared" si="168"/>
        <v>462</v>
      </c>
      <c r="B463" s="5" t="s">
        <v>1630</v>
      </c>
      <c r="C463" s="4" t="s">
        <v>128</v>
      </c>
      <c r="D463" s="4" t="s">
        <v>759</v>
      </c>
      <c r="E463" s="4" t="s">
        <v>710</v>
      </c>
      <c r="F463" s="4" t="s">
        <v>779</v>
      </c>
      <c r="G463" s="4" t="s">
        <v>105</v>
      </c>
      <c r="H463" s="4" t="s">
        <v>1081</v>
      </c>
      <c r="I463" s="4"/>
      <c r="J463" s="4"/>
      <c r="K463" s="4" t="s">
        <v>1633</v>
      </c>
      <c r="L463" s="24">
        <v>0</v>
      </c>
      <c r="M463" s="13" t="s">
        <v>297</v>
      </c>
      <c r="N463" s="5" t="s">
        <v>1634</v>
      </c>
      <c r="O463" s="4" t="s">
        <v>199</v>
      </c>
      <c r="P463" s="4"/>
      <c r="Q463" s="42">
        <v>0.57999999999999996</v>
      </c>
      <c r="R463" s="1">
        <f t="shared" si="169"/>
        <v>5800</v>
      </c>
      <c r="S463" s="34">
        <f t="shared" si="176"/>
        <v>0</v>
      </c>
      <c r="T463" s="2">
        <f t="shared" si="170"/>
        <v>10000</v>
      </c>
      <c r="U463" s="24">
        <v>0</v>
      </c>
      <c r="V463" s="24">
        <v>0</v>
      </c>
      <c r="W463" s="24">
        <v>0</v>
      </c>
      <c r="X463" s="24">
        <v>0</v>
      </c>
      <c r="Y463" s="24">
        <v>0</v>
      </c>
      <c r="Z463" s="24">
        <v>0</v>
      </c>
      <c r="AA463" s="24">
        <v>0</v>
      </c>
      <c r="AB463" s="24">
        <v>0</v>
      </c>
      <c r="AC463" s="24">
        <v>0</v>
      </c>
      <c r="AD463" s="24">
        <v>0</v>
      </c>
      <c r="AE463" s="24">
        <v>0</v>
      </c>
      <c r="AF463" s="13">
        <v>10000</v>
      </c>
      <c r="AG463" s="13">
        <f t="shared" ref="AG463:AG467" si="179">AF463</f>
        <v>10000</v>
      </c>
      <c r="AH463" s="24">
        <v>0</v>
      </c>
      <c r="AI463" s="24">
        <v>0</v>
      </c>
      <c r="AJ463" s="24">
        <v>0</v>
      </c>
      <c r="AK463" s="24">
        <v>0</v>
      </c>
      <c r="AL463" s="24">
        <v>0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4" t="s">
        <v>716</v>
      </c>
      <c r="AU463" s="4" t="s">
        <v>685</v>
      </c>
      <c r="AV463" s="4" t="s">
        <v>1218</v>
      </c>
      <c r="AW463" s="4" t="s">
        <v>98</v>
      </c>
      <c r="AX463" s="4" t="s">
        <v>99</v>
      </c>
      <c r="AY463" s="4" t="s">
        <v>717</v>
      </c>
      <c r="AZ463" s="4" t="s">
        <v>720</v>
      </c>
      <c r="BA463" s="4" t="s">
        <v>719</v>
      </c>
      <c r="BB463" s="4"/>
      <c r="BC463" s="4"/>
      <c r="BD463" s="23">
        <v>1</v>
      </c>
      <c r="BE463" s="4"/>
      <c r="BF463" s="18"/>
      <c r="BG463" s="18"/>
      <c r="BH463" s="18"/>
      <c r="BI463" s="18"/>
      <c r="BJ463" s="18"/>
      <c r="BK463" s="26"/>
      <c r="BL463" s="13"/>
      <c r="BM463" s="9">
        <f t="shared" si="164"/>
        <v>0</v>
      </c>
      <c r="BN463" s="9">
        <f t="shared" si="166"/>
        <v>0</v>
      </c>
      <c r="BO463" s="9">
        <f t="shared" si="167"/>
        <v>0</v>
      </c>
      <c r="BP463" s="9">
        <f t="shared" si="171"/>
        <v>0</v>
      </c>
      <c r="BQ463" s="9">
        <f t="shared" si="172"/>
        <v>0</v>
      </c>
      <c r="BR463" s="9">
        <f t="shared" si="173"/>
        <v>0</v>
      </c>
      <c r="BS463" s="9">
        <f t="shared" si="174"/>
        <v>0</v>
      </c>
      <c r="BT463" s="9">
        <f t="shared" si="175"/>
        <v>5800</v>
      </c>
    </row>
    <row r="464" spans="1:72" hidden="1" x14ac:dyDescent="0.25">
      <c r="A464" s="11">
        <f t="shared" si="168"/>
        <v>463</v>
      </c>
      <c r="B464" s="5" t="s">
        <v>1635</v>
      </c>
      <c r="C464" s="4" t="s">
        <v>59</v>
      </c>
      <c r="D464" s="4" t="s">
        <v>1635</v>
      </c>
      <c r="E464" s="4" t="s">
        <v>710</v>
      </c>
      <c r="F464" s="4" t="s">
        <v>1636</v>
      </c>
      <c r="G464" s="4" t="s">
        <v>721</v>
      </c>
      <c r="H464" s="4" t="s">
        <v>1093</v>
      </c>
      <c r="I464" s="4"/>
      <c r="J464" s="4"/>
      <c r="K464" s="5" t="s">
        <v>1637</v>
      </c>
      <c r="L464" s="24">
        <v>6000000</v>
      </c>
      <c r="M464" s="13" t="s">
        <v>291</v>
      </c>
      <c r="N464" s="21" t="s">
        <v>722</v>
      </c>
      <c r="O464" s="4" t="s">
        <v>199</v>
      </c>
      <c r="P464" s="4"/>
      <c r="Q464" s="42">
        <v>0.26</v>
      </c>
      <c r="R464" s="1">
        <f t="shared" si="169"/>
        <v>0</v>
      </c>
      <c r="S464" s="34">
        <f t="shared" si="176"/>
        <v>0</v>
      </c>
      <c r="T464" s="2">
        <f t="shared" si="170"/>
        <v>0</v>
      </c>
      <c r="U464" s="24">
        <v>0</v>
      </c>
      <c r="V464" s="24">
        <v>0</v>
      </c>
      <c r="W464" s="24">
        <v>390000</v>
      </c>
      <c r="X464" s="24">
        <v>0</v>
      </c>
      <c r="Y464" s="24">
        <v>300000</v>
      </c>
      <c r="Z464" s="24">
        <v>690000</v>
      </c>
      <c r="AA464" s="75">
        <v>0</v>
      </c>
      <c r="AB464" s="75">
        <v>0</v>
      </c>
      <c r="AC464" s="75">
        <v>0</v>
      </c>
      <c r="AD464" s="75">
        <v>0</v>
      </c>
      <c r="AE464" s="75">
        <v>0</v>
      </c>
      <c r="AF464" s="75">
        <v>0</v>
      </c>
      <c r="AG464" s="13">
        <f t="shared" si="179"/>
        <v>0</v>
      </c>
      <c r="AH464" s="24">
        <v>0</v>
      </c>
      <c r="AI464" s="24">
        <v>0</v>
      </c>
      <c r="AJ464" s="24">
        <v>0</v>
      </c>
      <c r="AK464" s="24">
        <v>0</v>
      </c>
      <c r="AL464" s="24">
        <v>0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4" t="s">
        <v>723</v>
      </c>
      <c r="AU464" s="4" t="s">
        <v>685</v>
      </c>
      <c r="AV464" s="4" t="s">
        <v>1218</v>
      </c>
      <c r="AW464" s="4" t="s">
        <v>222</v>
      </c>
      <c r="AX464" s="4" t="s">
        <v>238</v>
      </c>
      <c r="AY464" s="4" t="s">
        <v>251</v>
      </c>
      <c r="AZ464" s="4" t="s">
        <v>257</v>
      </c>
      <c r="BA464" s="4"/>
      <c r="BB464" s="4"/>
      <c r="BC464" s="4"/>
      <c r="BD464" s="23">
        <v>64</v>
      </c>
      <c r="BE464" s="4"/>
      <c r="BF464" s="18"/>
      <c r="BG464" s="18"/>
      <c r="BH464" s="18"/>
      <c r="BI464" s="18"/>
      <c r="BJ464" s="18"/>
      <c r="BK464" s="26"/>
      <c r="BL464" s="13"/>
      <c r="BM464" s="9">
        <f t="shared" si="164"/>
        <v>78000</v>
      </c>
      <c r="BN464" s="9">
        <f t="shared" si="166"/>
        <v>179400</v>
      </c>
      <c r="BO464" s="9">
        <f t="shared" si="167"/>
        <v>0</v>
      </c>
      <c r="BP464" s="9">
        <f t="shared" si="171"/>
        <v>0</v>
      </c>
      <c r="BQ464" s="9">
        <f t="shared" si="172"/>
        <v>0</v>
      </c>
      <c r="BR464" s="9">
        <f t="shared" si="173"/>
        <v>0</v>
      </c>
      <c r="BS464" s="9">
        <f t="shared" si="174"/>
        <v>0</v>
      </c>
      <c r="BT464" s="9">
        <f t="shared" si="175"/>
        <v>0</v>
      </c>
    </row>
    <row r="465" spans="1:72" hidden="1" x14ac:dyDescent="0.25">
      <c r="A465" s="11">
        <f t="shared" si="168"/>
        <v>464</v>
      </c>
      <c r="B465" s="5" t="s">
        <v>1638</v>
      </c>
      <c r="C465" s="4" t="s">
        <v>59</v>
      </c>
      <c r="D465" s="4" t="s">
        <v>724</v>
      </c>
      <c r="E465" s="4" t="s">
        <v>710</v>
      </c>
      <c r="F465" s="4" t="s">
        <v>1617</v>
      </c>
      <c r="G465" s="4" t="s">
        <v>725</v>
      </c>
      <c r="H465" s="4" t="s">
        <v>1752</v>
      </c>
      <c r="I465" s="4"/>
      <c r="J465" s="4"/>
      <c r="K465" s="4" t="s">
        <v>1639</v>
      </c>
      <c r="L465" s="24"/>
      <c r="M465" s="13" t="s">
        <v>297</v>
      </c>
      <c r="N465" s="5" t="s">
        <v>1640</v>
      </c>
      <c r="O465" s="4" t="s">
        <v>726</v>
      </c>
      <c r="P465" s="4"/>
      <c r="Q465" s="42">
        <v>7.1</v>
      </c>
      <c r="R465" s="1">
        <f t="shared" si="169"/>
        <v>0</v>
      </c>
      <c r="S465" s="34">
        <f t="shared" si="176"/>
        <v>0</v>
      </c>
      <c r="T465" s="2">
        <f t="shared" si="170"/>
        <v>0</v>
      </c>
      <c r="U465" s="24">
        <v>0</v>
      </c>
      <c r="V465" s="24">
        <v>0</v>
      </c>
      <c r="W465" s="24">
        <v>0</v>
      </c>
      <c r="X465" s="24">
        <v>0</v>
      </c>
      <c r="Y465" s="24">
        <v>0</v>
      </c>
      <c r="Z465" s="24">
        <v>0</v>
      </c>
      <c r="AA465" s="24">
        <v>0</v>
      </c>
      <c r="AB465" s="24">
        <v>0</v>
      </c>
      <c r="AC465" s="24">
        <v>0</v>
      </c>
      <c r="AD465" s="24">
        <v>0</v>
      </c>
      <c r="AE465" s="24">
        <v>0</v>
      </c>
      <c r="AF465" s="24">
        <v>0</v>
      </c>
      <c r="AG465" s="13">
        <f t="shared" si="179"/>
        <v>0</v>
      </c>
      <c r="AH465" s="24">
        <v>0</v>
      </c>
      <c r="AI465" s="24">
        <v>0</v>
      </c>
      <c r="AJ465" s="24">
        <v>0</v>
      </c>
      <c r="AK465" s="24">
        <v>0</v>
      </c>
      <c r="AL465" s="24">
        <v>0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4" t="s">
        <v>727</v>
      </c>
      <c r="AU465" s="4" t="s">
        <v>685</v>
      </c>
      <c r="AV465" s="4" t="s">
        <v>1220</v>
      </c>
      <c r="AW465" s="33" t="s">
        <v>728</v>
      </c>
      <c r="AX465" s="33" t="s">
        <v>238</v>
      </c>
      <c r="AY465" s="33" t="s">
        <v>251</v>
      </c>
      <c r="AZ465" s="33" t="s">
        <v>257</v>
      </c>
      <c r="BA465" s="4"/>
      <c r="BB465" s="4"/>
      <c r="BC465" s="4"/>
      <c r="BD465" s="23"/>
      <c r="BE465" s="4"/>
      <c r="BF465" s="18"/>
      <c r="BG465" s="18"/>
      <c r="BH465" s="18"/>
      <c r="BI465" s="18"/>
      <c r="BJ465" s="18"/>
      <c r="BK465" s="26"/>
      <c r="BL465" s="13"/>
      <c r="BM465" s="9">
        <f t="shared" si="164"/>
        <v>0</v>
      </c>
      <c r="BN465" s="9">
        <f t="shared" si="166"/>
        <v>0</v>
      </c>
      <c r="BO465" s="9">
        <f t="shared" si="167"/>
        <v>0</v>
      </c>
      <c r="BP465" s="9">
        <f t="shared" si="171"/>
        <v>0</v>
      </c>
      <c r="BQ465" s="9">
        <f t="shared" si="172"/>
        <v>0</v>
      </c>
      <c r="BR465" s="9">
        <f t="shared" si="173"/>
        <v>0</v>
      </c>
      <c r="BS465" s="9">
        <f t="shared" si="174"/>
        <v>0</v>
      </c>
      <c r="BT465" s="9">
        <f t="shared" si="175"/>
        <v>0</v>
      </c>
    </row>
    <row r="466" spans="1:72" hidden="1" x14ac:dyDescent="0.25">
      <c r="A466" s="11">
        <f t="shared" si="168"/>
        <v>465</v>
      </c>
      <c r="B466" s="5" t="s">
        <v>1638</v>
      </c>
      <c r="C466" s="4" t="s">
        <v>59</v>
      </c>
      <c r="D466" s="4" t="s">
        <v>724</v>
      </c>
      <c r="E466" s="4" t="s">
        <v>710</v>
      </c>
      <c r="F466" s="4" t="s">
        <v>1617</v>
      </c>
      <c r="G466" s="4" t="s">
        <v>300</v>
      </c>
      <c r="H466" s="4" t="s">
        <v>301</v>
      </c>
      <c r="I466" s="4"/>
      <c r="J466" s="4"/>
      <c r="K466" s="4" t="s">
        <v>1641</v>
      </c>
      <c r="L466" s="24"/>
      <c r="M466" s="13" t="s">
        <v>320</v>
      </c>
      <c r="N466" s="5" t="s">
        <v>1642</v>
      </c>
      <c r="O466" s="4" t="s">
        <v>726</v>
      </c>
      <c r="P466" s="4"/>
      <c r="Q466" s="42">
        <v>2.8</v>
      </c>
      <c r="R466" s="1">
        <f t="shared" si="169"/>
        <v>0</v>
      </c>
      <c r="S466" s="34">
        <f t="shared" ref="S466:S467" si="180">Q466*SUM(AH466:AM466)</f>
        <v>0</v>
      </c>
      <c r="T466" s="2">
        <f t="shared" si="170"/>
        <v>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24">
        <v>0</v>
      </c>
      <c r="AA466" s="24">
        <v>0</v>
      </c>
      <c r="AB466" s="24">
        <v>0</v>
      </c>
      <c r="AC466" s="24">
        <v>0</v>
      </c>
      <c r="AD466" s="24">
        <v>0</v>
      </c>
      <c r="AE466" s="24">
        <v>0</v>
      </c>
      <c r="AF466" s="24">
        <v>0</v>
      </c>
      <c r="AG466" s="13">
        <f t="shared" si="179"/>
        <v>0</v>
      </c>
      <c r="AH466" s="24">
        <v>0</v>
      </c>
      <c r="AI466" s="24">
        <v>0</v>
      </c>
      <c r="AJ466" s="24">
        <v>0</v>
      </c>
      <c r="AK466" s="24">
        <v>0</v>
      </c>
      <c r="AL466" s="24">
        <v>0</v>
      </c>
      <c r="AM466" s="24">
        <v>0</v>
      </c>
      <c r="AN466" s="24">
        <v>0</v>
      </c>
      <c r="AO466" s="24">
        <v>0</v>
      </c>
      <c r="AP466" s="24">
        <v>0</v>
      </c>
      <c r="AQ466" s="24">
        <v>0</v>
      </c>
      <c r="AR466" s="24">
        <v>0</v>
      </c>
      <c r="AS466" s="24">
        <v>0</v>
      </c>
      <c r="AT466" s="4" t="s">
        <v>727</v>
      </c>
      <c r="AU466" s="4" t="s">
        <v>685</v>
      </c>
      <c r="AV466" s="4" t="s">
        <v>1217</v>
      </c>
      <c r="AW466" s="33" t="s">
        <v>728</v>
      </c>
      <c r="AX466" s="33" t="s">
        <v>238</v>
      </c>
      <c r="AY466" s="33" t="s">
        <v>251</v>
      </c>
      <c r="AZ466" s="33" t="s">
        <v>257</v>
      </c>
      <c r="BA466" s="4"/>
      <c r="BB466" s="4"/>
      <c r="BC466" s="4"/>
      <c r="BD466" s="23"/>
      <c r="BE466" s="4"/>
      <c r="BF466" s="18"/>
      <c r="BG466" s="18"/>
      <c r="BH466" s="18"/>
      <c r="BI466" s="18"/>
      <c r="BJ466" s="18"/>
      <c r="BK466" s="26"/>
      <c r="BL466" s="13"/>
      <c r="BM466" s="9">
        <f t="shared" si="164"/>
        <v>0</v>
      </c>
      <c r="BN466" s="9">
        <f t="shared" si="166"/>
        <v>0</v>
      </c>
      <c r="BO466" s="9">
        <f t="shared" si="167"/>
        <v>0</v>
      </c>
      <c r="BP466" s="9">
        <f t="shared" si="171"/>
        <v>0</v>
      </c>
      <c r="BQ466" s="9">
        <f t="shared" si="172"/>
        <v>0</v>
      </c>
      <c r="BR466" s="9">
        <f t="shared" si="173"/>
        <v>0</v>
      </c>
      <c r="BS466" s="9">
        <f t="shared" si="174"/>
        <v>0</v>
      </c>
      <c r="BT466" s="9">
        <f t="shared" si="175"/>
        <v>0</v>
      </c>
    </row>
    <row r="467" spans="1:72" hidden="1" x14ac:dyDescent="0.25">
      <c r="A467" s="11">
        <f t="shared" si="168"/>
        <v>466</v>
      </c>
      <c r="B467" s="5" t="s">
        <v>1638</v>
      </c>
      <c r="C467" s="4" t="s">
        <v>59</v>
      </c>
      <c r="D467" s="4" t="s">
        <v>724</v>
      </c>
      <c r="E467" s="4" t="s">
        <v>710</v>
      </c>
      <c r="F467" s="4" t="s">
        <v>1617</v>
      </c>
      <c r="G467" s="4" t="s">
        <v>440</v>
      </c>
      <c r="H467" s="4" t="s">
        <v>1757</v>
      </c>
      <c r="I467" s="4"/>
      <c r="J467" s="4"/>
      <c r="K467" s="4" t="s">
        <v>1643</v>
      </c>
      <c r="L467" s="24"/>
      <c r="M467" s="13" t="s">
        <v>320</v>
      </c>
      <c r="N467" s="5" t="s">
        <v>1644</v>
      </c>
      <c r="O467" s="4" t="s">
        <v>726</v>
      </c>
      <c r="P467" s="4"/>
      <c r="Q467" s="42">
        <v>2.8</v>
      </c>
      <c r="R467" s="1">
        <f t="shared" si="169"/>
        <v>0</v>
      </c>
      <c r="S467" s="34">
        <f t="shared" si="180"/>
        <v>0</v>
      </c>
      <c r="T467" s="2">
        <f t="shared" si="170"/>
        <v>0</v>
      </c>
      <c r="U467" s="24">
        <v>0</v>
      </c>
      <c r="V467" s="24">
        <v>0</v>
      </c>
      <c r="W467" s="24">
        <v>0</v>
      </c>
      <c r="X467" s="24">
        <v>0</v>
      </c>
      <c r="Y467" s="24">
        <v>0</v>
      </c>
      <c r="Z467" s="24">
        <v>0</v>
      </c>
      <c r="AA467" s="24">
        <v>0</v>
      </c>
      <c r="AB467" s="24">
        <v>0</v>
      </c>
      <c r="AC467" s="24">
        <v>0</v>
      </c>
      <c r="AD467" s="24">
        <v>0</v>
      </c>
      <c r="AE467" s="24">
        <v>0</v>
      </c>
      <c r="AF467" s="24">
        <v>0</v>
      </c>
      <c r="AG467" s="13">
        <f t="shared" si="179"/>
        <v>0</v>
      </c>
      <c r="AH467" s="24">
        <v>0</v>
      </c>
      <c r="AI467" s="24">
        <v>0</v>
      </c>
      <c r="AJ467" s="24">
        <v>0</v>
      </c>
      <c r="AK467" s="24">
        <v>0</v>
      </c>
      <c r="AL467" s="24">
        <v>0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4" t="s">
        <v>727</v>
      </c>
      <c r="AU467" s="4" t="s">
        <v>685</v>
      </c>
      <c r="AV467" s="4" t="s">
        <v>1220</v>
      </c>
      <c r="AW467" s="33" t="s">
        <v>728</v>
      </c>
      <c r="AX467" s="33" t="s">
        <v>238</v>
      </c>
      <c r="AY467" s="33" t="s">
        <v>251</v>
      </c>
      <c r="AZ467" s="33" t="s">
        <v>257</v>
      </c>
      <c r="BA467" s="4"/>
      <c r="BB467" s="4"/>
      <c r="BC467" s="4"/>
      <c r="BD467" s="23"/>
      <c r="BE467" s="4"/>
      <c r="BF467" s="18"/>
      <c r="BG467" s="18"/>
      <c r="BH467" s="18"/>
      <c r="BI467" s="18"/>
      <c r="BJ467" s="18"/>
      <c r="BK467" s="26"/>
      <c r="BL467" s="13"/>
      <c r="BM467" s="9">
        <f t="shared" si="164"/>
        <v>0</v>
      </c>
      <c r="BN467" s="9">
        <f t="shared" si="166"/>
        <v>0</v>
      </c>
      <c r="BO467" s="9">
        <f t="shared" si="167"/>
        <v>0</v>
      </c>
      <c r="BP467" s="9">
        <f t="shared" si="171"/>
        <v>0</v>
      </c>
      <c r="BQ467" s="9">
        <f t="shared" si="172"/>
        <v>0</v>
      </c>
      <c r="BR467" s="9">
        <f t="shared" si="173"/>
        <v>0</v>
      </c>
      <c r="BS467" s="9">
        <f t="shared" si="174"/>
        <v>0</v>
      </c>
      <c r="BT467" s="9">
        <f t="shared" si="175"/>
        <v>0</v>
      </c>
    </row>
    <row r="468" spans="1:72" hidden="1" x14ac:dyDescent="0.25">
      <c r="A468" s="11">
        <f t="shared" si="168"/>
        <v>467</v>
      </c>
      <c r="B468" s="15" t="s">
        <v>1645</v>
      </c>
      <c r="C468" s="5" t="s">
        <v>128</v>
      </c>
      <c r="D468" s="5" t="s">
        <v>1646</v>
      </c>
      <c r="E468" s="4" t="s">
        <v>710</v>
      </c>
      <c r="F468" s="5" t="s">
        <v>1647</v>
      </c>
      <c r="G468" s="5" t="s">
        <v>144</v>
      </c>
      <c r="H468" s="4" t="s">
        <v>1809</v>
      </c>
      <c r="I468" s="5"/>
      <c r="J468" s="5"/>
      <c r="K468" s="5" t="s">
        <v>1648</v>
      </c>
      <c r="L468" s="24">
        <v>2500000</v>
      </c>
      <c r="M468" s="5" t="s">
        <v>291</v>
      </c>
      <c r="N468" s="5" t="s">
        <v>1649</v>
      </c>
      <c r="O468" s="5" t="s">
        <v>729</v>
      </c>
      <c r="P468" s="5"/>
      <c r="Q468" s="42">
        <v>0.23699999999999999</v>
      </c>
      <c r="R468" s="1">
        <f t="shared" si="169"/>
        <v>341280</v>
      </c>
      <c r="S468" s="34">
        <f t="shared" si="176"/>
        <v>0</v>
      </c>
      <c r="T468" s="2">
        <f t="shared" si="170"/>
        <v>1440000</v>
      </c>
      <c r="U468" s="5">
        <v>900000</v>
      </c>
      <c r="V468" s="24">
        <v>0</v>
      </c>
      <c r="W468" s="24">
        <v>0</v>
      </c>
      <c r="X468" s="24">
        <v>0</v>
      </c>
      <c r="Y468" s="24">
        <v>0</v>
      </c>
      <c r="Z468" s="24">
        <v>0</v>
      </c>
      <c r="AA468" s="24">
        <v>0</v>
      </c>
      <c r="AB468" s="24">
        <v>0</v>
      </c>
      <c r="AC468" s="5">
        <v>480000</v>
      </c>
      <c r="AD468" s="24">
        <v>0</v>
      </c>
      <c r="AE468" s="5">
        <v>480000</v>
      </c>
      <c r="AF468" s="5">
        <v>480000</v>
      </c>
      <c r="AG468" s="13">
        <f>AF468</f>
        <v>480000</v>
      </c>
      <c r="AH468" s="24">
        <v>0</v>
      </c>
      <c r="AI468" s="24">
        <v>0</v>
      </c>
      <c r="AJ468" s="24">
        <v>0</v>
      </c>
      <c r="AK468" s="24">
        <v>0</v>
      </c>
      <c r="AL468" s="24">
        <v>0</v>
      </c>
      <c r="AM468" s="24">
        <v>0</v>
      </c>
      <c r="AN468" s="24">
        <v>0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5" t="s">
        <v>716</v>
      </c>
      <c r="AU468" s="4" t="s">
        <v>685</v>
      </c>
      <c r="AV468" s="4" t="s">
        <v>1218</v>
      </c>
      <c r="AW468" s="5" t="s">
        <v>730</v>
      </c>
      <c r="AX468" s="5" t="s">
        <v>731</v>
      </c>
      <c r="AY468" s="5" t="s">
        <v>732</v>
      </c>
      <c r="AZ468" s="5" t="s">
        <v>733</v>
      </c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9">
        <f t="shared" si="164"/>
        <v>0</v>
      </c>
      <c r="BN468" s="9">
        <f t="shared" si="166"/>
        <v>0</v>
      </c>
      <c r="BO468" s="9">
        <f t="shared" si="167"/>
        <v>0</v>
      </c>
      <c r="BP468" s="9">
        <f t="shared" si="171"/>
        <v>0</v>
      </c>
      <c r="BQ468" s="9">
        <f t="shared" si="172"/>
        <v>113760</v>
      </c>
      <c r="BR468" s="9">
        <f t="shared" si="173"/>
        <v>0</v>
      </c>
      <c r="BS468" s="9">
        <f t="shared" si="174"/>
        <v>113760</v>
      </c>
      <c r="BT468" s="9">
        <f t="shared" si="175"/>
        <v>113760</v>
      </c>
    </row>
    <row r="469" spans="1:72" hidden="1" x14ac:dyDescent="0.25">
      <c r="A469" s="11">
        <f t="shared" si="168"/>
        <v>468</v>
      </c>
      <c r="B469" s="15" t="s">
        <v>1650</v>
      </c>
      <c r="C469" s="5" t="s">
        <v>128</v>
      </c>
      <c r="D469" s="5" t="s">
        <v>1646</v>
      </c>
      <c r="E469" s="4" t="s">
        <v>710</v>
      </c>
      <c r="F469" s="5" t="s">
        <v>1647</v>
      </c>
      <c r="G469" s="5" t="s">
        <v>540</v>
      </c>
      <c r="H469" s="33" t="s">
        <v>541</v>
      </c>
      <c r="I469" s="5"/>
      <c r="J469" s="5"/>
      <c r="K469" s="5" t="s">
        <v>1651</v>
      </c>
      <c r="L469" s="24">
        <v>1500000</v>
      </c>
      <c r="M469" s="5" t="s">
        <v>291</v>
      </c>
      <c r="N469" s="5" t="s">
        <v>1652</v>
      </c>
      <c r="O469" s="5" t="s">
        <v>729</v>
      </c>
      <c r="P469" s="5"/>
      <c r="Q469" s="42">
        <v>0.48</v>
      </c>
      <c r="R469" s="1">
        <f t="shared" si="169"/>
        <v>192000</v>
      </c>
      <c r="S469" s="34">
        <f t="shared" si="176"/>
        <v>0</v>
      </c>
      <c r="T469" s="2">
        <f t="shared" si="170"/>
        <v>400000</v>
      </c>
      <c r="U469" s="24">
        <v>0</v>
      </c>
      <c r="V469" s="24">
        <v>0</v>
      </c>
      <c r="W469" s="5">
        <v>120000</v>
      </c>
      <c r="X469" s="24">
        <v>0</v>
      </c>
      <c r="Y469" s="5">
        <v>120000</v>
      </c>
      <c r="Z469" s="24">
        <v>0</v>
      </c>
      <c r="AA469" s="24">
        <v>0</v>
      </c>
      <c r="AB469" s="24">
        <v>80000</v>
      </c>
      <c r="AC469" s="24">
        <v>80000</v>
      </c>
      <c r="AD469" s="5">
        <v>80000</v>
      </c>
      <c r="AE469" s="5">
        <v>80000</v>
      </c>
      <c r="AF469" s="5">
        <v>80000</v>
      </c>
      <c r="AG469" s="13">
        <f t="shared" ref="AG469:AG478" si="181">AF469</f>
        <v>80000</v>
      </c>
      <c r="AH469" s="24">
        <v>0</v>
      </c>
      <c r="AI469" s="24">
        <v>0</v>
      </c>
      <c r="AJ469" s="24">
        <v>0</v>
      </c>
      <c r="AK469" s="24">
        <v>0</v>
      </c>
      <c r="AL469" s="24">
        <v>0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5" t="s">
        <v>716</v>
      </c>
      <c r="AU469" s="4" t="s">
        <v>685</v>
      </c>
      <c r="AV469" s="4" t="s">
        <v>1218</v>
      </c>
      <c r="AW469" s="5" t="s">
        <v>730</v>
      </c>
      <c r="AX469" s="5" t="s">
        <v>731</v>
      </c>
      <c r="AY469" s="5" t="s">
        <v>734</v>
      </c>
      <c r="AZ469" s="5" t="s">
        <v>735</v>
      </c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9">
        <f t="shared" si="164"/>
        <v>57600</v>
      </c>
      <c r="BN469" s="9">
        <f t="shared" si="166"/>
        <v>0</v>
      </c>
      <c r="BO469" s="9">
        <f t="shared" si="167"/>
        <v>0</v>
      </c>
      <c r="BP469" s="9">
        <f t="shared" si="171"/>
        <v>38400</v>
      </c>
      <c r="BQ469" s="9">
        <f t="shared" si="172"/>
        <v>38400</v>
      </c>
      <c r="BR469" s="9">
        <f t="shared" si="173"/>
        <v>38400</v>
      </c>
      <c r="BS469" s="9">
        <f t="shared" si="174"/>
        <v>38400</v>
      </c>
      <c r="BT469" s="9">
        <f t="shared" si="175"/>
        <v>38400</v>
      </c>
    </row>
    <row r="470" spans="1:72" hidden="1" x14ac:dyDescent="0.25">
      <c r="A470" s="11">
        <f t="shared" si="168"/>
        <v>469</v>
      </c>
      <c r="B470" s="11" t="s">
        <v>1653</v>
      </c>
      <c r="C470" s="11" t="s">
        <v>59</v>
      </c>
      <c r="D470" s="4" t="s">
        <v>759</v>
      </c>
      <c r="E470" s="4" t="s">
        <v>710</v>
      </c>
      <c r="F470" s="5" t="s">
        <v>779</v>
      </c>
      <c r="G470" s="11" t="s">
        <v>260</v>
      </c>
      <c r="H470" s="4" t="s">
        <v>1750</v>
      </c>
      <c r="I470" s="11"/>
      <c r="J470" s="11"/>
      <c r="K470" s="11" t="s">
        <v>1654</v>
      </c>
      <c r="L470" s="24">
        <v>500000</v>
      </c>
      <c r="M470" s="11" t="s">
        <v>297</v>
      </c>
      <c r="N470" s="11" t="s">
        <v>1655</v>
      </c>
      <c r="O470" s="11"/>
      <c r="P470" s="11"/>
      <c r="Q470" s="42">
        <v>0.52</v>
      </c>
      <c r="R470" s="1">
        <f t="shared" si="169"/>
        <v>15600</v>
      </c>
      <c r="S470" s="34">
        <f t="shared" si="176"/>
        <v>0</v>
      </c>
      <c r="T470" s="2">
        <f t="shared" si="170"/>
        <v>30000</v>
      </c>
      <c r="U470" s="24">
        <v>0</v>
      </c>
      <c r="V470" s="24">
        <v>0</v>
      </c>
      <c r="W470" s="24">
        <v>0</v>
      </c>
      <c r="X470" s="24">
        <v>0</v>
      </c>
      <c r="Y470" s="24">
        <v>0</v>
      </c>
      <c r="Z470" s="24">
        <v>0</v>
      </c>
      <c r="AA470" s="24">
        <v>0</v>
      </c>
      <c r="AB470" s="24">
        <v>0</v>
      </c>
      <c r="AC470" s="24">
        <v>0</v>
      </c>
      <c r="AD470" s="24">
        <v>0</v>
      </c>
      <c r="AE470" s="11">
        <v>10000</v>
      </c>
      <c r="AF470" s="11">
        <v>20000</v>
      </c>
      <c r="AG470" s="13">
        <f t="shared" si="181"/>
        <v>20000</v>
      </c>
      <c r="AH470" s="24">
        <v>0</v>
      </c>
      <c r="AI470" s="24">
        <v>0</v>
      </c>
      <c r="AJ470" s="24">
        <v>0</v>
      </c>
      <c r="AK470" s="24">
        <v>0</v>
      </c>
      <c r="AL470" s="24">
        <v>0</v>
      </c>
      <c r="AM470" s="24">
        <v>0</v>
      </c>
      <c r="AN470" s="24">
        <v>0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5" t="s">
        <v>716</v>
      </c>
      <c r="AU470" s="4" t="s">
        <v>685</v>
      </c>
      <c r="AV470" s="4" t="s">
        <v>1218</v>
      </c>
      <c r="AW470" s="5" t="s">
        <v>98</v>
      </c>
      <c r="AX470" s="5" t="s">
        <v>110</v>
      </c>
      <c r="AY470" s="5" t="s">
        <v>736</v>
      </c>
      <c r="AZ470" s="5" t="s">
        <v>737</v>
      </c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9">
        <f t="shared" si="164"/>
        <v>0</v>
      </c>
      <c r="BN470" s="9">
        <f t="shared" si="166"/>
        <v>0</v>
      </c>
      <c r="BO470" s="9">
        <f t="shared" si="167"/>
        <v>0</v>
      </c>
      <c r="BP470" s="9">
        <f t="shared" si="171"/>
        <v>0</v>
      </c>
      <c r="BQ470" s="9">
        <f t="shared" si="172"/>
        <v>0</v>
      </c>
      <c r="BR470" s="9">
        <f t="shared" si="173"/>
        <v>0</v>
      </c>
      <c r="BS470" s="9">
        <f t="shared" si="174"/>
        <v>5200</v>
      </c>
      <c r="BT470" s="9">
        <f t="shared" si="175"/>
        <v>10400</v>
      </c>
    </row>
    <row r="471" spans="1:72" s="85" customFormat="1" hidden="1" x14ac:dyDescent="0.25">
      <c r="A471" s="83">
        <f t="shared" si="168"/>
        <v>470</v>
      </c>
      <c r="B471" s="83" t="s">
        <v>738</v>
      </c>
      <c r="C471" s="83" t="s">
        <v>128</v>
      </c>
      <c r="D471" s="83" t="s">
        <v>759</v>
      </c>
      <c r="E471" s="83" t="s">
        <v>710</v>
      </c>
      <c r="F471" s="83" t="s">
        <v>779</v>
      </c>
      <c r="G471" s="83" t="s">
        <v>93</v>
      </c>
      <c r="H471" s="83" t="s">
        <v>1094</v>
      </c>
      <c r="I471" s="83"/>
      <c r="J471" s="83"/>
      <c r="K471" s="83" t="s">
        <v>739</v>
      </c>
      <c r="L471" s="8">
        <v>2500000</v>
      </c>
      <c r="M471" s="83" t="s">
        <v>74</v>
      </c>
      <c r="N471" s="83" t="s">
        <v>1656</v>
      </c>
      <c r="O471" s="83"/>
      <c r="P471" s="83"/>
      <c r="Q471" s="83">
        <v>0.72</v>
      </c>
      <c r="R471" s="8">
        <f t="shared" si="169"/>
        <v>252000</v>
      </c>
      <c r="S471" s="8">
        <f t="shared" si="176"/>
        <v>0</v>
      </c>
      <c r="T471" s="8">
        <f t="shared" si="170"/>
        <v>350000</v>
      </c>
      <c r="U471" s="8">
        <v>0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12000</v>
      </c>
      <c r="AC471" s="8">
        <v>24000</v>
      </c>
      <c r="AD471" s="8">
        <v>50000</v>
      </c>
      <c r="AE471" s="8">
        <v>120000</v>
      </c>
      <c r="AF471" s="83">
        <v>144000</v>
      </c>
      <c r="AG471" s="83">
        <f t="shared" si="181"/>
        <v>144000</v>
      </c>
      <c r="AH471" s="8">
        <v>0</v>
      </c>
      <c r="AI471" s="8">
        <v>0</v>
      </c>
      <c r="AJ471" s="8">
        <v>0</v>
      </c>
      <c r="AK471" s="8">
        <v>0</v>
      </c>
      <c r="AL471" s="8">
        <v>0</v>
      </c>
      <c r="AM471" s="8">
        <v>0</v>
      </c>
      <c r="AN471" s="8">
        <v>0</v>
      </c>
      <c r="AO471" s="8">
        <v>0</v>
      </c>
      <c r="AP471" s="8">
        <v>0</v>
      </c>
      <c r="AQ471" s="8">
        <v>0</v>
      </c>
      <c r="AR471" s="8">
        <v>0</v>
      </c>
      <c r="AS471" s="8">
        <v>0</v>
      </c>
      <c r="AT471" s="83" t="s">
        <v>716</v>
      </c>
      <c r="AU471" s="83" t="s">
        <v>685</v>
      </c>
      <c r="AV471" s="83" t="s">
        <v>1218</v>
      </c>
      <c r="AW471" s="83" t="s">
        <v>98</v>
      </c>
      <c r="AX471" s="83" t="s">
        <v>740</v>
      </c>
      <c r="AY471" s="83" t="s">
        <v>741</v>
      </c>
      <c r="AZ471" s="83" t="s">
        <v>742</v>
      </c>
      <c r="BA471" s="83"/>
      <c r="BB471" s="83"/>
      <c r="BC471" s="83"/>
      <c r="BD471" s="83"/>
      <c r="BE471" s="83"/>
      <c r="BF471" s="83"/>
      <c r="BG471" s="83"/>
      <c r="BH471" s="83"/>
      <c r="BI471" s="83"/>
      <c r="BJ471" s="83"/>
      <c r="BK471" s="83"/>
      <c r="BL471" s="83"/>
      <c r="BM471" s="84">
        <f t="shared" si="164"/>
        <v>0</v>
      </c>
      <c r="BN471" s="84">
        <f t="shared" si="166"/>
        <v>0</v>
      </c>
      <c r="BO471" s="84">
        <f t="shared" si="167"/>
        <v>0</v>
      </c>
      <c r="BP471" s="84">
        <f t="shared" si="171"/>
        <v>8640</v>
      </c>
      <c r="BQ471" s="84">
        <f t="shared" si="172"/>
        <v>17280</v>
      </c>
      <c r="BR471" s="84">
        <f t="shared" si="173"/>
        <v>36000</v>
      </c>
      <c r="BS471" s="84">
        <f t="shared" si="174"/>
        <v>86400</v>
      </c>
      <c r="BT471" s="84">
        <f t="shared" si="175"/>
        <v>103680</v>
      </c>
    </row>
    <row r="472" spans="1:72" hidden="1" x14ac:dyDescent="0.25">
      <c r="A472" s="11">
        <f t="shared" si="168"/>
        <v>471</v>
      </c>
      <c r="B472" s="11" t="s">
        <v>738</v>
      </c>
      <c r="C472" s="11" t="s">
        <v>128</v>
      </c>
      <c r="D472" s="4" t="s">
        <v>759</v>
      </c>
      <c r="E472" s="4" t="s">
        <v>710</v>
      </c>
      <c r="F472" s="5" t="s">
        <v>779</v>
      </c>
      <c r="G472" s="11" t="s">
        <v>93</v>
      </c>
      <c r="H472" s="11" t="s">
        <v>1094</v>
      </c>
      <c r="I472" s="11"/>
      <c r="J472" s="11"/>
      <c r="K472" s="11" t="s">
        <v>743</v>
      </c>
      <c r="L472" s="24">
        <v>2500000</v>
      </c>
      <c r="M472" s="13" t="s">
        <v>74</v>
      </c>
      <c r="N472" s="11" t="s">
        <v>1656</v>
      </c>
      <c r="O472" s="11"/>
      <c r="P472" s="11"/>
      <c r="Q472" s="42">
        <v>0.72</v>
      </c>
      <c r="R472" s="1">
        <f t="shared" si="169"/>
        <v>0</v>
      </c>
      <c r="S472" s="34">
        <f t="shared" ref="S472:S477" si="182">Q472*SUM(AH472:AM472)</f>
        <v>0</v>
      </c>
      <c r="T472" s="2">
        <f t="shared" si="170"/>
        <v>0</v>
      </c>
      <c r="U472" s="24">
        <v>0</v>
      </c>
      <c r="V472" s="24">
        <v>0</v>
      </c>
      <c r="W472" s="24">
        <v>0</v>
      </c>
      <c r="X472" s="24">
        <v>0</v>
      </c>
      <c r="Y472" s="24">
        <v>0</v>
      </c>
      <c r="Z472" s="24">
        <v>0</v>
      </c>
      <c r="AA472" s="24">
        <v>0</v>
      </c>
      <c r="AB472" s="24">
        <v>0</v>
      </c>
      <c r="AC472" s="24">
        <v>0</v>
      </c>
      <c r="AD472" s="24">
        <v>0</v>
      </c>
      <c r="AE472" s="24">
        <v>0</v>
      </c>
      <c r="AF472" s="11">
        <v>0</v>
      </c>
      <c r="AG472" s="13">
        <f t="shared" si="181"/>
        <v>0</v>
      </c>
      <c r="AH472" s="24">
        <v>0</v>
      </c>
      <c r="AI472" s="24">
        <v>0</v>
      </c>
      <c r="AJ472" s="24">
        <v>0</v>
      </c>
      <c r="AK472" s="24">
        <v>0</v>
      </c>
      <c r="AL472" s="24">
        <v>0</v>
      </c>
      <c r="AM472" s="24">
        <v>0</v>
      </c>
      <c r="AN472" s="24">
        <v>0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5" t="s">
        <v>716</v>
      </c>
      <c r="AU472" s="4" t="s">
        <v>685</v>
      </c>
      <c r="AV472" s="4" t="s">
        <v>1218</v>
      </c>
      <c r="AW472" s="5" t="s">
        <v>98</v>
      </c>
      <c r="AX472" s="5" t="s">
        <v>740</v>
      </c>
      <c r="AY472" s="5" t="s">
        <v>741</v>
      </c>
      <c r="AZ472" s="5" t="s">
        <v>742</v>
      </c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9">
        <f t="shared" si="164"/>
        <v>0</v>
      </c>
      <c r="BN472" s="9">
        <f t="shared" si="166"/>
        <v>0</v>
      </c>
      <c r="BO472" s="9">
        <f t="shared" si="167"/>
        <v>0</v>
      </c>
      <c r="BP472" s="9">
        <f t="shared" si="171"/>
        <v>0</v>
      </c>
      <c r="BQ472" s="9">
        <f t="shared" si="172"/>
        <v>0</v>
      </c>
      <c r="BR472" s="9">
        <f t="shared" si="173"/>
        <v>0</v>
      </c>
      <c r="BS472" s="9">
        <f t="shared" si="174"/>
        <v>0</v>
      </c>
      <c r="BT472" s="9">
        <f t="shared" si="175"/>
        <v>0</v>
      </c>
    </row>
    <row r="473" spans="1:72" hidden="1" x14ac:dyDescent="0.25">
      <c r="A473" s="11">
        <f t="shared" si="168"/>
        <v>472</v>
      </c>
      <c r="B473" s="11" t="s">
        <v>738</v>
      </c>
      <c r="C473" s="11" t="s">
        <v>128</v>
      </c>
      <c r="D473" s="4" t="s">
        <v>759</v>
      </c>
      <c r="E473" s="4" t="s">
        <v>710</v>
      </c>
      <c r="F473" s="5" t="s">
        <v>779</v>
      </c>
      <c r="G473" s="11" t="s">
        <v>744</v>
      </c>
      <c r="H473" s="11" t="s">
        <v>1095</v>
      </c>
      <c r="I473" s="11"/>
      <c r="J473" s="11"/>
      <c r="K473" s="11" t="s">
        <v>745</v>
      </c>
      <c r="L473" s="24"/>
      <c r="M473" s="13" t="s">
        <v>320</v>
      </c>
      <c r="N473" s="11" t="s">
        <v>1657</v>
      </c>
      <c r="O473" s="11"/>
      <c r="P473" s="11"/>
      <c r="Q473" s="42">
        <v>0.72</v>
      </c>
      <c r="R473" s="1">
        <f t="shared" si="169"/>
        <v>7200</v>
      </c>
      <c r="S473" s="34">
        <f t="shared" si="182"/>
        <v>0</v>
      </c>
      <c r="T473" s="2">
        <f t="shared" si="170"/>
        <v>10000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24">
        <v>0</v>
      </c>
      <c r="AA473" s="24">
        <v>0</v>
      </c>
      <c r="AB473" s="24">
        <v>0</v>
      </c>
      <c r="AC473" s="24">
        <v>0</v>
      </c>
      <c r="AD473" s="24">
        <v>0</v>
      </c>
      <c r="AE473" s="24">
        <v>0</v>
      </c>
      <c r="AF473" s="11">
        <v>10000</v>
      </c>
      <c r="AG473" s="13">
        <f t="shared" si="181"/>
        <v>10000</v>
      </c>
      <c r="AH473" s="24">
        <v>0</v>
      </c>
      <c r="AI473" s="24">
        <v>0</v>
      </c>
      <c r="AJ473" s="24">
        <v>0</v>
      </c>
      <c r="AK473" s="24">
        <v>0</v>
      </c>
      <c r="AL473" s="24">
        <v>0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5" t="s">
        <v>716</v>
      </c>
      <c r="AU473" s="4" t="s">
        <v>685</v>
      </c>
      <c r="AV473" s="4" t="s">
        <v>1218</v>
      </c>
      <c r="AW473" s="5" t="s">
        <v>98</v>
      </c>
      <c r="AX473" s="5" t="s">
        <v>740</v>
      </c>
      <c r="AY473" s="5" t="s">
        <v>741</v>
      </c>
      <c r="AZ473" s="5" t="s">
        <v>742</v>
      </c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9">
        <f t="shared" si="164"/>
        <v>0</v>
      </c>
      <c r="BN473" s="9">
        <f t="shared" si="166"/>
        <v>0</v>
      </c>
      <c r="BO473" s="9">
        <f t="shared" si="167"/>
        <v>0</v>
      </c>
      <c r="BP473" s="9">
        <f t="shared" si="171"/>
        <v>0</v>
      </c>
      <c r="BQ473" s="9">
        <f t="shared" si="172"/>
        <v>0</v>
      </c>
      <c r="BR473" s="9">
        <f t="shared" si="173"/>
        <v>0</v>
      </c>
      <c r="BS473" s="9">
        <f t="shared" si="174"/>
        <v>0</v>
      </c>
      <c r="BT473" s="9">
        <f t="shared" si="175"/>
        <v>7200</v>
      </c>
    </row>
    <row r="474" spans="1:72" hidden="1" x14ac:dyDescent="0.25">
      <c r="A474" s="11">
        <f t="shared" si="168"/>
        <v>473</v>
      </c>
      <c r="B474" s="11" t="s">
        <v>556</v>
      </c>
      <c r="C474" s="11" t="s">
        <v>59</v>
      </c>
      <c r="D474" s="4" t="s">
        <v>724</v>
      </c>
      <c r="E474" s="4" t="s">
        <v>710</v>
      </c>
      <c r="F474" s="5" t="s">
        <v>746</v>
      </c>
      <c r="G474" s="11" t="s">
        <v>747</v>
      </c>
      <c r="H474" s="4" t="s">
        <v>1298</v>
      </c>
      <c r="I474" s="11"/>
      <c r="J474" s="11"/>
      <c r="K474" s="11" t="s">
        <v>748</v>
      </c>
      <c r="L474" s="24"/>
      <c r="M474" s="13" t="s">
        <v>74</v>
      </c>
      <c r="N474" s="11" t="s">
        <v>1658</v>
      </c>
      <c r="O474" s="11"/>
      <c r="P474" s="11"/>
      <c r="Q474" s="42">
        <v>0.7</v>
      </c>
      <c r="R474" s="1">
        <f t="shared" si="169"/>
        <v>0</v>
      </c>
      <c r="S474" s="34">
        <f t="shared" si="182"/>
        <v>0</v>
      </c>
      <c r="T474" s="2">
        <f t="shared" si="170"/>
        <v>0</v>
      </c>
      <c r="U474" s="24">
        <v>0</v>
      </c>
      <c r="V474" s="24">
        <v>0</v>
      </c>
      <c r="W474" s="24">
        <v>0</v>
      </c>
      <c r="X474" s="24">
        <v>0</v>
      </c>
      <c r="Y474" s="24">
        <v>0</v>
      </c>
      <c r="Z474" s="24">
        <v>0</v>
      </c>
      <c r="AA474" s="24">
        <v>0</v>
      </c>
      <c r="AB474" s="24">
        <v>0</v>
      </c>
      <c r="AC474" s="24">
        <v>0</v>
      </c>
      <c r="AD474" s="24">
        <v>0</v>
      </c>
      <c r="AE474" s="24">
        <v>0</v>
      </c>
      <c r="AF474" s="24">
        <v>0</v>
      </c>
      <c r="AG474" s="13">
        <f t="shared" si="181"/>
        <v>0</v>
      </c>
      <c r="AH474" s="24">
        <v>0</v>
      </c>
      <c r="AI474" s="24">
        <v>0</v>
      </c>
      <c r="AJ474" s="24">
        <v>0</v>
      </c>
      <c r="AK474" s="24">
        <v>0</v>
      </c>
      <c r="AL474" s="24">
        <v>0</v>
      </c>
      <c r="AM474" s="24">
        <v>0</v>
      </c>
      <c r="AN474" s="24">
        <v>0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5" t="s">
        <v>749</v>
      </c>
      <c r="AU474" s="4" t="s">
        <v>685</v>
      </c>
      <c r="AV474" s="4" t="s">
        <v>1214</v>
      </c>
      <c r="AW474" s="5" t="s">
        <v>98</v>
      </c>
      <c r="AX474" s="5" t="s">
        <v>110</v>
      </c>
      <c r="AY474" s="5" t="s">
        <v>111</v>
      </c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9">
        <f t="shared" si="164"/>
        <v>0</v>
      </c>
      <c r="BN474" s="9">
        <f t="shared" si="166"/>
        <v>0</v>
      </c>
      <c r="BO474" s="9">
        <f t="shared" si="167"/>
        <v>0</v>
      </c>
      <c r="BP474" s="9">
        <f t="shared" si="171"/>
        <v>0</v>
      </c>
      <c r="BQ474" s="9">
        <f t="shared" si="172"/>
        <v>0</v>
      </c>
      <c r="BR474" s="9">
        <f t="shared" si="173"/>
        <v>0</v>
      </c>
      <c r="BS474" s="9">
        <f t="shared" si="174"/>
        <v>0</v>
      </c>
      <c r="BT474" s="9">
        <f t="shared" si="175"/>
        <v>0</v>
      </c>
    </row>
    <row r="475" spans="1:72" hidden="1" x14ac:dyDescent="0.25">
      <c r="A475" s="11">
        <f t="shared" si="168"/>
        <v>474</v>
      </c>
      <c r="B475" s="11" t="s">
        <v>556</v>
      </c>
      <c r="C475" s="11" t="s">
        <v>59</v>
      </c>
      <c r="D475" s="4" t="s">
        <v>724</v>
      </c>
      <c r="E475" s="4" t="s">
        <v>710</v>
      </c>
      <c r="F475" s="5" t="s">
        <v>746</v>
      </c>
      <c r="G475" s="11" t="s">
        <v>750</v>
      </c>
      <c r="H475" s="11"/>
      <c r="I475" s="11"/>
      <c r="J475" s="11"/>
      <c r="K475" s="11" t="s">
        <v>748</v>
      </c>
      <c r="L475" s="24"/>
      <c r="M475" s="13" t="s">
        <v>320</v>
      </c>
      <c r="N475" s="11" t="s">
        <v>1659</v>
      </c>
      <c r="O475" s="11"/>
      <c r="P475" s="11"/>
      <c r="Q475" s="42">
        <v>0.7</v>
      </c>
      <c r="R475" s="1">
        <f t="shared" si="169"/>
        <v>0</v>
      </c>
      <c r="S475" s="34">
        <f t="shared" si="182"/>
        <v>0</v>
      </c>
      <c r="T475" s="2">
        <f t="shared" si="170"/>
        <v>0</v>
      </c>
      <c r="U475" s="24">
        <v>0</v>
      </c>
      <c r="V475" s="24">
        <v>0</v>
      </c>
      <c r="W475" s="24">
        <v>0</v>
      </c>
      <c r="X475" s="24">
        <v>0</v>
      </c>
      <c r="Y475" s="24">
        <v>0</v>
      </c>
      <c r="Z475" s="24">
        <v>0</v>
      </c>
      <c r="AA475" s="24">
        <v>0</v>
      </c>
      <c r="AB475" s="24">
        <v>0</v>
      </c>
      <c r="AC475" s="24">
        <v>0</v>
      </c>
      <c r="AD475" s="24">
        <v>0</v>
      </c>
      <c r="AE475" s="24">
        <v>0</v>
      </c>
      <c r="AF475" s="24">
        <v>0</v>
      </c>
      <c r="AG475" s="13">
        <f t="shared" si="181"/>
        <v>0</v>
      </c>
      <c r="AH475" s="24">
        <v>0</v>
      </c>
      <c r="AI475" s="24">
        <v>0</v>
      </c>
      <c r="AJ475" s="24">
        <v>0</v>
      </c>
      <c r="AK475" s="24">
        <v>0</v>
      </c>
      <c r="AL475" s="24">
        <v>0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5" t="s">
        <v>749</v>
      </c>
      <c r="AU475" s="4" t="s">
        <v>685</v>
      </c>
      <c r="AV475" s="4" t="s">
        <v>1214</v>
      </c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9">
        <f t="shared" si="164"/>
        <v>0</v>
      </c>
      <c r="BN475" s="9">
        <f t="shared" si="166"/>
        <v>0</v>
      </c>
      <c r="BO475" s="9">
        <f t="shared" si="167"/>
        <v>0</v>
      </c>
      <c r="BP475" s="9">
        <f t="shared" si="171"/>
        <v>0</v>
      </c>
      <c r="BQ475" s="9">
        <f t="shared" si="172"/>
        <v>0</v>
      </c>
      <c r="BR475" s="9">
        <f t="shared" si="173"/>
        <v>0</v>
      </c>
      <c r="BS475" s="9">
        <f t="shared" si="174"/>
        <v>0</v>
      </c>
      <c r="BT475" s="9">
        <f t="shared" si="175"/>
        <v>0</v>
      </c>
    </row>
    <row r="476" spans="1:72" hidden="1" x14ac:dyDescent="0.25">
      <c r="A476" s="11">
        <f t="shared" si="168"/>
        <v>475</v>
      </c>
      <c r="B476" s="11" t="s">
        <v>556</v>
      </c>
      <c r="C476" s="11" t="s">
        <v>59</v>
      </c>
      <c r="D476" s="4" t="s">
        <v>724</v>
      </c>
      <c r="E476" s="4" t="s">
        <v>710</v>
      </c>
      <c r="F476" s="5" t="s">
        <v>746</v>
      </c>
      <c r="G476" s="11" t="s">
        <v>324</v>
      </c>
      <c r="H476" s="4" t="s">
        <v>1718</v>
      </c>
      <c r="I476" s="11"/>
      <c r="J476" s="11"/>
      <c r="K476" s="11" t="s">
        <v>319</v>
      </c>
      <c r="L476" s="24"/>
      <c r="M476" s="13" t="s">
        <v>320</v>
      </c>
      <c r="N476" s="11" t="s">
        <v>1660</v>
      </c>
      <c r="O476" s="11"/>
      <c r="P476" s="11"/>
      <c r="Q476" s="42">
        <v>0.7</v>
      </c>
      <c r="R476" s="1">
        <f t="shared" si="169"/>
        <v>0</v>
      </c>
      <c r="S476" s="34">
        <f t="shared" si="182"/>
        <v>0</v>
      </c>
      <c r="T476" s="2">
        <f t="shared" si="170"/>
        <v>0</v>
      </c>
      <c r="U476" s="24">
        <v>0</v>
      </c>
      <c r="V476" s="24">
        <v>0</v>
      </c>
      <c r="W476" s="24">
        <v>0</v>
      </c>
      <c r="X476" s="24">
        <v>0</v>
      </c>
      <c r="Y476" s="24">
        <v>0</v>
      </c>
      <c r="Z476" s="24">
        <v>0</v>
      </c>
      <c r="AA476" s="24">
        <v>0</v>
      </c>
      <c r="AB476" s="24">
        <v>0</v>
      </c>
      <c r="AC476" s="24">
        <v>0</v>
      </c>
      <c r="AD476" s="24">
        <v>0</v>
      </c>
      <c r="AE476" s="24">
        <v>0</v>
      </c>
      <c r="AF476" s="24">
        <v>0</v>
      </c>
      <c r="AG476" s="13">
        <f t="shared" si="181"/>
        <v>0</v>
      </c>
      <c r="AH476" s="24">
        <v>0</v>
      </c>
      <c r="AI476" s="24">
        <v>0</v>
      </c>
      <c r="AJ476" s="24">
        <v>0</v>
      </c>
      <c r="AK476" s="24">
        <v>0</v>
      </c>
      <c r="AL476" s="24">
        <v>0</v>
      </c>
      <c r="AM476" s="24">
        <v>0</v>
      </c>
      <c r="AN476" s="24">
        <v>0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5" t="s">
        <v>727</v>
      </c>
      <c r="AU476" s="4" t="s">
        <v>685</v>
      </c>
      <c r="AV476" s="4" t="s">
        <v>1220</v>
      </c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9">
        <f t="shared" si="164"/>
        <v>0</v>
      </c>
      <c r="BN476" s="9">
        <f t="shared" si="166"/>
        <v>0</v>
      </c>
      <c r="BO476" s="9">
        <f t="shared" si="167"/>
        <v>0</v>
      </c>
      <c r="BP476" s="9">
        <f t="shared" si="171"/>
        <v>0</v>
      </c>
      <c r="BQ476" s="9">
        <f t="shared" si="172"/>
        <v>0</v>
      </c>
      <c r="BR476" s="9">
        <f t="shared" si="173"/>
        <v>0</v>
      </c>
      <c r="BS476" s="9">
        <f t="shared" si="174"/>
        <v>0</v>
      </c>
      <c r="BT476" s="9">
        <f t="shared" si="175"/>
        <v>0</v>
      </c>
    </row>
    <row r="477" spans="1:72" hidden="1" x14ac:dyDescent="0.25">
      <c r="A477" s="11">
        <f t="shared" si="168"/>
        <v>476</v>
      </c>
      <c r="B477" s="11" t="s">
        <v>556</v>
      </c>
      <c r="C477" s="11" t="s">
        <v>59</v>
      </c>
      <c r="D477" s="4" t="s">
        <v>724</v>
      </c>
      <c r="E477" s="4" t="s">
        <v>710</v>
      </c>
      <c r="F477" s="5" t="s">
        <v>746</v>
      </c>
      <c r="G477" s="11" t="s">
        <v>751</v>
      </c>
      <c r="H477" s="11"/>
      <c r="I477" s="11"/>
      <c r="J477" s="11"/>
      <c r="K477" s="11" t="s">
        <v>752</v>
      </c>
      <c r="L477" s="24"/>
      <c r="M477" s="13" t="s">
        <v>74</v>
      </c>
      <c r="N477" s="11" t="s">
        <v>1661</v>
      </c>
      <c r="O477" s="11"/>
      <c r="P477" s="11"/>
      <c r="Q477" s="42">
        <v>0.7</v>
      </c>
      <c r="R477" s="1">
        <f t="shared" si="169"/>
        <v>0</v>
      </c>
      <c r="S477" s="34">
        <f t="shared" si="182"/>
        <v>0</v>
      </c>
      <c r="T477" s="2">
        <f t="shared" si="170"/>
        <v>0</v>
      </c>
      <c r="U477" s="24">
        <v>0</v>
      </c>
      <c r="V477" s="24">
        <v>0</v>
      </c>
      <c r="W477" s="24">
        <v>0</v>
      </c>
      <c r="X477" s="24">
        <v>0</v>
      </c>
      <c r="Y477" s="24">
        <v>0</v>
      </c>
      <c r="Z477" s="24">
        <v>0</v>
      </c>
      <c r="AA477" s="24">
        <v>0</v>
      </c>
      <c r="AB477" s="24">
        <v>0</v>
      </c>
      <c r="AC477" s="24">
        <v>0</v>
      </c>
      <c r="AD477" s="24">
        <v>0</v>
      </c>
      <c r="AE477" s="24">
        <v>0</v>
      </c>
      <c r="AF477" s="24">
        <v>0</v>
      </c>
      <c r="AG477" s="13">
        <f t="shared" si="181"/>
        <v>0</v>
      </c>
      <c r="AH477" s="24">
        <v>0</v>
      </c>
      <c r="AI477" s="24">
        <v>0</v>
      </c>
      <c r="AJ477" s="24">
        <v>0</v>
      </c>
      <c r="AK477" s="24">
        <v>0</v>
      </c>
      <c r="AL477" s="24">
        <v>0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5" t="s">
        <v>716</v>
      </c>
      <c r="AU477" s="4" t="s">
        <v>685</v>
      </c>
      <c r="AV477" s="4" t="s">
        <v>1218</v>
      </c>
      <c r="AW477" s="5" t="s">
        <v>98</v>
      </c>
      <c r="AX477" s="5" t="s">
        <v>753</v>
      </c>
      <c r="AY477" s="5" t="s">
        <v>754</v>
      </c>
      <c r="AZ477" s="5" t="s">
        <v>755</v>
      </c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9">
        <f t="shared" si="164"/>
        <v>0</v>
      </c>
      <c r="BN477" s="9">
        <f t="shared" si="166"/>
        <v>0</v>
      </c>
      <c r="BO477" s="9">
        <f t="shared" si="167"/>
        <v>0</v>
      </c>
      <c r="BP477" s="9">
        <f t="shared" si="171"/>
        <v>0</v>
      </c>
      <c r="BQ477" s="9">
        <f t="shared" si="172"/>
        <v>0</v>
      </c>
      <c r="BR477" s="9">
        <f t="shared" si="173"/>
        <v>0</v>
      </c>
      <c r="BS477" s="9">
        <f t="shared" si="174"/>
        <v>0</v>
      </c>
      <c r="BT477" s="9">
        <f t="shared" si="175"/>
        <v>0</v>
      </c>
    </row>
    <row r="478" spans="1:72" hidden="1" x14ac:dyDescent="0.25">
      <c r="A478" s="11">
        <f t="shared" si="168"/>
        <v>477</v>
      </c>
      <c r="B478" s="11" t="s">
        <v>756</v>
      </c>
      <c r="C478" s="11" t="s">
        <v>59</v>
      </c>
      <c r="D478" s="4" t="s">
        <v>759</v>
      </c>
      <c r="E478" s="4" t="s">
        <v>710</v>
      </c>
      <c r="F478" s="5" t="s">
        <v>779</v>
      </c>
      <c r="G478" s="11" t="s">
        <v>260</v>
      </c>
      <c r="H478" s="4" t="s">
        <v>1750</v>
      </c>
      <c r="I478" s="11"/>
      <c r="J478" s="11"/>
      <c r="K478" s="11" t="s">
        <v>757</v>
      </c>
      <c r="L478" s="24">
        <v>100000</v>
      </c>
      <c r="M478" s="13" t="s">
        <v>297</v>
      </c>
      <c r="N478" s="11" t="s">
        <v>1662</v>
      </c>
      <c r="O478" s="11"/>
      <c r="P478" s="11"/>
      <c r="Q478" s="42">
        <v>0.52</v>
      </c>
      <c r="R478" s="1">
        <f t="shared" si="169"/>
        <v>18720</v>
      </c>
      <c r="S478" s="34">
        <f t="shared" si="176"/>
        <v>0</v>
      </c>
      <c r="T478" s="2">
        <f t="shared" si="170"/>
        <v>36000</v>
      </c>
      <c r="U478" s="24">
        <v>0</v>
      </c>
      <c r="V478" s="24">
        <v>0</v>
      </c>
      <c r="W478" s="24">
        <v>0</v>
      </c>
      <c r="X478" s="24">
        <v>0</v>
      </c>
      <c r="Y478" s="13">
        <v>4000</v>
      </c>
      <c r="Z478" s="13">
        <v>4000</v>
      </c>
      <c r="AA478" s="13">
        <v>4000</v>
      </c>
      <c r="AB478" s="13">
        <v>4000</v>
      </c>
      <c r="AC478" s="13">
        <v>8000</v>
      </c>
      <c r="AD478" s="13">
        <v>8000</v>
      </c>
      <c r="AE478" s="13">
        <v>8000</v>
      </c>
      <c r="AF478" s="13">
        <v>8000</v>
      </c>
      <c r="AG478" s="13">
        <f t="shared" si="181"/>
        <v>8000</v>
      </c>
      <c r="AH478" s="24">
        <v>0</v>
      </c>
      <c r="AI478" s="24">
        <v>0</v>
      </c>
      <c r="AJ478" s="24">
        <v>0</v>
      </c>
      <c r="AK478" s="24">
        <v>0</v>
      </c>
      <c r="AL478" s="24">
        <v>0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5" t="s">
        <v>716</v>
      </c>
      <c r="AU478" s="4" t="s">
        <v>685</v>
      </c>
      <c r="AV478" s="4" t="s">
        <v>1218</v>
      </c>
      <c r="AW478" s="5" t="s">
        <v>98</v>
      </c>
      <c r="AX478" s="5" t="s">
        <v>110</v>
      </c>
      <c r="AY478" s="5" t="s">
        <v>172</v>
      </c>
      <c r="AZ478" s="5" t="s">
        <v>171</v>
      </c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9">
        <f t="shared" si="164"/>
        <v>2080</v>
      </c>
      <c r="BN478" s="9">
        <f t="shared" si="166"/>
        <v>2080</v>
      </c>
      <c r="BO478" s="9">
        <f t="shared" si="167"/>
        <v>2080</v>
      </c>
      <c r="BP478" s="9">
        <f t="shared" si="171"/>
        <v>2080</v>
      </c>
      <c r="BQ478" s="9">
        <f t="shared" si="172"/>
        <v>4160</v>
      </c>
      <c r="BR478" s="9">
        <f t="shared" si="173"/>
        <v>4160</v>
      </c>
      <c r="BS478" s="9">
        <f t="shared" si="174"/>
        <v>4160</v>
      </c>
      <c r="BT478" s="9">
        <f t="shared" si="175"/>
        <v>4160</v>
      </c>
    </row>
    <row r="479" spans="1:72" hidden="1" x14ac:dyDescent="0.25">
      <c r="A479" s="11">
        <f t="shared" si="168"/>
        <v>478</v>
      </c>
      <c r="B479" s="11" t="s">
        <v>758</v>
      </c>
      <c r="C479" s="11" t="s">
        <v>59</v>
      </c>
      <c r="D479" s="4" t="s">
        <v>759</v>
      </c>
      <c r="E479" s="4" t="s">
        <v>710</v>
      </c>
      <c r="F479" s="5" t="s">
        <v>779</v>
      </c>
      <c r="G479" s="11" t="s">
        <v>760</v>
      </c>
      <c r="H479" s="11" t="s">
        <v>1096</v>
      </c>
      <c r="I479" s="11"/>
      <c r="J479" s="11"/>
      <c r="K479" s="11" t="s">
        <v>761</v>
      </c>
      <c r="L479" s="24">
        <v>320000</v>
      </c>
      <c r="M479" s="13" t="s">
        <v>291</v>
      </c>
      <c r="N479" s="22" t="s">
        <v>762</v>
      </c>
      <c r="O479" s="11"/>
      <c r="P479" s="11"/>
      <c r="Q479" s="42">
        <v>0.749</v>
      </c>
      <c r="R479" s="1">
        <f t="shared" si="169"/>
        <v>44940</v>
      </c>
      <c r="S479" s="34">
        <f t="shared" si="176"/>
        <v>0</v>
      </c>
      <c r="T479" s="2">
        <f t="shared" si="170"/>
        <v>60000</v>
      </c>
      <c r="U479" s="11">
        <v>4000</v>
      </c>
      <c r="V479" s="24">
        <v>0</v>
      </c>
      <c r="W479" s="11">
        <v>20000</v>
      </c>
      <c r="X479" s="24">
        <v>0</v>
      </c>
      <c r="Y479" s="24">
        <v>0</v>
      </c>
      <c r="Z479" s="13">
        <v>20000</v>
      </c>
      <c r="AA479" s="24">
        <v>0</v>
      </c>
      <c r="AB479" s="24">
        <v>0</v>
      </c>
      <c r="AC479" s="24">
        <v>0</v>
      </c>
      <c r="AD479" s="13">
        <v>20000</v>
      </c>
      <c r="AE479" s="13">
        <v>20000</v>
      </c>
      <c r="AF479" s="13">
        <v>20000</v>
      </c>
      <c r="AG479" s="13">
        <f>AF479</f>
        <v>20000</v>
      </c>
      <c r="AH479" s="24">
        <v>0</v>
      </c>
      <c r="AI479" s="24">
        <v>0</v>
      </c>
      <c r="AJ479" s="24">
        <v>0</v>
      </c>
      <c r="AK479" s="24">
        <v>0</v>
      </c>
      <c r="AL479" s="24">
        <v>0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5" t="s">
        <v>763</v>
      </c>
      <c r="AU479" s="4" t="s">
        <v>685</v>
      </c>
      <c r="AV479" s="4" t="s">
        <v>1218</v>
      </c>
      <c r="AW479" s="5" t="s">
        <v>764</v>
      </c>
      <c r="AX479" s="5" t="s">
        <v>765</v>
      </c>
      <c r="AY479" s="5" t="s">
        <v>766</v>
      </c>
      <c r="AZ479" s="5" t="s">
        <v>767</v>
      </c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9">
        <f t="shared" si="164"/>
        <v>0</v>
      </c>
      <c r="BN479" s="9">
        <f t="shared" si="166"/>
        <v>14980</v>
      </c>
      <c r="BO479" s="9">
        <f t="shared" si="167"/>
        <v>0</v>
      </c>
      <c r="BP479" s="9">
        <f t="shared" si="171"/>
        <v>0</v>
      </c>
      <c r="BQ479" s="9">
        <f t="shared" si="172"/>
        <v>0</v>
      </c>
      <c r="BR479" s="9">
        <f t="shared" si="173"/>
        <v>14980</v>
      </c>
      <c r="BS479" s="9">
        <f t="shared" si="174"/>
        <v>14980</v>
      </c>
      <c r="BT479" s="9">
        <f t="shared" si="175"/>
        <v>14980</v>
      </c>
    </row>
    <row r="480" spans="1:72" hidden="1" x14ac:dyDescent="0.25">
      <c r="A480" s="11">
        <f t="shared" si="168"/>
        <v>479</v>
      </c>
      <c r="B480" s="11" t="s">
        <v>768</v>
      </c>
      <c r="C480" s="11" t="s">
        <v>128</v>
      </c>
      <c r="D480" s="4" t="s">
        <v>759</v>
      </c>
      <c r="E480" s="4" t="s">
        <v>710</v>
      </c>
      <c r="F480" s="5" t="s">
        <v>779</v>
      </c>
      <c r="G480" s="11" t="s">
        <v>760</v>
      </c>
      <c r="H480" s="11" t="s">
        <v>1096</v>
      </c>
      <c r="I480" s="11"/>
      <c r="J480" s="11"/>
      <c r="K480" s="11" t="s">
        <v>769</v>
      </c>
      <c r="L480" s="11"/>
      <c r="M480" s="13" t="s">
        <v>297</v>
      </c>
      <c r="N480" s="11" t="s">
        <v>1663</v>
      </c>
      <c r="O480" s="11"/>
      <c r="P480" s="11"/>
      <c r="Q480" s="42">
        <v>0.75</v>
      </c>
      <c r="R480" s="1">
        <f t="shared" si="169"/>
        <v>0</v>
      </c>
      <c r="S480" s="34">
        <f t="shared" si="176"/>
        <v>0</v>
      </c>
      <c r="T480" s="2">
        <f t="shared" si="170"/>
        <v>0</v>
      </c>
      <c r="U480" s="24">
        <v>0</v>
      </c>
      <c r="V480" s="24">
        <v>0</v>
      </c>
      <c r="W480" s="24">
        <v>0</v>
      </c>
      <c r="X480" s="13">
        <v>500</v>
      </c>
      <c r="Y480" s="24">
        <v>0</v>
      </c>
      <c r="Z480" s="13">
        <v>500</v>
      </c>
      <c r="AA480" s="13">
        <v>6000</v>
      </c>
      <c r="AB480" s="13"/>
      <c r="AC480" s="24"/>
      <c r="AD480" s="13"/>
      <c r="AE480" s="24"/>
      <c r="AF480" s="13"/>
      <c r="AG480" s="13">
        <f t="shared" ref="AG480:AG516" si="183">AF480</f>
        <v>0</v>
      </c>
      <c r="AH480" s="24">
        <v>0</v>
      </c>
      <c r="AI480" s="24">
        <v>0</v>
      </c>
      <c r="AJ480" s="24">
        <v>0</v>
      </c>
      <c r="AK480" s="24">
        <v>0</v>
      </c>
      <c r="AL480" s="24">
        <v>0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5" t="s">
        <v>763</v>
      </c>
      <c r="AU480" s="4" t="s">
        <v>685</v>
      </c>
      <c r="AV480" s="4" t="s">
        <v>1218</v>
      </c>
      <c r="AW480" s="5" t="s">
        <v>764</v>
      </c>
      <c r="AX480" s="5" t="s">
        <v>765</v>
      </c>
      <c r="AY480" s="5" t="s">
        <v>766</v>
      </c>
      <c r="AZ480" s="5" t="s">
        <v>767</v>
      </c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9">
        <f t="shared" si="164"/>
        <v>0</v>
      </c>
      <c r="BN480" s="9">
        <f t="shared" si="166"/>
        <v>375</v>
      </c>
      <c r="BO480" s="9">
        <f t="shared" si="167"/>
        <v>4500</v>
      </c>
      <c r="BP480" s="9">
        <f t="shared" si="171"/>
        <v>0</v>
      </c>
      <c r="BQ480" s="9">
        <f t="shared" si="172"/>
        <v>0</v>
      </c>
      <c r="BR480" s="9">
        <f t="shared" si="173"/>
        <v>0</v>
      </c>
      <c r="BS480" s="9">
        <f t="shared" si="174"/>
        <v>0</v>
      </c>
      <c r="BT480" s="9">
        <f t="shared" si="175"/>
        <v>0</v>
      </c>
    </row>
    <row r="481" spans="1:72" hidden="1" x14ac:dyDescent="0.25">
      <c r="A481" s="11">
        <f t="shared" si="168"/>
        <v>480</v>
      </c>
      <c r="B481" s="11" t="s">
        <v>770</v>
      </c>
      <c r="C481" s="11" t="s">
        <v>59</v>
      </c>
      <c r="D481" s="4" t="s">
        <v>759</v>
      </c>
      <c r="E481" s="4" t="s">
        <v>710</v>
      </c>
      <c r="F481" s="5" t="s">
        <v>779</v>
      </c>
      <c r="G481" s="11" t="s">
        <v>771</v>
      </c>
      <c r="H481" s="4" t="s">
        <v>1292</v>
      </c>
      <c r="I481" s="11"/>
      <c r="J481" s="11"/>
      <c r="K481" s="11" t="s">
        <v>772</v>
      </c>
      <c r="L481" s="24">
        <v>100000</v>
      </c>
      <c r="M481" s="13" t="s">
        <v>74</v>
      </c>
      <c r="N481" s="11"/>
      <c r="O481" s="11"/>
      <c r="P481" s="11"/>
      <c r="Q481" s="42">
        <v>0</v>
      </c>
      <c r="R481" s="1">
        <f t="shared" si="169"/>
        <v>0</v>
      </c>
      <c r="S481" s="34">
        <f t="shared" si="176"/>
        <v>0</v>
      </c>
      <c r="T481" s="2">
        <f t="shared" si="170"/>
        <v>0</v>
      </c>
      <c r="U481" s="24">
        <v>0</v>
      </c>
      <c r="V481" s="24">
        <v>0</v>
      </c>
      <c r="W481" s="24">
        <v>0</v>
      </c>
      <c r="X481" s="24">
        <v>0</v>
      </c>
      <c r="Y481" s="24">
        <v>0</v>
      </c>
      <c r="Z481" s="24">
        <v>0</v>
      </c>
      <c r="AA481" s="24">
        <v>0</v>
      </c>
      <c r="AB481" s="24">
        <v>0</v>
      </c>
      <c r="AC481" s="24">
        <v>0</v>
      </c>
      <c r="AD481" s="24">
        <v>0</v>
      </c>
      <c r="AE481" s="24">
        <v>0</v>
      </c>
      <c r="AF481" s="24">
        <v>0</v>
      </c>
      <c r="AG481" s="13">
        <f t="shared" si="183"/>
        <v>0</v>
      </c>
      <c r="AH481" s="24">
        <v>0</v>
      </c>
      <c r="AI481" s="24">
        <v>0</v>
      </c>
      <c r="AJ481" s="24">
        <v>0</v>
      </c>
      <c r="AK481" s="24">
        <v>0</v>
      </c>
      <c r="AL481" s="24">
        <v>0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5" t="s">
        <v>716</v>
      </c>
      <c r="AU481" s="4" t="s">
        <v>685</v>
      </c>
      <c r="AV481" s="4" t="s">
        <v>1218</v>
      </c>
      <c r="AW481" s="5" t="s">
        <v>98</v>
      </c>
      <c r="AX481" s="5" t="s">
        <v>89</v>
      </c>
      <c r="AY481" s="5" t="s">
        <v>90</v>
      </c>
      <c r="AZ481" s="5" t="s">
        <v>773</v>
      </c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9">
        <f t="shared" si="164"/>
        <v>0</v>
      </c>
      <c r="BN481" s="9">
        <f t="shared" si="166"/>
        <v>0</v>
      </c>
      <c r="BO481" s="9">
        <f t="shared" si="167"/>
        <v>0</v>
      </c>
      <c r="BP481" s="9">
        <f t="shared" si="171"/>
        <v>0</v>
      </c>
      <c r="BQ481" s="9">
        <f t="shared" si="172"/>
        <v>0</v>
      </c>
      <c r="BR481" s="9">
        <f t="shared" si="173"/>
        <v>0</v>
      </c>
      <c r="BS481" s="9">
        <f t="shared" si="174"/>
        <v>0</v>
      </c>
      <c r="BT481" s="9">
        <f t="shared" si="175"/>
        <v>0</v>
      </c>
    </row>
    <row r="482" spans="1:72" hidden="1" x14ac:dyDescent="0.25">
      <c r="A482" s="11">
        <f t="shared" si="168"/>
        <v>481</v>
      </c>
      <c r="B482" s="11" t="s">
        <v>774</v>
      </c>
      <c r="C482" s="11" t="s">
        <v>59</v>
      </c>
      <c r="D482" s="4" t="s">
        <v>759</v>
      </c>
      <c r="E482" s="4" t="s">
        <v>710</v>
      </c>
      <c r="F482" s="5" t="s">
        <v>775</v>
      </c>
      <c r="G482" s="11" t="s">
        <v>560</v>
      </c>
      <c r="H482" s="11" t="s">
        <v>1097</v>
      </c>
      <c r="I482" s="11"/>
      <c r="J482" s="11"/>
      <c r="K482" s="11" t="s">
        <v>776</v>
      </c>
      <c r="L482" s="24">
        <v>200000</v>
      </c>
      <c r="M482" s="13" t="s">
        <v>297</v>
      </c>
      <c r="N482" s="22" t="s">
        <v>1021</v>
      </c>
      <c r="O482" s="11" t="s">
        <v>777</v>
      </c>
      <c r="P482" s="11"/>
      <c r="Q482" s="42">
        <v>4.07</v>
      </c>
      <c r="R482" s="1">
        <f t="shared" si="169"/>
        <v>0</v>
      </c>
      <c r="S482" s="34">
        <f>Q482*SUM(AH482:AM482)</f>
        <v>0</v>
      </c>
      <c r="T482" s="2">
        <f t="shared" si="170"/>
        <v>0</v>
      </c>
      <c r="U482" s="24">
        <v>0</v>
      </c>
      <c r="V482" s="24">
        <v>0</v>
      </c>
      <c r="W482" s="24">
        <v>0</v>
      </c>
      <c r="X482" s="11">
        <v>0</v>
      </c>
      <c r="Y482" s="24">
        <v>0</v>
      </c>
      <c r="Z482" s="11">
        <v>0</v>
      </c>
      <c r="AA482" s="24">
        <v>0</v>
      </c>
      <c r="AB482" s="11">
        <v>0</v>
      </c>
      <c r="AC482" s="24">
        <v>0</v>
      </c>
      <c r="AD482" s="11">
        <v>0</v>
      </c>
      <c r="AE482" s="24">
        <v>0</v>
      </c>
      <c r="AF482" s="11">
        <v>0</v>
      </c>
      <c r="AG482" s="13">
        <f t="shared" si="183"/>
        <v>0</v>
      </c>
      <c r="AH482" s="24">
        <v>0</v>
      </c>
      <c r="AI482" s="24">
        <v>0</v>
      </c>
      <c r="AJ482" s="24">
        <v>0</v>
      </c>
      <c r="AK482" s="24">
        <v>0</v>
      </c>
      <c r="AL482" s="24">
        <v>0</v>
      </c>
      <c r="AM482" s="24">
        <v>0</v>
      </c>
      <c r="AN482" s="24">
        <v>0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5" t="s">
        <v>727</v>
      </c>
      <c r="AU482" s="4" t="s">
        <v>685</v>
      </c>
      <c r="AV482" s="4" t="s">
        <v>1220</v>
      </c>
      <c r="AW482" s="5" t="s">
        <v>98</v>
      </c>
      <c r="AX482" s="5" t="s">
        <v>89</v>
      </c>
      <c r="AY482" s="5" t="s">
        <v>90</v>
      </c>
      <c r="AZ482" s="5" t="s">
        <v>773</v>
      </c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9">
        <f t="shared" si="164"/>
        <v>0</v>
      </c>
      <c r="BN482" s="9">
        <f t="shared" si="166"/>
        <v>0</v>
      </c>
      <c r="BO482" s="9">
        <f t="shared" si="167"/>
        <v>0</v>
      </c>
      <c r="BP482" s="9">
        <f t="shared" si="171"/>
        <v>0</v>
      </c>
      <c r="BQ482" s="9">
        <f t="shared" si="172"/>
        <v>0</v>
      </c>
      <c r="BR482" s="9">
        <f t="shared" si="173"/>
        <v>0</v>
      </c>
      <c r="BS482" s="9">
        <f t="shared" si="174"/>
        <v>0</v>
      </c>
      <c r="BT482" s="9">
        <f t="shared" si="175"/>
        <v>0</v>
      </c>
    </row>
    <row r="483" spans="1:72" hidden="1" x14ac:dyDescent="0.25">
      <c r="A483" s="11">
        <f t="shared" si="168"/>
        <v>482</v>
      </c>
      <c r="B483" s="5" t="s">
        <v>778</v>
      </c>
      <c r="C483" s="11" t="s">
        <v>59</v>
      </c>
      <c r="D483" s="4" t="s">
        <v>759</v>
      </c>
      <c r="E483" s="4" t="s">
        <v>710</v>
      </c>
      <c r="F483" s="4" t="s">
        <v>779</v>
      </c>
      <c r="G483" s="4" t="s">
        <v>846</v>
      </c>
      <c r="H483" s="4" t="s">
        <v>847</v>
      </c>
      <c r="I483" s="4"/>
      <c r="J483" s="4"/>
      <c r="K483" s="5" t="s">
        <v>780</v>
      </c>
      <c r="L483" s="24"/>
      <c r="M483" s="13" t="s">
        <v>74</v>
      </c>
      <c r="N483" s="11" t="s">
        <v>781</v>
      </c>
      <c r="O483" s="4"/>
      <c r="P483" s="4"/>
      <c r="Q483" s="42">
        <v>0.35</v>
      </c>
      <c r="R483" s="1">
        <f t="shared" si="169"/>
        <v>0</v>
      </c>
      <c r="S483" s="38"/>
      <c r="T483" s="2">
        <f t="shared" si="170"/>
        <v>0</v>
      </c>
      <c r="U483" s="24"/>
      <c r="V483" s="24"/>
      <c r="W483" s="24"/>
      <c r="X483" s="24"/>
      <c r="Y483" s="24"/>
      <c r="Z483" s="24"/>
      <c r="AA483" s="24"/>
      <c r="AB483" s="13"/>
      <c r="AC483" s="13"/>
      <c r="AD483" s="13"/>
      <c r="AE483" s="13"/>
      <c r="AF483" s="13"/>
      <c r="AG483" s="13">
        <f t="shared" si="183"/>
        <v>0</v>
      </c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4"/>
      <c r="AU483" s="4" t="s">
        <v>685</v>
      </c>
      <c r="AV483" s="4" t="s">
        <v>1218</v>
      </c>
      <c r="AW483" s="4"/>
      <c r="AX483" s="4"/>
      <c r="AY483" s="4"/>
      <c r="AZ483" s="4"/>
      <c r="BA483" s="4"/>
      <c r="BB483" s="4"/>
      <c r="BC483" s="4"/>
      <c r="BD483" s="23"/>
      <c r="BE483" s="4"/>
      <c r="BF483" s="18"/>
      <c r="BG483" s="18"/>
      <c r="BH483" s="18"/>
      <c r="BI483" s="18"/>
      <c r="BJ483" s="18"/>
      <c r="BK483" s="26"/>
      <c r="BL483" s="13"/>
      <c r="BM483" s="9">
        <f t="shared" si="164"/>
        <v>0</v>
      </c>
      <c r="BN483" s="9">
        <f t="shared" si="166"/>
        <v>0</v>
      </c>
      <c r="BO483" s="9">
        <f t="shared" si="167"/>
        <v>0</v>
      </c>
      <c r="BP483" s="9">
        <f t="shared" si="171"/>
        <v>0</v>
      </c>
      <c r="BQ483" s="9">
        <f t="shared" si="172"/>
        <v>0</v>
      </c>
      <c r="BR483" s="9">
        <f t="shared" si="173"/>
        <v>0</v>
      </c>
      <c r="BS483" s="9">
        <f t="shared" si="174"/>
        <v>0</v>
      </c>
      <c r="BT483" s="9">
        <f t="shared" si="175"/>
        <v>0</v>
      </c>
    </row>
    <row r="484" spans="1:72" hidden="1" x14ac:dyDescent="0.25">
      <c r="A484" s="11">
        <f t="shared" si="168"/>
        <v>483</v>
      </c>
      <c r="B484" s="5" t="s">
        <v>782</v>
      </c>
      <c r="C484" s="11" t="s">
        <v>59</v>
      </c>
      <c r="D484" s="4" t="s">
        <v>759</v>
      </c>
      <c r="E484" s="4" t="s">
        <v>710</v>
      </c>
      <c r="F484" s="4" t="s">
        <v>779</v>
      </c>
      <c r="G484" s="4" t="s">
        <v>131</v>
      </c>
      <c r="H484" s="4" t="s">
        <v>132</v>
      </c>
      <c r="I484" s="4"/>
      <c r="J484" s="4"/>
      <c r="K484" s="5" t="s">
        <v>783</v>
      </c>
      <c r="L484" s="24"/>
      <c r="M484" s="13" t="s">
        <v>74</v>
      </c>
      <c r="N484" s="11" t="s">
        <v>784</v>
      </c>
      <c r="O484" s="4"/>
      <c r="P484" s="4"/>
      <c r="Q484" s="42">
        <v>0.55000000000000004</v>
      </c>
      <c r="R484" s="1">
        <f t="shared" si="169"/>
        <v>0</v>
      </c>
      <c r="S484" s="38"/>
      <c r="T484" s="2">
        <f t="shared" si="170"/>
        <v>0</v>
      </c>
      <c r="U484" s="24"/>
      <c r="V484" s="24"/>
      <c r="W484" s="24"/>
      <c r="X484" s="24"/>
      <c r="Y484" s="24"/>
      <c r="Z484" s="24"/>
      <c r="AA484" s="24"/>
      <c r="AB484" s="13"/>
      <c r="AC484" s="13"/>
      <c r="AD484" s="13"/>
      <c r="AE484" s="13"/>
      <c r="AF484" s="13"/>
      <c r="AG484" s="13">
        <f t="shared" si="183"/>
        <v>0</v>
      </c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4"/>
      <c r="AU484" s="4" t="s">
        <v>685</v>
      </c>
      <c r="AV484" s="4" t="s">
        <v>1218</v>
      </c>
      <c r="AW484" s="4"/>
      <c r="AX484" s="4"/>
      <c r="AY484" s="4"/>
      <c r="AZ484" s="4"/>
      <c r="BA484" s="4"/>
      <c r="BB484" s="4"/>
      <c r="BC484" s="4"/>
      <c r="BD484" s="23"/>
      <c r="BE484" s="4"/>
      <c r="BF484" s="18"/>
      <c r="BG484" s="18"/>
      <c r="BH484" s="18"/>
      <c r="BI484" s="18"/>
      <c r="BJ484" s="18"/>
      <c r="BK484" s="26"/>
      <c r="BL484" s="13"/>
      <c r="BM484" s="9">
        <f t="shared" si="164"/>
        <v>0</v>
      </c>
      <c r="BN484" s="9">
        <f t="shared" si="166"/>
        <v>0</v>
      </c>
      <c r="BO484" s="9">
        <f t="shared" si="167"/>
        <v>0</v>
      </c>
      <c r="BP484" s="9">
        <f t="shared" si="171"/>
        <v>0</v>
      </c>
      <c r="BQ484" s="9">
        <f t="shared" si="172"/>
        <v>0</v>
      </c>
      <c r="BR484" s="9">
        <f t="shared" si="173"/>
        <v>0</v>
      </c>
      <c r="BS484" s="9">
        <f t="shared" si="174"/>
        <v>0</v>
      </c>
      <c r="BT484" s="9">
        <f t="shared" si="175"/>
        <v>0</v>
      </c>
    </row>
    <row r="485" spans="1:72" hidden="1" x14ac:dyDescent="0.25">
      <c r="A485" s="11">
        <f t="shared" si="168"/>
        <v>484</v>
      </c>
      <c r="B485" s="5" t="s">
        <v>1664</v>
      </c>
      <c r="C485" s="4" t="s">
        <v>59</v>
      </c>
      <c r="D485" s="4" t="s">
        <v>1665</v>
      </c>
      <c r="E485" s="4" t="s">
        <v>710</v>
      </c>
      <c r="F485" s="4" t="s">
        <v>1666</v>
      </c>
      <c r="G485" s="4" t="s">
        <v>86</v>
      </c>
      <c r="H485" s="4" t="s">
        <v>1098</v>
      </c>
      <c r="I485" s="4"/>
      <c r="J485" s="4"/>
      <c r="K485" s="4" t="s">
        <v>1667</v>
      </c>
      <c r="L485" s="24">
        <v>200000</v>
      </c>
      <c r="M485" s="13" t="s">
        <v>291</v>
      </c>
      <c r="N485" s="5" t="s">
        <v>785</v>
      </c>
      <c r="O485" s="4" t="s">
        <v>786</v>
      </c>
      <c r="P485" s="4"/>
      <c r="Q485" s="42">
        <v>3.8</v>
      </c>
      <c r="R485" s="1">
        <f t="shared" si="169"/>
        <v>45600</v>
      </c>
      <c r="S485" s="38">
        <f t="shared" si="176"/>
        <v>0</v>
      </c>
      <c r="T485" s="2">
        <f t="shared" si="170"/>
        <v>12000</v>
      </c>
      <c r="U485" s="24">
        <v>0</v>
      </c>
      <c r="V485" s="24">
        <v>0</v>
      </c>
      <c r="W485" s="13">
        <v>4000</v>
      </c>
      <c r="X485" s="24">
        <v>0</v>
      </c>
      <c r="Y485" s="24">
        <v>4000</v>
      </c>
      <c r="Z485" s="24">
        <v>0</v>
      </c>
      <c r="AA485" s="24">
        <v>0</v>
      </c>
      <c r="AB485" s="24">
        <v>0</v>
      </c>
      <c r="AC485" s="13">
        <v>4000</v>
      </c>
      <c r="AD485" s="24">
        <v>0</v>
      </c>
      <c r="AE485" s="13">
        <v>4000</v>
      </c>
      <c r="AF485" s="13">
        <v>4000</v>
      </c>
      <c r="AG485" s="13">
        <f t="shared" si="183"/>
        <v>4000</v>
      </c>
      <c r="AH485" s="24">
        <v>0</v>
      </c>
      <c r="AI485" s="24">
        <v>0</v>
      </c>
      <c r="AJ485" s="24">
        <v>0</v>
      </c>
      <c r="AK485" s="24">
        <v>0</v>
      </c>
      <c r="AL485" s="24">
        <v>0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4" t="s">
        <v>787</v>
      </c>
      <c r="AU485" s="4" t="s">
        <v>685</v>
      </c>
      <c r="AV485" s="4" t="s">
        <v>1217</v>
      </c>
      <c r="AW485" s="4" t="s">
        <v>788</v>
      </c>
      <c r="AX485" s="4" t="s">
        <v>789</v>
      </c>
      <c r="AY485" s="4" t="s">
        <v>790</v>
      </c>
      <c r="AZ485" s="4" t="s">
        <v>566</v>
      </c>
      <c r="BA485" s="4" t="s">
        <v>791</v>
      </c>
      <c r="BB485" s="4"/>
      <c r="BC485" s="4"/>
      <c r="BD485" s="23">
        <v>1</v>
      </c>
      <c r="BE485" s="4"/>
      <c r="BF485" s="18"/>
      <c r="BG485" s="18"/>
      <c r="BH485" s="18"/>
      <c r="BI485" s="18"/>
      <c r="BJ485" s="18"/>
      <c r="BK485" s="26"/>
      <c r="BL485" s="13"/>
      <c r="BM485" s="9">
        <f t="shared" si="164"/>
        <v>15200</v>
      </c>
      <c r="BN485" s="9">
        <f t="shared" si="166"/>
        <v>0</v>
      </c>
      <c r="BO485" s="9">
        <f t="shared" si="167"/>
        <v>0</v>
      </c>
      <c r="BP485" s="9">
        <f t="shared" si="171"/>
        <v>0</v>
      </c>
      <c r="BQ485" s="9">
        <f t="shared" si="172"/>
        <v>15200</v>
      </c>
      <c r="BR485" s="9">
        <f t="shared" si="173"/>
        <v>0</v>
      </c>
      <c r="BS485" s="9">
        <f t="shared" si="174"/>
        <v>15200</v>
      </c>
      <c r="BT485" s="9">
        <f t="shared" si="175"/>
        <v>15200</v>
      </c>
    </row>
    <row r="486" spans="1:72" hidden="1" x14ac:dyDescent="0.25">
      <c r="A486" s="11">
        <f t="shared" si="168"/>
        <v>485</v>
      </c>
      <c r="B486" s="5" t="s">
        <v>1664</v>
      </c>
      <c r="C486" s="4" t="s">
        <v>59</v>
      </c>
      <c r="D486" s="4" t="s">
        <v>1665</v>
      </c>
      <c r="E486" s="4" t="s">
        <v>710</v>
      </c>
      <c r="F486" s="4" t="s">
        <v>1666</v>
      </c>
      <c r="G486" s="4" t="s">
        <v>300</v>
      </c>
      <c r="H486" s="4" t="s">
        <v>301</v>
      </c>
      <c r="I486" s="4"/>
      <c r="J486" s="4"/>
      <c r="K486" s="4" t="s">
        <v>792</v>
      </c>
      <c r="L486" s="24">
        <v>150000</v>
      </c>
      <c r="M486" s="13" t="s">
        <v>291</v>
      </c>
      <c r="N486" s="5" t="s">
        <v>793</v>
      </c>
      <c r="O486" s="4" t="s">
        <v>794</v>
      </c>
      <c r="P486" s="4"/>
      <c r="Q486" s="42">
        <v>2.73</v>
      </c>
      <c r="R486" s="1">
        <f t="shared" si="169"/>
        <v>152880</v>
      </c>
      <c r="S486" s="38">
        <f t="shared" si="176"/>
        <v>0</v>
      </c>
      <c r="T486" s="2">
        <f t="shared" si="170"/>
        <v>56000</v>
      </c>
      <c r="U486" s="24">
        <v>0</v>
      </c>
      <c r="V486" s="24">
        <v>0</v>
      </c>
      <c r="W486" s="13">
        <v>2950</v>
      </c>
      <c r="X486" s="13">
        <v>16000</v>
      </c>
      <c r="Y486" s="13">
        <v>28000</v>
      </c>
      <c r="Z486" s="13">
        <v>20000</v>
      </c>
      <c r="AA486" s="24">
        <v>0</v>
      </c>
      <c r="AB486" s="13">
        <v>8000</v>
      </c>
      <c r="AC486" s="13">
        <v>12000</v>
      </c>
      <c r="AD486" s="13">
        <v>12000</v>
      </c>
      <c r="AE486" s="13">
        <v>12000</v>
      </c>
      <c r="AF486" s="13">
        <v>12000</v>
      </c>
      <c r="AG486" s="13">
        <f t="shared" si="183"/>
        <v>12000</v>
      </c>
      <c r="AH486" s="24">
        <v>0</v>
      </c>
      <c r="AI486" s="24">
        <v>0</v>
      </c>
      <c r="AJ486" s="24">
        <v>0</v>
      </c>
      <c r="AK486" s="24">
        <v>0</v>
      </c>
      <c r="AL486" s="24">
        <v>0</v>
      </c>
      <c r="AM486" s="24">
        <v>0</v>
      </c>
      <c r="AN486" s="24">
        <v>0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4" t="s">
        <v>795</v>
      </c>
      <c r="AU486" s="4" t="s">
        <v>685</v>
      </c>
      <c r="AV486" s="4" t="s">
        <v>1217</v>
      </c>
      <c r="AW486" s="4" t="s">
        <v>788</v>
      </c>
      <c r="AX486" s="4" t="s">
        <v>789</v>
      </c>
      <c r="AY486" s="4" t="s">
        <v>790</v>
      </c>
      <c r="AZ486" s="4" t="s">
        <v>566</v>
      </c>
      <c r="BA486" s="4" t="s">
        <v>791</v>
      </c>
      <c r="BB486" s="4"/>
      <c r="BC486" s="4"/>
      <c r="BD486" s="23">
        <v>1</v>
      </c>
      <c r="BE486" s="4"/>
      <c r="BF486" s="18"/>
      <c r="BG486" s="18"/>
      <c r="BH486" s="18"/>
      <c r="BI486" s="18"/>
      <c r="BJ486" s="18"/>
      <c r="BK486" s="26"/>
      <c r="BL486" s="13"/>
      <c r="BM486" s="9">
        <f t="shared" si="164"/>
        <v>76440</v>
      </c>
      <c r="BN486" s="9">
        <f t="shared" si="166"/>
        <v>54600</v>
      </c>
      <c r="BO486" s="9">
        <f t="shared" si="167"/>
        <v>0</v>
      </c>
      <c r="BP486" s="9">
        <f t="shared" si="171"/>
        <v>21840</v>
      </c>
      <c r="BQ486" s="9">
        <f t="shared" si="172"/>
        <v>32760</v>
      </c>
      <c r="BR486" s="9">
        <f t="shared" si="173"/>
        <v>32760</v>
      </c>
      <c r="BS486" s="9">
        <f t="shared" si="174"/>
        <v>32760</v>
      </c>
      <c r="BT486" s="9">
        <f t="shared" si="175"/>
        <v>32760</v>
      </c>
    </row>
    <row r="487" spans="1:72" hidden="1" x14ac:dyDescent="0.25">
      <c r="A487" s="11">
        <f t="shared" si="168"/>
        <v>486</v>
      </c>
      <c r="B487" s="5" t="s">
        <v>1664</v>
      </c>
      <c r="C487" s="4" t="s">
        <v>59</v>
      </c>
      <c r="D487" s="4" t="s">
        <v>1665</v>
      </c>
      <c r="E487" s="4" t="s">
        <v>710</v>
      </c>
      <c r="F487" s="4" t="s">
        <v>1666</v>
      </c>
      <c r="G487" s="4" t="s">
        <v>744</v>
      </c>
      <c r="H487" s="11" t="s">
        <v>1095</v>
      </c>
      <c r="I487" s="4"/>
      <c r="J487" s="4"/>
      <c r="K487" s="4" t="s">
        <v>1668</v>
      </c>
      <c r="L487" s="24">
        <v>150000</v>
      </c>
      <c r="M487" s="13" t="s">
        <v>74</v>
      </c>
      <c r="N487" s="5" t="s">
        <v>796</v>
      </c>
      <c r="O487" s="4" t="s">
        <v>797</v>
      </c>
      <c r="P487" s="4"/>
      <c r="Q487" s="42"/>
      <c r="R487" s="1">
        <f t="shared" si="169"/>
        <v>0</v>
      </c>
      <c r="S487" s="38">
        <f t="shared" si="176"/>
        <v>0</v>
      </c>
      <c r="T487" s="2">
        <f t="shared" si="170"/>
        <v>0</v>
      </c>
      <c r="U487" s="24">
        <v>0</v>
      </c>
      <c r="V487" s="24">
        <v>0</v>
      </c>
      <c r="W487" s="24">
        <v>0</v>
      </c>
      <c r="X487" s="24">
        <v>0</v>
      </c>
      <c r="Y487" s="24">
        <v>0</v>
      </c>
      <c r="Z487" s="24">
        <v>0</v>
      </c>
      <c r="AA487" s="24">
        <v>0</v>
      </c>
      <c r="AB487" s="24">
        <v>0</v>
      </c>
      <c r="AC487" s="24">
        <v>0</v>
      </c>
      <c r="AD487" s="24">
        <v>0</v>
      </c>
      <c r="AE487" s="24">
        <v>0</v>
      </c>
      <c r="AF487" s="24">
        <v>0</v>
      </c>
      <c r="AG487" s="13">
        <f t="shared" si="183"/>
        <v>0</v>
      </c>
      <c r="AH487" s="24">
        <v>0</v>
      </c>
      <c r="AI487" s="24">
        <v>0</v>
      </c>
      <c r="AJ487" s="24">
        <v>0</v>
      </c>
      <c r="AK487" s="24">
        <v>0</v>
      </c>
      <c r="AL487" s="24">
        <v>0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4" t="s">
        <v>192</v>
      </c>
      <c r="AU487" s="4" t="s">
        <v>685</v>
      </c>
      <c r="AV487" s="4" t="s">
        <v>1218</v>
      </c>
      <c r="AW487" s="4" t="s">
        <v>788</v>
      </c>
      <c r="AX487" s="4" t="s">
        <v>789</v>
      </c>
      <c r="AY487" s="4" t="s">
        <v>790</v>
      </c>
      <c r="AZ487" s="4" t="s">
        <v>798</v>
      </c>
      <c r="BA487" s="4" t="s">
        <v>791</v>
      </c>
      <c r="BB487" s="4"/>
      <c r="BC487" s="4"/>
      <c r="BD487" s="23">
        <v>1</v>
      </c>
      <c r="BE487" s="4"/>
      <c r="BF487" s="18"/>
      <c r="BG487" s="18"/>
      <c r="BH487" s="18"/>
      <c r="BI487" s="18"/>
      <c r="BJ487" s="18"/>
      <c r="BK487" s="26"/>
      <c r="BL487" s="13"/>
      <c r="BM487" s="9">
        <f t="shared" si="164"/>
        <v>0</v>
      </c>
      <c r="BN487" s="9">
        <f t="shared" si="166"/>
        <v>0</v>
      </c>
      <c r="BO487" s="9">
        <f t="shared" si="167"/>
        <v>0</v>
      </c>
      <c r="BP487" s="9">
        <f t="shared" si="171"/>
        <v>0</v>
      </c>
      <c r="BQ487" s="9">
        <f t="shared" si="172"/>
        <v>0</v>
      </c>
      <c r="BR487" s="9">
        <f t="shared" si="173"/>
        <v>0</v>
      </c>
      <c r="BS487" s="9">
        <f t="shared" si="174"/>
        <v>0</v>
      </c>
      <c r="BT487" s="9">
        <f t="shared" si="175"/>
        <v>0</v>
      </c>
    </row>
    <row r="488" spans="1:72" hidden="1" x14ac:dyDescent="0.25">
      <c r="A488" s="11">
        <f t="shared" si="168"/>
        <v>487</v>
      </c>
      <c r="B488" s="5" t="s">
        <v>1669</v>
      </c>
      <c r="C488" s="4" t="s">
        <v>59</v>
      </c>
      <c r="D488" s="4" t="s">
        <v>1665</v>
      </c>
      <c r="E488" s="4" t="s">
        <v>710</v>
      </c>
      <c r="F488" s="4" t="s">
        <v>1666</v>
      </c>
      <c r="G488" s="4" t="s">
        <v>760</v>
      </c>
      <c r="H488" s="11" t="s">
        <v>1096</v>
      </c>
      <c r="I488" s="4"/>
      <c r="J488" s="4"/>
      <c r="K488" s="4" t="s">
        <v>1670</v>
      </c>
      <c r="L488" s="24">
        <v>800000</v>
      </c>
      <c r="M488" s="13" t="s">
        <v>291</v>
      </c>
      <c r="N488" s="5" t="s">
        <v>799</v>
      </c>
      <c r="O488" s="4" t="s">
        <v>199</v>
      </c>
      <c r="P488" s="4"/>
      <c r="Q488" s="42">
        <v>0.69499999999999995</v>
      </c>
      <c r="R488" s="1">
        <f t="shared" si="169"/>
        <v>55599.999999999993</v>
      </c>
      <c r="S488" s="38">
        <f t="shared" si="176"/>
        <v>0</v>
      </c>
      <c r="T488" s="2">
        <f t="shared" si="170"/>
        <v>80000</v>
      </c>
      <c r="U488" s="24">
        <v>0</v>
      </c>
      <c r="V488" s="13">
        <v>128000</v>
      </c>
      <c r="W488" s="24">
        <v>0</v>
      </c>
      <c r="X488" s="24">
        <v>80000</v>
      </c>
      <c r="Y488" s="13">
        <v>100000</v>
      </c>
      <c r="Z488" s="24">
        <v>80000</v>
      </c>
      <c r="AA488" s="13">
        <v>80000</v>
      </c>
      <c r="AB488" s="13">
        <v>0</v>
      </c>
      <c r="AC488" s="24">
        <v>0</v>
      </c>
      <c r="AD488" s="24">
        <v>0</v>
      </c>
      <c r="AE488" s="24">
        <v>0</v>
      </c>
      <c r="AF488" s="13">
        <v>80000</v>
      </c>
      <c r="AG488" s="13">
        <f t="shared" si="183"/>
        <v>80000</v>
      </c>
      <c r="AH488" s="24">
        <v>0</v>
      </c>
      <c r="AI488" s="24">
        <v>0</v>
      </c>
      <c r="AJ488" s="24">
        <v>0</v>
      </c>
      <c r="AK488" s="24">
        <v>0</v>
      </c>
      <c r="AL488" s="24">
        <v>0</v>
      </c>
      <c r="AM488" s="24">
        <v>0</v>
      </c>
      <c r="AN488" s="24">
        <v>0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4" t="s">
        <v>763</v>
      </c>
      <c r="AU488" s="4" t="s">
        <v>685</v>
      </c>
      <c r="AV488" s="4" t="s">
        <v>1218</v>
      </c>
      <c r="AW488" s="4" t="s">
        <v>788</v>
      </c>
      <c r="AX488" s="4" t="s">
        <v>800</v>
      </c>
      <c r="AY488" s="4" t="s">
        <v>801</v>
      </c>
      <c r="AZ488" s="4" t="s">
        <v>802</v>
      </c>
      <c r="BA488" s="4"/>
      <c r="BB488" s="4"/>
      <c r="BC488" s="4"/>
      <c r="BD488" s="23">
        <v>1</v>
      </c>
      <c r="BE488" s="4"/>
      <c r="BF488" s="18"/>
      <c r="BG488" s="18"/>
      <c r="BH488" s="18"/>
      <c r="BI488" s="18"/>
      <c r="BJ488" s="18"/>
      <c r="BK488" s="26"/>
      <c r="BL488" s="13"/>
      <c r="BM488" s="9">
        <f t="shared" si="164"/>
        <v>69500</v>
      </c>
      <c r="BN488" s="9">
        <f t="shared" si="166"/>
        <v>55599.999999999993</v>
      </c>
      <c r="BO488" s="9">
        <f t="shared" si="167"/>
        <v>55599.999999999993</v>
      </c>
      <c r="BP488" s="9">
        <f t="shared" si="171"/>
        <v>0</v>
      </c>
      <c r="BQ488" s="9">
        <f t="shared" si="172"/>
        <v>0</v>
      </c>
      <c r="BR488" s="9">
        <f t="shared" si="173"/>
        <v>0</v>
      </c>
      <c r="BS488" s="9">
        <f t="shared" si="174"/>
        <v>0</v>
      </c>
      <c r="BT488" s="9">
        <f t="shared" si="175"/>
        <v>55599.999999999993</v>
      </c>
    </row>
    <row r="489" spans="1:72" hidden="1" x14ac:dyDescent="0.25">
      <c r="A489" s="11">
        <f t="shared" si="168"/>
        <v>488</v>
      </c>
      <c r="B489" s="5" t="s">
        <v>1671</v>
      </c>
      <c r="C489" s="4" t="s">
        <v>128</v>
      </c>
      <c r="D489" s="4" t="s">
        <v>1665</v>
      </c>
      <c r="E489" s="4" t="s">
        <v>710</v>
      </c>
      <c r="F489" s="4" t="s">
        <v>1666</v>
      </c>
      <c r="G489" s="4" t="s">
        <v>1241</v>
      </c>
      <c r="H489" s="4" t="s">
        <v>1099</v>
      </c>
      <c r="I489" s="4"/>
      <c r="J489" s="4"/>
      <c r="K489" s="4" t="s">
        <v>1672</v>
      </c>
      <c r="L489" s="24">
        <v>800000</v>
      </c>
      <c r="M489" s="13" t="s">
        <v>291</v>
      </c>
      <c r="N489" s="5" t="s">
        <v>803</v>
      </c>
      <c r="O489" s="4" t="s">
        <v>696</v>
      </c>
      <c r="P489" s="4"/>
      <c r="Q489" s="42">
        <v>0.45</v>
      </c>
      <c r="R489" s="1">
        <f t="shared" si="169"/>
        <v>126000</v>
      </c>
      <c r="S489" s="38">
        <f t="shared" si="176"/>
        <v>0</v>
      </c>
      <c r="T489" s="2">
        <f t="shared" si="170"/>
        <v>280000</v>
      </c>
      <c r="U489" s="24">
        <v>0</v>
      </c>
      <c r="V489" s="24">
        <v>0</v>
      </c>
      <c r="W489" s="13">
        <v>40000</v>
      </c>
      <c r="X489" s="13">
        <v>40000</v>
      </c>
      <c r="Y489" s="13">
        <v>40000</v>
      </c>
      <c r="Z489" s="13">
        <v>40000</v>
      </c>
      <c r="AA489" s="13">
        <v>40000</v>
      </c>
      <c r="AB489" s="13">
        <v>40000</v>
      </c>
      <c r="AC489" s="13">
        <v>60000</v>
      </c>
      <c r="AD489" s="13">
        <v>60000</v>
      </c>
      <c r="AE489" s="13">
        <v>60000</v>
      </c>
      <c r="AF489" s="13">
        <v>60000</v>
      </c>
      <c r="AG489" s="13">
        <f t="shared" si="183"/>
        <v>60000</v>
      </c>
      <c r="AH489" s="24">
        <v>0</v>
      </c>
      <c r="AI489" s="24">
        <v>0</v>
      </c>
      <c r="AJ489" s="24">
        <v>0</v>
      </c>
      <c r="AK489" s="24">
        <v>0</v>
      </c>
      <c r="AL489" s="24">
        <v>0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4" t="s">
        <v>192</v>
      </c>
      <c r="AU489" s="4" t="s">
        <v>685</v>
      </c>
      <c r="AV489" s="4" t="s">
        <v>1218</v>
      </c>
      <c r="AW489" s="4" t="s">
        <v>98</v>
      </c>
      <c r="AX489" s="4" t="s">
        <v>89</v>
      </c>
      <c r="AY489" s="4" t="s">
        <v>804</v>
      </c>
      <c r="AZ489" s="4" t="s">
        <v>805</v>
      </c>
      <c r="BA489" s="4"/>
      <c r="BB489" s="4"/>
      <c r="BC489" s="4"/>
      <c r="BD489" s="23">
        <v>1</v>
      </c>
      <c r="BE489" s="4"/>
      <c r="BF489" s="18"/>
      <c r="BG489" s="18"/>
      <c r="BH489" s="18"/>
      <c r="BI489" s="18"/>
      <c r="BJ489" s="18"/>
      <c r="BK489" s="26"/>
      <c r="BL489" s="13"/>
      <c r="BM489" s="9">
        <f t="shared" si="164"/>
        <v>18000</v>
      </c>
      <c r="BN489" s="9">
        <f t="shared" si="166"/>
        <v>18000</v>
      </c>
      <c r="BO489" s="9">
        <f t="shared" si="167"/>
        <v>18000</v>
      </c>
      <c r="BP489" s="9">
        <f t="shared" si="171"/>
        <v>18000</v>
      </c>
      <c r="BQ489" s="9">
        <f t="shared" si="172"/>
        <v>27000</v>
      </c>
      <c r="BR489" s="9">
        <f t="shared" si="173"/>
        <v>27000</v>
      </c>
      <c r="BS489" s="9">
        <f t="shared" si="174"/>
        <v>27000</v>
      </c>
      <c r="BT489" s="9">
        <f t="shared" si="175"/>
        <v>27000</v>
      </c>
    </row>
    <row r="490" spans="1:72" hidden="1" x14ac:dyDescent="0.25">
      <c r="A490" s="11">
        <f t="shared" si="168"/>
        <v>489</v>
      </c>
      <c r="B490" s="5" t="s">
        <v>1671</v>
      </c>
      <c r="C490" s="4" t="s">
        <v>128</v>
      </c>
      <c r="D490" s="4" t="s">
        <v>1665</v>
      </c>
      <c r="E490" s="4" t="s">
        <v>710</v>
      </c>
      <c r="F490" s="4" t="s">
        <v>1666</v>
      </c>
      <c r="G490" s="4" t="s">
        <v>116</v>
      </c>
      <c r="H490" s="4" t="s">
        <v>1089</v>
      </c>
      <c r="I490" s="4"/>
      <c r="J490" s="4"/>
      <c r="K490" s="4" t="s">
        <v>1673</v>
      </c>
      <c r="L490" s="24">
        <v>2000000</v>
      </c>
      <c r="M490" s="13" t="s">
        <v>291</v>
      </c>
      <c r="N490" s="5" t="s">
        <v>806</v>
      </c>
      <c r="O490" s="4" t="s">
        <v>696</v>
      </c>
      <c r="P490" s="4"/>
      <c r="Q490" s="42">
        <v>0.45</v>
      </c>
      <c r="R490" s="1">
        <f t="shared" si="169"/>
        <v>225000</v>
      </c>
      <c r="S490" s="38">
        <f t="shared" si="176"/>
        <v>0</v>
      </c>
      <c r="T490" s="2">
        <f t="shared" si="170"/>
        <v>500000</v>
      </c>
      <c r="U490" s="24">
        <v>0</v>
      </c>
      <c r="V490" s="24">
        <v>0</v>
      </c>
      <c r="W490" s="13">
        <v>60000</v>
      </c>
      <c r="X490" s="13">
        <v>60000</v>
      </c>
      <c r="Y490" s="13">
        <v>40000</v>
      </c>
      <c r="Z490" s="13">
        <v>40000</v>
      </c>
      <c r="AA490" s="13">
        <v>40000</v>
      </c>
      <c r="AB490" s="13">
        <v>100000</v>
      </c>
      <c r="AC490" s="13">
        <v>100000</v>
      </c>
      <c r="AD490" s="13">
        <v>100000</v>
      </c>
      <c r="AE490" s="13">
        <v>100000</v>
      </c>
      <c r="AF490" s="13">
        <v>100000</v>
      </c>
      <c r="AG490" s="13">
        <f t="shared" si="183"/>
        <v>100000</v>
      </c>
      <c r="AH490" s="24">
        <v>0</v>
      </c>
      <c r="AI490" s="24">
        <v>0</v>
      </c>
      <c r="AJ490" s="24">
        <v>0</v>
      </c>
      <c r="AK490" s="24">
        <v>0</v>
      </c>
      <c r="AL490" s="24">
        <v>0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4" t="s">
        <v>192</v>
      </c>
      <c r="AU490" s="4" t="s">
        <v>685</v>
      </c>
      <c r="AV490" s="4" t="s">
        <v>1218</v>
      </c>
      <c r="AW490" s="4" t="s">
        <v>98</v>
      </c>
      <c r="AX490" s="4" t="s">
        <v>89</v>
      </c>
      <c r="AY490" s="4" t="s">
        <v>804</v>
      </c>
      <c r="AZ490" s="4" t="s">
        <v>805</v>
      </c>
      <c r="BA490" s="4" t="s">
        <v>807</v>
      </c>
      <c r="BB490" s="4"/>
      <c r="BC490" s="4" t="s">
        <v>808</v>
      </c>
      <c r="BD490" s="23">
        <v>1</v>
      </c>
      <c r="BE490" s="4"/>
      <c r="BF490" s="18"/>
      <c r="BG490" s="18"/>
      <c r="BH490" s="18"/>
      <c r="BI490" s="18"/>
      <c r="BJ490" s="18"/>
      <c r="BK490" s="26"/>
      <c r="BL490" s="13"/>
      <c r="BM490" s="9">
        <f t="shared" si="164"/>
        <v>18000</v>
      </c>
      <c r="BN490" s="9">
        <f t="shared" si="166"/>
        <v>18000</v>
      </c>
      <c r="BO490" s="9">
        <f t="shared" si="167"/>
        <v>18000</v>
      </c>
      <c r="BP490" s="9">
        <f t="shared" si="171"/>
        <v>45000</v>
      </c>
      <c r="BQ490" s="9">
        <f t="shared" si="172"/>
        <v>45000</v>
      </c>
      <c r="BR490" s="9">
        <f t="shared" si="173"/>
        <v>45000</v>
      </c>
      <c r="BS490" s="9">
        <f t="shared" si="174"/>
        <v>45000</v>
      </c>
      <c r="BT490" s="9">
        <f t="shared" si="175"/>
        <v>45000</v>
      </c>
    </row>
    <row r="491" spans="1:72" hidden="1" x14ac:dyDescent="0.25">
      <c r="A491" s="11">
        <f t="shared" si="168"/>
        <v>490</v>
      </c>
      <c r="B491" s="5" t="s">
        <v>1671</v>
      </c>
      <c r="C491" s="4" t="s">
        <v>128</v>
      </c>
      <c r="D491" s="4" t="s">
        <v>1665</v>
      </c>
      <c r="E491" s="4" t="s">
        <v>710</v>
      </c>
      <c r="F491" s="4" t="s">
        <v>1666</v>
      </c>
      <c r="G491" s="4" t="s">
        <v>116</v>
      </c>
      <c r="H491" s="4" t="s">
        <v>1089</v>
      </c>
      <c r="I491" s="4"/>
      <c r="J491" s="4"/>
      <c r="K491" s="5" t="s">
        <v>1674</v>
      </c>
      <c r="L491" s="24">
        <v>700000</v>
      </c>
      <c r="M491" s="13" t="s">
        <v>291</v>
      </c>
      <c r="N491" s="5" t="s">
        <v>809</v>
      </c>
      <c r="O491" s="4" t="s">
        <v>810</v>
      </c>
      <c r="P491" s="4"/>
      <c r="Q491" s="42">
        <v>0.69499999999999995</v>
      </c>
      <c r="R491" s="1">
        <f t="shared" si="169"/>
        <v>31274.999999999996</v>
      </c>
      <c r="S491" s="38">
        <f t="shared" si="176"/>
        <v>0</v>
      </c>
      <c r="T491" s="2">
        <f t="shared" si="170"/>
        <v>45000</v>
      </c>
      <c r="U491" s="24">
        <v>0</v>
      </c>
      <c r="V491" s="24">
        <v>0</v>
      </c>
      <c r="W491" s="24">
        <v>0</v>
      </c>
      <c r="X491" s="13">
        <v>9000</v>
      </c>
      <c r="Y491" s="13">
        <v>9000</v>
      </c>
      <c r="Z491" s="13">
        <v>9000</v>
      </c>
      <c r="AA491" s="13">
        <v>9000</v>
      </c>
      <c r="AB491" s="13">
        <v>9000</v>
      </c>
      <c r="AC491" s="13">
        <v>9000</v>
      </c>
      <c r="AD491" s="13">
        <v>9000</v>
      </c>
      <c r="AE491" s="13">
        <v>9000</v>
      </c>
      <c r="AF491" s="13">
        <v>9000</v>
      </c>
      <c r="AG491" s="13">
        <f t="shared" si="183"/>
        <v>9000</v>
      </c>
      <c r="AH491" s="24">
        <v>0</v>
      </c>
      <c r="AI491" s="24">
        <v>0</v>
      </c>
      <c r="AJ491" s="24">
        <v>0</v>
      </c>
      <c r="AK491" s="24">
        <v>0</v>
      </c>
      <c r="AL491" s="24">
        <v>0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4" t="s">
        <v>723</v>
      </c>
      <c r="AU491" s="4" t="s">
        <v>685</v>
      </c>
      <c r="AV491" s="4" t="s">
        <v>1218</v>
      </c>
      <c r="AW491" s="4" t="s">
        <v>98</v>
      </c>
      <c r="AX491" s="4" t="s">
        <v>811</v>
      </c>
      <c r="AY491" s="4" t="s">
        <v>812</v>
      </c>
      <c r="AZ491" s="4" t="s">
        <v>812</v>
      </c>
      <c r="BA491" s="4"/>
      <c r="BB491" s="4"/>
      <c r="BC491" s="4"/>
      <c r="BD491" s="23">
        <v>1</v>
      </c>
      <c r="BE491" s="4"/>
      <c r="BF491" s="18"/>
      <c r="BG491" s="18"/>
      <c r="BH491" s="18"/>
      <c r="BI491" s="18"/>
      <c r="BJ491" s="18"/>
      <c r="BK491" s="26"/>
      <c r="BL491" s="13"/>
      <c r="BM491" s="9">
        <f t="shared" si="164"/>
        <v>6255</v>
      </c>
      <c r="BN491" s="9">
        <f t="shared" si="166"/>
        <v>6255</v>
      </c>
      <c r="BO491" s="9">
        <f t="shared" si="167"/>
        <v>6255</v>
      </c>
      <c r="BP491" s="9">
        <f t="shared" si="171"/>
        <v>6255</v>
      </c>
      <c r="BQ491" s="9">
        <f t="shared" si="172"/>
        <v>6255</v>
      </c>
      <c r="BR491" s="9">
        <f t="shared" si="173"/>
        <v>6255</v>
      </c>
      <c r="BS491" s="9">
        <f t="shared" si="174"/>
        <v>6255</v>
      </c>
      <c r="BT491" s="9">
        <f t="shared" si="175"/>
        <v>6255</v>
      </c>
    </row>
    <row r="492" spans="1:72" hidden="1" x14ac:dyDescent="0.25">
      <c r="A492" s="11">
        <f t="shared" si="168"/>
        <v>491</v>
      </c>
      <c r="B492" s="5" t="s">
        <v>1671</v>
      </c>
      <c r="C492" s="4" t="s">
        <v>128</v>
      </c>
      <c r="D492" s="4" t="s">
        <v>1665</v>
      </c>
      <c r="E492" s="4" t="s">
        <v>710</v>
      </c>
      <c r="F492" s="4" t="s">
        <v>1666</v>
      </c>
      <c r="G492" s="4" t="s">
        <v>1802</v>
      </c>
      <c r="H492" s="4" t="s">
        <v>1803</v>
      </c>
      <c r="I492" s="4"/>
      <c r="J492" s="4"/>
      <c r="K492" s="4" t="s">
        <v>1675</v>
      </c>
      <c r="L492" s="24">
        <v>400000</v>
      </c>
      <c r="M492" s="13" t="s">
        <v>74</v>
      </c>
      <c r="N492" s="5" t="s">
        <v>813</v>
      </c>
      <c r="O492" s="4"/>
      <c r="P492" s="4"/>
      <c r="Q492" s="42">
        <v>0.69499999999999995</v>
      </c>
      <c r="R492" s="1">
        <f t="shared" si="169"/>
        <v>0</v>
      </c>
      <c r="S492" s="38">
        <f t="shared" si="176"/>
        <v>0</v>
      </c>
      <c r="T492" s="2">
        <f t="shared" si="170"/>
        <v>0</v>
      </c>
      <c r="U492" s="24">
        <v>0</v>
      </c>
      <c r="V492" s="24">
        <v>0</v>
      </c>
      <c r="W492" s="24">
        <v>0</v>
      </c>
      <c r="X492" s="24">
        <v>0</v>
      </c>
      <c r="Y492" s="24">
        <v>0</v>
      </c>
      <c r="Z492" s="24">
        <v>0</v>
      </c>
      <c r="AA492" s="24">
        <v>0</v>
      </c>
      <c r="AB492" s="24">
        <v>0</v>
      </c>
      <c r="AC492" s="24">
        <v>0</v>
      </c>
      <c r="AD492" s="24">
        <v>0</v>
      </c>
      <c r="AE492" s="24">
        <v>0</v>
      </c>
      <c r="AF492" s="24">
        <v>0</v>
      </c>
      <c r="AG492" s="13">
        <f t="shared" si="183"/>
        <v>0</v>
      </c>
      <c r="AH492" s="24">
        <v>0</v>
      </c>
      <c r="AI492" s="24">
        <v>0</v>
      </c>
      <c r="AJ492" s="24">
        <v>0</v>
      </c>
      <c r="AK492" s="24">
        <v>0</v>
      </c>
      <c r="AL492" s="24">
        <v>0</v>
      </c>
      <c r="AM492" s="24">
        <v>0</v>
      </c>
      <c r="AN492" s="24">
        <v>0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4" t="s">
        <v>192</v>
      </c>
      <c r="AU492" s="4" t="s">
        <v>685</v>
      </c>
      <c r="AV492" s="4" t="s">
        <v>1218</v>
      </c>
      <c r="AW492" s="4" t="s">
        <v>98</v>
      </c>
      <c r="AX492" s="4" t="s">
        <v>811</v>
      </c>
      <c r="AY492" s="4" t="s">
        <v>812</v>
      </c>
      <c r="AZ492" s="4" t="s">
        <v>812</v>
      </c>
      <c r="BA492" s="4"/>
      <c r="BB492" s="4"/>
      <c r="BC492" s="4"/>
      <c r="BD492" s="23">
        <v>1</v>
      </c>
      <c r="BE492" s="4"/>
      <c r="BF492" s="18"/>
      <c r="BG492" s="18"/>
      <c r="BH492" s="18"/>
      <c r="BI492" s="18"/>
      <c r="BJ492" s="18"/>
      <c r="BK492" s="26"/>
      <c r="BL492" s="13"/>
      <c r="BM492" s="9">
        <f t="shared" si="164"/>
        <v>0</v>
      </c>
      <c r="BN492" s="9">
        <f t="shared" si="166"/>
        <v>0</v>
      </c>
      <c r="BO492" s="9">
        <f t="shared" si="167"/>
        <v>0</v>
      </c>
      <c r="BP492" s="9">
        <f t="shared" si="171"/>
        <v>0</v>
      </c>
      <c r="BQ492" s="9">
        <f t="shared" si="172"/>
        <v>0</v>
      </c>
      <c r="BR492" s="9">
        <f t="shared" si="173"/>
        <v>0</v>
      </c>
      <c r="BS492" s="9">
        <f t="shared" si="174"/>
        <v>0</v>
      </c>
      <c r="BT492" s="9">
        <f t="shared" si="175"/>
        <v>0</v>
      </c>
    </row>
    <row r="493" spans="1:72" hidden="1" x14ac:dyDescent="0.25">
      <c r="A493" s="11">
        <f t="shared" si="168"/>
        <v>492</v>
      </c>
      <c r="B493" s="5" t="s">
        <v>1676</v>
      </c>
      <c r="C493" s="4" t="s">
        <v>128</v>
      </c>
      <c r="D493" s="4" t="s">
        <v>1665</v>
      </c>
      <c r="E493" s="4" t="s">
        <v>710</v>
      </c>
      <c r="F493" s="4" t="s">
        <v>1666</v>
      </c>
      <c r="G493" s="4" t="s">
        <v>1150</v>
      </c>
      <c r="H493" s="4" t="s">
        <v>419</v>
      </c>
      <c r="I493" s="4"/>
      <c r="J493" s="4"/>
      <c r="K493" s="5" t="s">
        <v>1677</v>
      </c>
      <c r="L493" s="24">
        <v>400000</v>
      </c>
      <c r="M493" s="13" t="s">
        <v>74</v>
      </c>
      <c r="N493" s="21" t="s">
        <v>814</v>
      </c>
      <c r="O493" s="4" t="s">
        <v>815</v>
      </c>
      <c r="P493" s="4"/>
      <c r="Q493" s="42">
        <v>2.2000000000000002</v>
      </c>
      <c r="R493" s="1">
        <f t="shared" si="169"/>
        <v>0</v>
      </c>
      <c r="S493" s="38">
        <f t="shared" si="176"/>
        <v>0</v>
      </c>
      <c r="T493" s="2">
        <f t="shared" si="170"/>
        <v>0</v>
      </c>
      <c r="U493" s="24">
        <v>0</v>
      </c>
      <c r="V493" s="24">
        <v>0</v>
      </c>
      <c r="W493" s="24">
        <v>0</v>
      </c>
      <c r="X493" s="24">
        <v>0</v>
      </c>
      <c r="Y493" s="24">
        <v>0</v>
      </c>
      <c r="Z493" s="24">
        <v>0</v>
      </c>
      <c r="AA493" s="24">
        <v>0</v>
      </c>
      <c r="AB493" s="24">
        <v>0</v>
      </c>
      <c r="AC493" s="24">
        <v>0</v>
      </c>
      <c r="AD493" s="24">
        <v>0</v>
      </c>
      <c r="AE493" s="24">
        <v>0</v>
      </c>
      <c r="AF493" s="24">
        <v>0</v>
      </c>
      <c r="AG493" s="13">
        <f t="shared" si="183"/>
        <v>0</v>
      </c>
      <c r="AH493" s="24">
        <v>0</v>
      </c>
      <c r="AI493" s="24">
        <v>0</v>
      </c>
      <c r="AJ493" s="24">
        <v>0</v>
      </c>
      <c r="AK493" s="24">
        <v>0</v>
      </c>
      <c r="AL493" s="24">
        <v>0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4" t="s">
        <v>727</v>
      </c>
      <c r="AU493" s="4" t="s">
        <v>685</v>
      </c>
      <c r="AV493" s="4" t="s">
        <v>1220</v>
      </c>
      <c r="AW493" s="4" t="s">
        <v>98</v>
      </c>
      <c r="AX493" s="4" t="s">
        <v>811</v>
      </c>
      <c r="AY493" s="4" t="s">
        <v>812</v>
      </c>
      <c r="AZ493" s="4" t="s">
        <v>812</v>
      </c>
      <c r="BA493" s="4"/>
      <c r="BB493" s="4"/>
      <c r="BC493" s="4"/>
      <c r="BD493" s="23">
        <v>1</v>
      </c>
      <c r="BE493" s="4"/>
      <c r="BF493" s="18"/>
      <c r="BG493" s="18"/>
      <c r="BH493" s="18"/>
      <c r="BI493" s="18"/>
      <c r="BJ493" s="18"/>
      <c r="BK493" s="26"/>
      <c r="BL493" s="13"/>
      <c r="BM493" s="9">
        <f t="shared" si="164"/>
        <v>0</v>
      </c>
      <c r="BN493" s="9">
        <f t="shared" si="166"/>
        <v>0</v>
      </c>
      <c r="BO493" s="9">
        <f t="shared" si="167"/>
        <v>0</v>
      </c>
      <c r="BP493" s="9">
        <f t="shared" si="171"/>
        <v>0</v>
      </c>
      <c r="BQ493" s="9">
        <f t="shared" si="172"/>
        <v>0</v>
      </c>
      <c r="BR493" s="9">
        <f t="shared" si="173"/>
        <v>0</v>
      </c>
      <c r="BS493" s="9">
        <f t="shared" si="174"/>
        <v>0</v>
      </c>
      <c r="BT493" s="9">
        <f t="shared" si="175"/>
        <v>0</v>
      </c>
    </row>
    <row r="494" spans="1:72" hidden="1" x14ac:dyDescent="0.25">
      <c r="A494" s="11">
        <f t="shared" si="168"/>
        <v>493</v>
      </c>
      <c r="B494" s="5" t="s">
        <v>1678</v>
      </c>
      <c r="C494" s="4" t="s">
        <v>59</v>
      </c>
      <c r="D494" s="4" t="s">
        <v>1665</v>
      </c>
      <c r="E494" s="4" t="s">
        <v>710</v>
      </c>
      <c r="F494" s="4" t="s">
        <v>1666</v>
      </c>
      <c r="G494" s="4" t="s">
        <v>243</v>
      </c>
      <c r="H494" s="4" t="s">
        <v>599</v>
      </c>
      <c r="I494" s="4"/>
      <c r="J494" s="4"/>
      <c r="K494" s="5" t="s">
        <v>1679</v>
      </c>
      <c r="L494" s="24">
        <v>700000</v>
      </c>
      <c r="M494" s="13" t="s">
        <v>297</v>
      </c>
      <c r="N494" s="5" t="s">
        <v>816</v>
      </c>
      <c r="O494" s="4" t="s">
        <v>199</v>
      </c>
      <c r="P494" s="4"/>
      <c r="Q494" s="42">
        <v>0.45</v>
      </c>
      <c r="R494" s="1">
        <f t="shared" si="169"/>
        <v>4500</v>
      </c>
      <c r="S494" s="38">
        <f t="shared" si="176"/>
        <v>0</v>
      </c>
      <c r="T494" s="2">
        <f t="shared" si="170"/>
        <v>10000</v>
      </c>
      <c r="U494" s="24">
        <v>0</v>
      </c>
      <c r="V494" s="24">
        <v>0</v>
      </c>
      <c r="W494" s="24">
        <v>0</v>
      </c>
      <c r="X494" s="24">
        <v>0</v>
      </c>
      <c r="Y494" s="24">
        <v>0</v>
      </c>
      <c r="Z494" s="24">
        <v>0</v>
      </c>
      <c r="AA494" s="24">
        <v>0</v>
      </c>
      <c r="AB494" s="13">
        <v>0</v>
      </c>
      <c r="AC494" s="13">
        <v>0</v>
      </c>
      <c r="AD494" s="13">
        <v>0</v>
      </c>
      <c r="AE494" s="13">
        <v>0</v>
      </c>
      <c r="AF494" s="13">
        <v>10000</v>
      </c>
      <c r="AG494" s="13">
        <f t="shared" si="183"/>
        <v>10000</v>
      </c>
      <c r="AH494" s="24">
        <v>0</v>
      </c>
      <c r="AI494" s="24">
        <v>0</v>
      </c>
      <c r="AJ494" s="24">
        <v>0</v>
      </c>
      <c r="AK494" s="24">
        <v>0</v>
      </c>
      <c r="AL494" s="24">
        <v>0</v>
      </c>
      <c r="AM494" s="24">
        <v>0</v>
      </c>
      <c r="AN494" s="24">
        <v>0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4" t="s">
        <v>723</v>
      </c>
      <c r="AU494" s="4" t="s">
        <v>685</v>
      </c>
      <c r="AV494" s="4" t="s">
        <v>1218</v>
      </c>
      <c r="AW494" s="4" t="s">
        <v>98</v>
      </c>
      <c r="AX494" s="4" t="s">
        <v>811</v>
      </c>
      <c r="AY494" s="4" t="s">
        <v>817</v>
      </c>
      <c r="AZ494" s="4" t="s">
        <v>817</v>
      </c>
      <c r="BA494" s="4" t="s">
        <v>818</v>
      </c>
      <c r="BB494" s="4"/>
      <c r="BC494" s="4" t="s">
        <v>819</v>
      </c>
      <c r="BD494" s="23">
        <v>1</v>
      </c>
      <c r="BE494" s="4"/>
      <c r="BF494" s="18"/>
      <c r="BG494" s="18"/>
      <c r="BH494" s="18"/>
      <c r="BI494" s="18"/>
      <c r="BJ494" s="18"/>
      <c r="BK494" s="26"/>
      <c r="BL494" s="13"/>
      <c r="BM494" s="9">
        <f t="shared" si="164"/>
        <v>0</v>
      </c>
      <c r="BN494" s="9">
        <f t="shared" si="166"/>
        <v>0</v>
      </c>
      <c r="BO494" s="9">
        <f t="shared" si="167"/>
        <v>0</v>
      </c>
      <c r="BP494" s="9">
        <f t="shared" si="171"/>
        <v>0</v>
      </c>
      <c r="BQ494" s="9">
        <f t="shared" si="172"/>
        <v>0</v>
      </c>
      <c r="BR494" s="9">
        <f t="shared" si="173"/>
        <v>0</v>
      </c>
      <c r="BS494" s="9">
        <f t="shared" si="174"/>
        <v>0</v>
      </c>
      <c r="BT494" s="9">
        <f t="shared" si="175"/>
        <v>4500</v>
      </c>
    </row>
    <row r="495" spans="1:72" hidden="1" x14ac:dyDescent="0.25">
      <c r="A495" s="11">
        <f t="shared" si="168"/>
        <v>494</v>
      </c>
      <c r="B495" s="5" t="s">
        <v>1760</v>
      </c>
      <c r="C495" s="4" t="s">
        <v>59</v>
      </c>
      <c r="D495" s="4" t="s">
        <v>1646</v>
      </c>
      <c r="E495" s="4" t="s">
        <v>710</v>
      </c>
      <c r="F495" s="4" t="s">
        <v>1647</v>
      </c>
      <c r="G495" s="4" t="s">
        <v>144</v>
      </c>
      <c r="H495" s="4" t="s">
        <v>1080</v>
      </c>
      <c r="I495" s="4"/>
      <c r="J495" s="4"/>
      <c r="K495" s="5" t="s">
        <v>1648</v>
      </c>
      <c r="L495" s="24"/>
      <c r="M495" s="13" t="s">
        <v>74</v>
      </c>
      <c r="N495" s="5" t="s">
        <v>1761</v>
      </c>
      <c r="O495" s="4"/>
      <c r="P495" s="4"/>
      <c r="Q495" s="42">
        <v>0.17</v>
      </c>
      <c r="R495" s="1">
        <f t="shared" si="169"/>
        <v>20400</v>
      </c>
      <c r="S495" s="38">
        <f>Q495*SUM(AF495:AL495)</f>
        <v>40800</v>
      </c>
      <c r="T495" s="2">
        <f t="shared" si="170"/>
        <v>120000</v>
      </c>
      <c r="U495" s="24"/>
      <c r="V495" s="24"/>
      <c r="W495" s="24">
        <v>0</v>
      </c>
      <c r="X495" s="24">
        <v>0</v>
      </c>
      <c r="Y495" s="24">
        <v>0</v>
      </c>
      <c r="Z495" s="24">
        <v>0</v>
      </c>
      <c r="AA495" s="24">
        <v>0</v>
      </c>
      <c r="AB495" s="13">
        <v>0</v>
      </c>
      <c r="AC495" s="13">
        <v>0</v>
      </c>
      <c r="AD495" s="13">
        <v>0</v>
      </c>
      <c r="AE495" s="13"/>
      <c r="AF495" s="13">
        <v>120000</v>
      </c>
      <c r="AG495" s="13">
        <f t="shared" si="183"/>
        <v>120000</v>
      </c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4"/>
      <c r="AU495" s="4" t="s">
        <v>1106</v>
      </c>
      <c r="AV495" s="4" t="str">
        <f>VLOOKUP(G495,[1]原表!$O:$Q,3,0)</f>
        <v>磁性位置传感器</v>
      </c>
      <c r="AW495" s="4"/>
      <c r="AX495" s="4"/>
      <c r="AY495" s="4"/>
      <c r="AZ495" s="4"/>
      <c r="BA495" s="4"/>
      <c r="BB495" s="4"/>
      <c r="BC495" s="4"/>
      <c r="BD495" s="23"/>
      <c r="BE495" s="4"/>
      <c r="BF495" s="18"/>
      <c r="BG495" s="18"/>
      <c r="BH495" s="18"/>
      <c r="BI495" s="18"/>
      <c r="BJ495" s="18"/>
      <c r="BK495" s="26"/>
      <c r="BL495" s="13"/>
      <c r="BM495" s="9"/>
      <c r="BN495" s="9"/>
      <c r="BO495" s="9"/>
      <c r="BP495" s="9">
        <f t="shared" si="171"/>
        <v>0</v>
      </c>
      <c r="BQ495" s="9">
        <f t="shared" si="172"/>
        <v>0</v>
      </c>
      <c r="BR495" s="9">
        <f t="shared" si="173"/>
        <v>0</v>
      </c>
      <c r="BS495" s="9">
        <f t="shared" si="174"/>
        <v>0</v>
      </c>
      <c r="BT495" s="9">
        <f t="shared" si="175"/>
        <v>20400</v>
      </c>
    </row>
    <row r="496" spans="1:72" hidden="1" x14ac:dyDescent="0.25">
      <c r="A496" s="11">
        <f t="shared" si="168"/>
        <v>495</v>
      </c>
      <c r="B496" s="5" t="s">
        <v>820</v>
      </c>
      <c r="C496" s="11" t="s">
        <v>59</v>
      </c>
      <c r="D496" s="4" t="s">
        <v>299</v>
      </c>
      <c r="E496" s="4" t="s">
        <v>710</v>
      </c>
      <c r="F496" s="5"/>
      <c r="G496" s="11" t="s">
        <v>429</v>
      </c>
      <c r="H496" s="4" t="s">
        <v>430</v>
      </c>
      <c r="I496" s="11"/>
      <c r="J496" s="11"/>
      <c r="K496" s="11" t="s">
        <v>821</v>
      </c>
      <c r="L496" s="24">
        <v>50000</v>
      </c>
      <c r="M496" s="13" t="s">
        <v>74</v>
      </c>
      <c r="N496" s="11" t="s">
        <v>822</v>
      </c>
      <c r="O496" s="11"/>
      <c r="P496" s="11"/>
      <c r="Q496" s="42"/>
      <c r="R496" s="1">
        <f t="shared" si="169"/>
        <v>0</v>
      </c>
      <c r="S496" s="34"/>
      <c r="T496" s="2">
        <f t="shared" si="170"/>
        <v>0</v>
      </c>
      <c r="U496" s="24"/>
      <c r="V496" s="24"/>
      <c r="W496" s="24"/>
      <c r="X496" s="11"/>
      <c r="Y496" s="24"/>
      <c r="Z496" s="11"/>
      <c r="AA496" s="24"/>
      <c r="AB496" s="11"/>
      <c r="AC496" s="24"/>
      <c r="AD496" s="11"/>
      <c r="AE496" s="24"/>
      <c r="AF496" s="11"/>
      <c r="AG496" s="13">
        <f t="shared" si="183"/>
        <v>0</v>
      </c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4"/>
      <c r="AU496" s="4" t="s">
        <v>685</v>
      </c>
      <c r="AV496" s="4" t="s">
        <v>826</v>
      </c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9">
        <f t="shared" ref="BM496:BM563" si="184">$Q496*Y496</f>
        <v>0</v>
      </c>
      <c r="BN496" s="9">
        <f t="shared" si="166"/>
        <v>0</v>
      </c>
      <c r="BO496" s="9">
        <f t="shared" si="167"/>
        <v>0</v>
      </c>
      <c r="BP496" s="9">
        <f t="shared" si="171"/>
        <v>0</v>
      </c>
      <c r="BQ496" s="9">
        <f t="shared" si="172"/>
        <v>0</v>
      </c>
      <c r="BR496" s="9">
        <f t="shared" si="173"/>
        <v>0</v>
      </c>
      <c r="BS496" s="9">
        <f t="shared" si="174"/>
        <v>0</v>
      </c>
      <c r="BT496" s="9">
        <f t="shared" si="175"/>
        <v>0</v>
      </c>
    </row>
    <row r="497" spans="1:72" hidden="1" x14ac:dyDescent="0.25">
      <c r="A497" s="11">
        <f t="shared" si="168"/>
        <v>496</v>
      </c>
      <c r="B497" s="5" t="s">
        <v>820</v>
      </c>
      <c r="C497" s="11" t="s">
        <v>59</v>
      </c>
      <c r="D497" s="4" t="s">
        <v>299</v>
      </c>
      <c r="E497" s="4" t="s">
        <v>710</v>
      </c>
      <c r="F497" s="4"/>
      <c r="G497" s="4" t="s">
        <v>429</v>
      </c>
      <c r="H497" s="4" t="s">
        <v>430</v>
      </c>
      <c r="I497" s="4"/>
      <c r="J497" s="4"/>
      <c r="K497" s="5" t="s">
        <v>823</v>
      </c>
      <c r="L497" s="24">
        <v>100000</v>
      </c>
      <c r="M497" s="13" t="s">
        <v>320</v>
      </c>
      <c r="N497" s="11" t="s">
        <v>824</v>
      </c>
      <c r="O497" s="4"/>
      <c r="P497" s="4"/>
      <c r="Q497" s="42"/>
      <c r="R497" s="1">
        <f t="shared" si="169"/>
        <v>0</v>
      </c>
      <c r="S497" s="38"/>
      <c r="T497" s="2">
        <f t="shared" si="170"/>
        <v>0</v>
      </c>
      <c r="U497" s="24"/>
      <c r="V497" s="24"/>
      <c r="W497" s="24"/>
      <c r="X497" s="24"/>
      <c r="Y497" s="24"/>
      <c r="Z497" s="24"/>
      <c r="AA497" s="24"/>
      <c r="AB497" s="13"/>
      <c r="AC497" s="13"/>
      <c r="AD497" s="13"/>
      <c r="AE497" s="13"/>
      <c r="AF497" s="13"/>
      <c r="AG497" s="13">
        <f t="shared" si="183"/>
        <v>0</v>
      </c>
      <c r="AH497" s="24">
        <v>0</v>
      </c>
      <c r="AI497" s="24">
        <v>0</v>
      </c>
      <c r="AJ497" s="24">
        <v>0</v>
      </c>
      <c r="AK497" s="24">
        <v>0</v>
      </c>
      <c r="AL497" s="24">
        <v>0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4" t="s">
        <v>715</v>
      </c>
      <c r="AU497" s="4" t="s">
        <v>685</v>
      </c>
      <c r="AV497" s="4" t="s">
        <v>826</v>
      </c>
      <c r="AW497" s="4" t="s">
        <v>98</v>
      </c>
      <c r="AX497" s="4" t="s">
        <v>68</v>
      </c>
      <c r="AY497" s="4" t="s">
        <v>825</v>
      </c>
      <c r="AZ497" s="4" t="s">
        <v>826</v>
      </c>
      <c r="BA497" s="4" t="s">
        <v>827</v>
      </c>
      <c r="BB497" s="4"/>
      <c r="BC497" s="4"/>
      <c r="BD497" s="23"/>
      <c r="BE497" s="4"/>
      <c r="BF497" s="18"/>
      <c r="BG497" s="18"/>
      <c r="BH497" s="18"/>
      <c r="BI497" s="18"/>
      <c r="BJ497" s="18"/>
      <c r="BK497" s="26"/>
      <c r="BL497" s="13">
        <v>4</v>
      </c>
      <c r="BM497" s="9">
        <f t="shared" si="184"/>
        <v>0</v>
      </c>
      <c r="BN497" s="9">
        <f t="shared" si="166"/>
        <v>0</v>
      </c>
      <c r="BO497" s="9">
        <f t="shared" si="167"/>
        <v>0</v>
      </c>
      <c r="BP497" s="9">
        <f t="shared" si="171"/>
        <v>0</v>
      </c>
      <c r="BQ497" s="9">
        <f t="shared" si="172"/>
        <v>0</v>
      </c>
      <c r="BR497" s="9">
        <f t="shared" si="173"/>
        <v>0</v>
      </c>
      <c r="BS497" s="9">
        <f t="shared" si="174"/>
        <v>0</v>
      </c>
      <c r="BT497" s="9">
        <f t="shared" si="175"/>
        <v>0</v>
      </c>
    </row>
    <row r="498" spans="1:72" hidden="1" x14ac:dyDescent="0.25">
      <c r="A498" s="11">
        <f t="shared" si="168"/>
        <v>497</v>
      </c>
      <c r="B498" s="5" t="s">
        <v>828</v>
      </c>
      <c r="C498" s="11" t="s">
        <v>59</v>
      </c>
      <c r="D498" s="4" t="s">
        <v>299</v>
      </c>
      <c r="E498" s="4" t="s">
        <v>710</v>
      </c>
      <c r="F498" s="4"/>
      <c r="G498" s="4" t="s">
        <v>429</v>
      </c>
      <c r="H498" s="4" t="s">
        <v>430</v>
      </c>
      <c r="I498" s="4"/>
      <c r="J498" s="4"/>
      <c r="K498" s="5"/>
      <c r="L498" s="24"/>
      <c r="M498" s="13"/>
      <c r="N498" s="11"/>
      <c r="O498" s="4"/>
      <c r="P498" s="4"/>
      <c r="Q498" s="42"/>
      <c r="R498" s="1">
        <f t="shared" si="169"/>
        <v>0</v>
      </c>
      <c r="S498" s="38"/>
      <c r="T498" s="2">
        <f t="shared" si="170"/>
        <v>0</v>
      </c>
      <c r="U498" s="24"/>
      <c r="V498" s="24"/>
      <c r="W498" s="24"/>
      <c r="X498" s="24"/>
      <c r="Y498" s="24"/>
      <c r="Z498" s="24"/>
      <c r="AA498" s="24"/>
      <c r="AB498" s="13"/>
      <c r="AC498" s="13"/>
      <c r="AD498" s="13"/>
      <c r="AE498" s="13"/>
      <c r="AF498" s="13"/>
      <c r="AG498" s="13">
        <f t="shared" si="183"/>
        <v>0</v>
      </c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4"/>
      <c r="AU498" s="4" t="s">
        <v>685</v>
      </c>
      <c r="AV498" s="4" t="s">
        <v>826</v>
      </c>
      <c r="AW498" s="4"/>
      <c r="AX498" s="4"/>
      <c r="AY498" s="4"/>
      <c r="AZ498" s="4"/>
      <c r="BA498" s="4"/>
      <c r="BB498" s="4"/>
      <c r="BC498" s="4"/>
      <c r="BD498" s="23"/>
      <c r="BE498" s="4"/>
      <c r="BF498" s="18"/>
      <c r="BG498" s="18"/>
      <c r="BH498" s="18"/>
      <c r="BI498" s="18"/>
      <c r="BJ498" s="18"/>
      <c r="BK498" s="26"/>
      <c r="BL498" s="13"/>
      <c r="BM498" s="9">
        <f t="shared" si="184"/>
        <v>0</v>
      </c>
      <c r="BN498" s="9">
        <f t="shared" si="166"/>
        <v>0</v>
      </c>
      <c r="BO498" s="9">
        <f t="shared" si="167"/>
        <v>0</v>
      </c>
      <c r="BP498" s="9">
        <f t="shared" si="171"/>
        <v>0</v>
      </c>
      <c r="BQ498" s="9">
        <f t="shared" si="172"/>
        <v>0</v>
      </c>
      <c r="BR498" s="9">
        <f t="shared" si="173"/>
        <v>0</v>
      </c>
      <c r="BS498" s="9">
        <f t="shared" si="174"/>
        <v>0</v>
      </c>
      <c r="BT498" s="9">
        <f t="shared" si="175"/>
        <v>0</v>
      </c>
    </row>
    <row r="499" spans="1:72" hidden="1" x14ac:dyDescent="0.25">
      <c r="A499" s="11">
        <f t="shared" si="168"/>
        <v>498</v>
      </c>
      <c r="B499" s="44" t="s">
        <v>1680</v>
      </c>
      <c r="C499" s="45" t="s">
        <v>59</v>
      </c>
      <c r="D499" s="45" t="s">
        <v>1551</v>
      </c>
      <c r="E499" s="45" t="s">
        <v>1542</v>
      </c>
      <c r="F499" s="45"/>
      <c r="G499" s="45" t="s">
        <v>1037</v>
      </c>
      <c r="H499" s="45" t="s">
        <v>1100</v>
      </c>
      <c r="I499" s="45"/>
      <c r="J499" s="45"/>
      <c r="K499" s="44"/>
      <c r="L499" s="54"/>
      <c r="M499" s="51"/>
      <c r="N499" s="44"/>
      <c r="O499" s="45"/>
      <c r="P499" s="45"/>
      <c r="Q499" s="55">
        <v>0.21</v>
      </c>
      <c r="R499" s="1">
        <f t="shared" si="169"/>
        <v>210000</v>
      </c>
      <c r="S499" s="56"/>
      <c r="T499" s="2">
        <f t="shared" si="170"/>
        <v>1000000</v>
      </c>
      <c r="U499" s="54"/>
      <c r="V499" s="54"/>
      <c r="W499" s="54"/>
      <c r="X499" s="54"/>
      <c r="Y499" s="54"/>
      <c r="Z499" s="54"/>
      <c r="AA499" s="54">
        <v>500000</v>
      </c>
      <c r="AB499" s="51"/>
      <c r="AC499" s="51">
        <v>500000</v>
      </c>
      <c r="AD499" s="51"/>
      <c r="AE499" s="51">
        <v>500000</v>
      </c>
      <c r="AF499" s="51"/>
      <c r="AG499" s="13">
        <f t="shared" si="183"/>
        <v>0</v>
      </c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45"/>
      <c r="AU499" s="4" t="s">
        <v>1105</v>
      </c>
      <c r="AV499" s="4" t="s">
        <v>1218</v>
      </c>
      <c r="AW499" s="45"/>
      <c r="AX499" s="45"/>
      <c r="AY499" s="45"/>
      <c r="AZ499" s="45"/>
      <c r="BA499" s="45"/>
      <c r="BB499" s="45"/>
      <c r="BC499" s="45"/>
      <c r="BD499" s="52"/>
      <c r="BE499" s="45"/>
      <c r="BF499" s="53"/>
      <c r="BG499" s="53"/>
      <c r="BH499" s="53"/>
      <c r="BI499" s="53"/>
      <c r="BJ499" s="53"/>
      <c r="BK499" s="57"/>
      <c r="BL499" s="51"/>
      <c r="BM499" s="9">
        <f t="shared" si="184"/>
        <v>0</v>
      </c>
      <c r="BN499" s="9">
        <f t="shared" si="166"/>
        <v>0</v>
      </c>
      <c r="BO499" s="9">
        <f t="shared" si="167"/>
        <v>105000</v>
      </c>
      <c r="BP499" s="9">
        <f t="shared" si="171"/>
        <v>0</v>
      </c>
      <c r="BQ499" s="9">
        <f t="shared" si="172"/>
        <v>105000</v>
      </c>
      <c r="BR499" s="9">
        <f t="shared" si="173"/>
        <v>0</v>
      </c>
      <c r="BS499" s="9">
        <f t="shared" si="174"/>
        <v>105000</v>
      </c>
      <c r="BT499" s="9">
        <f t="shared" si="175"/>
        <v>0</v>
      </c>
    </row>
    <row r="500" spans="1:72" hidden="1" x14ac:dyDescent="0.25">
      <c r="A500" s="11">
        <f t="shared" si="168"/>
        <v>499</v>
      </c>
      <c r="B500" s="44" t="s">
        <v>1680</v>
      </c>
      <c r="C500" s="45" t="s">
        <v>59</v>
      </c>
      <c r="D500" s="45" t="s">
        <v>1551</v>
      </c>
      <c r="E500" s="45" t="s">
        <v>1542</v>
      </c>
      <c r="F500" s="45"/>
      <c r="G500" s="45" t="s">
        <v>1037</v>
      </c>
      <c r="H500" s="45" t="s">
        <v>1101</v>
      </c>
      <c r="I500" s="45"/>
      <c r="J500" s="45"/>
      <c r="K500" s="44"/>
      <c r="L500" s="54"/>
      <c r="M500" s="51"/>
      <c r="N500" s="44"/>
      <c r="O500" s="45"/>
      <c r="P500" s="45"/>
      <c r="Q500" s="55">
        <v>0.21</v>
      </c>
      <c r="R500" s="1">
        <f t="shared" si="169"/>
        <v>1260000</v>
      </c>
      <c r="S500" s="56"/>
      <c r="T500" s="2">
        <f t="shared" si="170"/>
        <v>6000000</v>
      </c>
      <c r="U500" s="54"/>
      <c r="V500" s="54"/>
      <c r="W500" s="54"/>
      <c r="X500" s="54"/>
      <c r="Y500" s="54"/>
      <c r="Z500" s="54">
        <v>1000000</v>
      </c>
      <c r="AA500" s="54">
        <v>1000000</v>
      </c>
      <c r="AB500" s="51">
        <v>2000000</v>
      </c>
      <c r="AC500" s="51">
        <v>1000000</v>
      </c>
      <c r="AD500" s="51">
        <v>1000000</v>
      </c>
      <c r="AE500" s="51">
        <v>1000000</v>
      </c>
      <c r="AF500" s="51">
        <v>1000000</v>
      </c>
      <c r="AG500" s="13">
        <f t="shared" si="183"/>
        <v>1000000</v>
      </c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45"/>
      <c r="AU500" s="4" t="s">
        <v>1105</v>
      </c>
      <c r="AV500" s="4" t="s">
        <v>1218</v>
      </c>
      <c r="AW500" s="45"/>
      <c r="AX500" s="45"/>
      <c r="AY500" s="45"/>
      <c r="AZ500" s="45"/>
      <c r="BA500" s="45"/>
      <c r="BB500" s="45"/>
      <c r="BC500" s="45"/>
      <c r="BD500" s="52"/>
      <c r="BE500" s="45"/>
      <c r="BF500" s="53"/>
      <c r="BG500" s="53"/>
      <c r="BH500" s="53"/>
      <c r="BI500" s="53"/>
      <c r="BJ500" s="53"/>
      <c r="BK500" s="57"/>
      <c r="BL500" s="51"/>
      <c r="BM500" s="9">
        <f t="shared" si="184"/>
        <v>0</v>
      </c>
      <c r="BN500" s="9">
        <f t="shared" si="166"/>
        <v>210000</v>
      </c>
      <c r="BO500" s="9">
        <f t="shared" si="167"/>
        <v>210000</v>
      </c>
      <c r="BP500" s="9">
        <f t="shared" si="171"/>
        <v>420000</v>
      </c>
      <c r="BQ500" s="9">
        <f t="shared" si="172"/>
        <v>210000</v>
      </c>
      <c r="BR500" s="9">
        <f t="shared" si="173"/>
        <v>210000</v>
      </c>
      <c r="BS500" s="9">
        <f t="shared" si="174"/>
        <v>210000</v>
      </c>
      <c r="BT500" s="9">
        <f t="shared" si="175"/>
        <v>210000</v>
      </c>
    </row>
    <row r="501" spans="1:72" hidden="1" x14ac:dyDescent="0.25">
      <c r="A501" s="11">
        <f t="shared" si="168"/>
        <v>500</v>
      </c>
      <c r="B501" s="44" t="s">
        <v>1680</v>
      </c>
      <c r="C501" s="45" t="s">
        <v>59</v>
      </c>
      <c r="D501" s="45" t="s">
        <v>1551</v>
      </c>
      <c r="E501" s="45" t="s">
        <v>1542</v>
      </c>
      <c r="F501" s="45"/>
      <c r="G501" s="45" t="s">
        <v>1038</v>
      </c>
      <c r="H501" s="45" t="s">
        <v>1812</v>
      </c>
      <c r="I501" s="45"/>
      <c r="J501" s="45"/>
      <c r="K501" s="44"/>
      <c r="L501" s="54"/>
      <c r="M501" s="51"/>
      <c r="N501" s="44"/>
      <c r="O501" s="45"/>
      <c r="P501" s="45"/>
      <c r="Q501" s="55">
        <v>0.21</v>
      </c>
      <c r="R501" s="1">
        <f t="shared" si="169"/>
        <v>367500</v>
      </c>
      <c r="S501" s="56"/>
      <c r="T501" s="2">
        <f t="shared" si="170"/>
        <v>1750000</v>
      </c>
      <c r="U501" s="54"/>
      <c r="V501" s="54"/>
      <c r="W501" s="54"/>
      <c r="X501" s="54"/>
      <c r="Y501" s="54"/>
      <c r="Z501" s="54">
        <v>250000</v>
      </c>
      <c r="AA501" s="54">
        <v>250000</v>
      </c>
      <c r="AB501" s="51">
        <v>750000</v>
      </c>
      <c r="AC501" s="51">
        <v>250000</v>
      </c>
      <c r="AD501" s="51">
        <v>250000</v>
      </c>
      <c r="AE501" s="51">
        <v>250000</v>
      </c>
      <c r="AF501" s="51">
        <v>250000</v>
      </c>
      <c r="AG501" s="13">
        <f t="shared" si="183"/>
        <v>250000</v>
      </c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45"/>
      <c r="AU501" s="4" t="s">
        <v>1105</v>
      </c>
      <c r="AV501" s="4" t="s">
        <v>1218</v>
      </c>
      <c r="AW501" s="45"/>
      <c r="AX501" s="45"/>
      <c r="AY501" s="45"/>
      <c r="AZ501" s="45"/>
      <c r="BA501" s="45"/>
      <c r="BB501" s="45"/>
      <c r="BC501" s="45"/>
      <c r="BD501" s="52"/>
      <c r="BE501" s="45"/>
      <c r="BF501" s="53"/>
      <c r="BG501" s="53"/>
      <c r="BH501" s="53"/>
      <c r="BI501" s="53"/>
      <c r="BJ501" s="53"/>
      <c r="BK501" s="57"/>
      <c r="BL501" s="51"/>
      <c r="BM501" s="9">
        <f t="shared" si="184"/>
        <v>0</v>
      </c>
      <c r="BN501" s="9">
        <f t="shared" si="166"/>
        <v>52500</v>
      </c>
      <c r="BO501" s="9">
        <f t="shared" si="167"/>
        <v>52500</v>
      </c>
      <c r="BP501" s="9">
        <f t="shared" si="171"/>
        <v>157500</v>
      </c>
      <c r="BQ501" s="9">
        <f t="shared" si="172"/>
        <v>52500</v>
      </c>
      <c r="BR501" s="9">
        <f t="shared" si="173"/>
        <v>52500</v>
      </c>
      <c r="BS501" s="9">
        <f t="shared" si="174"/>
        <v>52500</v>
      </c>
      <c r="BT501" s="9">
        <f t="shared" si="175"/>
        <v>52500</v>
      </c>
    </row>
    <row r="502" spans="1:72" hidden="1" x14ac:dyDescent="0.25">
      <c r="A502" s="11">
        <f t="shared" si="168"/>
        <v>501</v>
      </c>
      <c r="B502" s="44" t="s">
        <v>1680</v>
      </c>
      <c r="C502" s="45" t="s">
        <v>59</v>
      </c>
      <c r="D502" s="45" t="s">
        <v>1551</v>
      </c>
      <c r="E502" s="45" t="s">
        <v>1542</v>
      </c>
      <c r="F502" s="45"/>
      <c r="G502" s="45" t="s">
        <v>1825</v>
      </c>
      <c r="H502" s="45" t="s">
        <v>1826</v>
      </c>
      <c r="I502" s="45"/>
      <c r="J502" s="45"/>
      <c r="K502" s="44"/>
      <c r="L502" s="54"/>
      <c r="M502" s="51"/>
      <c r="N502" s="44"/>
      <c r="O502" s="45"/>
      <c r="P502" s="45"/>
      <c r="Q502" s="55">
        <v>0.21</v>
      </c>
      <c r="R502" s="1">
        <f t="shared" ref="R502" si="185">Q502*T502</f>
        <v>52500</v>
      </c>
      <c r="S502" s="56"/>
      <c r="T502" s="2">
        <f t="shared" ref="T502" si="186">SUM(AB502:AF502)</f>
        <v>250000</v>
      </c>
      <c r="U502" s="54"/>
      <c r="V502" s="54"/>
      <c r="W502" s="54"/>
      <c r="X502" s="54"/>
      <c r="Y502" s="54"/>
      <c r="Z502" s="54"/>
      <c r="AA502" s="54"/>
      <c r="AB502" s="54">
        <v>250000</v>
      </c>
      <c r="AC502" s="54"/>
      <c r="AD502" s="54"/>
      <c r="AE502" s="54"/>
      <c r="AF502" s="54"/>
      <c r="AG502" s="13">
        <f t="shared" si="183"/>
        <v>0</v>
      </c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45"/>
      <c r="AU502" s="4" t="s">
        <v>1105</v>
      </c>
      <c r="AV502" s="4" t="s">
        <v>1218</v>
      </c>
      <c r="AW502" s="45"/>
      <c r="AX502" s="45"/>
      <c r="AY502" s="45"/>
      <c r="AZ502" s="45"/>
      <c r="BA502" s="45"/>
      <c r="BB502" s="45"/>
      <c r="BC502" s="45"/>
      <c r="BD502" s="52"/>
      <c r="BE502" s="45"/>
      <c r="BF502" s="53"/>
      <c r="BG502" s="53"/>
      <c r="BH502" s="53"/>
      <c r="BI502" s="53"/>
      <c r="BJ502" s="53"/>
      <c r="BK502" s="57"/>
      <c r="BL502" s="51"/>
      <c r="BM502" s="9">
        <f t="shared" ref="BM502" si="187">$Q502*Y502</f>
        <v>0</v>
      </c>
      <c r="BN502" s="9">
        <f t="shared" ref="BN502" si="188">$Q502*Z502</f>
        <v>0</v>
      </c>
      <c r="BO502" s="9">
        <f t="shared" ref="BO502" si="189">$Q502*AA502</f>
        <v>0</v>
      </c>
      <c r="BP502" s="9">
        <f t="shared" si="171"/>
        <v>52500</v>
      </c>
      <c r="BQ502" s="9">
        <f t="shared" si="172"/>
        <v>0</v>
      </c>
      <c r="BR502" s="9">
        <f t="shared" si="173"/>
        <v>0</v>
      </c>
      <c r="BS502" s="9">
        <f t="shared" si="174"/>
        <v>0</v>
      </c>
      <c r="BT502" s="9">
        <f t="shared" si="175"/>
        <v>0</v>
      </c>
    </row>
    <row r="503" spans="1:72" hidden="1" x14ac:dyDescent="0.25">
      <c r="A503" s="11">
        <f t="shared" si="168"/>
        <v>502</v>
      </c>
      <c r="B503" s="44" t="s">
        <v>1680</v>
      </c>
      <c r="C503" s="45" t="s">
        <v>59</v>
      </c>
      <c r="D503" s="45" t="s">
        <v>1551</v>
      </c>
      <c r="E503" s="45" t="s">
        <v>1542</v>
      </c>
      <c r="F503" s="45"/>
      <c r="G503" s="45" t="s">
        <v>1102</v>
      </c>
      <c r="H503" s="45" t="s">
        <v>1103</v>
      </c>
      <c r="I503" s="45"/>
      <c r="J503" s="45"/>
      <c r="K503" s="44"/>
      <c r="L503" s="54"/>
      <c r="M503" s="51"/>
      <c r="N503" s="44"/>
      <c r="O503" s="45"/>
      <c r="P503" s="45"/>
      <c r="Q503" s="55">
        <v>0.21</v>
      </c>
      <c r="R503" s="1">
        <f t="shared" si="169"/>
        <v>315000</v>
      </c>
      <c r="S503" s="56"/>
      <c r="T503" s="2">
        <f t="shared" si="170"/>
        <v>1500000</v>
      </c>
      <c r="U503" s="54"/>
      <c r="V503" s="54"/>
      <c r="W503" s="54"/>
      <c r="X503" s="54"/>
      <c r="Y503" s="54"/>
      <c r="Z503" s="54">
        <v>250000</v>
      </c>
      <c r="AA503" s="54">
        <v>250000</v>
      </c>
      <c r="AB503" s="54">
        <v>500000</v>
      </c>
      <c r="AC503" s="54">
        <v>250000</v>
      </c>
      <c r="AD503" s="54">
        <v>250000</v>
      </c>
      <c r="AE503" s="54">
        <v>250000</v>
      </c>
      <c r="AF503" s="54">
        <v>250000</v>
      </c>
      <c r="AG503" s="13">
        <f t="shared" si="183"/>
        <v>250000</v>
      </c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45"/>
      <c r="AU503" s="4" t="s">
        <v>1105</v>
      </c>
      <c r="AV503" s="4" t="s">
        <v>1218</v>
      </c>
      <c r="AW503" s="45"/>
      <c r="AX503" s="45"/>
      <c r="AY503" s="45"/>
      <c r="AZ503" s="45"/>
      <c r="BA503" s="45"/>
      <c r="BB503" s="45"/>
      <c r="BC503" s="45"/>
      <c r="BD503" s="52"/>
      <c r="BE503" s="45"/>
      <c r="BF503" s="53"/>
      <c r="BG503" s="53"/>
      <c r="BH503" s="53"/>
      <c r="BI503" s="53"/>
      <c r="BJ503" s="53"/>
      <c r="BK503" s="57"/>
      <c r="BL503" s="51"/>
      <c r="BM503" s="9">
        <f t="shared" si="184"/>
        <v>0</v>
      </c>
      <c r="BN503" s="9">
        <f t="shared" si="166"/>
        <v>52500</v>
      </c>
      <c r="BO503" s="9">
        <f t="shared" si="167"/>
        <v>52500</v>
      </c>
      <c r="BP503" s="9">
        <f t="shared" si="171"/>
        <v>105000</v>
      </c>
      <c r="BQ503" s="9">
        <f t="shared" si="172"/>
        <v>52500</v>
      </c>
      <c r="BR503" s="9">
        <f t="shared" si="173"/>
        <v>52500</v>
      </c>
      <c r="BS503" s="9">
        <f t="shared" si="174"/>
        <v>52500</v>
      </c>
      <c r="BT503" s="9">
        <f t="shared" si="175"/>
        <v>52500</v>
      </c>
    </row>
    <row r="504" spans="1:72" hidden="1" x14ac:dyDescent="0.25">
      <c r="A504" s="11">
        <f t="shared" si="168"/>
        <v>503</v>
      </c>
      <c r="B504" s="5" t="s">
        <v>1681</v>
      </c>
      <c r="C504" s="4" t="s">
        <v>59</v>
      </c>
      <c r="D504" s="4" t="s">
        <v>1123</v>
      </c>
      <c r="E504" s="4" t="s">
        <v>1682</v>
      </c>
      <c r="F504" s="4" t="s">
        <v>1683</v>
      </c>
      <c r="G504" s="4" t="s">
        <v>937</v>
      </c>
      <c r="H504" s="4" t="s">
        <v>1289</v>
      </c>
      <c r="I504" s="4"/>
      <c r="J504" s="4"/>
      <c r="K504" s="5" t="s">
        <v>1221</v>
      </c>
      <c r="L504" s="24">
        <v>60000</v>
      </c>
      <c r="M504" s="13" t="s">
        <v>297</v>
      </c>
      <c r="N504" s="5"/>
      <c r="O504" s="4" t="s">
        <v>453</v>
      </c>
      <c r="P504" s="4"/>
      <c r="Q504" s="42">
        <v>0.52</v>
      </c>
      <c r="R504" s="1">
        <f t="shared" si="169"/>
        <v>10920</v>
      </c>
      <c r="S504" s="38">
        <v>0</v>
      </c>
      <c r="T504" s="2">
        <f t="shared" si="170"/>
        <v>21000</v>
      </c>
      <c r="U504" s="24"/>
      <c r="V504" s="24"/>
      <c r="W504" s="24"/>
      <c r="X504" s="13"/>
      <c r="Y504" s="13">
        <v>3000</v>
      </c>
      <c r="Z504" s="13">
        <v>3000</v>
      </c>
      <c r="AA504" s="13">
        <v>3000</v>
      </c>
      <c r="AB504" s="13">
        <v>3000</v>
      </c>
      <c r="AC504" s="13">
        <v>3000</v>
      </c>
      <c r="AD504" s="13">
        <v>5000</v>
      </c>
      <c r="AE504" s="13">
        <v>5000</v>
      </c>
      <c r="AF504" s="13">
        <v>5000</v>
      </c>
      <c r="AG504" s="13">
        <f t="shared" si="183"/>
        <v>5000</v>
      </c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4" t="s">
        <v>723</v>
      </c>
      <c r="AU504" s="4" t="s">
        <v>685</v>
      </c>
      <c r="AV504" s="4" t="s">
        <v>1218</v>
      </c>
      <c r="AW504" s="4" t="s">
        <v>98</v>
      </c>
      <c r="AX504" s="4" t="s">
        <v>753</v>
      </c>
      <c r="AY504" s="4" t="s">
        <v>1144</v>
      </c>
      <c r="AZ504" s="4" t="s">
        <v>903</v>
      </c>
      <c r="BA504" s="4" t="s">
        <v>1222</v>
      </c>
      <c r="BB504" s="4" t="s">
        <v>1223</v>
      </c>
      <c r="BC504" s="4"/>
      <c r="BD504" s="23">
        <v>3</v>
      </c>
      <c r="BE504" s="4">
        <v>45736</v>
      </c>
      <c r="BF504" s="18">
        <v>45432</v>
      </c>
      <c r="BG504" s="18">
        <v>45463</v>
      </c>
      <c r="BH504" s="18">
        <v>45493</v>
      </c>
      <c r="BI504" s="18">
        <v>45585</v>
      </c>
      <c r="BJ504" s="18">
        <v>45646</v>
      </c>
      <c r="BK504" s="26">
        <v>1</v>
      </c>
      <c r="BL504" s="13">
        <v>5</v>
      </c>
      <c r="BM504" s="9">
        <f t="shared" si="184"/>
        <v>1560</v>
      </c>
      <c r="BN504" s="9">
        <f t="shared" si="166"/>
        <v>1560</v>
      </c>
      <c r="BO504" s="9">
        <f t="shared" si="167"/>
        <v>1560</v>
      </c>
      <c r="BP504" s="9">
        <f t="shared" si="171"/>
        <v>1560</v>
      </c>
      <c r="BQ504" s="9">
        <f t="shared" si="172"/>
        <v>1560</v>
      </c>
      <c r="BR504" s="9">
        <f t="shared" si="173"/>
        <v>2600</v>
      </c>
      <c r="BS504" s="9">
        <f t="shared" si="174"/>
        <v>2600</v>
      </c>
      <c r="BT504" s="9">
        <f t="shared" si="175"/>
        <v>2600</v>
      </c>
    </row>
    <row r="505" spans="1:72" hidden="1" x14ac:dyDescent="0.25">
      <c r="A505" s="11">
        <f t="shared" si="168"/>
        <v>504</v>
      </c>
      <c r="B505" s="5" t="s">
        <v>1681</v>
      </c>
      <c r="C505" s="4" t="s">
        <v>59</v>
      </c>
      <c r="D505" s="4" t="s">
        <v>1123</v>
      </c>
      <c r="E505" s="4" t="s">
        <v>1682</v>
      </c>
      <c r="F505" s="4" t="s">
        <v>1683</v>
      </c>
      <c r="G505" s="4" t="s">
        <v>345</v>
      </c>
      <c r="H505" s="4" t="s">
        <v>1290</v>
      </c>
      <c r="I505" s="4"/>
      <c r="J505" s="4"/>
      <c r="K505" s="5" t="s">
        <v>1221</v>
      </c>
      <c r="L505" s="24">
        <v>200000</v>
      </c>
      <c r="M505" s="13" t="s">
        <v>74</v>
      </c>
      <c r="N505" s="5"/>
      <c r="O505" s="4" t="s">
        <v>453</v>
      </c>
      <c r="P505" s="4"/>
      <c r="Q505" s="42">
        <v>0.52</v>
      </c>
      <c r="R505" s="1">
        <f t="shared" si="169"/>
        <v>6760</v>
      </c>
      <c r="S505" s="38">
        <v>0</v>
      </c>
      <c r="T505" s="2">
        <f t="shared" si="170"/>
        <v>13000</v>
      </c>
      <c r="U505" s="24"/>
      <c r="V505" s="24"/>
      <c r="W505" s="24"/>
      <c r="X505" s="13"/>
      <c r="Y505" s="13"/>
      <c r="Z505" s="13"/>
      <c r="AA505" s="13"/>
      <c r="AB505" s="13"/>
      <c r="AC505" s="13"/>
      <c r="AD505" s="13"/>
      <c r="AE505" s="13">
        <v>5000</v>
      </c>
      <c r="AF505" s="13">
        <v>8000</v>
      </c>
      <c r="AG505" s="13">
        <f t="shared" si="183"/>
        <v>8000</v>
      </c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4" t="s">
        <v>723</v>
      </c>
      <c r="AU505" s="4" t="s">
        <v>685</v>
      </c>
      <c r="AV505" s="4" t="s">
        <v>1218</v>
      </c>
      <c r="AW505" s="4" t="s">
        <v>98</v>
      </c>
      <c r="AX505" s="4" t="s">
        <v>753</v>
      </c>
      <c r="AY505" s="4" t="s">
        <v>1144</v>
      </c>
      <c r="AZ505" s="4" t="s">
        <v>903</v>
      </c>
      <c r="BA505" s="4" t="s">
        <v>112</v>
      </c>
      <c r="BB505" s="4" t="s">
        <v>1224</v>
      </c>
      <c r="BC505" s="4"/>
      <c r="BD505" s="23">
        <v>4</v>
      </c>
      <c r="BE505" s="4">
        <v>45950</v>
      </c>
      <c r="BF505" s="18">
        <v>45575</v>
      </c>
      <c r="BG505" s="18">
        <v>45590</v>
      </c>
      <c r="BH505" s="18">
        <v>45616</v>
      </c>
      <c r="BI505" s="18">
        <v>45736</v>
      </c>
      <c r="BJ505" s="18">
        <v>45828</v>
      </c>
      <c r="BK505" s="26">
        <v>1</v>
      </c>
      <c r="BL505" s="13">
        <v>5</v>
      </c>
      <c r="BM505" s="9">
        <f t="shared" si="184"/>
        <v>0</v>
      </c>
      <c r="BN505" s="9">
        <f t="shared" si="166"/>
        <v>0</v>
      </c>
      <c r="BO505" s="9">
        <f t="shared" si="167"/>
        <v>0</v>
      </c>
      <c r="BP505" s="9">
        <f t="shared" si="171"/>
        <v>0</v>
      </c>
      <c r="BQ505" s="9">
        <f t="shared" si="172"/>
        <v>0</v>
      </c>
      <c r="BR505" s="9">
        <f t="shared" si="173"/>
        <v>0</v>
      </c>
      <c r="BS505" s="9">
        <f t="shared" si="174"/>
        <v>2600</v>
      </c>
      <c r="BT505" s="9">
        <f t="shared" si="175"/>
        <v>4160</v>
      </c>
    </row>
    <row r="506" spans="1:72" hidden="1" x14ac:dyDescent="0.25">
      <c r="A506" s="11">
        <f t="shared" si="168"/>
        <v>505</v>
      </c>
      <c r="B506" s="5" t="s">
        <v>1681</v>
      </c>
      <c r="C506" s="4" t="s">
        <v>59</v>
      </c>
      <c r="D506" s="4" t="s">
        <v>1123</v>
      </c>
      <c r="E506" s="4" t="s">
        <v>1682</v>
      </c>
      <c r="F506" s="4" t="s">
        <v>1683</v>
      </c>
      <c r="G506" s="4" t="s">
        <v>1127</v>
      </c>
      <c r="H506" s="4" t="s">
        <v>1291</v>
      </c>
      <c r="I506" s="4"/>
      <c r="J506" s="4"/>
      <c r="K506" s="5" t="s">
        <v>1225</v>
      </c>
      <c r="L506" s="24">
        <v>200000</v>
      </c>
      <c r="M506" s="13" t="s">
        <v>74</v>
      </c>
      <c r="N506" s="5"/>
      <c r="O506" s="4" t="s">
        <v>453</v>
      </c>
      <c r="P506" s="4"/>
      <c r="Q506" s="42">
        <v>3.7</v>
      </c>
      <c r="R506" s="1">
        <f t="shared" si="169"/>
        <v>111000</v>
      </c>
      <c r="S506" s="38">
        <v>0</v>
      </c>
      <c r="T506" s="2">
        <f t="shared" si="170"/>
        <v>30000</v>
      </c>
      <c r="U506" s="24"/>
      <c r="V506" s="24"/>
      <c r="W506" s="24"/>
      <c r="X506" s="13"/>
      <c r="Y506" s="13"/>
      <c r="Z506" s="13"/>
      <c r="AA506" s="13"/>
      <c r="AB506" s="13"/>
      <c r="AC506" s="13"/>
      <c r="AD506" s="13">
        <v>10000</v>
      </c>
      <c r="AE506" s="13">
        <v>10000</v>
      </c>
      <c r="AF506" s="13">
        <v>10000</v>
      </c>
      <c r="AG506" s="13">
        <f t="shared" si="183"/>
        <v>10000</v>
      </c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4" t="s">
        <v>787</v>
      </c>
      <c r="AU506" s="4" t="s">
        <v>685</v>
      </c>
      <c r="AV506" s="4" t="s">
        <v>1217</v>
      </c>
      <c r="AW506" s="4" t="s">
        <v>98</v>
      </c>
      <c r="AX506" s="4" t="s">
        <v>753</v>
      </c>
      <c r="AY506" s="4" t="s">
        <v>1144</v>
      </c>
      <c r="AZ506" s="4" t="s">
        <v>903</v>
      </c>
      <c r="BA506" s="4" t="s">
        <v>112</v>
      </c>
      <c r="BB506" s="4" t="s">
        <v>1224</v>
      </c>
      <c r="BC506" s="4"/>
      <c r="BD506" s="23">
        <v>4</v>
      </c>
      <c r="BE506" s="4">
        <v>45950</v>
      </c>
      <c r="BF506" s="18">
        <v>45575</v>
      </c>
      <c r="BG506" s="18">
        <v>45590</v>
      </c>
      <c r="BH506" s="18">
        <v>45616</v>
      </c>
      <c r="BI506" s="18">
        <v>45736</v>
      </c>
      <c r="BJ506" s="18">
        <v>45828</v>
      </c>
      <c r="BK506" s="26">
        <v>1</v>
      </c>
      <c r="BL506" s="13">
        <v>5</v>
      </c>
      <c r="BM506" s="9">
        <f t="shared" si="184"/>
        <v>0</v>
      </c>
      <c r="BN506" s="9">
        <f t="shared" si="166"/>
        <v>0</v>
      </c>
      <c r="BO506" s="9">
        <f t="shared" si="167"/>
        <v>0</v>
      </c>
      <c r="BP506" s="9">
        <f t="shared" si="171"/>
        <v>0</v>
      </c>
      <c r="BQ506" s="9">
        <f t="shared" si="172"/>
        <v>0</v>
      </c>
      <c r="BR506" s="9">
        <f t="shared" si="173"/>
        <v>37000</v>
      </c>
      <c r="BS506" s="9">
        <f t="shared" si="174"/>
        <v>37000</v>
      </c>
      <c r="BT506" s="9">
        <f t="shared" si="175"/>
        <v>37000</v>
      </c>
    </row>
    <row r="507" spans="1:72" hidden="1" x14ac:dyDescent="0.25">
      <c r="A507" s="11">
        <f t="shared" si="168"/>
        <v>506</v>
      </c>
      <c r="B507" s="5" t="s">
        <v>1226</v>
      </c>
      <c r="C507" s="4" t="s">
        <v>59</v>
      </c>
      <c r="D507" s="4" t="s">
        <v>1123</v>
      </c>
      <c r="E507" s="4" t="s">
        <v>1682</v>
      </c>
      <c r="F507" s="4" t="s">
        <v>1683</v>
      </c>
      <c r="G507" s="4" t="s">
        <v>345</v>
      </c>
      <c r="H507" s="4" t="s">
        <v>1290</v>
      </c>
      <c r="I507" s="4"/>
      <c r="J507" s="4"/>
      <c r="K507" s="5" t="s">
        <v>1221</v>
      </c>
      <c r="L507" s="24">
        <v>120000</v>
      </c>
      <c r="M507" s="13" t="s">
        <v>74</v>
      </c>
      <c r="N507" s="5"/>
      <c r="O507" s="4" t="s">
        <v>453</v>
      </c>
      <c r="P507" s="4"/>
      <c r="Q507" s="42">
        <v>3.7</v>
      </c>
      <c r="R507" s="1">
        <f t="shared" si="169"/>
        <v>111000</v>
      </c>
      <c r="S507" s="38">
        <v>0</v>
      </c>
      <c r="T507" s="2">
        <f t="shared" si="170"/>
        <v>30000</v>
      </c>
      <c r="U507" s="24"/>
      <c r="V507" s="24"/>
      <c r="W507" s="24"/>
      <c r="X507" s="13"/>
      <c r="Y507" s="13"/>
      <c r="Z507" s="13"/>
      <c r="AA507" s="13"/>
      <c r="AB507" s="13"/>
      <c r="AC507" s="13"/>
      <c r="AD507" s="13">
        <v>10000</v>
      </c>
      <c r="AE507" s="13">
        <v>10000</v>
      </c>
      <c r="AF507" s="13">
        <v>10000</v>
      </c>
      <c r="AG507" s="13">
        <f t="shared" si="183"/>
        <v>10000</v>
      </c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4" t="s">
        <v>1106</v>
      </c>
      <c r="AU507" s="4" t="s">
        <v>685</v>
      </c>
      <c r="AV507" s="4" t="s">
        <v>1218</v>
      </c>
      <c r="AW507" s="4" t="s">
        <v>98</v>
      </c>
      <c r="AX507" s="4" t="s">
        <v>753</v>
      </c>
      <c r="AY507" s="4" t="s">
        <v>1144</v>
      </c>
      <c r="AZ507" s="4" t="s">
        <v>903</v>
      </c>
      <c r="BA507" s="4" t="s">
        <v>112</v>
      </c>
      <c r="BB507" s="4" t="s">
        <v>1224</v>
      </c>
      <c r="BC507" s="4"/>
      <c r="BD507" s="23">
        <v>4</v>
      </c>
      <c r="BE507" s="4">
        <v>45950</v>
      </c>
      <c r="BF507" s="18">
        <v>45575</v>
      </c>
      <c r="BG507" s="18">
        <v>45590</v>
      </c>
      <c r="BH507" s="18">
        <v>45616</v>
      </c>
      <c r="BI507" s="18">
        <v>45736</v>
      </c>
      <c r="BJ507" s="18">
        <v>45828</v>
      </c>
      <c r="BK507" s="26">
        <v>1</v>
      </c>
      <c r="BL507" s="13">
        <v>5</v>
      </c>
      <c r="BM507" s="9">
        <f t="shared" si="184"/>
        <v>0</v>
      </c>
      <c r="BN507" s="9">
        <f t="shared" si="166"/>
        <v>0</v>
      </c>
      <c r="BO507" s="9">
        <f t="shared" si="167"/>
        <v>0</v>
      </c>
      <c r="BP507" s="9">
        <f t="shared" si="171"/>
        <v>0</v>
      </c>
      <c r="BQ507" s="9">
        <f t="shared" si="172"/>
        <v>0</v>
      </c>
      <c r="BR507" s="9">
        <f t="shared" si="173"/>
        <v>37000</v>
      </c>
      <c r="BS507" s="9">
        <f t="shared" si="174"/>
        <v>37000</v>
      </c>
      <c r="BT507" s="9">
        <f t="shared" si="175"/>
        <v>37000</v>
      </c>
    </row>
    <row r="508" spans="1:72" hidden="1" x14ac:dyDescent="0.25">
      <c r="A508" s="11">
        <f t="shared" si="168"/>
        <v>507</v>
      </c>
      <c r="B508" s="5" t="s">
        <v>1684</v>
      </c>
      <c r="C508" s="4" t="s">
        <v>186</v>
      </c>
      <c r="D508" s="4" t="s">
        <v>1123</v>
      </c>
      <c r="E508" s="4" t="s">
        <v>1682</v>
      </c>
      <c r="F508" s="4" t="s">
        <v>1683</v>
      </c>
      <c r="G508" s="4" t="s">
        <v>86</v>
      </c>
      <c r="H508" s="4" t="s">
        <v>1098</v>
      </c>
      <c r="I508" s="4"/>
      <c r="J508" s="4"/>
      <c r="K508" s="5" t="s">
        <v>488</v>
      </c>
      <c r="L508" s="24">
        <v>500000</v>
      </c>
      <c r="M508" s="13" t="s">
        <v>74</v>
      </c>
      <c r="N508" s="5"/>
      <c r="O508" s="4" t="s">
        <v>1107</v>
      </c>
      <c r="P508" s="4"/>
      <c r="Q508" s="42">
        <v>3.6</v>
      </c>
      <c r="R508" s="1">
        <f t="shared" si="169"/>
        <v>0</v>
      </c>
      <c r="S508" s="38">
        <v>0</v>
      </c>
      <c r="T508" s="2">
        <f t="shared" si="170"/>
        <v>0</v>
      </c>
      <c r="U508" s="24"/>
      <c r="V508" s="24"/>
      <c r="W508" s="24"/>
      <c r="X508" s="13"/>
      <c r="Y508" s="13"/>
      <c r="Z508" s="13"/>
      <c r="AA508" s="13"/>
      <c r="AB508" s="13"/>
      <c r="AC508" s="13"/>
      <c r="AD508" s="13"/>
      <c r="AE508" s="13"/>
      <c r="AF508" s="13"/>
      <c r="AG508" s="13">
        <f t="shared" si="183"/>
        <v>0</v>
      </c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4" t="s">
        <v>787</v>
      </c>
      <c r="AU508" s="4" t="s">
        <v>685</v>
      </c>
      <c r="AV508" s="4" t="s">
        <v>1217</v>
      </c>
      <c r="AW508" s="4" t="s">
        <v>98</v>
      </c>
      <c r="AX508" s="4" t="s">
        <v>99</v>
      </c>
      <c r="AY508" s="4" t="s">
        <v>1108</v>
      </c>
      <c r="AZ508" s="4" t="s">
        <v>1109</v>
      </c>
      <c r="BA508" s="4"/>
      <c r="BB508" s="4"/>
      <c r="BC508" s="4"/>
      <c r="BD508" s="23">
        <v>1</v>
      </c>
      <c r="BE508" s="4">
        <v>45828</v>
      </c>
      <c r="BF508" s="18">
        <v>45371</v>
      </c>
      <c r="BG508" s="18">
        <v>45585</v>
      </c>
      <c r="BH508" s="18">
        <v>45646</v>
      </c>
      <c r="BI508" s="18">
        <v>45708</v>
      </c>
      <c r="BJ508" s="18">
        <v>45767</v>
      </c>
      <c r="BK508" s="26">
        <v>0.5</v>
      </c>
      <c r="BL508" s="13">
        <v>5</v>
      </c>
      <c r="BM508" s="9">
        <f t="shared" si="184"/>
        <v>0</v>
      </c>
      <c r="BN508" s="9">
        <f t="shared" si="166"/>
        <v>0</v>
      </c>
      <c r="BO508" s="9">
        <f t="shared" si="167"/>
        <v>0</v>
      </c>
      <c r="BP508" s="9">
        <f t="shared" si="171"/>
        <v>0</v>
      </c>
      <c r="BQ508" s="9">
        <f t="shared" si="172"/>
        <v>0</v>
      </c>
      <c r="BR508" s="9">
        <f t="shared" si="173"/>
        <v>0</v>
      </c>
      <c r="BS508" s="9">
        <f t="shared" si="174"/>
        <v>0</v>
      </c>
      <c r="BT508" s="9">
        <f t="shared" si="175"/>
        <v>0</v>
      </c>
    </row>
    <row r="509" spans="1:72" hidden="1" x14ac:dyDescent="0.25">
      <c r="A509" s="11">
        <f t="shared" si="168"/>
        <v>508</v>
      </c>
      <c r="B509" s="5" t="s">
        <v>1684</v>
      </c>
      <c r="C509" s="4" t="s">
        <v>186</v>
      </c>
      <c r="D509" s="4" t="s">
        <v>1123</v>
      </c>
      <c r="E509" s="4" t="s">
        <v>1682</v>
      </c>
      <c r="F509" s="4" t="s">
        <v>1683</v>
      </c>
      <c r="G509" s="4" t="s">
        <v>904</v>
      </c>
      <c r="H509" s="4" t="s">
        <v>924</v>
      </c>
      <c r="I509" s="4"/>
      <c r="J509" s="4"/>
      <c r="K509" s="5" t="s">
        <v>488</v>
      </c>
      <c r="L509" s="24">
        <v>500000</v>
      </c>
      <c r="M509" s="13" t="s">
        <v>74</v>
      </c>
      <c r="N509" s="5"/>
      <c r="O509" s="4" t="s">
        <v>1110</v>
      </c>
      <c r="P509" s="4"/>
      <c r="Q509" s="42">
        <v>5.0999999999999996</v>
      </c>
      <c r="R509" s="1">
        <f t="shared" si="169"/>
        <v>0</v>
      </c>
      <c r="S509" s="38">
        <v>0</v>
      </c>
      <c r="T509" s="2">
        <f t="shared" si="170"/>
        <v>0</v>
      </c>
      <c r="U509" s="24"/>
      <c r="V509" s="24"/>
      <c r="W509" s="24"/>
      <c r="X509" s="13"/>
      <c r="Y509" s="13"/>
      <c r="Z509" s="13"/>
      <c r="AA509" s="13"/>
      <c r="AB509" s="13"/>
      <c r="AC509" s="13"/>
      <c r="AD509" s="13"/>
      <c r="AE509" s="13"/>
      <c r="AF509" s="13"/>
      <c r="AG509" s="13">
        <f t="shared" si="183"/>
        <v>0</v>
      </c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4" t="s">
        <v>787</v>
      </c>
      <c r="AU509" s="4" t="s">
        <v>685</v>
      </c>
      <c r="AV509" s="4" t="s">
        <v>1217</v>
      </c>
      <c r="AW509" s="4" t="s">
        <v>98</v>
      </c>
      <c r="AX509" s="4" t="s">
        <v>99</v>
      </c>
      <c r="AY509" s="4" t="s">
        <v>1108</v>
      </c>
      <c r="AZ509" s="4" t="s">
        <v>1109</v>
      </c>
      <c r="BA509" s="4"/>
      <c r="BB509" s="4"/>
      <c r="BC509" s="4"/>
      <c r="BD509" s="23">
        <v>1</v>
      </c>
      <c r="BE509" s="4">
        <v>45828</v>
      </c>
      <c r="BF509" s="18">
        <v>45371</v>
      </c>
      <c r="BG509" s="18">
        <v>45585</v>
      </c>
      <c r="BH509" s="18">
        <v>45646</v>
      </c>
      <c r="BI509" s="18">
        <v>45708</v>
      </c>
      <c r="BJ509" s="18">
        <v>45767</v>
      </c>
      <c r="BK509" s="26">
        <v>0.5</v>
      </c>
      <c r="BL509" s="13">
        <v>5</v>
      </c>
      <c r="BM509" s="9">
        <f t="shared" si="184"/>
        <v>0</v>
      </c>
      <c r="BN509" s="9">
        <f t="shared" si="166"/>
        <v>0</v>
      </c>
      <c r="BO509" s="9">
        <f t="shared" si="167"/>
        <v>0</v>
      </c>
      <c r="BP509" s="9">
        <f t="shared" si="171"/>
        <v>0</v>
      </c>
      <c r="BQ509" s="9">
        <f t="shared" si="172"/>
        <v>0</v>
      </c>
      <c r="BR509" s="9">
        <f t="shared" si="173"/>
        <v>0</v>
      </c>
      <c r="BS509" s="9">
        <f t="shared" si="174"/>
        <v>0</v>
      </c>
      <c r="BT509" s="9">
        <f t="shared" si="175"/>
        <v>0</v>
      </c>
    </row>
    <row r="510" spans="1:72" hidden="1" x14ac:dyDescent="0.25">
      <c r="A510" s="11">
        <f t="shared" si="168"/>
        <v>509</v>
      </c>
      <c r="B510" s="5" t="s">
        <v>1685</v>
      </c>
      <c r="C510" s="4" t="s">
        <v>59</v>
      </c>
      <c r="D510" s="4" t="s">
        <v>1123</v>
      </c>
      <c r="E510" s="4" t="s">
        <v>1682</v>
      </c>
      <c r="F510" s="4" t="s">
        <v>1686</v>
      </c>
      <c r="G510" s="4" t="s">
        <v>116</v>
      </c>
      <c r="H510" s="4" t="s">
        <v>1089</v>
      </c>
      <c r="I510" s="4"/>
      <c r="J510" s="4"/>
      <c r="K510" s="5" t="s">
        <v>523</v>
      </c>
      <c r="L510" s="24">
        <v>500000</v>
      </c>
      <c r="M510" s="13" t="s">
        <v>297</v>
      </c>
      <c r="N510" s="5"/>
      <c r="O510" s="4" t="s">
        <v>1227</v>
      </c>
      <c r="P510" s="4"/>
      <c r="Q510" s="42">
        <v>0.52</v>
      </c>
      <c r="R510" s="1">
        <f t="shared" si="169"/>
        <v>0</v>
      </c>
      <c r="S510" s="38">
        <v>0</v>
      </c>
      <c r="T510" s="2">
        <f t="shared" si="170"/>
        <v>0</v>
      </c>
      <c r="U510" s="24"/>
      <c r="V510" s="24"/>
      <c r="W510" s="24"/>
      <c r="X510" s="13"/>
      <c r="Y510" s="13"/>
      <c r="Z510" s="13"/>
      <c r="AA510" s="13"/>
      <c r="AB510" s="13"/>
      <c r="AC510" s="13"/>
      <c r="AD510" s="13"/>
      <c r="AE510" s="13"/>
      <c r="AF510" s="13"/>
      <c r="AG510" s="13">
        <f t="shared" si="183"/>
        <v>0</v>
      </c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4" t="s">
        <v>1106</v>
      </c>
      <c r="AU510" s="4" t="s">
        <v>685</v>
      </c>
      <c r="AV510" s="4" t="s">
        <v>1218</v>
      </c>
      <c r="AW510" s="4" t="s">
        <v>98</v>
      </c>
      <c r="AX510" s="4" t="s">
        <v>110</v>
      </c>
      <c r="AY510" s="4" t="s">
        <v>985</v>
      </c>
      <c r="AZ510" s="4" t="s">
        <v>1140</v>
      </c>
      <c r="BA510" s="4" t="s">
        <v>1228</v>
      </c>
      <c r="BB510" s="4"/>
      <c r="BC510" s="4"/>
      <c r="BD510" s="23">
        <v>2</v>
      </c>
      <c r="BE510" s="4">
        <v>45797</v>
      </c>
      <c r="BF510" s="18">
        <v>45432</v>
      </c>
      <c r="BG510" s="18">
        <v>45463</v>
      </c>
      <c r="BH510" s="18">
        <v>45493</v>
      </c>
      <c r="BI510" s="18">
        <v>45585</v>
      </c>
      <c r="BJ510" s="18">
        <v>45646</v>
      </c>
      <c r="BK510" s="26">
        <v>1</v>
      </c>
      <c r="BL510" s="13">
        <v>5</v>
      </c>
      <c r="BM510" s="9">
        <f t="shared" si="184"/>
        <v>0</v>
      </c>
      <c r="BN510" s="9">
        <f t="shared" si="166"/>
        <v>0</v>
      </c>
      <c r="BO510" s="9">
        <f t="shared" si="167"/>
        <v>0</v>
      </c>
      <c r="BP510" s="9">
        <f t="shared" si="171"/>
        <v>0</v>
      </c>
      <c r="BQ510" s="9">
        <f t="shared" si="172"/>
        <v>0</v>
      </c>
      <c r="BR510" s="9">
        <f t="shared" si="173"/>
        <v>0</v>
      </c>
      <c r="BS510" s="9">
        <f t="shared" si="174"/>
        <v>0</v>
      </c>
      <c r="BT510" s="9">
        <f t="shared" si="175"/>
        <v>0</v>
      </c>
    </row>
    <row r="511" spans="1:72" hidden="1" x14ac:dyDescent="0.25">
      <c r="A511" s="11">
        <f t="shared" si="168"/>
        <v>510</v>
      </c>
      <c r="B511" s="5" t="s">
        <v>1685</v>
      </c>
      <c r="C511" s="4" t="s">
        <v>59</v>
      </c>
      <c r="D511" s="4" t="s">
        <v>1123</v>
      </c>
      <c r="E511" s="4" t="s">
        <v>1682</v>
      </c>
      <c r="F511" s="4" t="s">
        <v>1686</v>
      </c>
      <c r="G511" s="4" t="s">
        <v>771</v>
      </c>
      <c r="H511" s="4" t="s">
        <v>1292</v>
      </c>
      <c r="I511" s="4"/>
      <c r="J511" s="4"/>
      <c r="K511" s="5" t="s">
        <v>1117</v>
      </c>
      <c r="L511" s="24">
        <v>500000</v>
      </c>
      <c r="M511" s="13" t="s">
        <v>297</v>
      </c>
      <c r="N511" s="5"/>
      <c r="O511" s="4" t="s">
        <v>453</v>
      </c>
      <c r="P511" s="4"/>
      <c r="Q511" s="42">
        <v>0.52</v>
      </c>
      <c r="R511" s="1">
        <f t="shared" si="169"/>
        <v>5200</v>
      </c>
      <c r="S511" s="38">
        <v>0</v>
      </c>
      <c r="T511" s="2">
        <f t="shared" si="170"/>
        <v>10000</v>
      </c>
      <c r="U511" s="24"/>
      <c r="V511" s="24"/>
      <c r="W511" s="24"/>
      <c r="X511" s="13"/>
      <c r="Y511" s="13"/>
      <c r="Z511" s="13"/>
      <c r="AA511" s="13"/>
      <c r="AB511" s="13"/>
      <c r="AC511" s="13"/>
      <c r="AD511" s="13"/>
      <c r="AE511" s="13">
        <v>5000</v>
      </c>
      <c r="AF511" s="13">
        <v>5000</v>
      </c>
      <c r="AG511" s="13">
        <f t="shared" si="183"/>
        <v>5000</v>
      </c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4" t="s">
        <v>1106</v>
      </c>
      <c r="AU511" s="4" t="s">
        <v>685</v>
      </c>
      <c r="AV511" s="4" t="s">
        <v>1218</v>
      </c>
      <c r="AW511" s="4" t="s">
        <v>98</v>
      </c>
      <c r="AX511" s="4" t="s">
        <v>110</v>
      </c>
      <c r="AY511" s="4" t="s">
        <v>985</v>
      </c>
      <c r="AZ511" s="4" t="s">
        <v>1140</v>
      </c>
      <c r="BA511" s="4" t="s">
        <v>1228</v>
      </c>
      <c r="BB511" s="4"/>
      <c r="BC511" s="4"/>
      <c r="BD511" s="23">
        <v>2</v>
      </c>
      <c r="BE511" s="4">
        <v>45797</v>
      </c>
      <c r="BF511" s="18">
        <v>45432</v>
      </c>
      <c r="BG511" s="18">
        <v>45463</v>
      </c>
      <c r="BH511" s="18">
        <v>45493</v>
      </c>
      <c r="BI511" s="18">
        <v>45585</v>
      </c>
      <c r="BJ511" s="18">
        <v>45646</v>
      </c>
      <c r="BK511" s="26">
        <v>1</v>
      </c>
      <c r="BL511" s="13">
        <v>5</v>
      </c>
      <c r="BM511" s="9">
        <f t="shared" si="184"/>
        <v>0</v>
      </c>
      <c r="BN511" s="9">
        <f t="shared" si="166"/>
        <v>0</v>
      </c>
      <c r="BO511" s="9">
        <f t="shared" si="167"/>
        <v>0</v>
      </c>
      <c r="BP511" s="9">
        <f t="shared" si="171"/>
        <v>0</v>
      </c>
      <c r="BQ511" s="9">
        <f t="shared" si="172"/>
        <v>0</v>
      </c>
      <c r="BR511" s="9">
        <f t="shared" si="173"/>
        <v>0</v>
      </c>
      <c r="BS511" s="9">
        <f t="shared" si="174"/>
        <v>2600</v>
      </c>
      <c r="BT511" s="9">
        <f t="shared" si="175"/>
        <v>2600</v>
      </c>
    </row>
    <row r="512" spans="1:72" hidden="1" x14ac:dyDescent="0.25">
      <c r="A512" s="11">
        <f t="shared" si="168"/>
        <v>511</v>
      </c>
      <c r="B512" s="5" t="s">
        <v>1685</v>
      </c>
      <c r="C512" s="4" t="s">
        <v>59</v>
      </c>
      <c r="D512" s="4" t="s">
        <v>1123</v>
      </c>
      <c r="E512" s="4" t="s">
        <v>1682</v>
      </c>
      <c r="F512" s="4"/>
      <c r="G512" s="4" t="s">
        <v>1210</v>
      </c>
      <c r="H512" s="4" t="s">
        <v>1208</v>
      </c>
      <c r="I512" s="4"/>
      <c r="J512" s="4"/>
      <c r="K512" s="5"/>
      <c r="L512" s="24"/>
      <c r="M512" s="13"/>
      <c r="N512" s="5"/>
      <c r="O512" s="4"/>
      <c r="P512" s="4"/>
      <c r="Q512" s="60">
        <v>0.5</v>
      </c>
      <c r="R512" s="1">
        <f t="shared" si="169"/>
        <v>7500</v>
      </c>
      <c r="S512" s="38"/>
      <c r="T512" s="2">
        <f t="shared" si="170"/>
        <v>15000</v>
      </c>
      <c r="U512" s="24"/>
      <c r="V512" s="24"/>
      <c r="W512" s="24"/>
      <c r="X512" s="13"/>
      <c r="Y512" s="13"/>
      <c r="Z512" s="13"/>
      <c r="AA512" s="13"/>
      <c r="AB512" s="13"/>
      <c r="AC512" s="13"/>
      <c r="AD512" s="13">
        <v>5000</v>
      </c>
      <c r="AE512" s="13">
        <v>5000</v>
      </c>
      <c r="AF512" s="13">
        <v>5000</v>
      </c>
      <c r="AG512" s="13">
        <f t="shared" si="183"/>
        <v>5000</v>
      </c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4"/>
      <c r="AU512" s="4" t="s">
        <v>685</v>
      </c>
      <c r="AV512" s="4" t="s">
        <v>1721</v>
      </c>
      <c r="AW512" s="4"/>
      <c r="AX512" s="4"/>
      <c r="AY512" s="4"/>
      <c r="AZ512" s="4"/>
      <c r="BA512" s="4"/>
      <c r="BB512" s="4"/>
      <c r="BC512" s="4"/>
      <c r="BD512" s="23"/>
      <c r="BE512" s="4"/>
      <c r="BF512" s="18"/>
      <c r="BG512" s="18"/>
      <c r="BH512" s="18"/>
      <c r="BI512" s="18"/>
      <c r="BJ512" s="18"/>
      <c r="BK512" s="26"/>
      <c r="BL512" s="13"/>
      <c r="BM512" s="9"/>
      <c r="BN512" s="9">
        <f t="shared" si="166"/>
        <v>0</v>
      </c>
      <c r="BO512" s="9">
        <f t="shared" si="167"/>
        <v>0</v>
      </c>
      <c r="BP512" s="9">
        <f t="shared" si="171"/>
        <v>0</v>
      </c>
      <c r="BQ512" s="9">
        <f t="shared" si="172"/>
        <v>0</v>
      </c>
      <c r="BR512" s="9">
        <f t="shared" si="173"/>
        <v>2500</v>
      </c>
      <c r="BS512" s="9">
        <f t="shared" si="174"/>
        <v>2500</v>
      </c>
      <c r="BT512" s="9">
        <f t="shared" si="175"/>
        <v>2500</v>
      </c>
    </row>
    <row r="513" spans="1:72" hidden="1" x14ac:dyDescent="0.25">
      <c r="A513" s="11">
        <f t="shared" si="168"/>
        <v>512</v>
      </c>
      <c r="B513" s="5" t="s">
        <v>1687</v>
      </c>
      <c r="C513" s="4" t="s">
        <v>59</v>
      </c>
      <c r="D513" s="4" t="s">
        <v>1123</v>
      </c>
      <c r="E513" s="4" t="s">
        <v>1682</v>
      </c>
      <c r="F513" s="4" t="s">
        <v>1683</v>
      </c>
      <c r="G513" s="4" t="s">
        <v>1119</v>
      </c>
      <c r="H513" s="4" t="s">
        <v>1293</v>
      </c>
      <c r="I513" s="4"/>
      <c r="J513" s="4"/>
      <c r="K513" s="5" t="s">
        <v>1688</v>
      </c>
      <c r="L513" s="24">
        <v>100000</v>
      </c>
      <c r="M513" s="13" t="s">
        <v>297</v>
      </c>
      <c r="N513" s="5"/>
      <c r="O513" s="4" t="s">
        <v>883</v>
      </c>
      <c r="P513" s="4"/>
      <c r="Q513" s="42">
        <v>0.52</v>
      </c>
      <c r="R513" s="1">
        <f t="shared" si="169"/>
        <v>17680</v>
      </c>
      <c r="S513" s="38">
        <v>0</v>
      </c>
      <c r="T513" s="2">
        <f t="shared" si="170"/>
        <v>34000</v>
      </c>
      <c r="U513" s="24"/>
      <c r="V513" s="24"/>
      <c r="W513" s="24"/>
      <c r="X513" s="13"/>
      <c r="Y513" s="13"/>
      <c r="Z513" s="13">
        <v>5000</v>
      </c>
      <c r="AA513" s="13">
        <v>5000</v>
      </c>
      <c r="AB513" s="13">
        <v>5000</v>
      </c>
      <c r="AC513" s="13">
        <v>5000</v>
      </c>
      <c r="AD513" s="13">
        <v>8000</v>
      </c>
      <c r="AE513" s="13">
        <v>8000</v>
      </c>
      <c r="AF513" s="13">
        <v>8000</v>
      </c>
      <c r="AG513" s="13">
        <f t="shared" si="183"/>
        <v>8000</v>
      </c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4" t="s">
        <v>1106</v>
      </c>
      <c r="AU513" s="4" t="s">
        <v>685</v>
      </c>
      <c r="AV513" s="4" t="s">
        <v>1218</v>
      </c>
      <c r="AW513" s="4" t="s">
        <v>98</v>
      </c>
      <c r="AX513" s="4" t="s">
        <v>99</v>
      </c>
      <c r="AY513" s="4" t="s">
        <v>1108</v>
      </c>
      <c r="AZ513" s="4" t="s">
        <v>1118</v>
      </c>
      <c r="BA513" s="4" t="s">
        <v>887</v>
      </c>
      <c r="BB513" s="4"/>
      <c r="BC513" s="4"/>
      <c r="BD513" s="23">
        <v>2</v>
      </c>
      <c r="BE513" s="4">
        <v>45736</v>
      </c>
      <c r="BF513" s="18">
        <v>45463</v>
      </c>
      <c r="BG513" s="18">
        <v>45493</v>
      </c>
      <c r="BH513" s="18">
        <v>45555</v>
      </c>
      <c r="BI513" s="18">
        <v>45646</v>
      </c>
      <c r="BJ513" s="18">
        <v>45708</v>
      </c>
      <c r="BK513" s="26">
        <v>1</v>
      </c>
      <c r="BL513" s="13">
        <v>5</v>
      </c>
      <c r="BM513" s="9">
        <f t="shared" si="184"/>
        <v>0</v>
      </c>
      <c r="BN513" s="9">
        <f t="shared" si="166"/>
        <v>2600</v>
      </c>
      <c r="BO513" s="9">
        <f t="shared" si="167"/>
        <v>2600</v>
      </c>
      <c r="BP513" s="9">
        <f t="shared" si="171"/>
        <v>2600</v>
      </c>
      <c r="BQ513" s="9">
        <f t="shared" si="172"/>
        <v>2600</v>
      </c>
      <c r="BR513" s="9">
        <f t="shared" si="173"/>
        <v>4160</v>
      </c>
      <c r="BS513" s="9">
        <f t="shared" si="174"/>
        <v>4160</v>
      </c>
      <c r="BT513" s="9">
        <f t="shared" si="175"/>
        <v>4160</v>
      </c>
    </row>
    <row r="514" spans="1:72" hidden="1" x14ac:dyDescent="0.25">
      <c r="A514" s="11">
        <f t="shared" si="168"/>
        <v>513</v>
      </c>
      <c r="B514" s="5" t="s">
        <v>1687</v>
      </c>
      <c r="C514" s="4" t="s">
        <v>59</v>
      </c>
      <c r="D514" s="4" t="s">
        <v>1123</v>
      </c>
      <c r="E514" s="4" t="s">
        <v>1682</v>
      </c>
      <c r="F514" s="4" t="s">
        <v>1683</v>
      </c>
      <c r="G514" s="4" t="s">
        <v>771</v>
      </c>
      <c r="H514" s="4" t="s">
        <v>1292</v>
      </c>
      <c r="I514" s="4"/>
      <c r="J514" s="4"/>
      <c r="K514" s="5" t="s">
        <v>1229</v>
      </c>
      <c r="L514" s="24">
        <v>100000</v>
      </c>
      <c r="M514" s="13" t="s">
        <v>320</v>
      </c>
      <c r="N514" s="5"/>
      <c r="O514" s="4" t="s">
        <v>883</v>
      </c>
      <c r="P514" s="4"/>
      <c r="Q514" s="42">
        <v>0.52</v>
      </c>
      <c r="R514" s="1">
        <f t="shared" si="169"/>
        <v>7800</v>
      </c>
      <c r="S514" s="38">
        <v>0</v>
      </c>
      <c r="T514" s="2">
        <f t="shared" si="170"/>
        <v>15000</v>
      </c>
      <c r="U514" s="24"/>
      <c r="V514" s="24"/>
      <c r="W514" s="24"/>
      <c r="X514" s="13"/>
      <c r="Y514" s="13"/>
      <c r="Z514" s="13"/>
      <c r="AA514" s="13"/>
      <c r="AB514" s="13"/>
      <c r="AC514" s="13"/>
      <c r="AD514" s="13"/>
      <c r="AE514" s="13">
        <v>5000</v>
      </c>
      <c r="AF514" s="13">
        <v>10000</v>
      </c>
      <c r="AG514" s="13">
        <f t="shared" si="183"/>
        <v>10000</v>
      </c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4" t="s">
        <v>1106</v>
      </c>
      <c r="AU514" s="4" t="s">
        <v>685</v>
      </c>
      <c r="AV514" s="4" t="s">
        <v>1218</v>
      </c>
      <c r="AW514" s="4" t="s">
        <v>98</v>
      </c>
      <c r="AX514" s="4" t="s">
        <v>99</v>
      </c>
      <c r="AY514" s="4" t="s">
        <v>1108</v>
      </c>
      <c r="AZ514" s="4" t="s">
        <v>1118</v>
      </c>
      <c r="BA514" s="4" t="s">
        <v>887</v>
      </c>
      <c r="BB514" s="4"/>
      <c r="BC514" s="4"/>
      <c r="BD514" s="23">
        <v>2</v>
      </c>
      <c r="BE514" s="4">
        <v>45736</v>
      </c>
      <c r="BF514" s="18">
        <v>45463</v>
      </c>
      <c r="BG514" s="18">
        <v>45493</v>
      </c>
      <c r="BH514" s="18">
        <v>45555</v>
      </c>
      <c r="BI514" s="18">
        <v>45646</v>
      </c>
      <c r="BJ514" s="18">
        <v>45708</v>
      </c>
      <c r="BK514" s="26">
        <v>1</v>
      </c>
      <c r="BL514" s="13">
        <v>5</v>
      </c>
      <c r="BM514" s="9">
        <f t="shared" si="184"/>
        <v>0</v>
      </c>
      <c r="BN514" s="9">
        <f t="shared" si="166"/>
        <v>0</v>
      </c>
      <c r="BO514" s="9">
        <f t="shared" si="167"/>
        <v>0</v>
      </c>
      <c r="BP514" s="9">
        <f t="shared" si="171"/>
        <v>0</v>
      </c>
      <c r="BQ514" s="9">
        <f t="shared" si="172"/>
        <v>0</v>
      </c>
      <c r="BR514" s="9">
        <f t="shared" si="173"/>
        <v>0</v>
      </c>
      <c r="BS514" s="9">
        <f t="shared" si="174"/>
        <v>2600</v>
      </c>
      <c r="BT514" s="9">
        <f t="shared" si="175"/>
        <v>5200</v>
      </c>
    </row>
    <row r="515" spans="1:72" hidden="1" x14ac:dyDescent="0.25">
      <c r="A515" s="11">
        <f t="shared" si="168"/>
        <v>514</v>
      </c>
      <c r="B515" s="5" t="s">
        <v>1689</v>
      </c>
      <c r="C515" s="4" t="s">
        <v>128</v>
      </c>
      <c r="D515" s="4" t="s">
        <v>1123</v>
      </c>
      <c r="E515" s="4" t="s">
        <v>1682</v>
      </c>
      <c r="F515" s="4" t="s">
        <v>1686</v>
      </c>
      <c r="G515" s="4" t="s">
        <v>1230</v>
      </c>
      <c r="H515" s="4" t="s">
        <v>1294</v>
      </c>
      <c r="I515" s="4"/>
      <c r="J515" s="4"/>
      <c r="K515" s="5" t="s">
        <v>1690</v>
      </c>
      <c r="L515" s="24">
        <v>300000</v>
      </c>
      <c r="M515" s="13" t="s">
        <v>320</v>
      </c>
      <c r="N515" s="5"/>
      <c r="O515" s="4" t="s">
        <v>1111</v>
      </c>
      <c r="P515" s="4"/>
      <c r="Q515" s="42">
        <v>0.81</v>
      </c>
      <c r="R515" s="1">
        <f t="shared" si="169"/>
        <v>4860</v>
      </c>
      <c r="S515" s="38">
        <v>0</v>
      </c>
      <c r="T515" s="2">
        <f t="shared" si="170"/>
        <v>6000</v>
      </c>
      <c r="U515" s="24"/>
      <c r="V515" s="24"/>
      <c r="W515" s="24"/>
      <c r="X515" s="13"/>
      <c r="Y515" s="13"/>
      <c r="Z515" s="13"/>
      <c r="AA515" s="13"/>
      <c r="AB515" s="13"/>
      <c r="AC515" s="13"/>
      <c r="AD515" s="13"/>
      <c r="AE515" s="13">
        <v>3000</v>
      </c>
      <c r="AF515" s="13">
        <v>3000</v>
      </c>
      <c r="AG515" s="13">
        <f t="shared" si="183"/>
        <v>3000</v>
      </c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4" t="s">
        <v>723</v>
      </c>
      <c r="AU515" s="4" t="s">
        <v>685</v>
      </c>
      <c r="AV515" s="4" t="s">
        <v>1218</v>
      </c>
      <c r="AW515" s="4" t="s">
        <v>98</v>
      </c>
      <c r="AX515" s="4" t="s">
        <v>110</v>
      </c>
      <c r="AY515" s="4" t="s">
        <v>1112</v>
      </c>
      <c r="AZ515" s="4" t="s">
        <v>1113</v>
      </c>
      <c r="BA515" s="4"/>
      <c r="BB515" s="4"/>
      <c r="BC515" s="4"/>
      <c r="BD515" s="23">
        <v>1</v>
      </c>
      <c r="BE515" s="4">
        <v>46162</v>
      </c>
      <c r="BF515" s="18">
        <v>45371</v>
      </c>
      <c r="BG515" s="18">
        <v>45432</v>
      </c>
      <c r="BH515" s="18">
        <v>45585</v>
      </c>
      <c r="BI515" s="18">
        <v>45930</v>
      </c>
      <c r="BJ515" s="18">
        <v>46073</v>
      </c>
      <c r="BK515" s="26">
        <v>1</v>
      </c>
      <c r="BL515" s="13">
        <v>5</v>
      </c>
      <c r="BM515" s="9">
        <f t="shared" si="184"/>
        <v>0</v>
      </c>
      <c r="BN515" s="9">
        <f t="shared" si="166"/>
        <v>0</v>
      </c>
      <c r="BO515" s="9">
        <f t="shared" si="167"/>
        <v>0</v>
      </c>
      <c r="BP515" s="9">
        <f t="shared" ref="BP515:BP578" si="190">$Q515*AB515</f>
        <v>0</v>
      </c>
      <c r="BQ515" s="9">
        <f t="shared" ref="BQ515:BQ578" si="191">$Q515*AC515</f>
        <v>0</v>
      </c>
      <c r="BR515" s="9">
        <f t="shared" ref="BR515:BR578" si="192">$Q515*AD515</f>
        <v>0</v>
      </c>
      <c r="BS515" s="9">
        <f t="shared" ref="BS515:BS578" si="193">$Q515*AE515</f>
        <v>2430</v>
      </c>
      <c r="BT515" s="9">
        <f t="shared" ref="BT515:BT578" si="194">$Q515*AF515</f>
        <v>2430</v>
      </c>
    </row>
    <row r="516" spans="1:72" hidden="1" x14ac:dyDescent="0.25">
      <c r="A516" s="11">
        <v>13</v>
      </c>
      <c r="B516" s="5" t="s">
        <v>1689</v>
      </c>
      <c r="C516" s="4" t="s">
        <v>128</v>
      </c>
      <c r="D516" s="4" t="s">
        <v>1123</v>
      </c>
      <c r="E516" s="4" t="s">
        <v>1682</v>
      </c>
      <c r="F516" s="4" t="s">
        <v>1686</v>
      </c>
      <c r="G516" s="4" t="s">
        <v>1763</v>
      </c>
      <c r="H516" s="4" t="s">
        <v>1795</v>
      </c>
      <c r="I516" s="4"/>
      <c r="J516" s="4"/>
      <c r="K516" s="5" t="s">
        <v>1690</v>
      </c>
      <c r="L516" s="24">
        <v>300000</v>
      </c>
      <c r="M516" s="13" t="s">
        <v>320</v>
      </c>
      <c r="N516" s="5"/>
      <c r="O516" s="4" t="s">
        <v>1111</v>
      </c>
      <c r="P516" s="4"/>
      <c r="Q516" s="42">
        <v>0.81</v>
      </c>
      <c r="R516" s="1">
        <f t="shared" ref="R516:R579" si="195">Q516*T516</f>
        <v>14580.000000000002</v>
      </c>
      <c r="S516" s="38">
        <v>0</v>
      </c>
      <c r="T516" s="2">
        <f t="shared" ref="T516:T579" si="196">SUM(AB516:AF516)</f>
        <v>18000</v>
      </c>
      <c r="U516" s="24"/>
      <c r="V516" s="24"/>
      <c r="W516" s="24"/>
      <c r="X516" s="13"/>
      <c r="Y516" s="13"/>
      <c r="Z516" s="13"/>
      <c r="AA516" s="13"/>
      <c r="AB516" s="13"/>
      <c r="AC516" s="13">
        <v>3000</v>
      </c>
      <c r="AD516" s="13">
        <v>5000</v>
      </c>
      <c r="AE516" s="13">
        <v>5000</v>
      </c>
      <c r="AF516" s="13">
        <v>5000</v>
      </c>
      <c r="AG516" s="13">
        <f t="shared" si="183"/>
        <v>5000</v>
      </c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4"/>
      <c r="AU516" s="4" t="s">
        <v>1106</v>
      </c>
      <c r="AV516" s="4" t="s">
        <v>1218</v>
      </c>
      <c r="AW516" s="4"/>
      <c r="AX516" s="4"/>
      <c r="AY516" s="4"/>
      <c r="AZ516" s="4"/>
      <c r="BA516" s="4"/>
      <c r="BB516" s="4"/>
      <c r="BC516" s="4"/>
      <c r="BD516" s="23"/>
      <c r="BE516" s="4"/>
      <c r="BF516" s="18"/>
      <c r="BG516" s="18"/>
      <c r="BH516" s="18"/>
      <c r="BI516" s="18"/>
      <c r="BJ516" s="18"/>
      <c r="BK516" s="26"/>
      <c r="BL516" s="13"/>
      <c r="BM516" s="9"/>
      <c r="BN516" s="9"/>
      <c r="BO516" s="9"/>
      <c r="BP516" s="9">
        <f t="shared" si="190"/>
        <v>0</v>
      </c>
      <c r="BQ516" s="9">
        <f t="shared" si="191"/>
        <v>2430</v>
      </c>
      <c r="BR516" s="9">
        <f t="shared" si="192"/>
        <v>4050.0000000000005</v>
      </c>
      <c r="BS516" s="9">
        <f t="shared" si="193"/>
        <v>4050.0000000000005</v>
      </c>
      <c r="BT516" s="9">
        <f t="shared" si="194"/>
        <v>4050.0000000000005</v>
      </c>
    </row>
    <row r="517" spans="1:72" hidden="1" x14ac:dyDescent="0.25">
      <c r="A517" s="11">
        <f t="shared" si="168"/>
        <v>516</v>
      </c>
      <c r="B517" s="5" t="s">
        <v>1689</v>
      </c>
      <c r="C517" s="4" t="s">
        <v>128</v>
      </c>
      <c r="D517" s="4" t="s">
        <v>1123</v>
      </c>
      <c r="E517" s="4" t="s">
        <v>1682</v>
      </c>
      <c r="F517" s="4" t="s">
        <v>1686</v>
      </c>
      <c r="G517" s="4" t="s">
        <v>1114</v>
      </c>
      <c r="H517" s="4" t="s">
        <v>1209</v>
      </c>
      <c r="I517" s="4"/>
      <c r="J517" s="4"/>
      <c r="K517" s="5" t="s">
        <v>1691</v>
      </c>
      <c r="L517" s="24">
        <v>200000</v>
      </c>
      <c r="M517" s="13" t="s">
        <v>291</v>
      </c>
      <c r="N517" s="5"/>
      <c r="O517" s="4" t="s">
        <v>453</v>
      </c>
      <c r="P517" s="4"/>
      <c r="Q517" s="42">
        <v>0.52</v>
      </c>
      <c r="R517" s="1">
        <f t="shared" si="195"/>
        <v>67600</v>
      </c>
      <c r="S517" s="38">
        <v>0</v>
      </c>
      <c r="T517" s="2">
        <f t="shared" si="196"/>
        <v>130000</v>
      </c>
      <c r="U517" s="24">
        <v>3000</v>
      </c>
      <c r="V517" s="24">
        <v>30000</v>
      </c>
      <c r="W517" s="24"/>
      <c r="X517" s="13">
        <v>5000</v>
      </c>
      <c r="Y517" s="13">
        <v>20000</v>
      </c>
      <c r="Z517" s="13">
        <v>20000</v>
      </c>
      <c r="AA517" s="13">
        <v>20000</v>
      </c>
      <c r="AB517" s="13">
        <v>20000</v>
      </c>
      <c r="AC517" s="13">
        <v>20000</v>
      </c>
      <c r="AD517" s="13">
        <v>30000</v>
      </c>
      <c r="AE517" s="13">
        <v>30000</v>
      </c>
      <c r="AF517" s="13">
        <v>30000</v>
      </c>
      <c r="AG517" s="13">
        <f>AF517</f>
        <v>30000</v>
      </c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4" t="s">
        <v>723</v>
      </c>
      <c r="AU517" s="4" t="s">
        <v>685</v>
      </c>
      <c r="AV517" s="4" t="s">
        <v>1218</v>
      </c>
      <c r="AW517" s="4" t="s">
        <v>98</v>
      </c>
      <c r="AX517" s="4" t="s">
        <v>110</v>
      </c>
      <c r="AY517" s="4" t="s">
        <v>1115</v>
      </c>
      <c r="AZ517" s="4" t="s">
        <v>1115</v>
      </c>
      <c r="BA517" s="4" t="s">
        <v>1231</v>
      </c>
      <c r="BB517" s="4" t="s">
        <v>1116</v>
      </c>
      <c r="BC517" s="4"/>
      <c r="BD517" s="23">
        <v>1</v>
      </c>
      <c r="BE517" s="4">
        <v>45899</v>
      </c>
      <c r="BF517" s="18">
        <v>45593</v>
      </c>
      <c r="BG517" s="18">
        <v>45616</v>
      </c>
      <c r="BH517" s="18">
        <v>45646</v>
      </c>
      <c r="BI517" s="18">
        <v>45708</v>
      </c>
      <c r="BJ517" s="18">
        <v>45807</v>
      </c>
      <c r="BK517" s="26">
        <v>1</v>
      </c>
      <c r="BL517" s="13">
        <v>5</v>
      </c>
      <c r="BM517" s="9">
        <f t="shared" si="184"/>
        <v>10400</v>
      </c>
      <c r="BN517" s="9">
        <f t="shared" ref="BN517:BN581" si="197">$Q517*Z517</f>
        <v>10400</v>
      </c>
      <c r="BO517" s="9">
        <f t="shared" ref="BO517:BO581" si="198">$Q517*AA517</f>
        <v>10400</v>
      </c>
      <c r="BP517" s="9">
        <f t="shared" si="190"/>
        <v>10400</v>
      </c>
      <c r="BQ517" s="9">
        <f t="shared" si="191"/>
        <v>10400</v>
      </c>
      <c r="BR517" s="9">
        <f t="shared" si="192"/>
        <v>15600</v>
      </c>
      <c r="BS517" s="9">
        <f t="shared" si="193"/>
        <v>15600</v>
      </c>
      <c r="BT517" s="9">
        <f t="shared" si="194"/>
        <v>15600</v>
      </c>
    </row>
    <row r="518" spans="1:72" hidden="1" x14ac:dyDescent="0.25">
      <c r="A518" s="11">
        <f t="shared" ref="A518:A582" si="199">ROW()-1</f>
        <v>517</v>
      </c>
      <c r="B518" s="5" t="s">
        <v>1689</v>
      </c>
      <c r="C518" s="4" t="s">
        <v>128</v>
      </c>
      <c r="D518" s="4" t="s">
        <v>1123</v>
      </c>
      <c r="E518" s="4" t="s">
        <v>1682</v>
      </c>
      <c r="F518" s="4" t="s">
        <v>1686</v>
      </c>
      <c r="G518" s="4" t="s">
        <v>1232</v>
      </c>
      <c r="H518" s="4"/>
      <c r="I518" s="4"/>
      <c r="J518" s="4"/>
      <c r="K518" s="5" t="s">
        <v>1117</v>
      </c>
      <c r="L518" s="24">
        <v>100000</v>
      </c>
      <c r="M518" s="13" t="s">
        <v>320</v>
      </c>
      <c r="N518" s="5"/>
      <c r="O518" s="4" t="s">
        <v>453</v>
      </c>
      <c r="P518" s="4"/>
      <c r="Q518" s="42">
        <v>0.52</v>
      </c>
      <c r="R518" s="1">
        <f t="shared" si="195"/>
        <v>0</v>
      </c>
      <c r="S518" s="38">
        <v>0</v>
      </c>
      <c r="T518" s="2">
        <f t="shared" si="196"/>
        <v>0</v>
      </c>
      <c r="U518" s="24"/>
      <c r="V518" s="24"/>
      <c r="W518" s="24"/>
      <c r="X518" s="13"/>
      <c r="Y518" s="13"/>
      <c r="Z518" s="13"/>
      <c r="AA518" s="13"/>
      <c r="AB518" s="13"/>
      <c r="AC518" s="13"/>
      <c r="AD518" s="13"/>
      <c r="AE518" s="13"/>
      <c r="AF518" s="13"/>
      <c r="AG518" s="13">
        <f t="shared" ref="AG518:AG522" si="200">AF518</f>
        <v>0</v>
      </c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4" t="s">
        <v>723</v>
      </c>
      <c r="AU518" s="4" t="s">
        <v>685</v>
      </c>
      <c r="AV518" s="4"/>
      <c r="AW518" s="4" t="s">
        <v>98</v>
      </c>
      <c r="AX518" s="4" t="s">
        <v>110</v>
      </c>
      <c r="AY518" s="4" t="s">
        <v>1108</v>
      </c>
      <c r="AZ518" s="4" t="s">
        <v>1118</v>
      </c>
      <c r="BA518" s="4" t="s">
        <v>1231</v>
      </c>
      <c r="BB518" s="4" t="s">
        <v>1116</v>
      </c>
      <c r="BC518" s="4"/>
      <c r="BD518" s="23">
        <v>1</v>
      </c>
      <c r="BE518" s="4">
        <v>45899</v>
      </c>
      <c r="BF518" s="18">
        <v>45593</v>
      </c>
      <c r="BG518" s="18">
        <v>45616</v>
      </c>
      <c r="BH518" s="18">
        <v>45646</v>
      </c>
      <c r="BI518" s="18">
        <v>45708</v>
      </c>
      <c r="BJ518" s="18">
        <v>45807</v>
      </c>
      <c r="BK518" s="26">
        <v>1</v>
      </c>
      <c r="BL518" s="13">
        <v>5</v>
      </c>
      <c r="BM518" s="9">
        <f t="shared" si="184"/>
        <v>0</v>
      </c>
      <c r="BN518" s="9">
        <f t="shared" si="197"/>
        <v>0</v>
      </c>
      <c r="BO518" s="9">
        <f t="shared" si="198"/>
        <v>0</v>
      </c>
      <c r="BP518" s="9">
        <f t="shared" si="190"/>
        <v>0</v>
      </c>
      <c r="BQ518" s="9">
        <f t="shared" si="191"/>
        <v>0</v>
      </c>
      <c r="BR518" s="9">
        <f t="shared" si="192"/>
        <v>0</v>
      </c>
      <c r="BS518" s="9">
        <f t="shared" si="193"/>
        <v>0</v>
      </c>
      <c r="BT518" s="9">
        <f t="shared" si="194"/>
        <v>0</v>
      </c>
    </row>
    <row r="519" spans="1:72" hidden="1" x14ac:dyDescent="0.25">
      <c r="A519" s="11">
        <f t="shared" si="199"/>
        <v>518</v>
      </c>
      <c r="B519" s="5" t="s">
        <v>1689</v>
      </c>
      <c r="C519" s="4" t="s">
        <v>128</v>
      </c>
      <c r="D519" s="4" t="s">
        <v>1123</v>
      </c>
      <c r="E519" s="4" t="s">
        <v>1682</v>
      </c>
      <c r="F519" s="4" t="s">
        <v>1686</v>
      </c>
      <c r="G519" s="4" t="s">
        <v>1114</v>
      </c>
      <c r="H519" s="4" t="s">
        <v>1209</v>
      </c>
      <c r="I519" s="4"/>
      <c r="J519" s="4"/>
      <c r="K519" s="5"/>
      <c r="L519" s="24"/>
      <c r="M519" s="13"/>
      <c r="N519" s="5"/>
      <c r="O519" s="4"/>
      <c r="P519" s="4"/>
      <c r="Q519" s="60">
        <v>0.51980000000000004</v>
      </c>
      <c r="R519" s="1">
        <f t="shared" si="195"/>
        <v>7797.0000000000009</v>
      </c>
      <c r="S519" s="38"/>
      <c r="T519" s="2">
        <f t="shared" si="196"/>
        <v>15000</v>
      </c>
      <c r="U519" s="24"/>
      <c r="V519" s="24"/>
      <c r="W519" s="24"/>
      <c r="X519" s="13"/>
      <c r="Y519" s="13"/>
      <c r="Z519" s="13"/>
      <c r="AA519" s="13"/>
      <c r="AB519" s="13"/>
      <c r="AC519" s="13"/>
      <c r="AD519" s="13">
        <v>5000</v>
      </c>
      <c r="AE519" s="13">
        <v>5000</v>
      </c>
      <c r="AF519" s="13">
        <v>5000</v>
      </c>
      <c r="AG519" s="13">
        <f t="shared" si="200"/>
        <v>5000</v>
      </c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4"/>
      <c r="AU519" s="4" t="s">
        <v>685</v>
      </c>
      <c r="AV519" s="4" t="s">
        <v>1721</v>
      </c>
      <c r="AW519" s="4"/>
      <c r="AX519" s="4"/>
      <c r="AY519" s="4"/>
      <c r="AZ519" s="4"/>
      <c r="BA519" s="4"/>
      <c r="BB519" s="4"/>
      <c r="BC519" s="4"/>
      <c r="BD519" s="23"/>
      <c r="BE519" s="4"/>
      <c r="BF519" s="18"/>
      <c r="BG519" s="18"/>
      <c r="BH519" s="18"/>
      <c r="BI519" s="18"/>
      <c r="BJ519" s="18"/>
      <c r="BK519" s="26"/>
      <c r="BL519" s="13"/>
      <c r="BM519" s="9"/>
      <c r="BN519" s="9">
        <f t="shared" si="197"/>
        <v>0</v>
      </c>
      <c r="BO519" s="9">
        <f t="shared" si="198"/>
        <v>0</v>
      </c>
      <c r="BP519" s="9">
        <f t="shared" si="190"/>
        <v>0</v>
      </c>
      <c r="BQ519" s="9">
        <f t="shared" si="191"/>
        <v>0</v>
      </c>
      <c r="BR519" s="9">
        <f t="shared" si="192"/>
        <v>2599</v>
      </c>
      <c r="BS519" s="9">
        <f t="shared" si="193"/>
        <v>2599</v>
      </c>
      <c r="BT519" s="9">
        <f t="shared" si="194"/>
        <v>2599</v>
      </c>
    </row>
    <row r="520" spans="1:72" hidden="1" x14ac:dyDescent="0.25">
      <c r="A520" s="11">
        <f t="shared" si="199"/>
        <v>519</v>
      </c>
      <c r="B520" s="5" t="s">
        <v>1689</v>
      </c>
      <c r="C520" s="4" t="s">
        <v>128</v>
      </c>
      <c r="D520" s="4" t="s">
        <v>1123</v>
      </c>
      <c r="E520" s="4" t="s">
        <v>1682</v>
      </c>
      <c r="F520" s="4" t="s">
        <v>1686</v>
      </c>
      <c r="G520" s="4" t="s">
        <v>1119</v>
      </c>
      <c r="H520" s="4" t="s">
        <v>1293</v>
      </c>
      <c r="I520" s="4"/>
      <c r="J520" s="4"/>
      <c r="K520" s="5" t="s">
        <v>1120</v>
      </c>
      <c r="L520" s="24">
        <v>100000</v>
      </c>
      <c r="M520" s="13" t="s">
        <v>320</v>
      </c>
      <c r="N520" s="5"/>
      <c r="O520" s="4" t="s">
        <v>453</v>
      </c>
      <c r="P520" s="4"/>
      <c r="Q520" s="42">
        <v>0.52</v>
      </c>
      <c r="R520" s="1">
        <f t="shared" si="195"/>
        <v>7800</v>
      </c>
      <c r="S520" s="38">
        <v>0</v>
      </c>
      <c r="T520" s="2">
        <f t="shared" si="196"/>
        <v>15000</v>
      </c>
      <c r="U520" s="24"/>
      <c r="V520" s="24"/>
      <c r="W520" s="24"/>
      <c r="X520" s="13"/>
      <c r="Y520" s="13"/>
      <c r="Z520" s="13"/>
      <c r="AA520" s="13"/>
      <c r="AB520" s="13"/>
      <c r="AC520" s="13"/>
      <c r="AD520" s="13">
        <v>5000</v>
      </c>
      <c r="AE520" s="13">
        <v>5000</v>
      </c>
      <c r="AF520" s="13">
        <v>5000</v>
      </c>
      <c r="AG520" s="13">
        <f t="shared" si="200"/>
        <v>5000</v>
      </c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4" t="s">
        <v>723</v>
      </c>
      <c r="AU520" s="4" t="s">
        <v>685</v>
      </c>
      <c r="AV520" s="4" t="s">
        <v>1218</v>
      </c>
      <c r="AW520" s="4" t="s">
        <v>98</v>
      </c>
      <c r="AX520" s="4" t="s">
        <v>99</v>
      </c>
      <c r="AY520" s="4" t="s">
        <v>100</v>
      </c>
      <c r="AZ520" s="4" t="s">
        <v>1121</v>
      </c>
      <c r="BA520" s="4"/>
      <c r="BB520" s="4"/>
      <c r="BC520" s="4"/>
      <c r="BD520" s="23"/>
      <c r="BE520" s="4"/>
      <c r="BF520" s="18"/>
      <c r="BG520" s="18"/>
      <c r="BH520" s="18"/>
      <c r="BI520" s="18"/>
      <c r="BJ520" s="18"/>
      <c r="BK520" s="26"/>
      <c r="BL520" s="13"/>
      <c r="BM520" s="9">
        <f t="shared" si="184"/>
        <v>0</v>
      </c>
      <c r="BN520" s="9">
        <f t="shared" si="197"/>
        <v>0</v>
      </c>
      <c r="BO520" s="9">
        <f t="shared" si="198"/>
        <v>0</v>
      </c>
      <c r="BP520" s="9">
        <f t="shared" si="190"/>
        <v>0</v>
      </c>
      <c r="BQ520" s="9">
        <f t="shared" si="191"/>
        <v>0</v>
      </c>
      <c r="BR520" s="9">
        <f t="shared" si="192"/>
        <v>2600</v>
      </c>
      <c r="BS520" s="9">
        <f t="shared" si="193"/>
        <v>2600</v>
      </c>
      <c r="BT520" s="9">
        <f t="shared" si="194"/>
        <v>2600</v>
      </c>
    </row>
    <row r="521" spans="1:72" hidden="1" x14ac:dyDescent="0.25">
      <c r="A521" s="11">
        <f t="shared" si="199"/>
        <v>520</v>
      </c>
      <c r="B521" s="5" t="s">
        <v>1689</v>
      </c>
      <c r="C521" s="4" t="s">
        <v>128</v>
      </c>
      <c r="D521" s="4" t="s">
        <v>1123</v>
      </c>
      <c r="E521" s="4" t="s">
        <v>1682</v>
      </c>
      <c r="F521" s="4" t="s">
        <v>1686</v>
      </c>
      <c r="G521" s="4" t="s">
        <v>1119</v>
      </c>
      <c r="H521" s="4" t="s">
        <v>1293</v>
      </c>
      <c r="I521" s="4"/>
      <c r="J521" s="4"/>
      <c r="K521" s="5" t="s">
        <v>1233</v>
      </c>
      <c r="L521" s="24">
        <v>100000</v>
      </c>
      <c r="M521" s="13" t="s">
        <v>320</v>
      </c>
      <c r="N521" s="5"/>
      <c r="O521" s="4" t="s">
        <v>453</v>
      </c>
      <c r="P521" s="4"/>
      <c r="Q521" s="42">
        <v>0.52</v>
      </c>
      <c r="R521" s="1">
        <f t="shared" si="195"/>
        <v>7800</v>
      </c>
      <c r="S521" s="38">
        <v>0</v>
      </c>
      <c r="T521" s="2">
        <f t="shared" si="196"/>
        <v>15000</v>
      </c>
      <c r="U521" s="24"/>
      <c r="V521" s="24"/>
      <c r="W521" s="24"/>
      <c r="X521" s="13"/>
      <c r="Y521" s="13"/>
      <c r="Z521" s="13"/>
      <c r="AA521" s="13"/>
      <c r="AB521" s="13"/>
      <c r="AC521" s="13"/>
      <c r="AD521" s="13">
        <v>5000</v>
      </c>
      <c r="AE521" s="13">
        <v>5000</v>
      </c>
      <c r="AF521" s="13">
        <v>5000</v>
      </c>
      <c r="AG521" s="13">
        <f t="shared" si="200"/>
        <v>5000</v>
      </c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4" t="s">
        <v>723</v>
      </c>
      <c r="AU521" s="4" t="s">
        <v>685</v>
      </c>
      <c r="AV521" s="4" t="s">
        <v>1218</v>
      </c>
      <c r="AW521" s="4" t="s">
        <v>98</v>
      </c>
      <c r="AX521" s="4" t="s">
        <v>99</v>
      </c>
      <c r="AY521" s="4" t="s">
        <v>100</v>
      </c>
      <c r="AZ521" s="4" t="s">
        <v>1121</v>
      </c>
      <c r="BA521" s="4"/>
      <c r="BB521" s="4"/>
      <c r="BC521" s="4"/>
      <c r="BD521" s="23"/>
      <c r="BE521" s="4"/>
      <c r="BF521" s="18"/>
      <c r="BG521" s="18"/>
      <c r="BH521" s="18"/>
      <c r="BI521" s="18"/>
      <c r="BJ521" s="18"/>
      <c r="BK521" s="26"/>
      <c r="BL521" s="13"/>
      <c r="BM521" s="9">
        <f t="shared" si="184"/>
        <v>0</v>
      </c>
      <c r="BN521" s="9">
        <f t="shared" si="197"/>
        <v>0</v>
      </c>
      <c r="BO521" s="9">
        <f t="shared" si="198"/>
        <v>0</v>
      </c>
      <c r="BP521" s="9">
        <f t="shared" si="190"/>
        <v>0</v>
      </c>
      <c r="BQ521" s="9">
        <f t="shared" si="191"/>
        <v>0</v>
      </c>
      <c r="BR521" s="9">
        <f t="shared" si="192"/>
        <v>2600</v>
      </c>
      <c r="BS521" s="9">
        <f t="shared" si="193"/>
        <v>2600</v>
      </c>
      <c r="BT521" s="9">
        <f t="shared" si="194"/>
        <v>2600</v>
      </c>
    </row>
    <row r="522" spans="1:72" hidden="1" x14ac:dyDescent="0.25">
      <c r="A522" s="11">
        <f t="shared" si="199"/>
        <v>521</v>
      </c>
      <c r="B522" s="5" t="s">
        <v>1689</v>
      </c>
      <c r="C522" s="4" t="s">
        <v>128</v>
      </c>
      <c r="D522" s="4" t="s">
        <v>1123</v>
      </c>
      <c r="E522" s="4" t="s">
        <v>1682</v>
      </c>
      <c r="F522" s="4" t="s">
        <v>1686</v>
      </c>
      <c r="G522" s="4" t="s">
        <v>1234</v>
      </c>
      <c r="H522" s="4" t="s">
        <v>1295</v>
      </c>
      <c r="I522" s="4"/>
      <c r="J522" s="4"/>
      <c r="K522" s="5" t="s">
        <v>1235</v>
      </c>
      <c r="L522" s="24">
        <v>500000</v>
      </c>
      <c r="M522" s="13" t="s">
        <v>74</v>
      </c>
      <c r="N522" s="5"/>
      <c r="O522" s="4" t="s">
        <v>453</v>
      </c>
      <c r="P522" s="4"/>
      <c r="Q522" s="42">
        <v>0.57999999999999996</v>
      </c>
      <c r="R522" s="1">
        <f t="shared" si="195"/>
        <v>14499.999999999998</v>
      </c>
      <c r="S522" s="38">
        <v>0</v>
      </c>
      <c r="T522" s="2">
        <f t="shared" si="196"/>
        <v>25000</v>
      </c>
      <c r="U522" s="24"/>
      <c r="V522" s="24"/>
      <c r="W522" s="24"/>
      <c r="X522" s="13"/>
      <c r="Y522" s="13"/>
      <c r="Z522" s="13"/>
      <c r="AA522" s="13"/>
      <c r="AB522" s="13"/>
      <c r="AC522" s="13"/>
      <c r="AD522" s="13">
        <v>5000</v>
      </c>
      <c r="AE522" s="13">
        <v>10000</v>
      </c>
      <c r="AF522" s="13">
        <v>10000</v>
      </c>
      <c r="AG522" s="13">
        <f t="shared" si="200"/>
        <v>10000</v>
      </c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4" t="s">
        <v>723</v>
      </c>
      <c r="AU522" s="4" t="s">
        <v>685</v>
      </c>
      <c r="AV522" s="4" t="s">
        <v>1214</v>
      </c>
      <c r="AW522" s="4" t="s">
        <v>98</v>
      </c>
      <c r="AX522" s="4" t="s">
        <v>99</v>
      </c>
      <c r="AY522" s="4" t="s">
        <v>1108</v>
      </c>
      <c r="AZ522" s="4" t="s">
        <v>1236</v>
      </c>
      <c r="BA522" s="4"/>
      <c r="BB522" s="4"/>
      <c r="BC522" s="4"/>
      <c r="BD522" s="23"/>
      <c r="BE522" s="4"/>
      <c r="BF522" s="18"/>
      <c r="BG522" s="18"/>
      <c r="BH522" s="18"/>
      <c r="BI522" s="18"/>
      <c r="BJ522" s="18"/>
      <c r="BK522" s="26"/>
      <c r="BL522" s="13"/>
      <c r="BM522" s="9">
        <f t="shared" si="184"/>
        <v>0</v>
      </c>
      <c r="BN522" s="9">
        <f t="shared" si="197"/>
        <v>0</v>
      </c>
      <c r="BO522" s="9">
        <f t="shared" si="198"/>
        <v>0</v>
      </c>
      <c r="BP522" s="9">
        <f t="shared" si="190"/>
        <v>0</v>
      </c>
      <c r="BQ522" s="9">
        <f t="shared" si="191"/>
        <v>0</v>
      </c>
      <c r="BR522" s="9">
        <f t="shared" si="192"/>
        <v>2900</v>
      </c>
      <c r="BS522" s="9">
        <f t="shared" si="193"/>
        <v>5800</v>
      </c>
      <c r="BT522" s="9">
        <f t="shared" si="194"/>
        <v>5800</v>
      </c>
    </row>
    <row r="523" spans="1:72" hidden="1" x14ac:dyDescent="0.25">
      <c r="A523" s="11">
        <f t="shared" si="199"/>
        <v>522</v>
      </c>
      <c r="B523" s="5" t="s">
        <v>1692</v>
      </c>
      <c r="C523" s="4" t="s">
        <v>59</v>
      </c>
      <c r="D523" s="4" t="s">
        <v>1123</v>
      </c>
      <c r="E523" s="4" t="s">
        <v>1682</v>
      </c>
      <c r="F523" s="4" t="s">
        <v>1686</v>
      </c>
      <c r="G523" s="4" t="s">
        <v>1237</v>
      </c>
      <c r="H523" s="4"/>
      <c r="I523" s="4"/>
      <c r="J523" s="4"/>
      <c r="K523" s="5" t="s">
        <v>1693</v>
      </c>
      <c r="L523" s="24">
        <v>50000</v>
      </c>
      <c r="M523" s="13" t="s">
        <v>297</v>
      </c>
      <c r="N523" s="5"/>
      <c r="O523" s="4" t="s">
        <v>883</v>
      </c>
      <c r="P523" s="4"/>
      <c r="Q523" s="42">
        <v>2.4</v>
      </c>
      <c r="R523" s="1">
        <f t="shared" si="195"/>
        <v>0</v>
      </c>
      <c r="S523" s="38">
        <v>0</v>
      </c>
      <c r="T523" s="2">
        <f t="shared" si="196"/>
        <v>0</v>
      </c>
      <c r="U523" s="24">
        <v>500</v>
      </c>
      <c r="V523" s="24"/>
      <c r="W523" s="24"/>
      <c r="X523" s="13"/>
      <c r="Y523" s="13">
        <v>3000</v>
      </c>
      <c r="Z523" s="13">
        <v>3000</v>
      </c>
      <c r="AA523" s="13">
        <v>5000</v>
      </c>
      <c r="AB523" s="13"/>
      <c r="AC523" s="13"/>
      <c r="AD523" s="13"/>
      <c r="AE523" s="13"/>
      <c r="AF523" s="13"/>
      <c r="AG523" s="13">
        <f>AF523</f>
        <v>0</v>
      </c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4" t="s">
        <v>1106</v>
      </c>
      <c r="AU523" s="4" t="s">
        <v>685</v>
      </c>
      <c r="AV523" s="4" t="s">
        <v>826</v>
      </c>
      <c r="AW523" s="4" t="s">
        <v>222</v>
      </c>
      <c r="AX523" s="4" t="s">
        <v>238</v>
      </c>
      <c r="AY523" s="4" t="s">
        <v>251</v>
      </c>
      <c r="AZ523" s="4" t="s">
        <v>1126</v>
      </c>
      <c r="BA523" s="4"/>
      <c r="BB523" s="4"/>
      <c r="BC523" s="4"/>
      <c r="BD523" s="23">
        <v>1</v>
      </c>
      <c r="BE523" s="4">
        <v>45646</v>
      </c>
      <c r="BF523" s="18">
        <v>45432</v>
      </c>
      <c r="BG523" s="18">
        <v>45432</v>
      </c>
      <c r="BH523" s="18">
        <v>45463</v>
      </c>
      <c r="BI523" s="18">
        <v>45493</v>
      </c>
      <c r="BJ523" s="18">
        <v>45585</v>
      </c>
      <c r="BK523" s="26">
        <v>1</v>
      </c>
      <c r="BL523" s="13">
        <v>5</v>
      </c>
      <c r="BM523" s="9">
        <f t="shared" si="184"/>
        <v>7200</v>
      </c>
      <c r="BN523" s="9">
        <f t="shared" si="197"/>
        <v>7200</v>
      </c>
      <c r="BO523" s="9">
        <f t="shared" si="198"/>
        <v>12000</v>
      </c>
      <c r="BP523" s="9">
        <f t="shared" si="190"/>
        <v>0</v>
      </c>
      <c r="BQ523" s="9">
        <f t="shared" si="191"/>
        <v>0</v>
      </c>
      <c r="BR523" s="9">
        <f t="shared" si="192"/>
        <v>0</v>
      </c>
      <c r="BS523" s="9">
        <f t="shared" si="193"/>
        <v>0</v>
      </c>
      <c r="BT523" s="9">
        <f t="shared" si="194"/>
        <v>0</v>
      </c>
    </row>
    <row r="524" spans="1:72" hidden="1" x14ac:dyDescent="0.25">
      <c r="A524" s="11">
        <f t="shared" si="199"/>
        <v>523</v>
      </c>
      <c r="B524" s="5" t="s">
        <v>1122</v>
      </c>
      <c r="C524" s="4" t="s">
        <v>128</v>
      </c>
      <c r="D524" s="4" t="s">
        <v>1123</v>
      </c>
      <c r="E524" s="4" t="s">
        <v>1682</v>
      </c>
      <c r="F524" s="4" t="s">
        <v>1686</v>
      </c>
      <c r="G524" s="4" t="s">
        <v>86</v>
      </c>
      <c r="H524" s="4" t="s">
        <v>1098</v>
      </c>
      <c r="I524" s="4"/>
      <c r="J524" s="4"/>
      <c r="K524" s="5" t="s">
        <v>1124</v>
      </c>
      <c r="L524" s="24">
        <v>200000</v>
      </c>
      <c r="M524" s="13" t="s">
        <v>74</v>
      </c>
      <c r="N524" s="5"/>
      <c r="O524" s="4" t="s">
        <v>1125</v>
      </c>
      <c r="P524" s="4"/>
      <c r="Q524" s="42">
        <v>3.6</v>
      </c>
      <c r="R524" s="1">
        <f t="shared" si="195"/>
        <v>54000</v>
      </c>
      <c r="S524" s="38">
        <v>0</v>
      </c>
      <c r="T524" s="2">
        <f t="shared" si="196"/>
        <v>15000</v>
      </c>
      <c r="U524" s="24"/>
      <c r="V524" s="24"/>
      <c r="W524" s="24"/>
      <c r="X524" s="13"/>
      <c r="Y524" s="13"/>
      <c r="Z524" s="13"/>
      <c r="AA524" s="13"/>
      <c r="AB524" s="13"/>
      <c r="AC524" s="13"/>
      <c r="AD524" s="13">
        <v>5000</v>
      </c>
      <c r="AE524" s="13">
        <v>5000</v>
      </c>
      <c r="AF524" s="13">
        <v>5000</v>
      </c>
      <c r="AG524" s="13">
        <f t="shared" ref="AG524:AG536" si="201">AF524</f>
        <v>5000</v>
      </c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4" t="s">
        <v>787</v>
      </c>
      <c r="AU524" s="4" t="s">
        <v>685</v>
      </c>
      <c r="AV524" s="4" t="s">
        <v>1217</v>
      </c>
      <c r="AW524" s="4" t="s">
        <v>222</v>
      </c>
      <c r="AX524" s="4" t="s">
        <v>238</v>
      </c>
      <c r="AY524" s="4" t="s">
        <v>251</v>
      </c>
      <c r="AZ524" s="4" t="s">
        <v>1126</v>
      </c>
      <c r="BA524" s="4"/>
      <c r="BB524" s="4"/>
      <c r="BC524" s="4"/>
      <c r="BD524" s="23">
        <v>1</v>
      </c>
      <c r="BE524" s="4">
        <v>45646</v>
      </c>
      <c r="BF524" s="18">
        <v>45432</v>
      </c>
      <c r="BG524" s="18">
        <v>45432</v>
      </c>
      <c r="BH524" s="18">
        <v>45463</v>
      </c>
      <c r="BI524" s="18">
        <v>45493</v>
      </c>
      <c r="BJ524" s="18">
        <v>45585</v>
      </c>
      <c r="BK524" s="26">
        <v>1</v>
      </c>
      <c r="BL524" s="13">
        <v>5</v>
      </c>
      <c r="BM524" s="9">
        <f t="shared" si="184"/>
        <v>0</v>
      </c>
      <c r="BN524" s="9">
        <f t="shared" si="197"/>
        <v>0</v>
      </c>
      <c r="BO524" s="9">
        <f t="shared" si="198"/>
        <v>0</v>
      </c>
      <c r="BP524" s="9">
        <f t="shared" si="190"/>
        <v>0</v>
      </c>
      <c r="BQ524" s="9">
        <f t="shared" si="191"/>
        <v>0</v>
      </c>
      <c r="BR524" s="9">
        <f t="shared" si="192"/>
        <v>18000</v>
      </c>
      <c r="BS524" s="9">
        <f t="shared" si="193"/>
        <v>18000</v>
      </c>
      <c r="BT524" s="9">
        <f t="shared" si="194"/>
        <v>18000</v>
      </c>
    </row>
    <row r="525" spans="1:72" hidden="1" x14ac:dyDescent="0.25">
      <c r="A525" s="11">
        <f t="shared" si="199"/>
        <v>524</v>
      </c>
      <c r="B525" s="5" t="s">
        <v>1122</v>
      </c>
      <c r="C525" s="4" t="s">
        <v>128</v>
      </c>
      <c r="D525" s="4" t="s">
        <v>1123</v>
      </c>
      <c r="E525" s="4" t="s">
        <v>1682</v>
      </c>
      <c r="F525" s="4" t="s">
        <v>1686</v>
      </c>
      <c r="G525" s="4" t="s">
        <v>1127</v>
      </c>
      <c r="H525" s="4" t="s">
        <v>1291</v>
      </c>
      <c r="I525" s="4"/>
      <c r="J525" s="4"/>
      <c r="K525" s="5" t="s">
        <v>1124</v>
      </c>
      <c r="L525" s="24">
        <v>200000</v>
      </c>
      <c r="M525" s="13" t="s">
        <v>74</v>
      </c>
      <c r="N525" s="5"/>
      <c r="O525" s="4" t="s">
        <v>1128</v>
      </c>
      <c r="P525" s="4"/>
      <c r="Q525" s="42">
        <v>3.6</v>
      </c>
      <c r="R525" s="1">
        <f t="shared" si="195"/>
        <v>54000</v>
      </c>
      <c r="S525" s="38">
        <v>0</v>
      </c>
      <c r="T525" s="2">
        <f t="shared" si="196"/>
        <v>15000</v>
      </c>
      <c r="U525" s="24"/>
      <c r="V525" s="24"/>
      <c r="W525" s="24"/>
      <c r="X525" s="13"/>
      <c r="Y525" s="13"/>
      <c r="Z525" s="13"/>
      <c r="AA525" s="13"/>
      <c r="AB525" s="13"/>
      <c r="AC525" s="13"/>
      <c r="AD525" s="13">
        <v>5000</v>
      </c>
      <c r="AE525" s="13">
        <v>5000</v>
      </c>
      <c r="AF525" s="13">
        <v>5000</v>
      </c>
      <c r="AG525" s="13">
        <f t="shared" si="201"/>
        <v>5000</v>
      </c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4" t="s">
        <v>787</v>
      </c>
      <c r="AU525" s="4" t="s">
        <v>685</v>
      </c>
      <c r="AV525" s="4" t="s">
        <v>1217</v>
      </c>
      <c r="AW525" s="4" t="s">
        <v>222</v>
      </c>
      <c r="AX525" s="4" t="s">
        <v>238</v>
      </c>
      <c r="AY525" s="4" t="s">
        <v>251</v>
      </c>
      <c r="AZ525" s="4" t="s">
        <v>1126</v>
      </c>
      <c r="BA525" s="4"/>
      <c r="BB525" s="4"/>
      <c r="BC525" s="4"/>
      <c r="BD525" s="23"/>
      <c r="BE525" s="4"/>
      <c r="BF525" s="18"/>
      <c r="BG525" s="18"/>
      <c r="BH525" s="18"/>
      <c r="BI525" s="18"/>
      <c r="BJ525" s="18"/>
      <c r="BK525" s="26"/>
      <c r="BL525" s="13"/>
      <c r="BM525" s="9">
        <f t="shared" si="184"/>
        <v>0</v>
      </c>
      <c r="BN525" s="9">
        <f t="shared" si="197"/>
        <v>0</v>
      </c>
      <c r="BO525" s="9">
        <f t="shared" si="198"/>
        <v>0</v>
      </c>
      <c r="BP525" s="9">
        <f t="shared" si="190"/>
        <v>0</v>
      </c>
      <c r="BQ525" s="9">
        <f t="shared" si="191"/>
        <v>0</v>
      </c>
      <c r="BR525" s="9">
        <f t="shared" si="192"/>
        <v>18000</v>
      </c>
      <c r="BS525" s="9">
        <f t="shared" si="193"/>
        <v>18000</v>
      </c>
      <c r="BT525" s="9">
        <f t="shared" si="194"/>
        <v>18000</v>
      </c>
    </row>
    <row r="526" spans="1:72" hidden="1" x14ac:dyDescent="0.25">
      <c r="A526" s="11">
        <f t="shared" si="199"/>
        <v>525</v>
      </c>
      <c r="B526" s="5" t="s">
        <v>1238</v>
      </c>
      <c r="C526" s="4" t="s">
        <v>59</v>
      </c>
      <c r="D526" s="4" t="s">
        <v>1123</v>
      </c>
      <c r="E526" s="4" t="s">
        <v>1682</v>
      </c>
      <c r="F526" s="4" t="s">
        <v>1683</v>
      </c>
      <c r="G526" s="4" t="s">
        <v>1193</v>
      </c>
      <c r="H526" s="4" t="s">
        <v>1296</v>
      </c>
      <c r="I526" s="4"/>
      <c r="J526" s="4"/>
      <c r="K526" s="5" t="s">
        <v>1239</v>
      </c>
      <c r="L526" s="24">
        <v>500000</v>
      </c>
      <c r="M526" s="13" t="s">
        <v>320</v>
      </c>
      <c r="N526" s="5"/>
      <c r="O526" s="4" t="s">
        <v>453</v>
      </c>
      <c r="P526" s="4"/>
      <c r="Q526" s="42">
        <v>3.8</v>
      </c>
      <c r="R526" s="1">
        <f t="shared" si="195"/>
        <v>57000</v>
      </c>
      <c r="S526" s="38">
        <v>0</v>
      </c>
      <c r="T526" s="2">
        <f t="shared" si="196"/>
        <v>15000</v>
      </c>
      <c r="U526" s="24"/>
      <c r="V526" s="24"/>
      <c r="W526" s="24"/>
      <c r="X526" s="13"/>
      <c r="Y526" s="13"/>
      <c r="Z526" s="13"/>
      <c r="AA526" s="13"/>
      <c r="AB526" s="13"/>
      <c r="AC526" s="13"/>
      <c r="AD526" s="13">
        <v>5000</v>
      </c>
      <c r="AE526" s="13">
        <v>5000</v>
      </c>
      <c r="AF526" s="13">
        <v>5000</v>
      </c>
      <c r="AG526" s="13">
        <f t="shared" si="201"/>
        <v>5000</v>
      </c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4" t="s">
        <v>1106</v>
      </c>
      <c r="AU526" s="4" t="s">
        <v>685</v>
      </c>
      <c r="AV526" s="4" t="s">
        <v>1218</v>
      </c>
      <c r="AW526" s="4" t="s">
        <v>141</v>
      </c>
      <c r="AX526" s="4" t="s">
        <v>142</v>
      </c>
      <c r="AY526" s="4"/>
      <c r="AZ526" s="4"/>
      <c r="BA526" s="4"/>
      <c r="BB526" s="4"/>
      <c r="BC526" s="4"/>
      <c r="BD526" s="23"/>
      <c r="BE526" s="4">
        <v>45797</v>
      </c>
      <c r="BF526" s="18">
        <v>45555</v>
      </c>
      <c r="BG526" s="18">
        <v>45585</v>
      </c>
      <c r="BH526" s="18">
        <v>45616</v>
      </c>
      <c r="BI526" s="18">
        <v>45371</v>
      </c>
      <c r="BJ526" s="18">
        <v>45432</v>
      </c>
      <c r="BK526" s="26">
        <v>1</v>
      </c>
      <c r="BL526" s="13">
        <v>5</v>
      </c>
      <c r="BM526" s="9">
        <f t="shared" si="184"/>
        <v>0</v>
      </c>
      <c r="BN526" s="9">
        <f t="shared" si="197"/>
        <v>0</v>
      </c>
      <c r="BO526" s="9">
        <f t="shared" si="198"/>
        <v>0</v>
      </c>
      <c r="BP526" s="9">
        <f t="shared" si="190"/>
        <v>0</v>
      </c>
      <c r="BQ526" s="9">
        <f t="shared" si="191"/>
        <v>0</v>
      </c>
      <c r="BR526" s="9">
        <f t="shared" si="192"/>
        <v>19000</v>
      </c>
      <c r="BS526" s="9">
        <f t="shared" si="193"/>
        <v>19000</v>
      </c>
      <c r="BT526" s="9">
        <f t="shared" si="194"/>
        <v>19000</v>
      </c>
    </row>
    <row r="527" spans="1:72" hidden="1" x14ac:dyDescent="0.25">
      <c r="A527" s="11">
        <f t="shared" si="199"/>
        <v>526</v>
      </c>
      <c r="B527" s="5" t="s">
        <v>1694</v>
      </c>
      <c r="C527" s="4" t="s">
        <v>59</v>
      </c>
      <c r="D527" s="4" t="s">
        <v>1207</v>
      </c>
      <c r="E527" s="4" t="s">
        <v>1682</v>
      </c>
      <c r="F527" s="4" t="s">
        <v>1240</v>
      </c>
      <c r="G527" s="4" t="s">
        <v>1241</v>
      </c>
      <c r="H527" s="4" t="s">
        <v>1099</v>
      </c>
      <c r="I527" s="4"/>
      <c r="J527" s="4"/>
      <c r="K527" s="5" t="s">
        <v>1242</v>
      </c>
      <c r="L527" s="24">
        <v>100000</v>
      </c>
      <c r="M527" s="13" t="s">
        <v>291</v>
      </c>
      <c r="N527" s="5"/>
      <c r="O527" s="4" t="s">
        <v>883</v>
      </c>
      <c r="P527" s="4"/>
      <c r="Q527" s="42">
        <v>0.55000000000000004</v>
      </c>
      <c r="R527" s="1">
        <f t="shared" si="195"/>
        <v>8250</v>
      </c>
      <c r="S527" s="38">
        <v>0</v>
      </c>
      <c r="T527" s="2">
        <f t="shared" si="196"/>
        <v>15000</v>
      </c>
      <c r="U527" s="24"/>
      <c r="V527" s="24"/>
      <c r="W527" s="24"/>
      <c r="X527" s="13">
        <v>5000</v>
      </c>
      <c r="Y527" s="13">
        <v>5000</v>
      </c>
      <c r="Z527" s="13">
        <v>5000</v>
      </c>
      <c r="AA527" s="13">
        <v>5000</v>
      </c>
      <c r="AB527" s="13"/>
      <c r="AC527" s="13"/>
      <c r="AD527" s="13">
        <v>5000</v>
      </c>
      <c r="AE527" s="13">
        <v>5000</v>
      </c>
      <c r="AF527" s="13">
        <v>5000</v>
      </c>
      <c r="AG527" s="13">
        <f t="shared" si="201"/>
        <v>5000</v>
      </c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4" t="s">
        <v>1106</v>
      </c>
      <c r="AU527" s="4" t="s">
        <v>685</v>
      </c>
      <c r="AV527" s="4" t="s">
        <v>1218</v>
      </c>
      <c r="AW527" s="4" t="s">
        <v>222</v>
      </c>
      <c r="AX527" s="4" t="s">
        <v>238</v>
      </c>
      <c r="AY527" s="4"/>
      <c r="AZ527" s="4"/>
      <c r="BA527" s="4"/>
      <c r="BB527" s="4"/>
      <c r="BC527" s="4"/>
      <c r="BD527" s="23">
        <v>2</v>
      </c>
      <c r="BE527" s="4">
        <v>45555</v>
      </c>
      <c r="BF527" s="18">
        <v>45402</v>
      </c>
      <c r="BG527" s="18">
        <v>45432</v>
      </c>
      <c r="BH527" s="18">
        <v>45463</v>
      </c>
      <c r="BI527" s="18">
        <v>45493</v>
      </c>
      <c r="BJ527" s="18">
        <v>45524</v>
      </c>
      <c r="BK527" s="26">
        <v>1</v>
      </c>
      <c r="BL527" s="13">
        <v>5</v>
      </c>
      <c r="BM527" s="9">
        <f t="shared" si="184"/>
        <v>2750</v>
      </c>
      <c r="BN527" s="9">
        <f t="shared" si="197"/>
        <v>2750</v>
      </c>
      <c r="BO527" s="9">
        <f t="shared" si="198"/>
        <v>2750</v>
      </c>
      <c r="BP527" s="9">
        <f t="shared" si="190"/>
        <v>0</v>
      </c>
      <c r="BQ527" s="9">
        <f t="shared" si="191"/>
        <v>0</v>
      </c>
      <c r="BR527" s="9">
        <f t="shared" si="192"/>
        <v>2750</v>
      </c>
      <c r="BS527" s="9">
        <f t="shared" si="193"/>
        <v>2750</v>
      </c>
      <c r="BT527" s="9">
        <f t="shared" si="194"/>
        <v>2750</v>
      </c>
    </row>
    <row r="528" spans="1:72" hidden="1" x14ac:dyDescent="0.25">
      <c r="A528" s="11">
        <f t="shared" si="199"/>
        <v>527</v>
      </c>
      <c r="B528" s="5" t="s">
        <v>1695</v>
      </c>
      <c r="C528" s="4" t="s">
        <v>59</v>
      </c>
      <c r="D528" s="4" t="s">
        <v>1207</v>
      </c>
      <c r="E528" s="4" t="s">
        <v>1682</v>
      </c>
      <c r="F528" s="4" t="s">
        <v>1240</v>
      </c>
      <c r="G528" s="4" t="s">
        <v>1127</v>
      </c>
      <c r="H528" s="4" t="s">
        <v>1291</v>
      </c>
      <c r="I528" s="4"/>
      <c r="J528" s="4"/>
      <c r="K528" s="5" t="s">
        <v>1243</v>
      </c>
      <c r="L528" s="24">
        <v>96000</v>
      </c>
      <c r="M528" s="13" t="s">
        <v>297</v>
      </c>
      <c r="N528" s="5"/>
      <c r="O528" s="4" t="s">
        <v>1125</v>
      </c>
      <c r="P528" s="4"/>
      <c r="Q528" s="42">
        <v>3.8</v>
      </c>
      <c r="R528" s="1">
        <f t="shared" si="195"/>
        <v>57000</v>
      </c>
      <c r="S528" s="38">
        <v>0</v>
      </c>
      <c r="T528" s="2">
        <f t="shared" si="196"/>
        <v>15000</v>
      </c>
      <c r="U528" s="24"/>
      <c r="V528" s="24"/>
      <c r="W528" s="24"/>
      <c r="X528" s="13"/>
      <c r="Y528" s="13"/>
      <c r="Z528" s="13"/>
      <c r="AA528" s="13"/>
      <c r="AB528" s="13"/>
      <c r="AC528" s="13"/>
      <c r="AD528" s="13">
        <v>5000</v>
      </c>
      <c r="AE528" s="13">
        <v>5000</v>
      </c>
      <c r="AF528" s="13">
        <v>5000</v>
      </c>
      <c r="AG528" s="13">
        <f t="shared" si="201"/>
        <v>5000</v>
      </c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4" t="s">
        <v>787</v>
      </c>
      <c r="AU528" s="4" t="s">
        <v>685</v>
      </c>
      <c r="AV528" s="4" t="s">
        <v>1217</v>
      </c>
      <c r="AW528" s="4" t="s">
        <v>98</v>
      </c>
      <c r="AX528" s="4" t="s">
        <v>356</v>
      </c>
      <c r="AY528" s="4" t="s">
        <v>1244</v>
      </c>
      <c r="AZ528" s="4" t="s">
        <v>1245</v>
      </c>
      <c r="BA528" s="4" t="s">
        <v>1246</v>
      </c>
      <c r="BB528" s="4"/>
      <c r="BC528" s="4"/>
      <c r="BD528" s="23">
        <v>1</v>
      </c>
      <c r="BE528" s="4">
        <v>45708</v>
      </c>
      <c r="BF528" s="18">
        <v>45555</v>
      </c>
      <c r="BG528" s="18">
        <v>45595</v>
      </c>
      <c r="BH528" s="18">
        <v>45616</v>
      </c>
      <c r="BI528" s="18">
        <v>45646</v>
      </c>
      <c r="BJ528" s="18">
        <v>45677</v>
      </c>
      <c r="BK528" s="26">
        <v>1</v>
      </c>
      <c r="BL528" s="13">
        <v>5</v>
      </c>
      <c r="BM528" s="9">
        <f t="shared" si="184"/>
        <v>0</v>
      </c>
      <c r="BN528" s="9">
        <f t="shared" si="197"/>
        <v>0</v>
      </c>
      <c r="BO528" s="9">
        <f t="shared" si="198"/>
        <v>0</v>
      </c>
      <c r="BP528" s="9">
        <f t="shared" si="190"/>
        <v>0</v>
      </c>
      <c r="BQ528" s="9">
        <f t="shared" si="191"/>
        <v>0</v>
      </c>
      <c r="BR528" s="9">
        <f t="shared" si="192"/>
        <v>19000</v>
      </c>
      <c r="BS528" s="9">
        <f t="shared" si="193"/>
        <v>19000</v>
      </c>
      <c r="BT528" s="9">
        <f t="shared" si="194"/>
        <v>19000</v>
      </c>
    </row>
    <row r="529" spans="1:72" hidden="1" x14ac:dyDescent="0.25">
      <c r="A529" s="11">
        <f t="shared" si="199"/>
        <v>528</v>
      </c>
      <c r="B529" s="5" t="s">
        <v>1695</v>
      </c>
      <c r="C529" s="4" t="s">
        <v>59</v>
      </c>
      <c r="D529" s="4" t="s">
        <v>1207</v>
      </c>
      <c r="E529" s="4" t="s">
        <v>1682</v>
      </c>
      <c r="F529" s="4" t="s">
        <v>1240</v>
      </c>
      <c r="G529" s="4" t="s">
        <v>332</v>
      </c>
      <c r="H529" s="4" t="s">
        <v>1297</v>
      </c>
      <c r="I529" s="4"/>
      <c r="J529" s="4"/>
      <c r="K529" s="5" t="s">
        <v>319</v>
      </c>
      <c r="L529" s="24">
        <v>180000</v>
      </c>
      <c r="M529" s="13" t="s">
        <v>74</v>
      </c>
      <c r="N529" s="5"/>
      <c r="O529" s="4" t="s">
        <v>1247</v>
      </c>
      <c r="P529" s="4"/>
      <c r="Q529" s="42">
        <v>7.35</v>
      </c>
      <c r="R529" s="1">
        <f t="shared" si="195"/>
        <v>110250</v>
      </c>
      <c r="S529" s="38">
        <v>0</v>
      </c>
      <c r="T529" s="2">
        <f t="shared" si="196"/>
        <v>15000</v>
      </c>
      <c r="U529" s="24"/>
      <c r="V529" s="24"/>
      <c r="W529" s="24"/>
      <c r="X529" s="13"/>
      <c r="Y529" s="13"/>
      <c r="Z529" s="13"/>
      <c r="AA529" s="13"/>
      <c r="AB529" s="13"/>
      <c r="AC529" s="13"/>
      <c r="AD529" s="13">
        <v>5000</v>
      </c>
      <c r="AE529" s="13">
        <v>5000</v>
      </c>
      <c r="AF529" s="13">
        <v>5000</v>
      </c>
      <c r="AG529" s="13">
        <f t="shared" si="201"/>
        <v>5000</v>
      </c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4" t="s">
        <v>727</v>
      </c>
      <c r="AU529" s="4" t="s">
        <v>685</v>
      </c>
      <c r="AV529" s="4" t="s">
        <v>1220</v>
      </c>
      <c r="AW529" s="4" t="s">
        <v>98</v>
      </c>
      <c r="AX529" s="4" t="s">
        <v>89</v>
      </c>
      <c r="AY529" s="4" t="s">
        <v>90</v>
      </c>
      <c r="AZ529" s="4" t="s">
        <v>773</v>
      </c>
      <c r="BA529" s="4" t="s">
        <v>1248</v>
      </c>
      <c r="BB529" s="4"/>
      <c r="BC529" s="4"/>
      <c r="BD529" s="23">
        <v>1</v>
      </c>
      <c r="BE529" s="4">
        <v>45797</v>
      </c>
      <c r="BF529" s="18">
        <v>45555</v>
      </c>
      <c r="BG529" s="18">
        <v>45595</v>
      </c>
      <c r="BH529" s="18">
        <v>45600</v>
      </c>
      <c r="BI529" s="18">
        <v>45646</v>
      </c>
      <c r="BJ529" s="18">
        <v>45708</v>
      </c>
      <c r="BK529" s="26">
        <v>1</v>
      </c>
      <c r="BL529" s="13">
        <v>5</v>
      </c>
      <c r="BM529" s="9">
        <f t="shared" si="184"/>
        <v>0</v>
      </c>
      <c r="BN529" s="9">
        <f t="shared" si="197"/>
        <v>0</v>
      </c>
      <c r="BO529" s="9">
        <f t="shared" si="198"/>
        <v>0</v>
      </c>
      <c r="BP529" s="9">
        <f t="shared" si="190"/>
        <v>0</v>
      </c>
      <c r="BQ529" s="9">
        <f t="shared" si="191"/>
        <v>0</v>
      </c>
      <c r="BR529" s="9">
        <f t="shared" si="192"/>
        <v>36750</v>
      </c>
      <c r="BS529" s="9">
        <f t="shared" si="193"/>
        <v>36750</v>
      </c>
      <c r="BT529" s="9">
        <f t="shared" si="194"/>
        <v>36750</v>
      </c>
    </row>
    <row r="530" spans="1:72" hidden="1" x14ac:dyDescent="0.25">
      <c r="A530" s="11">
        <f t="shared" si="199"/>
        <v>529</v>
      </c>
      <c r="B530" s="5" t="s">
        <v>1695</v>
      </c>
      <c r="C530" s="4" t="s">
        <v>59</v>
      </c>
      <c r="D530" s="4" t="s">
        <v>1207</v>
      </c>
      <c r="E530" s="4" t="s">
        <v>1682</v>
      </c>
      <c r="F530" s="4" t="s">
        <v>1240</v>
      </c>
      <c r="G530" s="4" t="s">
        <v>1150</v>
      </c>
      <c r="H530" s="4" t="s">
        <v>597</v>
      </c>
      <c r="I530" s="4"/>
      <c r="J530" s="4"/>
      <c r="K530" s="5" t="s">
        <v>420</v>
      </c>
      <c r="L530" s="24">
        <v>120000</v>
      </c>
      <c r="M530" s="13" t="s">
        <v>74</v>
      </c>
      <c r="N530" s="5"/>
      <c r="O530" s="4" t="s">
        <v>1249</v>
      </c>
      <c r="P530" s="4"/>
      <c r="Q530" s="42">
        <v>2.42</v>
      </c>
      <c r="R530" s="1">
        <f t="shared" si="195"/>
        <v>36300</v>
      </c>
      <c r="S530" s="38">
        <v>0</v>
      </c>
      <c r="T530" s="2">
        <f t="shared" si="196"/>
        <v>15000</v>
      </c>
      <c r="U530" s="24"/>
      <c r="V530" s="24"/>
      <c r="W530" s="24"/>
      <c r="X530" s="13"/>
      <c r="Y530" s="13">
        <v>2000</v>
      </c>
      <c r="Z530" s="13">
        <v>2000</v>
      </c>
      <c r="AA530" s="13">
        <v>3000</v>
      </c>
      <c r="AB530" s="13"/>
      <c r="AC530" s="13"/>
      <c r="AD530" s="13">
        <v>5000</v>
      </c>
      <c r="AE530" s="13">
        <v>5000</v>
      </c>
      <c r="AF530" s="13">
        <v>5000</v>
      </c>
      <c r="AG530" s="13">
        <f t="shared" si="201"/>
        <v>5000</v>
      </c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4" t="s">
        <v>727</v>
      </c>
      <c r="AU530" s="4" t="s">
        <v>685</v>
      </c>
      <c r="AV530" s="4" t="s">
        <v>1220</v>
      </c>
      <c r="AW530" s="4" t="s">
        <v>98</v>
      </c>
      <c r="AX530" s="4" t="s">
        <v>753</v>
      </c>
      <c r="AY530" s="4" t="s">
        <v>1148</v>
      </c>
      <c r="AZ530" s="4" t="s">
        <v>1149</v>
      </c>
      <c r="BA530" s="4" t="s">
        <v>1250</v>
      </c>
      <c r="BB530" s="4"/>
      <c r="BC530" s="4"/>
      <c r="BD530" s="23">
        <v>1</v>
      </c>
      <c r="BE530" s="4">
        <v>45828</v>
      </c>
      <c r="BF530" s="18">
        <v>45555</v>
      </c>
      <c r="BG530" s="18">
        <v>45595</v>
      </c>
      <c r="BH530" s="18">
        <v>45600</v>
      </c>
      <c r="BI530" s="18">
        <v>45677</v>
      </c>
      <c r="BJ530" s="18">
        <v>45708</v>
      </c>
      <c r="BK530" s="26">
        <v>1</v>
      </c>
      <c r="BL530" s="13">
        <v>5</v>
      </c>
      <c r="BM530" s="9">
        <f t="shared" si="184"/>
        <v>4840</v>
      </c>
      <c r="BN530" s="9">
        <f t="shared" si="197"/>
        <v>4840</v>
      </c>
      <c r="BO530" s="9">
        <f t="shared" si="198"/>
        <v>7260</v>
      </c>
      <c r="BP530" s="9">
        <f t="shared" si="190"/>
        <v>0</v>
      </c>
      <c r="BQ530" s="9">
        <f t="shared" si="191"/>
        <v>0</v>
      </c>
      <c r="BR530" s="9">
        <f t="shared" si="192"/>
        <v>12100</v>
      </c>
      <c r="BS530" s="9">
        <f t="shared" si="193"/>
        <v>12100</v>
      </c>
      <c r="BT530" s="9">
        <f t="shared" si="194"/>
        <v>12100</v>
      </c>
    </row>
    <row r="531" spans="1:72" hidden="1" x14ac:dyDescent="0.25">
      <c r="A531" s="11">
        <f t="shared" si="199"/>
        <v>530</v>
      </c>
      <c r="B531" s="5" t="s">
        <v>1695</v>
      </c>
      <c r="C531" s="4" t="s">
        <v>59</v>
      </c>
      <c r="D531" s="4" t="s">
        <v>1207</v>
      </c>
      <c r="E531" s="4" t="s">
        <v>1682</v>
      </c>
      <c r="F531" s="4" t="s">
        <v>1240</v>
      </c>
      <c r="G531" s="4" t="s">
        <v>260</v>
      </c>
      <c r="H531" s="4" t="s">
        <v>1750</v>
      </c>
      <c r="I531" s="4"/>
      <c r="J531" s="4"/>
      <c r="K531" s="5" t="s">
        <v>1132</v>
      </c>
      <c r="L531" s="24">
        <v>400000</v>
      </c>
      <c r="M531" s="13" t="s">
        <v>74</v>
      </c>
      <c r="N531" s="5"/>
      <c r="O531" s="4" t="s">
        <v>1137</v>
      </c>
      <c r="P531" s="4"/>
      <c r="Q531" s="42">
        <v>0.52</v>
      </c>
      <c r="R531" s="1">
        <f t="shared" si="195"/>
        <v>7800</v>
      </c>
      <c r="S531" s="38">
        <v>0</v>
      </c>
      <c r="T531" s="2">
        <f t="shared" si="196"/>
        <v>15000</v>
      </c>
      <c r="U531" s="24"/>
      <c r="V531" s="24"/>
      <c r="W531" s="24"/>
      <c r="X531" s="13"/>
      <c r="Y531" s="13"/>
      <c r="Z531" s="13"/>
      <c r="AA531" s="13"/>
      <c r="AB531" s="13"/>
      <c r="AC531" s="13"/>
      <c r="AD531" s="13">
        <v>5000</v>
      </c>
      <c r="AE531" s="13">
        <v>5000</v>
      </c>
      <c r="AF531" s="13">
        <v>5000</v>
      </c>
      <c r="AG531" s="13">
        <f t="shared" si="201"/>
        <v>5000</v>
      </c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4" t="s">
        <v>723</v>
      </c>
      <c r="AU531" s="4" t="s">
        <v>685</v>
      </c>
      <c r="AV531" s="4" t="s">
        <v>1218</v>
      </c>
      <c r="AW531" s="4" t="s">
        <v>98</v>
      </c>
      <c r="AX531" s="4" t="s">
        <v>110</v>
      </c>
      <c r="AY531" s="4" t="s">
        <v>736</v>
      </c>
      <c r="AZ531" s="4" t="s">
        <v>737</v>
      </c>
      <c r="BA531" s="4" t="s">
        <v>1251</v>
      </c>
      <c r="BB531" s="4"/>
      <c r="BC531" s="4"/>
      <c r="BD531" s="23"/>
      <c r="BE531" s="4">
        <v>45950</v>
      </c>
      <c r="BF531" s="18">
        <v>45585</v>
      </c>
      <c r="BG531" s="18">
        <v>45585</v>
      </c>
      <c r="BH531" s="18">
        <v>45616</v>
      </c>
      <c r="BI531" s="18"/>
      <c r="BJ531" s="18"/>
      <c r="BK531" s="26">
        <v>1</v>
      </c>
      <c r="BL531" s="13">
        <v>5</v>
      </c>
      <c r="BM531" s="9">
        <f t="shared" si="184"/>
        <v>0</v>
      </c>
      <c r="BN531" s="9">
        <f t="shared" si="197"/>
        <v>0</v>
      </c>
      <c r="BO531" s="9">
        <f t="shared" si="198"/>
        <v>0</v>
      </c>
      <c r="BP531" s="9">
        <f t="shared" si="190"/>
        <v>0</v>
      </c>
      <c r="BQ531" s="9">
        <f t="shared" si="191"/>
        <v>0</v>
      </c>
      <c r="BR531" s="9">
        <f t="shared" si="192"/>
        <v>2600</v>
      </c>
      <c r="BS531" s="9">
        <f t="shared" si="193"/>
        <v>2600</v>
      </c>
      <c r="BT531" s="9">
        <f t="shared" si="194"/>
        <v>2600</v>
      </c>
    </row>
    <row r="532" spans="1:72" hidden="1" x14ac:dyDescent="0.25">
      <c r="A532" s="11">
        <f t="shared" si="199"/>
        <v>531</v>
      </c>
      <c r="B532" s="5" t="s">
        <v>1252</v>
      </c>
      <c r="C532" s="4" t="s">
        <v>59</v>
      </c>
      <c r="D532" s="4" t="s">
        <v>1207</v>
      </c>
      <c r="E532" s="4" t="s">
        <v>1682</v>
      </c>
      <c r="F532" s="4" t="s">
        <v>1240</v>
      </c>
      <c r="G532" s="4" t="s">
        <v>86</v>
      </c>
      <c r="H532" s="4" t="s">
        <v>1098</v>
      </c>
      <c r="I532" s="4"/>
      <c r="J532" s="4"/>
      <c r="K532" s="5" t="s">
        <v>513</v>
      </c>
      <c r="L532" s="24">
        <v>200000</v>
      </c>
      <c r="M532" s="13" t="s">
        <v>74</v>
      </c>
      <c r="N532" s="5"/>
      <c r="O532" s="4" t="s">
        <v>1253</v>
      </c>
      <c r="P532" s="4"/>
      <c r="Q532" s="42">
        <v>3.8</v>
      </c>
      <c r="R532" s="1">
        <f t="shared" si="195"/>
        <v>114000</v>
      </c>
      <c r="S532" s="38">
        <v>0</v>
      </c>
      <c r="T532" s="2">
        <f t="shared" si="196"/>
        <v>30000</v>
      </c>
      <c r="U532" s="24"/>
      <c r="V532" s="24"/>
      <c r="W532" s="24"/>
      <c r="X532" s="13"/>
      <c r="Y532" s="13"/>
      <c r="Z532" s="13"/>
      <c r="AA532" s="13"/>
      <c r="AB532" s="13"/>
      <c r="AC532" s="13"/>
      <c r="AD532" s="13">
        <v>10000</v>
      </c>
      <c r="AE532" s="13">
        <v>10000</v>
      </c>
      <c r="AF532" s="13">
        <v>10000</v>
      </c>
      <c r="AG532" s="13">
        <f t="shared" si="201"/>
        <v>10000</v>
      </c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4" t="s">
        <v>1106</v>
      </c>
      <c r="AU532" s="4" t="s">
        <v>685</v>
      </c>
      <c r="AV532" s="4" t="s">
        <v>1217</v>
      </c>
      <c r="AW532" s="4" t="s">
        <v>98</v>
      </c>
      <c r="AX532" s="4" t="s">
        <v>753</v>
      </c>
      <c r="AY532" s="4" t="s">
        <v>886</v>
      </c>
      <c r="AZ532" s="4"/>
      <c r="BA532" s="4"/>
      <c r="BB532" s="4"/>
      <c r="BC532" s="4"/>
      <c r="BD532" s="23"/>
      <c r="BE532" s="4"/>
      <c r="BF532" s="18"/>
      <c r="BG532" s="18"/>
      <c r="BH532" s="18"/>
      <c r="BI532" s="18"/>
      <c r="BJ532" s="18"/>
      <c r="BK532" s="26"/>
      <c r="BL532" s="13"/>
      <c r="BM532" s="9">
        <f t="shared" si="184"/>
        <v>0</v>
      </c>
      <c r="BN532" s="9">
        <f t="shared" si="197"/>
        <v>0</v>
      </c>
      <c r="BO532" s="9">
        <f t="shared" si="198"/>
        <v>0</v>
      </c>
      <c r="BP532" s="9">
        <f t="shared" si="190"/>
        <v>0</v>
      </c>
      <c r="BQ532" s="9">
        <f t="shared" si="191"/>
        <v>0</v>
      </c>
      <c r="BR532" s="9">
        <f t="shared" si="192"/>
        <v>38000</v>
      </c>
      <c r="BS532" s="9">
        <f t="shared" si="193"/>
        <v>38000</v>
      </c>
      <c r="BT532" s="9">
        <f t="shared" si="194"/>
        <v>38000</v>
      </c>
    </row>
    <row r="533" spans="1:72" hidden="1" x14ac:dyDescent="0.25">
      <c r="A533" s="11">
        <f t="shared" si="199"/>
        <v>532</v>
      </c>
      <c r="B533" s="5" t="s">
        <v>1252</v>
      </c>
      <c r="C533" s="4" t="s">
        <v>59</v>
      </c>
      <c r="D533" s="4" t="s">
        <v>1207</v>
      </c>
      <c r="E533" s="4" t="s">
        <v>1682</v>
      </c>
      <c r="F533" s="4" t="s">
        <v>1240</v>
      </c>
      <c r="G533" s="4" t="s">
        <v>904</v>
      </c>
      <c r="H533" s="4" t="s">
        <v>924</v>
      </c>
      <c r="I533" s="4"/>
      <c r="J533" s="4"/>
      <c r="K533" s="5" t="s">
        <v>513</v>
      </c>
      <c r="L533" s="24">
        <v>200000</v>
      </c>
      <c r="M533" s="13" t="s">
        <v>74</v>
      </c>
      <c r="N533" s="5"/>
      <c r="O533" s="4" t="s">
        <v>1253</v>
      </c>
      <c r="P533" s="4"/>
      <c r="Q533" s="42">
        <v>3.8</v>
      </c>
      <c r="R533" s="1">
        <f t="shared" si="195"/>
        <v>114000</v>
      </c>
      <c r="S533" s="38">
        <v>0</v>
      </c>
      <c r="T533" s="2">
        <f t="shared" si="196"/>
        <v>30000</v>
      </c>
      <c r="U533" s="24"/>
      <c r="V533" s="24"/>
      <c r="W533" s="24"/>
      <c r="X533" s="13"/>
      <c r="Y533" s="13"/>
      <c r="Z533" s="13"/>
      <c r="AA533" s="13"/>
      <c r="AB533" s="13"/>
      <c r="AC533" s="13"/>
      <c r="AD533" s="13">
        <v>10000</v>
      </c>
      <c r="AE533" s="13">
        <v>10000</v>
      </c>
      <c r="AF533" s="13">
        <v>10000</v>
      </c>
      <c r="AG533" s="13">
        <f t="shared" si="201"/>
        <v>10000</v>
      </c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4" t="s">
        <v>1106</v>
      </c>
      <c r="AU533" s="4" t="s">
        <v>685</v>
      </c>
      <c r="AV533" s="4" t="s">
        <v>1217</v>
      </c>
      <c r="AW533" s="4" t="s">
        <v>98</v>
      </c>
      <c r="AX533" s="4" t="s">
        <v>753</v>
      </c>
      <c r="AY533" s="4" t="s">
        <v>886</v>
      </c>
      <c r="AZ533" s="4"/>
      <c r="BA533" s="4"/>
      <c r="BB533" s="4"/>
      <c r="BC533" s="4"/>
      <c r="BD533" s="23"/>
      <c r="BE533" s="4"/>
      <c r="BF533" s="18"/>
      <c r="BG533" s="18"/>
      <c r="BH533" s="18"/>
      <c r="BI533" s="18"/>
      <c r="BJ533" s="18"/>
      <c r="BK533" s="26"/>
      <c r="BL533" s="13"/>
      <c r="BM533" s="9">
        <f t="shared" si="184"/>
        <v>0</v>
      </c>
      <c r="BN533" s="9">
        <f t="shared" si="197"/>
        <v>0</v>
      </c>
      <c r="BO533" s="9">
        <f t="shared" si="198"/>
        <v>0</v>
      </c>
      <c r="BP533" s="9">
        <f t="shared" si="190"/>
        <v>0</v>
      </c>
      <c r="BQ533" s="9">
        <f t="shared" si="191"/>
        <v>0</v>
      </c>
      <c r="BR533" s="9">
        <f t="shared" si="192"/>
        <v>38000</v>
      </c>
      <c r="BS533" s="9">
        <f t="shared" si="193"/>
        <v>38000</v>
      </c>
      <c r="BT533" s="9">
        <f t="shared" si="194"/>
        <v>38000</v>
      </c>
    </row>
    <row r="534" spans="1:72" hidden="1" x14ac:dyDescent="0.25">
      <c r="A534" s="11">
        <f t="shared" si="199"/>
        <v>533</v>
      </c>
      <c r="B534" s="5" t="s">
        <v>1254</v>
      </c>
      <c r="C534" s="4" t="s">
        <v>59</v>
      </c>
      <c r="D534" s="4" t="s">
        <v>1207</v>
      </c>
      <c r="E534" s="4" t="s">
        <v>1682</v>
      </c>
      <c r="F534" s="4" t="s">
        <v>1240</v>
      </c>
      <c r="G534" s="4" t="s">
        <v>747</v>
      </c>
      <c r="H534" s="4" t="s">
        <v>1298</v>
      </c>
      <c r="I534" s="4"/>
      <c r="J534" s="4"/>
      <c r="K534" s="5" t="s">
        <v>1255</v>
      </c>
      <c r="L534" s="24">
        <v>150000</v>
      </c>
      <c r="M534" s="13" t="s">
        <v>74</v>
      </c>
      <c r="N534" s="5"/>
      <c r="O534" s="4" t="s">
        <v>453</v>
      </c>
      <c r="P534" s="4"/>
      <c r="Q534" s="42">
        <v>0.57999999999999996</v>
      </c>
      <c r="R534" s="1">
        <f t="shared" si="195"/>
        <v>17400</v>
      </c>
      <c r="S534" s="38">
        <v>0</v>
      </c>
      <c r="T534" s="2">
        <f t="shared" si="196"/>
        <v>30000</v>
      </c>
      <c r="U534" s="24"/>
      <c r="V534" s="24"/>
      <c r="W534" s="24"/>
      <c r="X534" s="13"/>
      <c r="Y534" s="13"/>
      <c r="Z534" s="13"/>
      <c r="AA534" s="13"/>
      <c r="AB534" s="13"/>
      <c r="AC534" s="13"/>
      <c r="AD534" s="13">
        <v>10000</v>
      </c>
      <c r="AE534" s="13">
        <v>10000</v>
      </c>
      <c r="AF534" s="13">
        <v>10000</v>
      </c>
      <c r="AG534" s="13">
        <f t="shared" si="201"/>
        <v>10000</v>
      </c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4" t="s">
        <v>1106</v>
      </c>
      <c r="AU534" s="4" t="s">
        <v>685</v>
      </c>
      <c r="AV534" s="4" t="s">
        <v>1214</v>
      </c>
      <c r="AW534" s="4" t="s">
        <v>98</v>
      </c>
      <c r="AX534" s="4" t="s">
        <v>753</v>
      </c>
      <c r="AY534" s="4" t="s">
        <v>886</v>
      </c>
      <c r="AZ534" s="4"/>
      <c r="BA534" s="4"/>
      <c r="BB534" s="4"/>
      <c r="BC534" s="4"/>
      <c r="BD534" s="23"/>
      <c r="BE534" s="4"/>
      <c r="BF534" s="18"/>
      <c r="BG534" s="18"/>
      <c r="BH534" s="18"/>
      <c r="BI534" s="18"/>
      <c r="BJ534" s="18"/>
      <c r="BK534" s="26"/>
      <c r="BL534" s="13"/>
      <c r="BM534" s="9">
        <f t="shared" si="184"/>
        <v>0</v>
      </c>
      <c r="BN534" s="9">
        <f t="shared" si="197"/>
        <v>0</v>
      </c>
      <c r="BO534" s="9">
        <f t="shared" si="198"/>
        <v>0</v>
      </c>
      <c r="BP534" s="9">
        <f t="shared" si="190"/>
        <v>0</v>
      </c>
      <c r="BQ534" s="9">
        <f t="shared" si="191"/>
        <v>0</v>
      </c>
      <c r="BR534" s="9">
        <f t="shared" si="192"/>
        <v>5800</v>
      </c>
      <c r="BS534" s="9">
        <f t="shared" si="193"/>
        <v>5800</v>
      </c>
      <c r="BT534" s="9">
        <f t="shared" si="194"/>
        <v>5800</v>
      </c>
    </row>
    <row r="535" spans="1:72" hidden="1" x14ac:dyDescent="0.25">
      <c r="A535" s="11">
        <f t="shared" si="199"/>
        <v>534</v>
      </c>
      <c r="B535" s="5" t="s">
        <v>1129</v>
      </c>
      <c r="C535" s="4" t="s">
        <v>128</v>
      </c>
      <c r="D535" s="4" t="s">
        <v>1130</v>
      </c>
      <c r="E535" s="4" t="s">
        <v>1682</v>
      </c>
      <c r="F535" s="4" t="s">
        <v>1131</v>
      </c>
      <c r="G535" s="4" t="s">
        <v>260</v>
      </c>
      <c r="H535" s="4" t="s">
        <v>1750</v>
      </c>
      <c r="I535" s="4"/>
      <c r="J535" s="4"/>
      <c r="K535" s="5" t="s">
        <v>1132</v>
      </c>
      <c r="L535" s="24">
        <v>200000</v>
      </c>
      <c r="M535" s="13" t="s">
        <v>320</v>
      </c>
      <c r="N535" s="5"/>
      <c r="O535" s="4" t="s">
        <v>453</v>
      </c>
      <c r="P535" s="4"/>
      <c r="Q535" s="42">
        <v>0.52</v>
      </c>
      <c r="R535" s="1">
        <f t="shared" si="195"/>
        <v>5200</v>
      </c>
      <c r="S535" s="38">
        <v>0</v>
      </c>
      <c r="T535" s="2">
        <f t="shared" si="196"/>
        <v>10000</v>
      </c>
      <c r="U535" s="24"/>
      <c r="V535" s="24"/>
      <c r="W535" s="24"/>
      <c r="X535" s="13"/>
      <c r="Y535" s="13"/>
      <c r="Z535" s="13"/>
      <c r="AA535" s="13"/>
      <c r="AB535" s="13"/>
      <c r="AC535" s="13"/>
      <c r="AD535" s="13"/>
      <c r="AE535" s="13">
        <v>5000</v>
      </c>
      <c r="AF535" s="13">
        <v>5000</v>
      </c>
      <c r="AG535" s="13">
        <f t="shared" si="201"/>
        <v>5000</v>
      </c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4" t="s">
        <v>1106</v>
      </c>
      <c r="AU535" s="4" t="s">
        <v>685</v>
      </c>
      <c r="AV535" s="4" t="s">
        <v>1218</v>
      </c>
      <c r="AW535" s="4" t="s">
        <v>98</v>
      </c>
      <c r="AX535" s="4" t="s">
        <v>110</v>
      </c>
      <c r="AY535" s="4" t="s">
        <v>736</v>
      </c>
      <c r="AZ535" s="4" t="s">
        <v>737</v>
      </c>
      <c r="BA535" s="4" t="s">
        <v>927</v>
      </c>
      <c r="BB535" s="4"/>
      <c r="BC535" s="4"/>
      <c r="BD535" s="23"/>
      <c r="BE535" s="4">
        <v>45889</v>
      </c>
      <c r="BF535" s="18">
        <v>45555</v>
      </c>
      <c r="BG535" s="18">
        <v>45585</v>
      </c>
      <c r="BH535" s="18">
        <v>45616</v>
      </c>
      <c r="BI535" s="18"/>
      <c r="BJ535" s="18"/>
      <c r="BK535" s="26">
        <v>1</v>
      </c>
      <c r="BL535" s="13">
        <v>5</v>
      </c>
      <c r="BM535" s="9">
        <f t="shared" si="184"/>
        <v>0</v>
      </c>
      <c r="BN535" s="9">
        <f t="shared" si="197"/>
        <v>0</v>
      </c>
      <c r="BO535" s="9">
        <f t="shared" si="198"/>
        <v>0</v>
      </c>
      <c r="BP535" s="9">
        <f t="shared" si="190"/>
        <v>0</v>
      </c>
      <c r="BQ535" s="9">
        <f t="shared" si="191"/>
        <v>0</v>
      </c>
      <c r="BR535" s="9">
        <f t="shared" si="192"/>
        <v>0</v>
      </c>
      <c r="BS535" s="9">
        <f t="shared" si="193"/>
        <v>2600</v>
      </c>
      <c r="BT535" s="9">
        <f t="shared" si="194"/>
        <v>2600</v>
      </c>
    </row>
    <row r="536" spans="1:72" hidden="1" x14ac:dyDescent="0.25">
      <c r="A536" s="11">
        <f t="shared" si="199"/>
        <v>535</v>
      </c>
      <c r="B536" s="5" t="s">
        <v>1256</v>
      </c>
      <c r="C536" s="4" t="s">
        <v>59</v>
      </c>
      <c r="D536" s="4" t="s">
        <v>1130</v>
      </c>
      <c r="E536" s="4" t="s">
        <v>1682</v>
      </c>
      <c r="F536" s="4" t="s">
        <v>1131</v>
      </c>
      <c r="G536" s="4" t="s">
        <v>260</v>
      </c>
      <c r="H536" s="4" t="s">
        <v>1750</v>
      </c>
      <c r="I536" s="4"/>
      <c r="J536" s="4"/>
      <c r="K536" s="5" t="s">
        <v>1132</v>
      </c>
      <c r="L536" s="24">
        <v>200000</v>
      </c>
      <c r="M536" s="13" t="s">
        <v>320</v>
      </c>
      <c r="N536" s="5"/>
      <c r="O536" s="4" t="s">
        <v>453</v>
      </c>
      <c r="P536" s="4"/>
      <c r="Q536" s="42">
        <v>0.52</v>
      </c>
      <c r="R536" s="1">
        <f t="shared" si="195"/>
        <v>5200</v>
      </c>
      <c r="S536" s="38">
        <v>0</v>
      </c>
      <c r="T536" s="2">
        <f t="shared" si="196"/>
        <v>10000</v>
      </c>
      <c r="U536" s="24"/>
      <c r="V536" s="24"/>
      <c r="W536" s="24"/>
      <c r="X536" s="13"/>
      <c r="Y536" s="13"/>
      <c r="Z536" s="13"/>
      <c r="AA536" s="13"/>
      <c r="AB536" s="13"/>
      <c r="AC536" s="13"/>
      <c r="AD536" s="13"/>
      <c r="AE536" s="13">
        <v>5000</v>
      </c>
      <c r="AF536" s="13">
        <v>5000</v>
      </c>
      <c r="AG536" s="13">
        <f t="shared" si="201"/>
        <v>5000</v>
      </c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4" t="s">
        <v>1106</v>
      </c>
      <c r="AU536" s="4" t="s">
        <v>685</v>
      </c>
      <c r="AV536" s="4" t="s">
        <v>1218</v>
      </c>
      <c r="AW536" s="4" t="s">
        <v>98</v>
      </c>
      <c r="AX536" s="4" t="s">
        <v>110</v>
      </c>
      <c r="AY536" s="4" t="s">
        <v>736</v>
      </c>
      <c r="AZ536" s="4" t="s">
        <v>737</v>
      </c>
      <c r="BA536" s="4" t="s">
        <v>927</v>
      </c>
      <c r="BB536" s="4"/>
      <c r="BC536" s="4"/>
      <c r="BD536" s="23"/>
      <c r="BE536" s="4">
        <v>45889</v>
      </c>
      <c r="BF536" s="18">
        <v>45555</v>
      </c>
      <c r="BG536" s="18">
        <v>45585</v>
      </c>
      <c r="BH536" s="18">
        <v>45616</v>
      </c>
      <c r="BI536" s="18"/>
      <c r="BJ536" s="18"/>
      <c r="BK536" s="26">
        <v>1</v>
      </c>
      <c r="BL536" s="13">
        <v>5</v>
      </c>
      <c r="BM536" s="9">
        <f t="shared" si="184"/>
        <v>0</v>
      </c>
      <c r="BN536" s="9">
        <f t="shared" si="197"/>
        <v>0</v>
      </c>
      <c r="BO536" s="9">
        <f t="shared" si="198"/>
        <v>0</v>
      </c>
      <c r="BP536" s="9">
        <f t="shared" si="190"/>
        <v>0</v>
      </c>
      <c r="BQ536" s="9">
        <f t="shared" si="191"/>
        <v>0</v>
      </c>
      <c r="BR536" s="9">
        <f t="shared" si="192"/>
        <v>0</v>
      </c>
      <c r="BS536" s="9">
        <f t="shared" si="193"/>
        <v>2600</v>
      </c>
      <c r="BT536" s="9">
        <f t="shared" si="194"/>
        <v>2600</v>
      </c>
    </row>
    <row r="537" spans="1:72" hidden="1" x14ac:dyDescent="0.25">
      <c r="A537" s="11">
        <f t="shared" si="199"/>
        <v>536</v>
      </c>
      <c r="B537" s="5" t="s">
        <v>1133</v>
      </c>
      <c r="C537" s="4" t="s">
        <v>186</v>
      </c>
      <c r="D537" s="4" t="s">
        <v>1134</v>
      </c>
      <c r="E537" s="4" t="s">
        <v>1682</v>
      </c>
      <c r="F537" s="4" t="s">
        <v>1135</v>
      </c>
      <c r="G537" s="4" t="s">
        <v>260</v>
      </c>
      <c r="H537" s="4" t="s">
        <v>1750</v>
      </c>
      <c r="I537" s="4"/>
      <c r="J537" s="4"/>
      <c r="K537" s="5" t="s">
        <v>1136</v>
      </c>
      <c r="L537" s="24">
        <v>1000000</v>
      </c>
      <c r="M537" s="13" t="s">
        <v>291</v>
      </c>
      <c r="N537" s="5"/>
      <c r="O537" s="4" t="s">
        <v>1137</v>
      </c>
      <c r="P537" s="4"/>
      <c r="Q537" s="42">
        <v>0.52</v>
      </c>
      <c r="R537" s="1">
        <f t="shared" si="195"/>
        <v>239200</v>
      </c>
      <c r="S537" s="38">
        <v>0</v>
      </c>
      <c r="T537" s="2">
        <f t="shared" si="196"/>
        <v>460000</v>
      </c>
      <c r="U537" s="24">
        <v>102000</v>
      </c>
      <c r="V537" s="24">
        <v>66000</v>
      </c>
      <c r="W537" s="24">
        <v>80000</v>
      </c>
      <c r="X537" s="13">
        <v>80000</v>
      </c>
      <c r="Y537" s="13">
        <v>80000</v>
      </c>
      <c r="Z537" s="13">
        <v>80000</v>
      </c>
      <c r="AA537" s="13">
        <v>80000</v>
      </c>
      <c r="AB537" s="13">
        <v>80000</v>
      </c>
      <c r="AC537" s="13">
        <v>80000</v>
      </c>
      <c r="AD537" s="13">
        <v>100000</v>
      </c>
      <c r="AE537" s="13">
        <v>100000</v>
      </c>
      <c r="AF537" s="13">
        <v>100000</v>
      </c>
      <c r="AG537" s="13">
        <f>AF537</f>
        <v>100000</v>
      </c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4" t="s">
        <v>723</v>
      </c>
      <c r="AU537" s="4" t="s">
        <v>685</v>
      </c>
      <c r="AV537" s="4" t="s">
        <v>1218</v>
      </c>
      <c r="AW537" s="4" t="s">
        <v>98</v>
      </c>
      <c r="AX537" s="4" t="s">
        <v>110</v>
      </c>
      <c r="AY537" s="4" t="s">
        <v>172</v>
      </c>
      <c r="AZ537" s="4" t="s">
        <v>1020</v>
      </c>
      <c r="BA537" s="4" t="s">
        <v>1138</v>
      </c>
      <c r="BB537" s="4"/>
      <c r="BC537" s="4"/>
      <c r="BD537" s="23">
        <v>2</v>
      </c>
      <c r="BE537" s="4">
        <v>45646</v>
      </c>
      <c r="BF537" s="18">
        <v>45311</v>
      </c>
      <c r="BG537" s="18">
        <v>45342</v>
      </c>
      <c r="BH537" s="18">
        <v>45371</v>
      </c>
      <c r="BI537" s="18">
        <v>45524</v>
      </c>
      <c r="BJ537" s="18">
        <v>45616</v>
      </c>
      <c r="BK537" s="26">
        <v>1</v>
      </c>
      <c r="BL537" s="13">
        <v>5</v>
      </c>
      <c r="BM537" s="9">
        <f t="shared" si="184"/>
        <v>41600</v>
      </c>
      <c r="BN537" s="9">
        <f t="shared" si="197"/>
        <v>41600</v>
      </c>
      <c r="BO537" s="9">
        <f t="shared" si="198"/>
        <v>41600</v>
      </c>
      <c r="BP537" s="9">
        <f t="shared" si="190"/>
        <v>41600</v>
      </c>
      <c r="BQ537" s="9">
        <f t="shared" si="191"/>
        <v>41600</v>
      </c>
      <c r="BR537" s="9">
        <f t="shared" si="192"/>
        <v>52000</v>
      </c>
      <c r="BS537" s="9">
        <f t="shared" si="193"/>
        <v>52000</v>
      </c>
      <c r="BT537" s="9">
        <f t="shared" si="194"/>
        <v>52000</v>
      </c>
    </row>
    <row r="538" spans="1:72" hidden="1" x14ac:dyDescent="0.25">
      <c r="A538" s="11">
        <f t="shared" si="199"/>
        <v>537</v>
      </c>
      <c r="B538" s="5" t="s">
        <v>1133</v>
      </c>
      <c r="C538" s="4" t="s">
        <v>186</v>
      </c>
      <c r="D538" s="4" t="s">
        <v>1134</v>
      </c>
      <c r="E538" s="4" t="s">
        <v>1682</v>
      </c>
      <c r="F538" s="4" t="s">
        <v>1135</v>
      </c>
      <c r="G538" s="4" t="s">
        <v>1257</v>
      </c>
      <c r="H538" s="4" t="s">
        <v>1299</v>
      </c>
      <c r="I538" s="4"/>
      <c r="J538" s="4"/>
      <c r="K538" s="5" t="s">
        <v>1139</v>
      </c>
      <c r="L538" s="24">
        <v>200000</v>
      </c>
      <c r="M538" s="13" t="s">
        <v>74</v>
      </c>
      <c r="N538" s="5"/>
      <c r="O538" s="4" t="s">
        <v>453</v>
      </c>
      <c r="P538" s="4"/>
      <c r="Q538" s="42">
        <v>0.85</v>
      </c>
      <c r="R538" s="1">
        <f t="shared" si="195"/>
        <v>29750</v>
      </c>
      <c r="S538" s="38">
        <v>0</v>
      </c>
      <c r="T538" s="2">
        <f t="shared" si="196"/>
        <v>35000</v>
      </c>
      <c r="U538" s="24"/>
      <c r="V538" s="24"/>
      <c r="W538" s="24"/>
      <c r="X538" s="13"/>
      <c r="Y538" s="13"/>
      <c r="Z538" s="13"/>
      <c r="AA538" s="13"/>
      <c r="AB538" s="13"/>
      <c r="AC538" s="13"/>
      <c r="AD538" s="13">
        <v>10000</v>
      </c>
      <c r="AE538" s="13">
        <v>10000</v>
      </c>
      <c r="AF538" s="13">
        <v>15000</v>
      </c>
      <c r="AG538" s="13">
        <f t="shared" ref="AG538:AG540" si="202">AF538</f>
        <v>15000</v>
      </c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4" t="s">
        <v>749</v>
      </c>
      <c r="AU538" s="4" t="s">
        <v>685</v>
      </c>
      <c r="AV538" s="4" t="s">
        <v>1214</v>
      </c>
      <c r="AW538" s="4" t="s">
        <v>98</v>
      </c>
      <c r="AX538" s="4" t="s">
        <v>110</v>
      </c>
      <c r="AY538" s="4" t="s">
        <v>985</v>
      </c>
      <c r="AZ538" s="4" t="s">
        <v>1140</v>
      </c>
      <c r="BA538" s="4" t="s">
        <v>1138</v>
      </c>
      <c r="BB538" s="4"/>
      <c r="BC538" s="4"/>
      <c r="BD538" s="23">
        <v>1</v>
      </c>
      <c r="BE538" s="4">
        <v>45950</v>
      </c>
      <c r="BF538" s="18">
        <v>45524</v>
      </c>
      <c r="BG538" s="18">
        <v>45598</v>
      </c>
      <c r="BH538" s="18">
        <v>45646</v>
      </c>
      <c r="BI538" s="18">
        <v>45797</v>
      </c>
      <c r="BJ538" s="18">
        <v>45555</v>
      </c>
      <c r="BK538" s="26">
        <v>1</v>
      </c>
      <c r="BL538" s="13">
        <v>5</v>
      </c>
      <c r="BM538" s="9">
        <f t="shared" si="184"/>
        <v>0</v>
      </c>
      <c r="BN538" s="9">
        <f t="shared" si="197"/>
        <v>0</v>
      </c>
      <c r="BO538" s="9">
        <f t="shared" si="198"/>
        <v>0</v>
      </c>
      <c r="BP538" s="9">
        <f t="shared" si="190"/>
        <v>0</v>
      </c>
      <c r="BQ538" s="9">
        <f t="shared" si="191"/>
        <v>0</v>
      </c>
      <c r="BR538" s="9">
        <f t="shared" si="192"/>
        <v>8500</v>
      </c>
      <c r="BS538" s="9">
        <f t="shared" si="193"/>
        <v>8500</v>
      </c>
      <c r="BT538" s="9">
        <f t="shared" si="194"/>
        <v>12750</v>
      </c>
    </row>
    <row r="539" spans="1:72" hidden="1" x14ac:dyDescent="0.25">
      <c r="A539" s="11">
        <f t="shared" si="199"/>
        <v>538</v>
      </c>
      <c r="B539" s="5" t="s">
        <v>1141</v>
      </c>
      <c r="C539" s="4" t="s">
        <v>186</v>
      </c>
      <c r="D539" s="4" t="s">
        <v>1134</v>
      </c>
      <c r="E539" s="4" t="s">
        <v>1682</v>
      </c>
      <c r="F539" s="4" t="s">
        <v>1135</v>
      </c>
      <c r="G539" s="4" t="s">
        <v>260</v>
      </c>
      <c r="H539" s="4" t="s">
        <v>1750</v>
      </c>
      <c r="I539" s="4"/>
      <c r="J539" s="4"/>
      <c r="K539" s="5" t="s">
        <v>1136</v>
      </c>
      <c r="L539" s="24">
        <v>1000000</v>
      </c>
      <c r="M539" s="13" t="s">
        <v>74</v>
      </c>
      <c r="N539" s="5"/>
      <c r="O539" s="4"/>
      <c r="P539" s="4"/>
      <c r="Q539" s="42">
        <v>0.52</v>
      </c>
      <c r="R539" s="1">
        <f t="shared" si="195"/>
        <v>57200</v>
      </c>
      <c r="S539" s="38"/>
      <c r="T539" s="2">
        <f t="shared" si="196"/>
        <v>110000</v>
      </c>
      <c r="U539" s="24"/>
      <c r="V539" s="24"/>
      <c r="W539" s="24"/>
      <c r="X539" s="13"/>
      <c r="Y539" s="13"/>
      <c r="Z539" s="13"/>
      <c r="AA539" s="13"/>
      <c r="AB539" s="13"/>
      <c r="AC539" s="13">
        <v>10000</v>
      </c>
      <c r="AD539" s="13">
        <v>30000</v>
      </c>
      <c r="AE539" s="13">
        <v>30000</v>
      </c>
      <c r="AF539" s="13">
        <v>40000</v>
      </c>
      <c r="AG539" s="13">
        <f t="shared" si="202"/>
        <v>40000</v>
      </c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4" t="s">
        <v>723</v>
      </c>
      <c r="AU539" s="4" t="s">
        <v>685</v>
      </c>
      <c r="AV539" s="4" t="s">
        <v>1218</v>
      </c>
      <c r="AW539" s="4" t="s">
        <v>98</v>
      </c>
      <c r="AX539" s="4" t="s">
        <v>110</v>
      </c>
      <c r="AY539" s="4" t="s">
        <v>172</v>
      </c>
      <c r="AZ539" s="4" t="s">
        <v>1020</v>
      </c>
      <c r="BA539" s="4"/>
      <c r="BB539" s="4"/>
      <c r="BC539" s="4"/>
      <c r="BD539" s="23"/>
      <c r="BE539" s="4"/>
      <c r="BF539" s="18"/>
      <c r="BG539" s="18"/>
      <c r="BH539" s="18"/>
      <c r="BI539" s="18"/>
      <c r="BJ539" s="18"/>
      <c r="BK539" s="26"/>
      <c r="BL539" s="13"/>
      <c r="BM539" s="9">
        <f t="shared" si="184"/>
        <v>0</v>
      </c>
      <c r="BN539" s="9">
        <f t="shared" si="197"/>
        <v>0</v>
      </c>
      <c r="BO539" s="9">
        <f t="shared" si="198"/>
        <v>0</v>
      </c>
      <c r="BP539" s="9">
        <f t="shared" si="190"/>
        <v>0</v>
      </c>
      <c r="BQ539" s="9">
        <f t="shared" si="191"/>
        <v>5200</v>
      </c>
      <c r="BR539" s="9">
        <f t="shared" si="192"/>
        <v>15600</v>
      </c>
      <c r="BS539" s="9">
        <f t="shared" si="193"/>
        <v>15600</v>
      </c>
      <c r="BT539" s="9">
        <f t="shared" si="194"/>
        <v>20800</v>
      </c>
    </row>
    <row r="540" spans="1:72" hidden="1" x14ac:dyDescent="0.25">
      <c r="A540" s="11">
        <f t="shared" si="199"/>
        <v>539</v>
      </c>
      <c r="B540" s="5" t="s">
        <v>1133</v>
      </c>
      <c r="C540" s="4" t="s">
        <v>186</v>
      </c>
      <c r="D540" s="4" t="s">
        <v>1134</v>
      </c>
      <c r="E540" s="4" t="s">
        <v>1682</v>
      </c>
      <c r="F540" s="4" t="s">
        <v>1135</v>
      </c>
      <c r="G540" s="4" t="s">
        <v>1257</v>
      </c>
      <c r="H540" s="4" t="s">
        <v>1299</v>
      </c>
      <c r="I540" s="4"/>
      <c r="J540" s="4"/>
      <c r="K540" s="5" t="s">
        <v>1258</v>
      </c>
      <c r="L540" s="24">
        <v>200000</v>
      </c>
      <c r="M540" s="13" t="s">
        <v>320</v>
      </c>
      <c r="N540" s="5"/>
      <c r="O540" s="4" t="s">
        <v>453</v>
      </c>
      <c r="P540" s="4"/>
      <c r="Q540" s="42">
        <v>0.85</v>
      </c>
      <c r="R540" s="1">
        <f t="shared" si="195"/>
        <v>12750</v>
      </c>
      <c r="S540" s="38">
        <v>0</v>
      </c>
      <c r="T540" s="2">
        <f t="shared" si="196"/>
        <v>15000</v>
      </c>
      <c r="U540" s="24"/>
      <c r="V540" s="24"/>
      <c r="W540" s="24"/>
      <c r="X540" s="13"/>
      <c r="Y540" s="13"/>
      <c r="Z540" s="13"/>
      <c r="AA540" s="13"/>
      <c r="AB540" s="13"/>
      <c r="AC540" s="13"/>
      <c r="AD540" s="13">
        <v>5000</v>
      </c>
      <c r="AE540" s="13">
        <v>5000</v>
      </c>
      <c r="AF540" s="13">
        <v>5000</v>
      </c>
      <c r="AG540" s="13">
        <f t="shared" si="202"/>
        <v>5000</v>
      </c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4" t="s">
        <v>749</v>
      </c>
      <c r="AU540" s="4" t="s">
        <v>685</v>
      </c>
      <c r="AV540" s="4" t="s">
        <v>1214</v>
      </c>
      <c r="AW540" s="4" t="s">
        <v>98</v>
      </c>
      <c r="AX540" s="4" t="s">
        <v>110</v>
      </c>
      <c r="AY540" s="4" t="s">
        <v>985</v>
      </c>
      <c r="AZ540" s="4" t="s">
        <v>1140</v>
      </c>
      <c r="BA540" s="4" t="s">
        <v>1138</v>
      </c>
      <c r="BB540" s="4"/>
      <c r="BC540" s="4"/>
      <c r="BD540" s="23">
        <v>1</v>
      </c>
      <c r="BE540" s="4">
        <v>45950</v>
      </c>
      <c r="BF540" s="18">
        <v>45524</v>
      </c>
      <c r="BG540" s="18">
        <v>45598</v>
      </c>
      <c r="BH540" s="18">
        <v>45646</v>
      </c>
      <c r="BI540" s="18">
        <v>45797</v>
      </c>
      <c r="BJ540" s="18">
        <v>45555</v>
      </c>
      <c r="BK540" s="26">
        <v>1</v>
      </c>
      <c r="BL540" s="13">
        <v>5</v>
      </c>
      <c r="BM540" s="9">
        <f t="shared" si="184"/>
        <v>0</v>
      </c>
      <c r="BN540" s="9">
        <f t="shared" si="197"/>
        <v>0</v>
      </c>
      <c r="BO540" s="9">
        <f t="shared" si="198"/>
        <v>0</v>
      </c>
      <c r="BP540" s="9">
        <f t="shared" si="190"/>
        <v>0</v>
      </c>
      <c r="BQ540" s="9">
        <f t="shared" si="191"/>
        <v>0</v>
      </c>
      <c r="BR540" s="9">
        <f t="shared" si="192"/>
        <v>4250</v>
      </c>
      <c r="BS540" s="9">
        <f t="shared" si="193"/>
        <v>4250</v>
      </c>
      <c r="BT540" s="9">
        <f t="shared" si="194"/>
        <v>4250</v>
      </c>
    </row>
    <row r="541" spans="1:72" hidden="1" x14ac:dyDescent="0.25">
      <c r="A541" s="11">
        <f t="shared" si="199"/>
        <v>540</v>
      </c>
      <c r="B541" s="5" t="s">
        <v>1259</v>
      </c>
      <c r="C541" s="4" t="s">
        <v>59</v>
      </c>
      <c r="D541" s="4" t="s">
        <v>1134</v>
      </c>
      <c r="E541" s="4" t="s">
        <v>1682</v>
      </c>
      <c r="F541" s="4" t="s">
        <v>1135</v>
      </c>
      <c r="G541" s="4" t="s">
        <v>1301</v>
      </c>
      <c r="H541" s="4" t="s">
        <v>1300</v>
      </c>
      <c r="I541" s="4"/>
      <c r="J541" s="4"/>
      <c r="K541" s="5" t="s">
        <v>1260</v>
      </c>
      <c r="L541" s="24">
        <v>120000</v>
      </c>
      <c r="M541" s="13" t="s">
        <v>291</v>
      </c>
      <c r="N541" s="5"/>
      <c r="O541" s="4" t="s">
        <v>453</v>
      </c>
      <c r="P541" s="4"/>
      <c r="Q541" s="42">
        <v>0.33</v>
      </c>
      <c r="R541" s="1">
        <f t="shared" si="195"/>
        <v>16500</v>
      </c>
      <c r="S541" s="38">
        <v>0</v>
      </c>
      <c r="T541" s="2">
        <f t="shared" si="196"/>
        <v>50000</v>
      </c>
      <c r="U541" s="24">
        <v>17000</v>
      </c>
      <c r="V541" s="24">
        <v>11000</v>
      </c>
      <c r="W541" s="24">
        <v>15000</v>
      </c>
      <c r="X541" s="13">
        <v>15000</v>
      </c>
      <c r="Y541" s="13">
        <v>15000</v>
      </c>
      <c r="Z541" s="13">
        <v>15000</v>
      </c>
      <c r="AA541" s="13">
        <v>15000</v>
      </c>
      <c r="AB541" s="13">
        <v>10000</v>
      </c>
      <c r="AC541" s="13">
        <v>10000</v>
      </c>
      <c r="AD541" s="13">
        <v>10000</v>
      </c>
      <c r="AE541" s="13">
        <v>10000</v>
      </c>
      <c r="AF541" s="13">
        <v>10000</v>
      </c>
      <c r="AG541" s="13">
        <f>AF541</f>
        <v>10000</v>
      </c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4" t="s">
        <v>1106</v>
      </c>
      <c r="AU541" s="4" t="s">
        <v>685</v>
      </c>
      <c r="AV541" s="4" t="s">
        <v>1218</v>
      </c>
      <c r="AW541" s="4" t="s">
        <v>222</v>
      </c>
      <c r="AX541" s="4" t="s">
        <v>275</v>
      </c>
      <c r="AY541" s="4" t="s">
        <v>276</v>
      </c>
      <c r="AZ541" s="4" t="s">
        <v>942</v>
      </c>
      <c r="BA541" s="4" t="s">
        <v>1138</v>
      </c>
      <c r="BB541" s="4"/>
      <c r="BC541" s="4"/>
      <c r="BD541" s="23">
        <v>1</v>
      </c>
      <c r="BE541" s="4">
        <v>45656</v>
      </c>
      <c r="BF541" s="18">
        <v>45616</v>
      </c>
      <c r="BG541" s="18">
        <v>45636</v>
      </c>
      <c r="BH541" s="18">
        <v>46006</v>
      </c>
      <c r="BI541" s="18">
        <v>46011</v>
      </c>
      <c r="BJ541" s="18">
        <v>46016</v>
      </c>
      <c r="BK541" s="26">
        <v>1</v>
      </c>
      <c r="BL541" s="13">
        <v>5</v>
      </c>
      <c r="BM541" s="9">
        <f t="shared" si="184"/>
        <v>4950</v>
      </c>
      <c r="BN541" s="9">
        <f t="shared" si="197"/>
        <v>4950</v>
      </c>
      <c r="BO541" s="9">
        <f t="shared" si="198"/>
        <v>4950</v>
      </c>
      <c r="BP541" s="9">
        <f t="shared" si="190"/>
        <v>3300</v>
      </c>
      <c r="BQ541" s="9">
        <f t="shared" si="191"/>
        <v>3300</v>
      </c>
      <c r="BR541" s="9">
        <f t="shared" si="192"/>
        <v>3300</v>
      </c>
      <c r="BS541" s="9">
        <f t="shared" si="193"/>
        <v>3300</v>
      </c>
      <c r="BT541" s="9">
        <f t="shared" si="194"/>
        <v>3300</v>
      </c>
    </row>
    <row r="542" spans="1:72" hidden="1" x14ac:dyDescent="0.25">
      <c r="A542" s="11">
        <f t="shared" si="199"/>
        <v>541</v>
      </c>
      <c r="B542" s="5" t="s">
        <v>1143</v>
      </c>
      <c r="C542" s="4" t="s">
        <v>128</v>
      </c>
      <c r="D542" s="4" t="s">
        <v>1134</v>
      </c>
      <c r="E542" s="4" t="s">
        <v>1682</v>
      </c>
      <c r="F542" s="4" t="s">
        <v>1135</v>
      </c>
      <c r="G542" s="4" t="s">
        <v>690</v>
      </c>
      <c r="H542" s="4" t="s">
        <v>1090</v>
      </c>
      <c r="I542" s="4"/>
      <c r="J542" s="4"/>
      <c r="K542" s="5" t="s">
        <v>1136</v>
      </c>
      <c r="L542" s="24">
        <v>1000000</v>
      </c>
      <c r="M542" s="13" t="s">
        <v>74</v>
      </c>
      <c r="N542" s="5"/>
      <c r="O542" s="4" t="s">
        <v>453</v>
      </c>
      <c r="P542" s="4"/>
      <c r="Q542" s="42">
        <v>0.81</v>
      </c>
      <c r="R542" s="1">
        <f t="shared" si="195"/>
        <v>40500</v>
      </c>
      <c r="S542" s="38">
        <v>0</v>
      </c>
      <c r="T542" s="2">
        <f t="shared" si="196"/>
        <v>50000</v>
      </c>
      <c r="U542" s="24"/>
      <c r="V542" s="24"/>
      <c r="W542" s="24"/>
      <c r="X542" s="13"/>
      <c r="Y542" s="13">
        <v>500</v>
      </c>
      <c r="Z542" s="13">
        <v>3000</v>
      </c>
      <c r="AA542" s="13">
        <v>3000</v>
      </c>
      <c r="AB542" s="13">
        <v>0</v>
      </c>
      <c r="AC542" s="13">
        <v>0</v>
      </c>
      <c r="AD542" s="13">
        <v>10000</v>
      </c>
      <c r="AE542" s="13">
        <v>20000</v>
      </c>
      <c r="AF542" s="13">
        <v>20000</v>
      </c>
      <c r="AG542" s="13">
        <f t="shared" ref="AG542:AG551" si="203">AF542</f>
        <v>20000</v>
      </c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4" t="s">
        <v>723</v>
      </c>
      <c r="AU542" s="4" t="s">
        <v>685</v>
      </c>
      <c r="AV542" s="4" t="s">
        <v>1218</v>
      </c>
      <c r="AW542" s="4" t="s">
        <v>98</v>
      </c>
      <c r="AX542" s="4" t="s">
        <v>110</v>
      </c>
      <c r="AY542" s="4" t="s">
        <v>172</v>
      </c>
      <c r="AZ542" s="4" t="s">
        <v>1020</v>
      </c>
      <c r="BA542" s="4" t="s">
        <v>1138</v>
      </c>
      <c r="BB542" s="4"/>
      <c r="BC542" s="4"/>
      <c r="BD542" s="23"/>
      <c r="BE542" s="4">
        <v>45858</v>
      </c>
      <c r="BF542" s="18">
        <v>45920</v>
      </c>
      <c r="BG542" s="18">
        <v>45920</v>
      </c>
      <c r="BH542" s="18">
        <v>45616</v>
      </c>
      <c r="BI542" s="18">
        <v>45708</v>
      </c>
      <c r="BJ542" s="18">
        <v>45736</v>
      </c>
      <c r="BK542" s="26">
        <v>1</v>
      </c>
      <c r="BL542" s="13">
        <v>5</v>
      </c>
      <c r="BM542" s="9">
        <f t="shared" si="184"/>
        <v>405</v>
      </c>
      <c r="BN542" s="9">
        <f t="shared" si="197"/>
        <v>2430</v>
      </c>
      <c r="BO542" s="9">
        <f t="shared" si="198"/>
        <v>2430</v>
      </c>
      <c r="BP542" s="9">
        <f t="shared" si="190"/>
        <v>0</v>
      </c>
      <c r="BQ542" s="9">
        <f t="shared" si="191"/>
        <v>0</v>
      </c>
      <c r="BR542" s="9">
        <f t="shared" si="192"/>
        <v>8100.0000000000009</v>
      </c>
      <c r="BS542" s="9">
        <f t="shared" si="193"/>
        <v>16200.000000000002</v>
      </c>
      <c r="BT542" s="9">
        <f t="shared" si="194"/>
        <v>16200.000000000002</v>
      </c>
    </row>
    <row r="543" spans="1:72" hidden="1" x14ac:dyDescent="0.25">
      <c r="A543" s="11">
        <f t="shared" si="199"/>
        <v>542</v>
      </c>
      <c r="B543" s="5" t="s">
        <v>1261</v>
      </c>
      <c r="C543" s="4" t="s">
        <v>59</v>
      </c>
      <c r="D543" s="4" t="s">
        <v>1134</v>
      </c>
      <c r="E543" s="4" t="s">
        <v>1682</v>
      </c>
      <c r="F543" s="4" t="s">
        <v>1135</v>
      </c>
      <c r="G543" s="4" t="s">
        <v>1301</v>
      </c>
      <c r="H543" s="4" t="s">
        <v>1300</v>
      </c>
      <c r="I543" s="4"/>
      <c r="J543" s="4"/>
      <c r="K543" s="5" t="s">
        <v>948</v>
      </c>
      <c r="L543" s="24">
        <v>200000</v>
      </c>
      <c r="M543" s="13" t="s">
        <v>291</v>
      </c>
      <c r="N543" s="5"/>
      <c r="O543" s="4" t="s">
        <v>453</v>
      </c>
      <c r="P543" s="4"/>
      <c r="Q543" s="42">
        <v>0.34</v>
      </c>
      <c r="R543" s="1">
        <f t="shared" si="195"/>
        <v>5100</v>
      </c>
      <c r="S543" s="38">
        <v>0</v>
      </c>
      <c r="T543" s="2">
        <f t="shared" si="196"/>
        <v>15000</v>
      </c>
      <c r="U543" s="24"/>
      <c r="V543" s="24"/>
      <c r="W543" s="24"/>
      <c r="X543" s="13">
        <v>3000</v>
      </c>
      <c r="Y543" s="13">
        <v>3000</v>
      </c>
      <c r="Z543" s="13">
        <v>3000</v>
      </c>
      <c r="AA543" s="13">
        <v>3000</v>
      </c>
      <c r="AB543" s="13">
        <v>3000</v>
      </c>
      <c r="AC543" s="13">
        <v>3000</v>
      </c>
      <c r="AD543" s="13">
        <v>3000</v>
      </c>
      <c r="AE543" s="13">
        <v>3000</v>
      </c>
      <c r="AF543" s="13">
        <v>3000</v>
      </c>
      <c r="AG543" s="13">
        <f t="shared" si="203"/>
        <v>3000</v>
      </c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4" t="s">
        <v>1106</v>
      </c>
      <c r="AU543" s="4" t="s">
        <v>685</v>
      </c>
      <c r="AV543" s="4" t="s">
        <v>1218</v>
      </c>
      <c r="AW543" s="4" t="s">
        <v>98</v>
      </c>
      <c r="AX543" s="4" t="s">
        <v>110</v>
      </c>
      <c r="AY543" s="4" t="s">
        <v>172</v>
      </c>
      <c r="AZ543" s="4" t="s">
        <v>1020</v>
      </c>
      <c r="BA543" s="4" t="s">
        <v>1138</v>
      </c>
      <c r="BB543" s="4"/>
      <c r="BC543" s="4"/>
      <c r="BD543" s="23"/>
      <c r="BE543" s="4">
        <v>45858</v>
      </c>
      <c r="BF543" s="18">
        <v>45920</v>
      </c>
      <c r="BG543" s="18">
        <v>45920</v>
      </c>
      <c r="BH543" s="18">
        <v>45616</v>
      </c>
      <c r="BI543" s="18">
        <v>45708</v>
      </c>
      <c r="BJ543" s="18">
        <v>45736</v>
      </c>
      <c r="BK543" s="26">
        <v>1</v>
      </c>
      <c r="BL543" s="13">
        <v>5</v>
      </c>
      <c r="BM543" s="9">
        <f t="shared" si="184"/>
        <v>1020.0000000000001</v>
      </c>
      <c r="BN543" s="9">
        <f t="shared" si="197"/>
        <v>1020.0000000000001</v>
      </c>
      <c r="BO543" s="9">
        <f t="shared" si="198"/>
        <v>1020.0000000000001</v>
      </c>
      <c r="BP543" s="9">
        <f t="shared" si="190"/>
        <v>1020.0000000000001</v>
      </c>
      <c r="BQ543" s="9">
        <f t="shared" si="191"/>
        <v>1020.0000000000001</v>
      </c>
      <c r="BR543" s="9">
        <f t="shared" si="192"/>
        <v>1020.0000000000001</v>
      </c>
      <c r="BS543" s="9">
        <f t="shared" si="193"/>
        <v>1020.0000000000001</v>
      </c>
      <c r="BT543" s="9">
        <f t="shared" si="194"/>
        <v>1020.0000000000001</v>
      </c>
    </row>
    <row r="544" spans="1:72" hidden="1" x14ac:dyDescent="0.25">
      <c r="A544" s="11">
        <f t="shared" si="199"/>
        <v>543</v>
      </c>
      <c r="B544" s="5" t="s">
        <v>1262</v>
      </c>
      <c r="C544" s="4" t="s">
        <v>59</v>
      </c>
      <c r="D544" s="4" t="s">
        <v>1134</v>
      </c>
      <c r="E544" s="4" t="s">
        <v>1682</v>
      </c>
      <c r="F544" s="4" t="s">
        <v>1135</v>
      </c>
      <c r="G544" s="4" t="s">
        <v>86</v>
      </c>
      <c r="H544" s="4" t="s">
        <v>1098</v>
      </c>
      <c r="I544" s="4"/>
      <c r="J544" s="4"/>
      <c r="K544" s="5" t="s">
        <v>1263</v>
      </c>
      <c r="L544" s="24">
        <v>120000</v>
      </c>
      <c r="M544" s="13" t="s">
        <v>74</v>
      </c>
      <c r="N544" s="5"/>
      <c r="O544" s="4" t="s">
        <v>453</v>
      </c>
      <c r="P544" s="4"/>
      <c r="Q544" s="42">
        <v>3.8</v>
      </c>
      <c r="R544" s="1">
        <f t="shared" si="195"/>
        <v>19000</v>
      </c>
      <c r="S544" s="38">
        <v>0</v>
      </c>
      <c r="T544" s="2">
        <f t="shared" si="196"/>
        <v>5000</v>
      </c>
      <c r="U544" s="24"/>
      <c r="V544" s="24"/>
      <c r="W544" s="24"/>
      <c r="X544" s="13"/>
      <c r="Y544" s="13"/>
      <c r="Z544" s="13"/>
      <c r="AA544" s="13"/>
      <c r="AB544" s="13"/>
      <c r="AC544" s="13"/>
      <c r="AD544" s="13"/>
      <c r="AE544" s="13"/>
      <c r="AF544" s="13">
        <v>5000</v>
      </c>
      <c r="AG544" s="13">
        <f t="shared" si="203"/>
        <v>5000</v>
      </c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4" t="s">
        <v>1106</v>
      </c>
      <c r="AU544" s="4" t="s">
        <v>685</v>
      </c>
      <c r="AV544" s="4" t="s">
        <v>1217</v>
      </c>
      <c r="AW544" s="4" t="s">
        <v>98</v>
      </c>
      <c r="AX544" s="4" t="s">
        <v>110</v>
      </c>
      <c r="AY544" s="4" t="s">
        <v>172</v>
      </c>
      <c r="AZ544" s="4" t="s">
        <v>1020</v>
      </c>
      <c r="BA544" s="4" t="s">
        <v>1138</v>
      </c>
      <c r="BB544" s="4"/>
      <c r="BC544" s="4"/>
      <c r="BD544" s="23"/>
      <c r="BE544" s="4">
        <v>45858</v>
      </c>
      <c r="BF544" s="18">
        <v>45920</v>
      </c>
      <c r="BG544" s="18">
        <v>45920</v>
      </c>
      <c r="BH544" s="18">
        <v>45616</v>
      </c>
      <c r="BI544" s="18">
        <v>45708</v>
      </c>
      <c r="BJ544" s="18">
        <v>45736</v>
      </c>
      <c r="BK544" s="26">
        <v>1</v>
      </c>
      <c r="BL544" s="13">
        <v>5</v>
      </c>
      <c r="BM544" s="9">
        <f t="shared" si="184"/>
        <v>0</v>
      </c>
      <c r="BN544" s="9">
        <f t="shared" si="197"/>
        <v>0</v>
      </c>
      <c r="BO544" s="9">
        <f t="shared" si="198"/>
        <v>0</v>
      </c>
      <c r="BP544" s="9">
        <f t="shared" si="190"/>
        <v>0</v>
      </c>
      <c r="BQ544" s="9">
        <f t="shared" si="191"/>
        <v>0</v>
      </c>
      <c r="BR544" s="9">
        <f t="shared" si="192"/>
        <v>0</v>
      </c>
      <c r="BS544" s="9">
        <f t="shared" si="193"/>
        <v>0</v>
      </c>
      <c r="BT544" s="9">
        <f t="shared" si="194"/>
        <v>19000</v>
      </c>
    </row>
    <row r="545" spans="1:72" hidden="1" x14ac:dyDescent="0.25">
      <c r="A545" s="11">
        <f t="shared" si="199"/>
        <v>544</v>
      </c>
      <c r="B545" s="5" t="s">
        <v>1264</v>
      </c>
      <c r="C545" s="4" t="s">
        <v>59</v>
      </c>
      <c r="D545" s="4" t="s">
        <v>1134</v>
      </c>
      <c r="E545" s="4" t="s">
        <v>1682</v>
      </c>
      <c r="F545" s="4" t="s">
        <v>1135</v>
      </c>
      <c r="G545" s="4" t="s">
        <v>771</v>
      </c>
      <c r="H545" s="4" t="s">
        <v>1292</v>
      </c>
      <c r="I545" s="4"/>
      <c r="J545" s="4"/>
      <c r="K545" s="5" t="s">
        <v>1265</v>
      </c>
      <c r="L545" s="24">
        <v>120000</v>
      </c>
      <c r="M545" s="13" t="s">
        <v>291</v>
      </c>
      <c r="N545" s="5"/>
      <c r="O545" s="4" t="s">
        <v>453</v>
      </c>
      <c r="P545" s="4"/>
      <c r="Q545" s="42">
        <v>0.52</v>
      </c>
      <c r="R545" s="1">
        <f t="shared" si="195"/>
        <v>39000</v>
      </c>
      <c r="S545" s="38">
        <v>0</v>
      </c>
      <c r="T545" s="2">
        <f t="shared" si="196"/>
        <v>75000</v>
      </c>
      <c r="U545" s="24"/>
      <c r="V545" s="24">
        <v>12000</v>
      </c>
      <c r="W545" s="24"/>
      <c r="X545" s="13">
        <v>12000</v>
      </c>
      <c r="Y545" s="13">
        <v>15000</v>
      </c>
      <c r="Z545" s="13">
        <v>15000</v>
      </c>
      <c r="AA545" s="13">
        <v>15000</v>
      </c>
      <c r="AB545" s="13">
        <v>15000</v>
      </c>
      <c r="AC545" s="13">
        <v>15000</v>
      </c>
      <c r="AD545" s="13">
        <v>15000</v>
      </c>
      <c r="AE545" s="13">
        <v>15000</v>
      </c>
      <c r="AF545" s="13">
        <v>15000</v>
      </c>
      <c r="AG545" s="13">
        <f t="shared" si="203"/>
        <v>15000</v>
      </c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4" t="s">
        <v>1105</v>
      </c>
      <c r="AU545" s="4" t="s">
        <v>685</v>
      </c>
      <c r="AV545" s="4" t="s">
        <v>1218</v>
      </c>
      <c r="AW545" s="4" t="s">
        <v>98</v>
      </c>
      <c r="AX545" s="4" t="s">
        <v>99</v>
      </c>
      <c r="AY545" s="4" t="s">
        <v>100</v>
      </c>
      <c r="AZ545" s="4" t="s">
        <v>1266</v>
      </c>
      <c r="BA545" s="4"/>
      <c r="BB545" s="4"/>
      <c r="BC545" s="4"/>
      <c r="BD545" s="23"/>
      <c r="BE545" s="4">
        <v>45432</v>
      </c>
      <c r="BF545" s="18">
        <v>45311</v>
      </c>
      <c r="BG545" s="18">
        <v>45342</v>
      </c>
      <c r="BH545" s="18">
        <v>45371</v>
      </c>
      <c r="BI545" s="18">
        <v>45402</v>
      </c>
      <c r="BJ545" s="18">
        <v>45402</v>
      </c>
      <c r="BK545" s="26">
        <v>1</v>
      </c>
      <c r="BL545" s="13">
        <v>5</v>
      </c>
      <c r="BM545" s="9">
        <f t="shared" si="184"/>
        <v>7800</v>
      </c>
      <c r="BN545" s="9">
        <f t="shared" si="197"/>
        <v>7800</v>
      </c>
      <c r="BO545" s="9">
        <f t="shared" si="198"/>
        <v>7800</v>
      </c>
      <c r="BP545" s="9">
        <f t="shared" si="190"/>
        <v>7800</v>
      </c>
      <c r="BQ545" s="9">
        <f t="shared" si="191"/>
        <v>7800</v>
      </c>
      <c r="BR545" s="9">
        <f t="shared" si="192"/>
        <v>7800</v>
      </c>
      <c r="BS545" s="9">
        <f t="shared" si="193"/>
        <v>7800</v>
      </c>
      <c r="BT545" s="9">
        <f t="shared" si="194"/>
        <v>7800</v>
      </c>
    </row>
    <row r="546" spans="1:72" hidden="1" x14ac:dyDescent="0.25">
      <c r="A546" s="11">
        <f t="shared" si="199"/>
        <v>545</v>
      </c>
      <c r="B546" s="5" t="s">
        <v>1696</v>
      </c>
      <c r="C546" s="4" t="s">
        <v>59</v>
      </c>
      <c r="D546" s="4" t="s">
        <v>1147</v>
      </c>
      <c r="E546" s="4" t="s">
        <v>1682</v>
      </c>
      <c r="F546" s="4" t="s">
        <v>1697</v>
      </c>
      <c r="G546" s="4" t="s">
        <v>458</v>
      </c>
      <c r="H546" s="4" t="s">
        <v>1085</v>
      </c>
      <c r="I546" s="4"/>
      <c r="J546" s="4"/>
      <c r="K546" s="5" t="s">
        <v>1591</v>
      </c>
      <c r="L546" s="24">
        <v>200000</v>
      </c>
      <c r="M546" s="13" t="s">
        <v>297</v>
      </c>
      <c r="N546" s="5"/>
      <c r="O546" s="4" t="s">
        <v>453</v>
      </c>
      <c r="P546" s="4"/>
      <c r="Q546" s="42">
        <v>0.52</v>
      </c>
      <c r="R546" s="1">
        <f t="shared" si="195"/>
        <v>6240</v>
      </c>
      <c r="S546" s="38">
        <v>0</v>
      </c>
      <c r="T546" s="2">
        <f t="shared" si="196"/>
        <v>12000</v>
      </c>
      <c r="U546" s="24"/>
      <c r="V546" s="24"/>
      <c r="W546" s="24"/>
      <c r="X546" s="13">
        <v>8000</v>
      </c>
      <c r="Y546" s="13">
        <v>8000</v>
      </c>
      <c r="Z546" s="13">
        <v>8000</v>
      </c>
      <c r="AA546" s="13">
        <v>10000</v>
      </c>
      <c r="AB546" s="13"/>
      <c r="AC546" s="13"/>
      <c r="AD546" s="13"/>
      <c r="AE546" s="13"/>
      <c r="AF546" s="13">
        <v>12000</v>
      </c>
      <c r="AG546" s="13">
        <f t="shared" si="203"/>
        <v>12000</v>
      </c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4" t="s">
        <v>1106</v>
      </c>
      <c r="AU546" s="4" t="s">
        <v>685</v>
      </c>
      <c r="AV546" s="4" t="s">
        <v>1218</v>
      </c>
      <c r="AW546" s="4" t="s">
        <v>98</v>
      </c>
      <c r="AX546" s="4" t="s">
        <v>110</v>
      </c>
      <c r="AY546" s="4" t="s">
        <v>736</v>
      </c>
      <c r="AZ546" s="4" t="s">
        <v>1267</v>
      </c>
      <c r="BA546" s="4" t="s">
        <v>112</v>
      </c>
      <c r="BB546" s="4"/>
      <c r="BC546" s="4"/>
      <c r="BD546" s="23"/>
      <c r="BE546" s="4">
        <v>45493</v>
      </c>
      <c r="BF546" s="18">
        <v>45371</v>
      </c>
      <c r="BG546" s="18">
        <v>45402</v>
      </c>
      <c r="BH546" s="18">
        <v>45432</v>
      </c>
      <c r="BI546" s="18">
        <v>45463</v>
      </c>
      <c r="BJ546" s="18">
        <v>45463</v>
      </c>
      <c r="BK546" s="26">
        <v>1</v>
      </c>
      <c r="BL546" s="13">
        <v>5</v>
      </c>
      <c r="BM546" s="9">
        <f t="shared" si="184"/>
        <v>4160</v>
      </c>
      <c r="BN546" s="9">
        <f t="shared" si="197"/>
        <v>4160</v>
      </c>
      <c r="BO546" s="9">
        <f t="shared" si="198"/>
        <v>5200</v>
      </c>
      <c r="BP546" s="9">
        <f t="shared" si="190"/>
        <v>0</v>
      </c>
      <c r="BQ546" s="9">
        <f t="shared" si="191"/>
        <v>0</v>
      </c>
      <c r="BR546" s="9">
        <f t="shared" si="192"/>
        <v>0</v>
      </c>
      <c r="BS546" s="9">
        <f t="shared" si="193"/>
        <v>0</v>
      </c>
      <c r="BT546" s="9">
        <f t="shared" si="194"/>
        <v>6240</v>
      </c>
    </row>
    <row r="547" spans="1:72" hidden="1" x14ac:dyDescent="0.25">
      <c r="A547" s="11">
        <f t="shared" si="199"/>
        <v>546</v>
      </c>
      <c r="B547" s="5" t="s">
        <v>1146</v>
      </c>
      <c r="C547" s="4" t="s">
        <v>128</v>
      </c>
      <c r="D547" s="4" t="s">
        <v>1147</v>
      </c>
      <c r="E547" s="4" t="s">
        <v>1682</v>
      </c>
      <c r="F547" s="4" t="s">
        <v>1697</v>
      </c>
      <c r="G547" s="4" t="s">
        <v>345</v>
      </c>
      <c r="H547" s="4" t="s">
        <v>1290</v>
      </c>
      <c r="I547" s="4"/>
      <c r="J547" s="4" t="s">
        <v>491</v>
      </c>
      <c r="K547" s="5" t="s">
        <v>492</v>
      </c>
      <c r="L547" s="24">
        <v>300000</v>
      </c>
      <c r="M547" s="13" t="s">
        <v>297</v>
      </c>
      <c r="N547" s="5"/>
      <c r="O547" s="4" t="s">
        <v>453</v>
      </c>
      <c r="P547" s="4"/>
      <c r="Q547" s="42">
        <v>0.42</v>
      </c>
      <c r="R547" s="1">
        <f t="shared" si="195"/>
        <v>10500</v>
      </c>
      <c r="S547" s="38">
        <v>0</v>
      </c>
      <c r="T547" s="2">
        <f t="shared" si="196"/>
        <v>25000</v>
      </c>
      <c r="U547" s="24"/>
      <c r="V547" s="24"/>
      <c r="W547" s="24"/>
      <c r="X547" s="13"/>
      <c r="Y547" s="13"/>
      <c r="Z547" s="13">
        <v>5000</v>
      </c>
      <c r="AA547" s="13">
        <v>5000</v>
      </c>
      <c r="AB547" s="13">
        <v>5000</v>
      </c>
      <c r="AC547" s="13">
        <v>5000</v>
      </c>
      <c r="AD547" s="13">
        <v>5000</v>
      </c>
      <c r="AE547" s="13">
        <v>5000</v>
      </c>
      <c r="AF547" s="13">
        <v>5000</v>
      </c>
      <c r="AG547" s="13">
        <f t="shared" si="203"/>
        <v>5000</v>
      </c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4" t="s">
        <v>1106</v>
      </c>
      <c r="AU547" s="4" t="s">
        <v>685</v>
      </c>
      <c r="AV547" s="4" t="s">
        <v>1218</v>
      </c>
      <c r="AW547" s="4" t="s">
        <v>98</v>
      </c>
      <c r="AX547" s="4" t="s">
        <v>753</v>
      </c>
      <c r="AY547" s="4" t="s">
        <v>1144</v>
      </c>
      <c r="AZ547" s="4" t="s">
        <v>903</v>
      </c>
      <c r="BA547" s="4" t="s">
        <v>1268</v>
      </c>
      <c r="BB547" s="4"/>
      <c r="BC547" s="4" t="s">
        <v>1145</v>
      </c>
      <c r="BD547" s="23">
        <v>3</v>
      </c>
      <c r="BE547" s="4">
        <v>45677</v>
      </c>
      <c r="BF547" s="18">
        <v>45311</v>
      </c>
      <c r="BG547" s="18">
        <v>45371</v>
      </c>
      <c r="BH547" s="18">
        <v>45432</v>
      </c>
      <c r="BI547" s="18">
        <v>45463</v>
      </c>
      <c r="BJ547" s="18">
        <v>45493</v>
      </c>
      <c r="BK547" s="26">
        <v>1</v>
      </c>
      <c r="BL547" s="13">
        <v>5</v>
      </c>
      <c r="BM547" s="9">
        <f t="shared" si="184"/>
        <v>0</v>
      </c>
      <c r="BN547" s="9">
        <f t="shared" si="197"/>
        <v>2100</v>
      </c>
      <c r="BO547" s="9">
        <f t="shared" si="198"/>
        <v>2100</v>
      </c>
      <c r="BP547" s="9">
        <f t="shared" si="190"/>
        <v>2100</v>
      </c>
      <c r="BQ547" s="9">
        <f t="shared" si="191"/>
        <v>2100</v>
      </c>
      <c r="BR547" s="9">
        <f t="shared" si="192"/>
        <v>2100</v>
      </c>
      <c r="BS547" s="9">
        <f t="shared" si="193"/>
        <v>2100</v>
      </c>
      <c r="BT547" s="9">
        <f t="shared" si="194"/>
        <v>2100</v>
      </c>
    </row>
    <row r="548" spans="1:72" hidden="1" x14ac:dyDescent="0.25">
      <c r="A548" s="11">
        <f t="shared" si="199"/>
        <v>547</v>
      </c>
      <c r="B548" s="5" t="s">
        <v>1146</v>
      </c>
      <c r="C548" s="4" t="s">
        <v>128</v>
      </c>
      <c r="D548" s="4" t="s">
        <v>1147</v>
      </c>
      <c r="E548" s="4" t="s">
        <v>1682</v>
      </c>
      <c r="F548" s="4" t="s">
        <v>1697</v>
      </c>
      <c r="G548" s="4" t="s">
        <v>364</v>
      </c>
      <c r="H548" s="4" t="s">
        <v>1302</v>
      </c>
      <c r="I548" s="4"/>
      <c r="J548" s="4"/>
      <c r="K548" s="5" t="s">
        <v>492</v>
      </c>
      <c r="L548" s="24">
        <v>300000</v>
      </c>
      <c r="M548" s="13" t="s">
        <v>297</v>
      </c>
      <c r="N548" s="5"/>
      <c r="O548" s="4" t="s">
        <v>453</v>
      </c>
      <c r="P548" s="4"/>
      <c r="Q548" s="42">
        <v>0.52</v>
      </c>
      <c r="R548" s="1">
        <f t="shared" si="195"/>
        <v>13000</v>
      </c>
      <c r="S548" s="38">
        <v>0</v>
      </c>
      <c r="T548" s="2">
        <f t="shared" si="196"/>
        <v>25000</v>
      </c>
      <c r="U548" s="24"/>
      <c r="V548" s="24"/>
      <c r="W548" s="24"/>
      <c r="X548" s="13"/>
      <c r="Y548" s="13"/>
      <c r="Z548" s="13">
        <v>5000</v>
      </c>
      <c r="AA548" s="13">
        <v>5000</v>
      </c>
      <c r="AB548" s="13">
        <v>5000</v>
      </c>
      <c r="AC548" s="13">
        <v>5000</v>
      </c>
      <c r="AD548" s="13">
        <v>5000</v>
      </c>
      <c r="AE548" s="13">
        <v>5000</v>
      </c>
      <c r="AF548" s="13">
        <v>5000</v>
      </c>
      <c r="AG548" s="13">
        <f t="shared" si="203"/>
        <v>5000</v>
      </c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4" t="s">
        <v>1106</v>
      </c>
      <c r="AU548" s="4" t="s">
        <v>685</v>
      </c>
      <c r="AV548" s="4" t="s">
        <v>1218</v>
      </c>
      <c r="AW548" s="4" t="s">
        <v>98</v>
      </c>
      <c r="AX548" s="4" t="s">
        <v>753</v>
      </c>
      <c r="AY548" s="4" t="s">
        <v>1144</v>
      </c>
      <c r="AZ548" s="4" t="s">
        <v>903</v>
      </c>
      <c r="BA548" s="4" t="s">
        <v>1268</v>
      </c>
      <c r="BB548" s="4"/>
      <c r="BC548" s="4" t="s">
        <v>1145</v>
      </c>
      <c r="BD548" s="23">
        <v>3</v>
      </c>
      <c r="BE548" s="4">
        <v>45677</v>
      </c>
      <c r="BF548" s="18">
        <v>45311</v>
      </c>
      <c r="BG548" s="18">
        <v>45371</v>
      </c>
      <c r="BH548" s="18">
        <v>45432</v>
      </c>
      <c r="BI548" s="18">
        <v>45463</v>
      </c>
      <c r="BJ548" s="18">
        <v>45493</v>
      </c>
      <c r="BK548" s="26">
        <v>1</v>
      </c>
      <c r="BL548" s="13">
        <v>5</v>
      </c>
      <c r="BM548" s="9">
        <f t="shared" si="184"/>
        <v>0</v>
      </c>
      <c r="BN548" s="9">
        <f t="shared" si="197"/>
        <v>2600</v>
      </c>
      <c r="BO548" s="9">
        <f t="shared" si="198"/>
        <v>2600</v>
      </c>
      <c r="BP548" s="9">
        <f t="shared" si="190"/>
        <v>2600</v>
      </c>
      <c r="BQ548" s="9">
        <f t="shared" si="191"/>
        <v>2600</v>
      </c>
      <c r="BR548" s="9">
        <f t="shared" si="192"/>
        <v>2600</v>
      </c>
      <c r="BS548" s="9">
        <f t="shared" si="193"/>
        <v>2600</v>
      </c>
      <c r="BT548" s="9">
        <f t="shared" si="194"/>
        <v>2600</v>
      </c>
    </row>
    <row r="549" spans="1:72" hidden="1" x14ac:dyDescent="0.25">
      <c r="A549" s="11">
        <f t="shared" si="199"/>
        <v>548</v>
      </c>
      <c r="B549" s="5" t="s">
        <v>1698</v>
      </c>
      <c r="C549" s="4" t="s">
        <v>128</v>
      </c>
      <c r="D549" s="4" t="s">
        <v>1147</v>
      </c>
      <c r="E549" s="4" t="s">
        <v>1682</v>
      </c>
      <c r="F549" s="4" t="s">
        <v>1699</v>
      </c>
      <c r="G549" s="4" t="s">
        <v>539</v>
      </c>
      <c r="H549" s="4" t="s">
        <v>1303</v>
      </c>
      <c r="I549" s="4"/>
      <c r="J549" s="4"/>
      <c r="K549" s="5" t="s">
        <v>420</v>
      </c>
      <c r="L549" s="24">
        <v>400000</v>
      </c>
      <c r="M549" s="13" t="s">
        <v>297</v>
      </c>
      <c r="N549" s="5"/>
      <c r="O549" s="4" t="s">
        <v>453</v>
      </c>
      <c r="P549" s="4"/>
      <c r="Q549" s="42">
        <v>2.5</v>
      </c>
      <c r="R549" s="1">
        <f t="shared" si="195"/>
        <v>125000</v>
      </c>
      <c r="S549" s="38">
        <v>0</v>
      </c>
      <c r="T549" s="2">
        <f t="shared" si="196"/>
        <v>50000</v>
      </c>
      <c r="U549" s="24"/>
      <c r="V549" s="24"/>
      <c r="W549" s="24"/>
      <c r="X549" s="13">
        <v>10000</v>
      </c>
      <c r="Y549" s="13">
        <v>20000</v>
      </c>
      <c r="Z549" s="13">
        <v>30000</v>
      </c>
      <c r="AA549" s="13">
        <v>30000</v>
      </c>
      <c r="AB549" s="13">
        <v>10000</v>
      </c>
      <c r="AC549" s="13">
        <v>10000</v>
      </c>
      <c r="AD549" s="13">
        <v>10000</v>
      </c>
      <c r="AE549" s="13">
        <v>10000</v>
      </c>
      <c r="AF549" s="13">
        <v>10000</v>
      </c>
      <c r="AG549" s="13">
        <f t="shared" si="203"/>
        <v>10000</v>
      </c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4" t="s">
        <v>727</v>
      </c>
      <c r="AU549" s="4" t="s">
        <v>685</v>
      </c>
      <c r="AV549" s="4" t="s">
        <v>1220</v>
      </c>
      <c r="AW549" s="4" t="s">
        <v>98</v>
      </c>
      <c r="AX549" s="4" t="s">
        <v>753</v>
      </c>
      <c r="AY549" s="4" t="s">
        <v>1148</v>
      </c>
      <c r="AZ549" s="4" t="s">
        <v>1149</v>
      </c>
      <c r="BA549" s="4"/>
      <c r="BB549" s="4"/>
      <c r="BC549" s="4"/>
      <c r="BD549" s="23"/>
      <c r="BE549" s="4">
        <v>45585</v>
      </c>
      <c r="BF549" s="18">
        <v>45189</v>
      </c>
      <c r="BG549" s="18">
        <v>45219</v>
      </c>
      <c r="BH549" s="18">
        <v>45280</v>
      </c>
      <c r="BI549" s="18">
        <v>45432</v>
      </c>
      <c r="BJ549" s="18">
        <v>45493</v>
      </c>
      <c r="BK549" s="26">
        <v>1</v>
      </c>
      <c r="BL549" s="13">
        <v>5</v>
      </c>
      <c r="BM549" s="9">
        <f t="shared" si="184"/>
        <v>50000</v>
      </c>
      <c r="BN549" s="9">
        <f t="shared" si="197"/>
        <v>75000</v>
      </c>
      <c r="BO549" s="9">
        <f t="shared" si="198"/>
        <v>75000</v>
      </c>
      <c r="BP549" s="9">
        <f t="shared" si="190"/>
        <v>25000</v>
      </c>
      <c r="BQ549" s="9">
        <f t="shared" si="191"/>
        <v>25000</v>
      </c>
      <c r="BR549" s="9">
        <f t="shared" si="192"/>
        <v>25000</v>
      </c>
      <c r="BS549" s="9">
        <f t="shared" si="193"/>
        <v>25000</v>
      </c>
      <c r="BT549" s="9">
        <f t="shared" si="194"/>
        <v>25000</v>
      </c>
    </row>
    <row r="550" spans="1:72" hidden="1" x14ac:dyDescent="0.25">
      <c r="A550" s="11">
        <f t="shared" si="199"/>
        <v>549</v>
      </c>
      <c r="B550" s="5" t="s">
        <v>1698</v>
      </c>
      <c r="C550" s="4" t="s">
        <v>128</v>
      </c>
      <c r="D550" s="4" t="s">
        <v>1147</v>
      </c>
      <c r="E550" s="4" t="s">
        <v>1682</v>
      </c>
      <c r="F550" s="4" t="s">
        <v>1699</v>
      </c>
      <c r="G550" s="4" t="s">
        <v>1150</v>
      </c>
      <c r="H550" s="4" t="s">
        <v>597</v>
      </c>
      <c r="I550" s="4"/>
      <c r="J550" s="4"/>
      <c r="K550" s="5" t="s">
        <v>420</v>
      </c>
      <c r="L550" s="24">
        <v>400000</v>
      </c>
      <c r="M550" s="13" t="s">
        <v>291</v>
      </c>
      <c r="N550" s="5"/>
      <c r="O550" s="4" t="s">
        <v>453</v>
      </c>
      <c r="P550" s="4"/>
      <c r="Q550" s="42">
        <v>2.5</v>
      </c>
      <c r="R550" s="1">
        <f t="shared" si="195"/>
        <v>125000</v>
      </c>
      <c r="S550" s="38">
        <v>0</v>
      </c>
      <c r="T550" s="2">
        <f t="shared" si="196"/>
        <v>50000</v>
      </c>
      <c r="U550" s="24"/>
      <c r="V550" s="24"/>
      <c r="W550" s="24"/>
      <c r="X550" s="13">
        <v>10000</v>
      </c>
      <c r="Y550" s="13">
        <v>15000</v>
      </c>
      <c r="Z550" s="13">
        <v>20000</v>
      </c>
      <c r="AA550" s="13">
        <v>20000</v>
      </c>
      <c r="AB550" s="13">
        <v>10000</v>
      </c>
      <c r="AC550" s="13">
        <v>10000</v>
      </c>
      <c r="AD550" s="13">
        <v>10000</v>
      </c>
      <c r="AE550" s="13">
        <v>10000</v>
      </c>
      <c r="AF550" s="13">
        <v>10000</v>
      </c>
      <c r="AG550" s="13">
        <f t="shared" si="203"/>
        <v>10000</v>
      </c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4" t="s">
        <v>727</v>
      </c>
      <c r="AU550" s="4" t="s">
        <v>685</v>
      </c>
      <c r="AV550" s="4" t="s">
        <v>1220</v>
      </c>
      <c r="AW550" s="4" t="s">
        <v>98</v>
      </c>
      <c r="AX550" s="4" t="s">
        <v>753</v>
      </c>
      <c r="AY550" s="4" t="s">
        <v>1148</v>
      </c>
      <c r="AZ550" s="4" t="s">
        <v>1149</v>
      </c>
      <c r="BA550" s="4"/>
      <c r="BB550" s="4"/>
      <c r="BC550" s="4"/>
      <c r="BD550" s="23"/>
      <c r="BE550" s="4">
        <v>45646</v>
      </c>
      <c r="BF550" s="18">
        <v>45189</v>
      </c>
      <c r="BG550" s="18">
        <v>45219</v>
      </c>
      <c r="BH550" s="18">
        <v>45280</v>
      </c>
      <c r="BI550" s="18">
        <v>45432</v>
      </c>
      <c r="BJ550" s="18">
        <v>45493</v>
      </c>
      <c r="BK550" s="26">
        <v>1</v>
      </c>
      <c r="BL550" s="13">
        <v>5</v>
      </c>
      <c r="BM550" s="9">
        <f t="shared" si="184"/>
        <v>37500</v>
      </c>
      <c r="BN550" s="9">
        <f t="shared" si="197"/>
        <v>50000</v>
      </c>
      <c r="BO550" s="9">
        <f t="shared" si="198"/>
        <v>50000</v>
      </c>
      <c r="BP550" s="9">
        <f t="shared" si="190"/>
        <v>25000</v>
      </c>
      <c r="BQ550" s="9">
        <f t="shared" si="191"/>
        <v>25000</v>
      </c>
      <c r="BR550" s="9">
        <f t="shared" si="192"/>
        <v>25000</v>
      </c>
      <c r="BS550" s="9">
        <f t="shared" si="193"/>
        <v>25000</v>
      </c>
      <c r="BT550" s="9">
        <f t="shared" si="194"/>
        <v>25000</v>
      </c>
    </row>
    <row r="551" spans="1:72" hidden="1" x14ac:dyDescent="0.25">
      <c r="A551" s="11">
        <f t="shared" si="199"/>
        <v>550</v>
      </c>
      <c r="B551" s="5" t="s">
        <v>1700</v>
      </c>
      <c r="C551" s="4" t="s">
        <v>59</v>
      </c>
      <c r="D551" s="4" t="s">
        <v>1147</v>
      </c>
      <c r="E551" s="4" t="s">
        <v>1682</v>
      </c>
      <c r="F551" s="4" t="s">
        <v>1701</v>
      </c>
      <c r="G551" s="4" t="s">
        <v>144</v>
      </c>
      <c r="H551" s="4" t="s">
        <v>1080</v>
      </c>
      <c r="I551" s="4"/>
      <c r="J551" s="4"/>
      <c r="K551" s="5" t="s">
        <v>1702</v>
      </c>
      <c r="L551" s="24">
        <v>800000</v>
      </c>
      <c r="M551" s="13" t="s">
        <v>74</v>
      </c>
      <c r="N551" s="5"/>
      <c r="O551" s="4" t="s">
        <v>453</v>
      </c>
      <c r="P551" s="4"/>
      <c r="Q551" s="42">
        <v>0.32</v>
      </c>
      <c r="R551" s="1">
        <f t="shared" si="195"/>
        <v>8000</v>
      </c>
      <c r="S551" s="38">
        <v>0</v>
      </c>
      <c r="T551" s="2">
        <f t="shared" si="196"/>
        <v>25000</v>
      </c>
      <c r="U551" s="24"/>
      <c r="V551" s="24"/>
      <c r="W551" s="24"/>
      <c r="X551" s="13">
        <v>2000</v>
      </c>
      <c r="Y551" s="13">
        <v>2000</v>
      </c>
      <c r="Z551" s="13">
        <v>2000</v>
      </c>
      <c r="AA551" s="13">
        <v>5000</v>
      </c>
      <c r="AB551" s="13">
        <v>5000</v>
      </c>
      <c r="AC551" s="13">
        <v>5000</v>
      </c>
      <c r="AD551" s="13">
        <v>5000</v>
      </c>
      <c r="AE551" s="13">
        <v>5000</v>
      </c>
      <c r="AF551" s="13">
        <v>5000</v>
      </c>
      <c r="AG551" s="13">
        <f t="shared" si="203"/>
        <v>5000</v>
      </c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4" t="s">
        <v>1105</v>
      </c>
      <c r="AU551" s="4" t="s">
        <v>685</v>
      </c>
      <c r="AV551" s="4" t="s">
        <v>1218</v>
      </c>
      <c r="AW551" s="4" t="s">
        <v>141</v>
      </c>
      <c r="AX551" s="4" t="s">
        <v>1269</v>
      </c>
      <c r="AY551" s="4" t="s">
        <v>1270</v>
      </c>
      <c r="AZ551" s="4" t="s">
        <v>1271</v>
      </c>
      <c r="BA551" s="4"/>
      <c r="BB551" s="4"/>
      <c r="BC551" s="4"/>
      <c r="BD551" s="23"/>
      <c r="BE551" s="4">
        <v>45767</v>
      </c>
      <c r="BF551" s="18">
        <v>45555</v>
      </c>
      <c r="BG551" s="18">
        <v>45585</v>
      </c>
      <c r="BH551" s="18">
        <v>45616</v>
      </c>
      <c r="BI551" s="18">
        <v>45646</v>
      </c>
      <c r="BJ551" s="18">
        <v>45677</v>
      </c>
      <c r="BK551" s="26">
        <v>1</v>
      </c>
      <c r="BL551" s="13">
        <v>5</v>
      </c>
      <c r="BM551" s="9">
        <f t="shared" si="184"/>
        <v>640</v>
      </c>
      <c r="BN551" s="9">
        <f t="shared" si="197"/>
        <v>640</v>
      </c>
      <c r="BO551" s="9">
        <f t="shared" si="198"/>
        <v>1600</v>
      </c>
      <c r="BP551" s="9">
        <f t="shared" si="190"/>
        <v>1600</v>
      </c>
      <c r="BQ551" s="9">
        <f t="shared" si="191"/>
        <v>1600</v>
      </c>
      <c r="BR551" s="9">
        <f t="shared" si="192"/>
        <v>1600</v>
      </c>
      <c r="BS551" s="9">
        <f t="shared" si="193"/>
        <v>1600</v>
      </c>
      <c r="BT551" s="9">
        <f t="shared" si="194"/>
        <v>1600</v>
      </c>
    </row>
    <row r="552" spans="1:72" hidden="1" x14ac:dyDescent="0.25">
      <c r="A552" s="11">
        <f t="shared" si="199"/>
        <v>551</v>
      </c>
      <c r="B552" s="5" t="s">
        <v>1700</v>
      </c>
      <c r="C552" s="4" t="s">
        <v>59</v>
      </c>
      <c r="D552" s="4" t="s">
        <v>1147</v>
      </c>
      <c r="E552" s="4" t="s">
        <v>1682</v>
      </c>
      <c r="F552" s="4" t="s">
        <v>1701</v>
      </c>
      <c r="G552" s="4" t="s">
        <v>267</v>
      </c>
      <c r="H552" s="4" t="s">
        <v>1304</v>
      </c>
      <c r="I552" s="4"/>
      <c r="J552" s="4"/>
      <c r="K552" s="5" t="s">
        <v>1702</v>
      </c>
      <c r="L552" s="24">
        <v>600000</v>
      </c>
      <c r="M552" s="13" t="s">
        <v>291</v>
      </c>
      <c r="N552" s="5"/>
      <c r="O552" s="4" t="s">
        <v>453</v>
      </c>
      <c r="P552" s="4"/>
      <c r="Q552" s="42">
        <v>0.32</v>
      </c>
      <c r="R552" s="1">
        <f t="shared" si="195"/>
        <v>32000</v>
      </c>
      <c r="S552" s="38">
        <v>0</v>
      </c>
      <c r="T552" s="2">
        <f t="shared" si="196"/>
        <v>100000</v>
      </c>
      <c r="U552" s="24">
        <v>6000</v>
      </c>
      <c r="V552" s="24"/>
      <c r="W552" s="24"/>
      <c r="X552" s="13">
        <v>12000</v>
      </c>
      <c r="Y552" s="13">
        <v>50000</v>
      </c>
      <c r="Z552" s="13">
        <v>50000</v>
      </c>
      <c r="AA552" s="13">
        <v>50000</v>
      </c>
      <c r="AB552" s="13">
        <v>20000</v>
      </c>
      <c r="AC552" s="13">
        <v>20000</v>
      </c>
      <c r="AD552" s="13">
        <v>20000</v>
      </c>
      <c r="AE552" s="13">
        <v>20000</v>
      </c>
      <c r="AF552" s="13">
        <v>20000</v>
      </c>
      <c r="AG552" s="13">
        <f>AF552</f>
        <v>20000</v>
      </c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4" t="s">
        <v>1105</v>
      </c>
      <c r="AU552" s="4" t="s">
        <v>685</v>
      </c>
      <c r="AV552" s="4" t="s">
        <v>1218</v>
      </c>
      <c r="AW552" s="4" t="s">
        <v>141</v>
      </c>
      <c r="AX552" s="4" t="s">
        <v>1269</v>
      </c>
      <c r="AY552" s="4" t="s">
        <v>1270</v>
      </c>
      <c r="AZ552" s="4" t="s">
        <v>1271</v>
      </c>
      <c r="BA552" s="4"/>
      <c r="BB552" s="4"/>
      <c r="BC552" s="4"/>
      <c r="BD552" s="23"/>
      <c r="BE552" s="4">
        <v>45524</v>
      </c>
      <c r="BF552" s="18">
        <v>45371</v>
      </c>
      <c r="BG552" s="18">
        <v>45402</v>
      </c>
      <c r="BH552" s="18">
        <v>45432</v>
      </c>
      <c r="BI552" s="18">
        <v>45463</v>
      </c>
      <c r="BJ552" s="18">
        <v>45493</v>
      </c>
      <c r="BK552" s="26">
        <v>1</v>
      </c>
      <c r="BL552" s="13">
        <v>5</v>
      </c>
      <c r="BM552" s="9">
        <f t="shared" si="184"/>
        <v>16000</v>
      </c>
      <c r="BN552" s="9">
        <f t="shared" si="197"/>
        <v>16000</v>
      </c>
      <c r="BO552" s="9">
        <f t="shared" si="198"/>
        <v>16000</v>
      </c>
      <c r="BP552" s="9">
        <f t="shared" si="190"/>
        <v>6400</v>
      </c>
      <c r="BQ552" s="9">
        <f t="shared" si="191"/>
        <v>6400</v>
      </c>
      <c r="BR552" s="9">
        <f t="shared" si="192"/>
        <v>6400</v>
      </c>
      <c r="BS552" s="9">
        <f t="shared" si="193"/>
        <v>6400</v>
      </c>
      <c r="BT552" s="9">
        <f t="shared" si="194"/>
        <v>6400</v>
      </c>
    </row>
    <row r="553" spans="1:72" hidden="1" x14ac:dyDescent="0.25">
      <c r="A553" s="11">
        <f t="shared" si="199"/>
        <v>552</v>
      </c>
      <c r="B553" s="5" t="s">
        <v>1700</v>
      </c>
      <c r="C553" s="4" t="s">
        <v>59</v>
      </c>
      <c r="D553" s="4" t="s">
        <v>1147</v>
      </c>
      <c r="E553" s="4" t="s">
        <v>1682</v>
      </c>
      <c r="F553" s="4" t="s">
        <v>1701</v>
      </c>
      <c r="G553" s="4" t="s">
        <v>1142</v>
      </c>
      <c r="H553" s="4" t="s">
        <v>1208</v>
      </c>
      <c r="I553" s="4"/>
      <c r="J553" s="4"/>
      <c r="K553" s="5" t="s">
        <v>1703</v>
      </c>
      <c r="L553" s="24">
        <v>100000</v>
      </c>
      <c r="M553" s="13" t="s">
        <v>74</v>
      </c>
      <c r="N553" s="5"/>
      <c r="O553" s="4" t="s">
        <v>453</v>
      </c>
      <c r="P553" s="4"/>
      <c r="Q553" s="42">
        <v>0.52</v>
      </c>
      <c r="R553" s="1">
        <f t="shared" si="195"/>
        <v>10920</v>
      </c>
      <c r="S553" s="38">
        <v>0</v>
      </c>
      <c r="T553" s="2">
        <f t="shared" si="196"/>
        <v>21000</v>
      </c>
      <c r="U553" s="24"/>
      <c r="V553" s="24"/>
      <c r="W553" s="24"/>
      <c r="X553" s="13"/>
      <c r="Y553" s="13"/>
      <c r="Z553" s="13"/>
      <c r="AA553" s="13"/>
      <c r="AB553" s="13"/>
      <c r="AC553" s="13"/>
      <c r="AD553" s="13">
        <v>5000</v>
      </c>
      <c r="AE553" s="13">
        <v>8000</v>
      </c>
      <c r="AF553" s="13">
        <v>8000</v>
      </c>
      <c r="AG553" s="13">
        <f t="shared" ref="AG553:AG585" si="204">AF553</f>
        <v>8000</v>
      </c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4" t="s">
        <v>1105</v>
      </c>
      <c r="AU553" s="4" t="s">
        <v>685</v>
      </c>
      <c r="AV553" s="4" t="s">
        <v>1218</v>
      </c>
      <c r="AW553" s="4" t="s">
        <v>98</v>
      </c>
      <c r="AX553" s="4" t="s">
        <v>110</v>
      </c>
      <c r="AY553" s="4" t="s">
        <v>736</v>
      </c>
      <c r="AZ553" s="4" t="s">
        <v>1267</v>
      </c>
      <c r="BA553" s="4"/>
      <c r="BB553" s="4"/>
      <c r="BC553" s="4"/>
      <c r="BD553" s="23"/>
      <c r="BE553" s="4">
        <v>45950</v>
      </c>
      <c r="BF553" s="18">
        <v>45585</v>
      </c>
      <c r="BG553" s="18">
        <v>45585</v>
      </c>
      <c r="BH553" s="18">
        <v>45616</v>
      </c>
      <c r="BI553" s="18"/>
      <c r="BJ553" s="18"/>
      <c r="BK553" s="26">
        <v>1</v>
      </c>
      <c r="BL553" s="13">
        <v>5</v>
      </c>
      <c r="BM553" s="9">
        <f t="shared" si="184"/>
        <v>0</v>
      </c>
      <c r="BN553" s="9">
        <f t="shared" si="197"/>
        <v>0</v>
      </c>
      <c r="BO553" s="9">
        <f t="shared" si="198"/>
        <v>0</v>
      </c>
      <c r="BP553" s="9">
        <f t="shared" si="190"/>
        <v>0</v>
      </c>
      <c r="BQ553" s="9">
        <f t="shared" si="191"/>
        <v>0</v>
      </c>
      <c r="BR553" s="9">
        <f t="shared" si="192"/>
        <v>2600</v>
      </c>
      <c r="BS553" s="9">
        <f t="shared" si="193"/>
        <v>4160</v>
      </c>
      <c r="BT553" s="9">
        <f t="shared" si="194"/>
        <v>4160</v>
      </c>
    </row>
    <row r="554" spans="1:72" hidden="1" x14ac:dyDescent="0.25">
      <c r="A554" s="11">
        <f t="shared" si="199"/>
        <v>553</v>
      </c>
      <c r="B554" s="5" t="s">
        <v>1704</v>
      </c>
      <c r="C554" s="4" t="s">
        <v>59</v>
      </c>
      <c r="D554" s="4" t="s">
        <v>1147</v>
      </c>
      <c r="E554" s="4" t="s">
        <v>1682</v>
      </c>
      <c r="F554" s="4" t="s">
        <v>1701</v>
      </c>
      <c r="G554" s="4" t="s">
        <v>494</v>
      </c>
      <c r="H554" s="4" t="s">
        <v>1751</v>
      </c>
      <c r="I554" s="4"/>
      <c r="J554" s="4"/>
      <c r="K554" s="5" t="s">
        <v>1272</v>
      </c>
      <c r="L554" s="24">
        <v>100000</v>
      </c>
      <c r="M554" s="13" t="s">
        <v>297</v>
      </c>
      <c r="N554" s="5"/>
      <c r="O554" s="4" t="s">
        <v>453</v>
      </c>
      <c r="P554" s="4"/>
      <c r="Q554" s="42">
        <v>0.52</v>
      </c>
      <c r="R554" s="1">
        <f t="shared" si="195"/>
        <v>15600</v>
      </c>
      <c r="S554" s="38">
        <v>0</v>
      </c>
      <c r="T554" s="2">
        <f t="shared" si="196"/>
        <v>30000</v>
      </c>
      <c r="U554" s="24"/>
      <c r="V554" s="24"/>
      <c r="W554" s="24"/>
      <c r="X554" s="13">
        <v>5000</v>
      </c>
      <c r="Y554" s="13">
        <v>5000</v>
      </c>
      <c r="Z554" s="13">
        <v>5000</v>
      </c>
      <c r="AA554" s="13">
        <v>5000</v>
      </c>
      <c r="AB554" s="13"/>
      <c r="AC554" s="13"/>
      <c r="AD554" s="13">
        <v>10000</v>
      </c>
      <c r="AE554" s="13">
        <v>10000</v>
      </c>
      <c r="AF554" s="13">
        <v>10000</v>
      </c>
      <c r="AG554" s="13">
        <f t="shared" si="204"/>
        <v>10000</v>
      </c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4" t="s">
        <v>1106</v>
      </c>
      <c r="AU554" s="4" t="s">
        <v>685</v>
      </c>
      <c r="AV554" s="4" t="s">
        <v>1218</v>
      </c>
      <c r="AW554" s="4" t="s">
        <v>98</v>
      </c>
      <c r="AX554" s="4" t="s">
        <v>110</v>
      </c>
      <c r="AY554" s="4" t="s">
        <v>111</v>
      </c>
      <c r="AZ554" s="4" t="s">
        <v>1273</v>
      </c>
      <c r="BA554" s="4"/>
      <c r="BB554" s="4"/>
      <c r="BC554" s="4"/>
      <c r="BD554" s="23"/>
      <c r="BE554" s="4">
        <v>45585</v>
      </c>
      <c r="BF554" s="18">
        <v>45342</v>
      </c>
      <c r="BG554" s="18">
        <v>45371</v>
      </c>
      <c r="BH554" s="18">
        <v>45402</v>
      </c>
      <c r="BI554" s="18">
        <v>45432</v>
      </c>
      <c r="BJ554" s="18">
        <v>45493</v>
      </c>
      <c r="BK554" s="26">
        <v>1</v>
      </c>
      <c r="BL554" s="13">
        <v>5</v>
      </c>
      <c r="BM554" s="9">
        <f t="shared" si="184"/>
        <v>2600</v>
      </c>
      <c r="BN554" s="9">
        <f t="shared" si="197"/>
        <v>2600</v>
      </c>
      <c r="BO554" s="9">
        <f t="shared" si="198"/>
        <v>2600</v>
      </c>
      <c r="BP554" s="9">
        <f t="shared" si="190"/>
        <v>0</v>
      </c>
      <c r="BQ554" s="9">
        <f t="shared" si="191"/>
        <v>0</v>
      </c>
      <c r="BR554" s="9">
        <f t="shared" si="192"/>
        <v>5200</v>
      </c>
      <c r="BS554" s="9">
        <f t="shared" si="193"/>
        <v>5200</v>
      </c>
      <c r="BT554" s="9">
        <f t="shared" si="194"/>
        <v>5200</v>
      </c>
    </row>
    <row r="555" spans="1:72" hidden="1" x14ac:dyDescent="0.25">
      <c r="A555" s="11">
        <f t="shared" si="199"/>
        <v>554</v>
      </c>
      <c r="B555" s="5" t="s">
        <v>1705</v>
      </c>
      <c r="C555" s="4" t="s">
        <v>128</v>
      </c>
      <c r="D555" s="4" t="s">
        <v>1157</v>
      </c>
      <c r="E555" s="4" t="s">
        <v>1682</v>
      </c>
      <c r="F555" s="4" t="s">
        <v>1706</v>
      </c>
      <c r="G555" s="4" t="s">
        <v>1799</v>
      </c>
      <c r="H555" s="4" t="s">
        <v>1800</v>
      </c>
      <c r="I555" s="4"/>
      <c r="J555" s="4"/>
      <c r="K555" s="5" t="s">
        <v>1151</v>
      </c>
      <c r="L555" s="24">
        <v>300000</v>
      </c>
      <c r="M555" s="13" t="s">
        <v>297</v>
      </c>
      <c r="N555" s="5"/>
      <c r="O555" s="4" t="s">
        <v>453</v>
      </c>
      <c r="P555" s="4"/>
      <c r="Q555" s="42">
        <v>2.8</v>
      </c>
      <c r="R555" s="1">
        <f t="shared" si="195"/>
        <v>224000</v>
      </c>
      <c r="S555" s="38">
        <v>0</v>
      </c>
      <c r="T555" s="2">
        <f t="shared" si="196"/>
        <v>80000</v>
      </c>
      <c r="U555" s="24"/>
      <c r="V555" s="24"/>
      <c r="W555" s="24"/>
      <c r="X555" s="13"/>
      <c r="Y555" s="13">
        <v>5000</v>
      </c>
      <c r="Z555" s="13">
        <v>5000</v>
      </c>
      <c r="AA555" s="13">
        <v>10000</v>
      </c>
      <c r="AB555" s="13">
        <v>10000</v>
      </c>
      <c r="AC555" s="13">
        <v>10000</v>
      </c>
      <c r="AD555" s="13">
        <v>20000</v>
      </c>
      <c r="AE555" s="13">
        <v>20000</v>
      </c>
      <c r="AF555" s="13">
        <v>20000</v>
      </c>
      <c r="AG555" s="13">
        <f t="shared" si="204"/>
        <v>20000</v>
      </c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4" t="s">
        <v>1205</v>
      </c>
      <c r="AU555" s="4" t="s">
        <v>685</v>
      </c>
      <c r="AV555" s="4" t="s">
        <v>826</v>
      </c>
      <c r="AW555" s="4" t="s">
        <v>987</v>
      </c>
      <c r="AX555" s="4" t="s">
        <v>1152</v>
      </c>
      <c r="AY555" s="4" t="s">
        <v>1153</v>
      </c>
      <c r="AZ555" s="4" t="s">
        <v>1154</v>
      </c>
      <c r="BA555" s="4"/>
      <c r="BB555" s="4"/>
      <c r="BC555" s="4"/>
      <c r="BD555" s="23"/>
      <c r="BE555" s="4">
        <v>45585</v>
      </c>
      <c r="BF555" s="18">
        <v>45311</v>
      </c>
      <c r="BG555" s="18">
        <v>45342</v>
      </c>
      <c r="BH555" s="18">
        <v>45371</v>
      </c>
      <c r="BI555" s="18">
        <v>45402</v>
      </c>
      <c r="BJ555" s="18">
        <v>45463</v>
      </c>
      <c r="BK555" s="26">
        <v>1</v>
      </c>
      <c r="BL555" s="13">
        <v>5</v>
      </c>
      <c r="BM555" s="9">
        <f t="shared" si="184"/>
        <v>14000</v>
      </c>
      <c r="BN555" s="9">
        <f t="shared" si="197"/>
        <v>14000</v>
      </c>
      <c r="BO555" s="9">
        <f t="shared" si="198"/>
        <v>28000</v>
      </c>
      <c r="BP555" s="9">
        <f t="shared" si="190"/>
        <v>28000</v>
      </c>
      <c r="BQ555" s="9">
        <f t="shared" si="191"/>
        <v>28000</v>
      </c>
      <c r="BR555" s="9">
        <f t="shared" si="192"/>
        <v>56000</v>
      </c>
      <c r="BS555" s="9">
        <f t="shared" si="193"/>
        <v>56000</v>
      </c>
      <c r="BT555" s="9">
        <f t="shared" si="194"/>
        <v>56000</v>
      </c>
    </row>
    <row r="556" spans="1:72" hidden="1" x14ac:dyDescent="0.25">
      <c r="A556" s="11">
        <f t="shared" si="199"/>
        <v>555</v>
      </c>
      <c r="B556" s="5" t="s">
        <v>1705</v>
      </c>
      <c r="C556" s="4" t="s">
        <v>128</v>
      </c>
      <c r="D556" s="4" t="s">
        <v>1157</v>
      </c>
      <c r="E556" s="4" t="s">
        <v>1682</v>
      </c>
      <c r="F556" s="4" t="s">
        <v>1706</v>
      </c>
      <c r="G556" s="4" t="s">
        <v>1325</v>
      </c>
      <c r="H556" s="4" t="s">
        <v>1305</v>
      </c>
      <c r="I556" s="4"/>
      <c r="J556" s="4"/>
      <c r="K556" s="5" t="s">
        <v>1155</v>
      </c>
      <c r="L556" s="24">
        <v>300000</v>
      </c>
      <c r="M556" s="13" t="s">
        <v>297</v>
      </c>
      <c r="N556" s="5"/>
      <c r="O556" s="4" t="s">
        <v>453</v>
      </c>
      <c r="P556" s="4"/>
      <c r="Q556" s="42">
        <v>2.8</v>
      </c>
      <c r="R556" s="1">
        <f t="shared" si="195"/>
        <v>224000</v>
      </c>
      <c r="S556" s="38">
        <v>0</v>
      </c>
      <c r="T556" s="2">
        <f t="shared" si="196"/>
        <v>80000</v>
      </c>
      <c r="U556" s="24"/>
      <c r="V556" s="24"/>
      <c r="W556" s="24"/>
      <c r="X556" s="13"/>
      <c r="Y556" s="13">
        <v>5000</v>
      </c>
      <c r="Z556" s="13">
        <v>5000</v>
      </c>
      <c r="AA556" s="13">
        <v>10000</v>
      </c>
      <c r="AB556" s="13">
        <v>10000</v>
      </c>
      <c r="AC556" s="13">
        <v>10000</v>
      </c>
      <c r="AD556" s="13">
        <v>20000</v>
      </c>
      <c r="AE556" s="13">
        <v>20000</v>
      </c>
      <c r="AF556" s="13">
        <v>20000</v>
      </c>
      <c r="AG556" s="13">
        <f t="shared" si="204"/>
        <v>20000</v>
      </c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4" t="s">
        <v>1205</v>
      </c>
      <c r="AU556" s="4" t="s">
        <v>685</v>
      </c>
      <c r="AV556" s="4" t="s">
        <v>826</v>
      </c>
      <c r="AW556" s="4" t="s">
        <v>987</v>
      </c>
      <c r="AX556" s="4" t="s">
        <v>1152</v>
      </c>
      <c r="AY556" s="4" t="s">
        <v>1153</v>
      </c>
      <c r="AZ556" s="4" t="s">
        <v>1154</v>
      </c>
      <c r="BA556" s="4"/>
      <c r="BB556" s="4"/>
      <c r="BC556" s="4"/>
      <c r="BD556" s="23"/>
      <c r="BE556" s="4">
        <v>45585</v>
      </c>
      <c r="BF556" s="18">
        <v>45311</v>
      </c>
      <c r="BG556" s="18">
        <v>45342</v>
      </c>
      <c r="BH556" s="18">
        <v>45371</v>
      </c>
      <c r="BI556" s="18">
        <v>45402</v>
      </c>
      <c r="BJ556" s="18">
        <v>45463</v>
      </c>
      <c r="BK556" s="26">
        <v>1</v>
      </c>
      <c r="BL556" s="13">
        <v>5</v>
      </c>
      <c r="BM556" s="9">
        <f t="shared" si="184"/>
        <v>14000</v>
      </c>
      <c r="BN556" s="9">
        <f t="shared" si="197"/>
        <v>14000</v>
      </c>
      <c r="BO556" s="9">
        <f t="shared" si="198"/>
        <v>28000</v>
      </c>
      <c r="BP556" s="9">
        <f t="shared" si="190"/>
        <v>28000</v>
      </c>
      <c r="BQ556" s="9">
        <f t="shared" si="191"/>
        <v>28000</v>
      </c>
      <c r="BR556" s="9">
        <f t="shared" si="192"/>
        <v>56000</v>
      </c>
      <c r="BS556" s="9">
        <f t="shared" si="193"/>
        <v>56000</v>
      </c>
      <c r="BT556" s="9">
        <f t="shared" si="194"/>
        <v>56000</v>
      </c>
    </row>
    <row r="557" spans="1:72" hidden="1" x14ac:dyDescent="0.25">
      <c r="A557" s="11">
        <f t="shared" si="199"/>
        <v>556</v>
      </c>
      <c r="B557" s="5" t="s">
        <v>1705</v>
      </c>
      <c r="C557" s="4" t="s">
        <v>128</v>
      </c>
      <c r="D557" s="4" t="s">
        <v>1157</v>
      </c>
      <c r="E557" s="4" t="s">
        <v>1682</v>
      </c>
      <c r="F557" s="4" t="s">
        <v>1706</v>
      </c>
      <c r="G557" s="4" t="s">
        <v>1325</v>
      </c>
      <c r="H557" s="4" t="s">
        <v>1305</v>
      </c>
      <c r="I557" s="4"/>
      <c r="J557" s="4"/>
      <c r="K557" s="5" t="s">
        <v>1156</v>
      </c>
      <c r="L557" s="24">
        <v>300000</v>
      </c>
      <c r="M557" s="13" t="s">
        <v>297</v>
      </c>
      <c r="N557" s="5"/>
      <c r="O557" s="4" t="s">
        <v>453</v>
      </c>
      <c r="P557" s="4"/>
      <c r="Q557" s="42">
        <v>2.8</v>
      </c>
      <c r="R557" s="1">
        <f t="shared" si="195"/>
        <v>224000</v>
      </c>
      <c r="S557" s="38">
        <v>0</v>
      </c>
      <c r="T557" s="2">
        <f t="shared" si="196"/>
        <v>80000</v>
      </c>
      <c r="U557" s="24"/>
      <c r="V557" s="24"/>
      <c r="W557" s="24"/>
      <c r="X557" s="13"/>
      <c r="Y557" s="13"/>
      <c r="Z557" s="13">
        <v>10000</v>
      </c>
      <c r="AA557" s="13">
        <v>10000</v>
      </c>
      <c r="AB557" s="13">
        <v>10000</v>
      </c>
      <c r="AC557" s="13">
        <v>10000</v>
      </c>
      <c r="AD557" s="13">
        <v>20000</v>
      </c>
      <c r="AE557" s="13">
        <v>20000</v>
      </c>
      <c r="AF557" s="13">
        <v>20000</v>
      </c>
      <c r="AG557" s="13">
        <f t="shared" si="204"/>
        <v>20000</v>
      </c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4" t="s">
        <v>1205</v>
      </c>
      <c r="AU557" s="4" t="s">
        <v>685</v>
      </c>
      <c r="AV557" s="4" t="s">
        <v>826</v>
      </c>
      <c r="AW557" s="4" t="s">
        <v>987</v>
      </c>
      <c r="AX557" s="4" t="s">
        <v>1152</v>
      </c>
      <c r="AY557" s="4" t="s">
        <v>1153</v>
      </c>
      <c r="AZ557" s="4" t="s">
        <v>1154</v>
      </c>
      <c r="BA557" s="4"/>
      <c r="BB557" s="4"/>
      <c r="BC557" s="4"/>
      <c r="BD557" s="23"/>
      <c r="BE557" s="4">
        <v>45585</v>
      </c>
      <c r="BF557" s="18">
        <v>45311</v>
      </c>
      <c r="BG557" s="18">
        <v>45342</v>
      </c>
      <c r="BH557" s="18">
        <v>45371</v>
      </c>
      <c r="BI557" s="18">
        <v>45402</v>
      </c>
      <c r="BJ557" s="18">
        <v>45463</v>
      </c>
      <c r="BK557" s="26">
        <v>1</v>
      </c>
      <c r="BL557" s="13">
        <v>5</v>
      </c>
      <c r="BM557" s="9">
        <f t="shared" si="184"/>
        <v>0</v>
      </c>
      <c r="BN557" s="9">
        <f t="shared" si="197"/>
        <v>28000</v>
      </c>
      <c r="BO557" s="9">
        <f t="shared" si="198"/>
        <v>28000</v>
      </c>
      <c r="BP557" s="9">
        <f t="shared" si="190"/>
        <v>28000</v>
      </c>
      <c r="BQ557" s="9">
        <f t="shared" si="191"/>
        <v>28000</v>
      </c>
      <c r="BR557" s="9">
        <f t="shared" si="192"/>
        <v>56000</v>
      </c>
      <c r="BS557" s="9">
        <f t="shared" si="193"/>
        <v>56000</v>
      </c>
      <c r="BT557" s="9">
        <f t="shared" si="194"/>
        <v>56000</v>
      </c>
    </row>
    <row r="558" spans="1:72" hidden="1" x14ac:dyDescent="0.25">
      <c r="A558" s="11">
        <f t="shared" si="199"/>
        <v>557</v>
      </c>
      <c r="B558" s="5" t="s">
        <v>1705</v>
      </c>
      <c r="C558" s="4" t="s">
        <v>128</v>
      </c>
      <c r="D558" s="4" t="s">
        <v>1157</v>
      </c>
      <c r="E558" s="4" t="s">
        <v>1682</v>
      </c>
      <c r="F558" s="4" t="s">
        <v>1706</v>
      </c>
      <c r="G558" s="4" t="s">
        <v>1158</v>
      </c>
      <c r="H558" s="4" t="s">
        <v>1306</v>
      </c>
      <c r="I558" s="4"/>
      <c r="J558" s="4"/>
      <c r="K558" s="5" t="s">
        <v>1156</v>
      </c>
      <c r="L558" s="24">
        <v>200000</v>
      </c>
      <c r="M558" s="13" t="s">
        <v>74</v>
      </c>
      <c r="N558" s="5"/>
      <c r="O558" s="4" t="s">
        <v>453</v>
      </c>
      <c r="P558" s="4"/>
      <c r="Q558" s="42">
        <v>2.8</v>
      </c>
      <c r="R558" s="1">
        <f t="shared" si="195"/>
        <v>224000</v>
      </c>
      <c r="S558" s="38">
        <v>0</v>
      </c>
      <c r="T558" s="2">
        <f t="shared" si="196"/>
        <v>80000</v>
      </c>
      <c r="U558" s="24"/>
      <c r="V558" s="24"/>
      <c r="W558" s="24"/>
      <c r="X558" s="13"/>
      <c r="Y558" s="13"/>
      <c r="Z558" s="13"/>
      <c r="AA558" s="13"/>
      <c r="AB558" s="13">
        <v>10000</v>
      </c>
      <c r="AC558" s="13">
        <v>10000</v>
      </c>
      <c r="AD558" s="13">
        <v>20000</v>
      </c>
      <c r="AE558" s="13">
        <v>20000</v>
      </c>
      <c r="AF558" s="13">
        <v>20000</v>
      </c>
      <c r="AG558" s="13">
        <f t="shared" si="204"/>
        <v>20000</v>
      </c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4" t="s">
        <v>1205</v>
      </c>
      <c r="AU558" s="4" t="s">
        <v>685</v>
      </c>
      <c r="AV558" s="4" t="s">
        <v>826</v>
      </c>
      <c r="AW558" s="4" t="s">
        <v>987</v>
      </c>
      <c r="AX558" s="4" t="s">
        <v>1152</v>
      </c>
      <c r="AY558" s="4" t="s">
        <v>1153</v>
      </c>
      <c r="AZ558" s="4" t="s">
        <v>1154</v>
      </c>
      <c r="BA558" s="4"/>
      <c r="BB558" s="4"/>
      <c r="BC558" s="4"/>
      <c r="BD558" s="23"/>
      <c r="BE558" s="4">
        <v>45585</v>
      </c>
      <c r="BF558" s="18">
        <v>45311</v>
      </c>
      <c r="BG558" s="18">
        <v>45342</v>
      </c>
      <c r="BH558" s="18">
        <v>45371</v>
      </c>
      <c r="BI558" s="18">
        <v>45402</v>
      </c>
      <c r="BJ558" s="18">
        <v>45463</v>
      </c>
      <c r="BK558" s="26">
        <v>1</v>
      </c>
      <c r="BL558" s="13">
        <v>5</v>
      </c>
      <c r="BM558" s="9">
        <f t="shared" si="184"/>
        <v>0</v>
      </c>
      <c r="BN558" s="9">
        <f t="shared" si="197"/>
        <v>0</v>
      </c>
      <c r="BO558" s="9">
        <f t="shared" si="198"/>
        <v>0</v>
      </c>
      <c r="BP558" s="9">
        <f t="shared" si="190"/>
        <v>28000</v>
      </c>
      <c r="BQ558" s="9">
        <f t="shared" si="191"/>
        <v>28000</v>
      </c>
      <c r="BR558" s="9">
        <f t="shared" si="192"/>
        <v>56000</v>
      </c>
      <c r="BS558" s="9">
        <f t="shared" si="193"/>
        <v>56000</v>
      </c>
      <c r="BT558" s="9">
        <f t="shared" si="194"/>
        <v>56000</v>
      </c>
    </row>
    <row r="559" spans="1:72" hidden="1" x14ac:dyDescent="0.25">
      <c r="A559" s="11">
        <f t="shared" si="199"/>
        <v>558</v>
      </c>
      <c r="B559" s="5" t="s">
        <v>1159</v>
      </c>
      <c r="C559" s="4" t="s">
        <v>128</v>
      </c>
      <c r="D559" s="4" t="s">
        <v>1157</v>
      </c>
      <c r="E559" s="4" t="s">
        <v>1682</v>
      </c>
      <c r="F559" s="4" t="s">
        <v>1706</v>
      </c>
      <c r="G559" s="4" t="s">
        <v>1206</v>
      </c>
      <c r="H559" s="4" t="s">
        <v>1310</v>
      </c>
      <c r="I559" s="4"/>
      <c r="J559" s="4"/>
      <c r="K559" s="5" t="s">
        <v>1160</v>
      </c>
      <c r="L559" s="24">
        <v>500000</v>
      </c>
      <c r="M559" s="13" t="s">
        <v>74</v>
      </c>
      <c r="N559" s="5"/>
      <c r="O559" s="4" t="s">
        <v>453</v>
      </c>
      <c r="P559" s="4"/>
      <c r="Q559" s="42">
        <v>2.8</v>
      </c>
      <c r="R559" s="1">
        <f t="shared" si="195"/>
        <v>14000</v>
      </c>
      <c r="S559" s="38">
        <v>0</v>
      </c>
      <c r="T559" s="2">
        <f t="shared" si="196"/>
        <v>5000</v>
      </c>
      <c r="U559" s="24"/>
      <c r="V559" s="24"/>
      <c r="W559" s="24"/>
      <c r="X559" s="13"/>
      <c r="Y559" s="13"/>
      <c r="Z559" s="13"/>
      <c r="AA559" s="13"/>
      <c r="AB559" s="13"/>
      <c r="AC559" s="13"/>
      <c r="AD559" s="13"/>
      <c r="AE559" s="13"/>
      <c r="AF559" s="13">
        <v>5000</v>
      </c>
      <c r="AG559" s="13">
        <f t="shared" si="204"/>
        <v>5000</v>
      </c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4" t="s">
        <v>1205</v>
      </c>
      <c r="AU559" s="4" t="s">
        <v>685</v>
      </c>
      <c r="AV559" s="4" t="s">
        <v>826</v>
      </c>
      <c r="AW559" s="4" t="s">
        <v>987</v>
      </c>
      <c r="AX559" s="4" t="s">
        <v>1152</v>
      </c>
      <c r="AY559" s="4" t="s">
        <v>1153</v>
      </c>
      <c r="AZ559" s="4" t="s">
        <v>1154</v>
      </c>
      <c r="BA559" s="4"/>
      <c r="BB559" s="4"/>
      <c r="BC559" s="4"/>
      <c r="BD559" s="23"/>
      <c r="BE559" s="4">
        <v>45585</v>
      </c>
      <c r="BF559" s="18">
        <v>45311</v>
      </c>
      <c r="BG559" s="18">
        <v>45342</v>
      </c>
      <c r="BH559" s="18">
        <v>45371</v>
      </c>
      <c r="BI559" s="18">
        <v>45402</v>
      </c>
      <c r="BJ559" s="18">
        <v>45463</v>
      </c>
      <c r="BK559" s="26">
        <v>1</v>
      </c>
      <c r="BL559" s="13">
        <v>5</v>
      </c>
      <c r="BM559" s="9">
        <f t="shared" si="184"/>
        <v>0</v>
      </c>
      <c r="BN559" s="9">
        <f t="shared" si="197"/>
        <v>0</v>
      </c>
      <c r="BO559" s="9">
        <f t="shared" si="198"/>
        <v>0</v>
      </c>
      <c r="BP559" s="9">
        <f t="shared" si="190"/>
        <v>0</v>
      </c>
      <c r="BQ559" s="9">
        <f t="shared" si="191"/>
        <v>0</v>
      </c>
      <c r="BR559" s="9">
        <f t="shared" si="192"/>
        <v>0</v>
      </c>
      <c r="BS559" s="9">
        <f t="shared" si="193"/>
        <v>0</v>
      </c>
      <c r="BT559" s="9">
        <f t="shared" si="194"/>
        <v>14000</v>
      </c>
    </row>
    <row r="560" spans="1:72" hidden="1" x14ac:dyDescent="0.25">
      <c r="A560" s="11">
        <f t="shared" si="199"/>
        <v>559</v>
      </c>
      <c r="B560" s="5" t="s">
        <v>1707</v>
      </c>
      <c r="C560" s="4" t="s">
        <v>186</v>
      </c>
      <c r="D560" s="4" t="s">
        <v>1164</v>
      </c>
      <c r="E560" s="4" t="s">
        <v>1682</v>
      </c>
      <c r="F560" s="4" t="s">
        <v>1708</v>
      </c>
      <c r="G560" s="4" t="s">
        <v>1161</v>
      </c>
      <c r="H560" s="4" t="s">
        <v>1162</v>
      </c>
      <c r="I560" s="4"/>
      <c r="J560" s="4"/>
      <c r="K560" s="5" t="s">
        <v>1709</v>
      </c>
      <c r="L560" s="24">
        <v>2000000</v>
      </c>
      <c r="M560" s="13" t="s">
        <v>297</v>
      </c>
      <c r="N560" s="5"/>
      <c r="O560" s="4" t="s">
        <v>1163</v>
      </c>
      <c r="P560" s="4"/>
      <c r="Q560" s="42">
        <v>0.55000000000000004</v>
      </c>
      <c r="R560" s="1">
        <f t="shared" si="195"/>
        <v>41250</v>
      </c>
      <c r="S560" s="38">
        <v>0</v>
      </c>
      <c r="T560" s="2">
        <f t="shared" si="196"/>
        <v>75000</v>
      </c>
      <c r="U560" s="24"/>
      <c r="V560" s="24"/>
      <c r="W560" s="24"/>
      <c r="X560" s="13"/>
      <c r="Y560" s="13">
        <v>20000</v>
      </c>
      <c r="Z560" s="13">
        <v>10000</v>
      </c>
      <c r="AA560" s="13">
        <v>20000</v>
      </c>
      <c r="AB560" s="13">
        <v>5000</v>
      </c>
      <c r="AC560" s="13">
        <v>10000</v>
      </c>
      <c r="AD560" s="13">
        <v>20000</v>
      </c>
      <c r="AE560" s="13">
        <v>20000</v>
      </c>
      <c r="AF560" s="13">
        <v>20000</v>
      </c>
      <c r="AG560" s="13">
        <f t="shared" si="204"/>
        <v>20000</v>
      </c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4" t="s">
        <v>723</v>
      </c>
      <c r="AU560" s="4" t="s">
        <v>685</v>
      </c>
      <c r="AV560" s="4" t="s">
        <v>1218</v>
      </c>
      <c r="AW560" s="4" t="s">
        <v>98</v>
      </c>
      <c r="AX560" s="4" t="s">
        <v>110</v>
      </c>
      <c r="AY560" s="4" t="s">
        <v>1112</v>
      </c>
      <c r="AZ560" s="4" t="s">
        <v>1113</v>
      </c>
      <c r="BA560" s="4"/>
      <c r="BB560" s="4"/>
      <c r="BC560" s="4"/>
      <c r="BD560" s="23">
        <v>1</v>
      </c>
      <c r="BE560" s="4">
        <v>45828</v>
      </c>
      <c r="BF560" s="18">
        <v>44946</v>
      </c>
      <c r="BG560" s="18">
        <v>45311</v>
      </c>
      <c r="BH560" s="18">
        <v>45371</v>
      </c>
      <c r="BI560" s="18">
        <v>45463</v>
      </c>
      <c r="BJ560" s="18">
        <v>45493</v>
      </c>
      <c r="BK560" s="26">
        <v>1</v>
      </c>
      <c r="BL560" s="13">
        <v>5</v>
      </c>
      <c r="BM560" s="9">
        <f t="shared" si="184"/>
        <v>11000</v>
      </c>
      <c r="BN560" s="9">
        <f t="shared" si="197"/>
        <v>5500</v>
      </c>
      <c r="BO560" s="9">
        <f t="shared" si="198"/>
        <v>11000</v>
      </c>
      <c r="BP560" s="9">
        <f t="shared" si="190"/>
        <v>2750</v>
      </c>
      <c r="BQ560" s="9">
        <f t="shared" si="191"/>
        <v>5500</v>
      </c>
      <c r="BR560" s="9">
        <f t="shared" si="192"/>
        <v>11000</v>
      </c>
      <c r="BS560" s="9">
        <f t="shared" si="193"/>
        <v>11000</v>
      </c>
      <c r="BT560" s="9">
        <f t="shared" si="194"/>
        <v>11000</v>
      </c>
    </row>
    <row r="561" spans="1:72" hidden="1" x14ac:dyDescent="0.25">
      <c r="A561" s="11">
        <f t="shared" si="199"/>
        <v>560</v>
      </c>
      <c r="B561" s="5" t="s">
        <v>1707</v>
      </c>
      <c r="C561" s="4" t="s">
        <v>186</v>
      </c>
      <c r="D561" s="4" t="s">
        <v>1164</v>
      </c>
      <c r="E561" s="4" t="s">
        <v>1682</v>
      </c>
      <c r="F561" s="4" t="s">
        <v>1708</v>
      </c>
      <c r="G561" s="4" t="s">
        <v>1165</v>
      </c>
      <c r="H561" s="4" t="s">
        <v>1307</v>
      </c>
      <c r="I561" s="4"/>
      <c r="J561" s="4"/>
      <c r="K561" s="5" t="s">
        <v>1709</v>
      </c>
      <c r="L561" s="24">
        <v>500000</v>
      </c>
      <c r="M561" s="13" t="s">
        <v>74</v>
      </c>
      <c r="N561" s="5"/>
      <c r="O561" s="4" t="s">
        <v>1166</v>
      </c>
      <c r="P561" s="4"/>
      <c r="Q561" s="42">
        <v>0.75</v>
      </c>
      <c r="R561" s="1">
        <f t="shared" si="195"/>
        <v>11250</v>
      </c>
      <c r="S561" s="38">
        <v>0</v>
      </c>
      <c r="T561" s="2">
        <f t="shared" si="196"/>
        <v>15000</v>
      </c>
      <c r="U561" s="24"/>
      <c r="V561" s="24"/>
      <c r="W561" s="24"/>
      <c r="X561" s="13"/>
      <c r="Y561" s="13"/>
      <c r="Z561" s="13"/>
      <c r="AA561" s="13"/>
      <c r="AB561" s="13"/>
      <c r="AC561" s="13"/>
      <c r="AD561" s="13">
        <v>5000</v>
      </c>
      <c r="AE561" s="13">
        <v>5000</v>
      </c>
      <c r="AF561" s="13">
        <v>5000</v>
      </c>
      <c r="AG561" s="13">
        <f t="shared" si="204"/>
        <v>5000</v>
      </c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4" t="s">
        <v>723</v>
      </c>
      <c r="AU561" s="4" t="s">
        <v>685</v>
      </c>
      <c r="AV561" s="4" t="s">
        <v>1218</v>
      </c>
      <c r="AW561" s="4" t="s">
        <v>98</v>
      </c>
      <c r="AX561" s="4" t="s">
        <v>110</v>
      </c>
      <c r="AY561" s="4" t="s">
        <v>1112</v>
      </c>
      <c r="AZ561" s="4" t="s">
        <v>1113</v>
      </c>
      <c r="BA561" s="4"/>
      <c r="BB561" s="4"/>
      <c r="BC561" s="4"/>
      <c r="BD561" s="23"/>
      <c r="BE561" s="4">
        <v>45828</v>
      </c>
      <c r="BF561" s="18">
        <v>45311</v>
      </c>
      <c r="BG561" s="18">
        <v>45463</v>
      </c>
      <c r="BH561" s="18">
        <v>45524</v>
      </c>
      <c r="BI561" s="18">
        <v>45616</v>
      </c>
      <c r="BJ561" s="18">
        <v>45646</v>
      </c>
      <c r="BK561" s="26">
        <v>0.2</v>
      </c>
      <c r="BL561" s="13">
        <v>5</v>
      </c>
      <c r="BM561" s="9">
        <f t="shared" si="184"/>
        <v>0</v>
      </c>
      <c r="BN561" s="9">
        <f t="shared" si="197"/>
        <v>0</v>
      </c>
      <c r="BO561" s="9">
        <f t="shared" si="198"/>
        <v>0</v>
      </c>
      <c r="BP561" s="9">
        <f t="shared" si="190"/>
        <v>0</v>
      </c>
      <c r="BQ561" s="9">
        <f t="shared" si="191"/>
        <v>0</v>
      </c>
      <c r="BR561" s="9">
        <f t="shared" si="192"/>
        <v>3750</v>
      </c>
      <c r="BS561" s="9">
        <f t="shared" si="193"/>
        <v>3750</v>
      </c>
      <c r="BT561" s="9">
        <f t="shared" si="194"/>
        <v>3750</v>
      </c>
    </row>
    <row r="562" spans="1:72" hidden="1" x14ac:dyDescent="0.25">
      <c r="A562" s="11">
        <f t="shared" si="199"/>
        <v>561</v>
      </c>
      <c r="B562" s="5" t="s">
        <v>1707</v>
      </c>
      <c r="C562" s="4" t="s">
        <v>186</v>
      </c>
      <c r="D562" s="4" t="s">
        <v>1164</v>
      </c>
      <c r="E562" s="4" t="s">
        <v>1682</v>
      </c>
      <c r="F562" s="4" t="s">
        <v>1708</v>
      </c>
      <c r="G562" s="4" t="s">
        <v>116</v>
      </c>
      <c r="H562" s="4" t="s">
        <v>1089</v>
      </c>
      <c r="I562" s="4"/>
      <c r="J562" s="4"/>
      <c r="K562" s="5" t="s">
        <v>1710</v>
      </c>
      <c r="L562" s="24">
        <v>200000</v>
      </c>
      <c r="M562" s="13" t="s">
        <v>297</v>
      </c>
      <c r="N562" s="5"/>
      <c r="O562" s="4" t="s">
        <v>1168</v>
      </c>
      <c r="P562" s="4"/>
      <c r="Q562" s="42">
        <v>0.45</v>
      </c>
      <c r="R562" s="1">
        <f t="shared" si="195"/>
        <v>17100</v>
      </c>
      <c r="S562" s="38">
        <v>0</v>
      </c>
      <c r="T562" s="2">
        <f t="shared" si="196"/>
        <v>38000</v>
      </c>
      <c r="U562" s="24"/>
      <c r="V562" s="24"/>
      <c r="W562" s="24"/>
      <c r="X562" s="13"/>
      <c r="Y562" s="13"/>
      <c r="Z562" s="13"/>
      <c r="AA562" s="13"/>
      <c r="AB562" s="13">
        <v>5000</v>
      </c>
      <c r="AC562" s="13">
        <v>5000</v>
      </c>
      <c r="AD562" s="13">
        <v>10000</v>
      </c>
      <c r="AE562" s="13">
        <v>10000</v>
      </c>
      <c r="AF562" s="13">
        <v>8000</v>
      </c>
      <c r="AG562" s="13">
        <f t="shared" si="204"/>
        <v>8000</v>
      </c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4" t="s">
        <v>723</v>
      </c>
      <c r="AU562" s="4" t="s">
        <v>685</v>
      </c>
      <c r="AV562" s="4" t="s">
        <v>1218</v>
      </c>
      <c r="AW562" s="4" t="s">
        <v>98</v>
      </c>
      <c r="AX562" s="4" t="s">
        <v>110</v>
      </c>
      <c r="AY562" s="4" t="s">
        <v>1112</v>
      </c>
      <c r="AZ562" s="4" t="s">
        <v>1167</v>
      </c>
      <c r="BA562" s="4" t="s">
        <v>1169</v>
      </c>
      <c r="BB562" s="4"/>
      <c r="BC562" s="4"/>
      <c r="BD562" s="23">
        <v>2</v>
      </c>
      <c r="BE562" s="4">
        <v>45736</v>
      </c>
      <c r="BF562" s="18">
        <v>45311</v>
      </c>
      <c r="BG562" s="18">
        <v>45342</v>
      </c>
      <c r="BH562" s="18">
        <v>45371</v>
      </c>
      <c r="BI562" s="18">
        <v>45432</v>
      </c>
      <c r="BJ562" s="18">
        <v>45493</v>
      </c>
      <c r="BK562" s="26">
        <v>1</v>
      </c>
      <c r="BL562" s="13">
        <v>5</v>
      </c>
      <c r="BM562" s="9">
        <f t="shared" si="184"/>
        <v>0</v>
      </c>
      <c r="BN562" s="9">
        <f t="shared" si="197"/>
        <v>0</v>
      </c>
      <c r="BO562" s="9">
        <f t="shared" si="198"/>
        <v>0</v>
      </c>
      <c r="BP562" s="9">
        <f t="shared" si="190"/>
        <v>2250</v>
      </c>
      <c r="BQ562" s="9">
        <f t="shared" si="191"/>
        <v>2250</v>
      </c>
      <c r="BR562" s="9">
        <f t="shared" si="192"/>
        <v>4500</v>
      </c>
      <c r="BS562" s="9">
        <f t="shared" si="193"/>
        <v>4500</v>
      </c>
      <c r="BT562" s="9">
        <f t="shared" si="194"/>
        <v>3600</v>
      </c>
    </row>
    <row r="563" spans="1:72" hidden="1" x14ac:dyDescent="0.25">
      <c r="A563" s="11">
        <f t="shared" si="199"/>
        <v>562</v>
      </c>
      <c r="B563" s="5" t="s">
        <v>1707</v>
      </c>
      <c r="C563" s="4" t="s">
        <v>186</v>
      </c>
      <c r="D563" s="4" t="s">
        <v>1164</v>
      </c>
      <c r="E563" s="4" t="s">
        <v>1682</v>
      </c>
      <c r="F563" s="4" t="s">
        <v>1708</v>
      </c>
      <c r="G563" s="4" t="s">
        <v>300</v>
      </c>
      <c r="H563" s="4" t="s">
        <v>437</v>
      </c>
      <c r="I563" s="4"/>
      <c r="J563" s="4"/>
      <c r="K563" s="5" t="s">
        <v>1711</v>
      </c>
      <c r="L563" s="24">
        <v>200000</v>
      </c>
      <c r="M563" s="13" t="s">
        <v>74</v>
      </c>
      <c r="N563" s="5"/>
      <c r="O563" s="4" t="s">
        <v>1170</v>
      </c>
      <c r="P563" s="4"/>
      <c r="Q563" s="42">
        <v>2.8</v>
      </c>
      <c r="R563" s="1">
        <f t="shared" si="195"/>
        <v>42000</v>
      </c>
      <c r="S563" s="38">
        <v>0</v>
      </c>
      <c r="T563" s="2">
        <f t="shared" si="196"/>
        <v>15000</v>
      </c>
      <c r="U563" s="24"/>
      <c r="V563" s="24"/>
      <c r="W563" s="24"/>
      <c r="X563" s="13"/>
      <c r="Y563" s="13"/>
      <c r="Z563" s="13"/>
      <c r="AA563" s="13"/>
      <c r="AB563" s="13"/>
      <c r="AC563" s="13"/>
      <c r="AD563" s="13">
        <v>5000</v>
      </c>
      <c r="AE563" s="13">
        <v>5000</v>
      </c>
      <c r="AF563" s="13">
        <v>5000</v>
      </c>
      <c r="AG563" s="13">
        <f t="shared" si="204"/>
        <v>5000</v>
      </c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4" t="s">
        <v>1205</v>
      </c>
      <c r="AU563" s="4" t="s">
        <v>685</v>
      </c>
      <c r="AV563" s="4" t="s">
        <v>1217</v>
      </c>
      <c r="AW563" s="4" t="s">
        <v>98</v>
      </c>
      <c r="AX563" s="4" t="s">
        <v>110</v>
      </c>
      <c r="AY563" s="4" t="s">
        <v>1112</v>
      </c>
      <c r="AZ563" s="4" t="s">
        <v>1171</v>
      </c>
      <c r="BA563" s="4"/>
      <c r="BB563" s="4"/>
      <c r="BC563" s="4"/>
      <c r="BD563" s="23"/>
      <c r="BE563" s="4">
        <v>45736</v>
      </c>
      <c r="BF563" s="18">
        <v>44946</v>
      </c>
      <c r="BG563" s="18">
        <v>45311</v>
      </c>
      <c r="BH563" s="18">
        <v>45371</v>
      </c>
      <c r="BI563" s="18">
        <v>45463</v>
      </c>
      <c r="BJ563" s="18">
        <v>45493</v>
      </c>
      <c r="BK563" s="26">
        <v>1</v>
      </c>
      <c r="BL563" s="13">
        <v>5</v>
      </c>
      <c r="BM563" s="9">
        <f t="shared" si="184"/>
        <v>0</v>
      </c>
      <c r="BN563" s="9">
        <f t="shared" si="197"/>
        <v>0</v>
      </c>
      <c r="BO563" s="9">
        <f t="shared" si="198"/>
        <v>0</v>
      </c>
      <c r="BP563" s="9">
        <f t="shared" si="190"/>
        <v>0</v>
      </c>
      <c r="BQ563" s="9">
        <f t="shared" si="191"/>
        <v>0</v>
      </c>
      <c r="BR563" s="9">
        <f t="shared" si="192"/>
        <v>14000</v>
      </c>
      <c r="BS563" s="9">
        <f t="shared" si="193"/>
        <v>14000</v>
      </c>
      <c r="BT563" s="9">
        <f t="shared" si="194"/>
        <v>14000</v>
      </c>
    </row>
    <row r="564" spans="1:72" hidden="1" x14ac:dyDescent="0.25">
      <c r="A564" s="11">
        <f t="shared" si="199"/>
        <v>563</v>
      </c>
      <c r="B564" s="5" t="s">
        <v>1274</v>
      </c>
      <c r="C564" s="4" t="s">
        <v>59</v>
      </c>
      <c r="D564" s="4" t="s">
        <v>1275</v>
      </c>
      <c r="E564" s="4" t="s">
        <v>1682</v>
      </c>
      <c r="F564" s="4" t="s">
        <v>1712</v>
      </c>
      <c r="G564" s="4" t="s">
        <v>1087</v>
      </c>
      <c r="H564" s="4" t="s">
        <v>1086</v>
      </c>
      <c r="I564" s="4"/>
      <c r="J564" s="4"/>
      <c r="K564" s="5" t="s">
        <v>1276</v>
      </c>
      <c r="L564" s="24">
        <v>700000</v>
      </c>
      <c r="M564" s="13" t="s">
        <v>291</v>
      </c>
      <c r="N564" s="5"/>
      <c r="O564" s="4" t="s">
        <v>453</v>
      </c>
      <c r="P564" s="4"/>
      <c r="Q564" s="42">
        <v>0.23499999999999999</v>
      </c>
      <c r="R564" s="1">
        <f t="shared" si="195"/>
        <v>23500</v>
      </c>
      <c r="S564" s="38">
        <v>0</v>
      </c>
      <c r="T564" s="2">
        <f t="shared" si="196"/>
        <v>100000</v>
      </c>
      <c r="U564" s="24"/>
      <c r="V564" s="24"/>
      <c r="W564" s="24"/>
      <c r="X564" s="13">
        <v>18000</v>
      </c>
      <c r="Y564" s="13">
        <v>20000</v>
      </c>
      <c r="Z564" s="13">
        <v>20000</v>
      </c>
      <c r="AA564" s="13">
        <v>20000</v>
      </c>
      <c r="AB564" s="13">
        <v>20000</v>
      </c>
      <c r="AC564" s="13">
        <v>20000</v>
      </c>
      <c r="AD564" s="13">
        <v>20000</v>
      </c>
      <c r="AE564" s="13">
        <v>20000</v>
      </c>
      <c r="AF564" s="13">
        <v>20000</v>
      </c>
      <c r="AG564" s="13">
        <f t="shared" si="204"/>
        <v>20000</v>
      </c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4" t="s">
        <v>1105</v>
      </c>
      <c r="AU564" s="4" t="s">
        <v>685</v>
      </c>
      <c r="AV564" s="4" t="s">
        <v>1218</v>
      </c>
      <c r="AW564" s="4" t="s">
        <v>141</v>
      </c>
      <c r="AX564" s="4" t="s">
        <v>142</v>
      </c>
      <c r="AY564" s="4" t="s">
        <v>147</v>
      </c>
      <c r="AZ564" s="4"/>
      <c r="BA564" s="4" t="s">
        <v>1277</v>
      </c>
      <c r="BB564" s="4"/>
      <c r="BC564" s="4"/>
      <c r="BD564" s="23">
        <v>2</v>
      </c>
      <c r="BE564" s="4">
        <v>45646</v>
      </c>
      <c r="BF564" s="18">
        <v>45402</v>
      </c>
      <c r="BG564" s="18">
        <v>45432</v>
      </c>
      <c r="BH564" s="18">
        <v>45463</v>
      </c>
      <c r="BI564" s="18">
        <v>45493</v>
      </c>
      <c r="BJ564" s="18">
        <v>45524</v>
      </c>
      <c r="BK564" s="26">
        <v>1</v>
      </c>
      <c r="BL564" s="13">
        <v>5</v>
      </c>
      <c r="BM564" s="9">
        <f t="shared" ref="BM564:BM585" si="205">$Q564*Y564</f>
        <v>4700</v>
      </c>
      <c r="BN564" s="9">
        <f t="shared" si="197"/>
        <v>4700</v>
      </c>
      <c r="BO564" s="9">
        <f t="shared" si="198"/>
        <v>4700</v>
      </c>
      <c r="BP564" s="9">
        <f t="shared" si="190"/>
        <v>4700</v>
      </c>
      <c r="BQ564" s="9">
        <f t="shared" si="191"/>
        <v>4700</v>
      </c>
      <c r="BR564" s="9">
        <f t="shared" si="192"/>
        <v>4700</v>
      </c>
      <c r="BS564" s="9">
        <f t="shared" si="193"/>
        <v>4700</v>
      </c>
      <c r="BT564" s="9">
        <f t="shared" si="194"/>
        <v>4700</v>
      </c>
    </row>
    <row r="565" spans="1:72" hidden="1" x14ac:dyDescent="0.25">
      <c r="A565" s="11">
        <f t="shared" si="199"/>
        <v>564</v>
      </c>
      <c r="B565" s="5" t="s">
        <v>1274</v>
      </c>
      <c r="C565" s="4" t="s">
        <v>59</v>
      </c>
      <c r="D565" s="4" t="s">
        <v>1275</v>
      </c>
      <c r="E565" s="4" t="s">
        <v>1682</v>
      </c>
      <c r="F565" s="4" t="s">
        <v>1712</v>
      </c>
      <c r="G565" s="4" t="s">
        <v>1237</v>
      </c>
      <c r="H565" s="4"/>
      <c r="I565" s="4"/>
      <c r="J565" s="4"/>
      <c r="K565" s="5" t="s">
        <v>1713</v>
      </c>
      <c r="L565" s="24">
        <v>120000</v>
      </c>
      <c r="M565" s="13" t="s">
        <v>291</v>
      </c>
      <c r="N565" s="5"/>
      <c r="O565" s="4" t="s">
        <v>1278</v>
      </c>
      <c r="P565" s="4"/>
      <c r="Q565" s="42">
        <v>2.2999999999999998</v>
      </c>
      <c r="R565" s="1">
        <f t="shared" si="195"/>
        <v>0</v>
      </c>
      <c r="S565" s="38">
        <v>0</v>
      </c>
      <c r="T565" s="2">
        <f t="shared" si="196"/>
        <v>0</v>
      </c>
      <c r="U565" s="24"/>
      <c r="V565" s="24"/>
      <c r="W565" s="24"/>
      <c r="X565" s="13"/>
      <c r="Y565" s="13"/>
      <c r="Z565" s="13">
        <v>500</v>
      </c>
      <c r="AA565" s="13">
        <v>500</v>
      </c>
      <c r="AB565" s="13"/>
      <c r="AC565" s="13"/>
      <c r="AD565" s="13"/>
      <c r="AE565" s="13"/>
      <c r="AF565" s="13"/>
      <c r="AG565" s="13">
        <f t="shared" si="204"/>
        <v>0</v>
      </c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4" t="s">
        <v>1288</v>
      </c>
      <c r="AU565" s="4" t="s">
        <v>685</v>
      </c>
      <c r="AV565" s="4" t="s">
        <v>826</v>
      </c>
      <c r="AW565" s="4" t="s">
        <v>222</v>
      </c>
      <c r="AX565" s="4" t="s">
        <v>238</v>
      </c>
      <c r="AY565" s="4"/>
      <c r="AZ565" s="4"/>
      <c r="BA565" s="4"/>
      <c r="BB565" s="4"/>
      <c r="BC565" s="4"/>
      <c r="BD565" s="23">
        <v>1</v>
      </c>
      <c r="BE565" s="4">
        <v>45493</v>
      </c>
      <c r="BF565" s="18">
        <v>45371</v>
      </c>
      <c r="BG565" s="18">
        <v>45402</v>
      </c>
      <c r="BH565" s="18">
        <v>45432</v>
      </c>
      <c r="BI565" s="18">
        <v>45432</v>
      </c>
      <c r="BJ565" s="18">
        <v>45432</v>
      </c>
      <c r="BK565" s="26">
        <v>1</v>
      </c>
      <c r="BL565" s="13">
        <v>5</v>
      </c>
      <c r="BM565" s="9">
        <f t="shared" si="205"/>
        <v>0</v>
      </c>
      <c r="BN565" s="9">
        <f t="shared" si="197"/>
        <v>1150</v>
      </c>
      <c r="BO565" s="9">
        <f t="shared" si="198"/>
        <v>1150</v>
      </c>
      <c r="BP565" s="9">
        <f t="shared" si="190"/>
        <v>0</v>
      </c>
      <c r="BQ565" s="9">
        <f t="shared" si="191"/>
        <v>0</v>
      </c>
      <c r="BR565" s="9">
        <f t="shared" si="192"/>
        <v>0</v>
      </c>
      <c r="BS565" s="9">
        <f t="shared" si="193"/>
        <v>0</v>
      </c>
      <c r="BT565" s="9">
        <f t="shared" si="194"/>
        <v>0</v>
      </c>
    </row>
    <row r="566" spans="1:72" hidden="1" x14ac:dyDescent="0.25">
      <c r="A566" s="11">
        <f t="shared" si="199"/>
        <v>565</v>
      </c>
      <c r="B566" s="5" t="s">
        <v>1274</v>
      </c>
      <c r="C566" s="4" t="s">
        <v>59</v>
      </c>
      <c r="D566" s="4" t="s">
        <v>1275</v>
      </c>
      <c r="E566" s="4" t="s">
        <v>1682</v>
      </c>
      <c r="F566" s="4" t="s">
        <v>1712</v>
      </c>
      <c r="G566" s="77" t="s">
        <v>1279</v>
      </c>
      <c r="H566" s="4"/>
      <c r="I566" s="4"/>
      <c r="J566" s="4"/>
      <c r="K566" s="5" t="s">
        <v>1280</v>
      </c>
      <c r="L566" s="24">
        <v>10000000</v>
      </c>
      <c r="M566" s="13" t="s">
        <v>320</v>
      </c>
      <c r="N566" s="5"/>
      <c r="O566" s="4" t="s">
        <v>1281</v>
      </c>
      <c r="P566" s="4"/>
      <c r="Q566" s="42">
        <v>0.68</v>
      </c>
      <c r="R566" s="1">
        <f t="shared" si="195"/>
        <v>10200</v>
      </c>
      <c r="S566" s="38">
        <v>0</v>
      </c>
      <c r="T566" s="2">
        <f t="shared" si="196"/>
        <v>15000</v>
      </c>
      <c r="U566" s="24"/>
      <c r="V566" s="24"/>
      <c r="W566" s="24"/>
      <c r="X566" s="13"/>
      <c r="Y566" s="13"/>
      <c r="Z566" s="13"/>
      <c r="AA566" s="13"/>
      <c r="AB566" s="13"/>
      <c r="AC566" s="13"/>
      <c r="AD566" s="13">
        <v>5000</v>
      </c>
      <c r="AE566" s="13">
        <v>5000</v>
      </c>
      <c r="AF566" s="13">
        <v>5000</v>
      </c>
      <c r="AG566" s="13">
        <f t="shared" si="204"/>
        <v>5000</v>
      </c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4" t="s">
        <v>1288</v>
      </c>
      <c r="AU566" s="4" t="s">
        <v>685</v>
      </c>
      <c r="AV566" s="4" t="s">
        <v>1218</v>
      </c>
      <c r="AW566" s="4" t="s">
        <v>222</v>
      </c>
      <c r="AX566" s="4" t="s">
        <v>238</v>
      </c>
      <c r="AY566" s="4"/>
      <c r="AZ566" s="4"/>
      <c r="BA566" s="4"/>
      <c r="BB566" s="4"/>
      <c r="BC566" s="4"/>
      <c r="BD566" s="23">
        <v>1</v>
      </c>
      <c r="BE566" s="4">
        <v>45493</v>
      </c>
      <c r="BF566" s="18">
        <v>45371</v>
      </c>
      <c r="BG566" s="18">
        <v>45402</v>
      </c>
      <c r="BH566" s="18">
        <v>45432</v>
      </c>
      <c r="BI566" s="18">
        <v>45432</v>
      </c>
      <c r="BJ566" s="18">
        <v>45432</v>
      </c>
      <c r="BK566" s="26">
        <v>1</v>
      </c>
      <c r="BL566" s="13">
        <v>5</v>
      </c>
      <c r="BM566" s="9">
        <f t="shared" si="205"/>
        <v>0</v>
      </c>
      <c r="BN566" s="9">
        <f t="shared" si="197"/>
        <v>0</v>
      </c>
      <c r="BO566" s="9">
        <f t="shared" si="198"/>
        <v>0</v>
      </c>
      <c r="BP566" s="9">
        <f t="shared" si="190"/>
        <v>0</v>
      </c>
      <c r="BQ566" s="9">
        <f t="shared" si="191"/>
        <v>0</v>
      </c>
      <c r="BR566" s="9">
        <f t="shared" si="192"/>
        <v>3400.0000000000005</v>
      </c>
      <c r="BS566" s="9">
        <f t="shared" si="193"/>
        <v>3400.0000000000005</v>
      </c>
      <c r="BT566" s="9">
        <f t="shared" si="194"/>
        <v>3400.0000000000005</v>
      </c>
    </row>
    <row r="567" spans="1:72" hidden="1" x14ac:dyDescent="0.25">
      <c r="A567" s="11">
        <f t="shared" si="199"/>
        <v>566</v>
      </c>
      <c r="B567" s="5" t="s">
        <v>1714</v>
      </c>
      <c r="C567" s="4" t="s">
        <v>128</v>
      </c>
      <c r="D567" s="4" t="s">
        <v>1172</v>
      </c>
      <c r="E567" s="4" t="s">
        <v>1682</v>
      </c>
      <c r="F567" s="4" t="s">
        <v>1715</v>
      </c>
      <c r="G567" s="4" t="s">
        <v>539</v>
      </c>
      <c r="H567" s="4" t="s">
        <v>1303</v>
      </c>
      <c r="I567" s="4"/>
      <c r="J567" s="4"/>
      <c r="K567" s="5" t="s">
        <v>1173</v>
      </c>
      <c r="L567" s="24">
        <v>300000</v>
      </c>
      <c r="M567" s="13" t="s">
        <v>291</v>
      </c>
      <c r="N567" s="5"/>
      <c r="O567" s="4" t="s">
        <v>1174</v>
      </c>
      <c r="P567" s="4"/>
      <c r="Q567" s="42">
        <v>2.2000000000000002</v>
      </c>
      <c r="R567" s="1">
        <f t="shared" si="195"/>
        <v>528000</v>
      </c>
      <c r="S567" s="38">
        <v>0</v>
      </c>
      <c r="T567" s="2">
        <f t="shared" si="196"/>
        <v>240000</v>
      </c>
      <c r="U567" s="24"/>
      <c r="V567" s="24"/>
      <c r="W567" s="24">
        <v>47000</v>
      </c>
      <c r="X567" s="13">
        <v>20000</v>
      </c>
      <c r="Y567" s="13">
        <v>30000</v>
      </c>
      <c r="Z567" s="13">
        <v>30000</v>
      </c>
      <c r="AA567" s="13">
        <v>40000</v>
      </c>
      <c r="AB567" s="13">
        <v>40000</v>
      </c>
      <c r="AC567" s="13">
        <v>50000</v>
      </c>
      <c r="AD567" s="13">
        <v>50000</v>
      </c>
      <c r="AE567" s="13">
        <v>50000</v>
      </c>
      <c r="AF567" s="13">
        <v>50000</v>
      </c>
      <c r="AG567" s="13">
        <f t="shared" si="204"/>
        <v>50000</v>
      </c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4" t="s">
        <v>1106</v>
      </c>
      <c r="AU567" s="4" t="s">
        <v>685</v>
      </c>
      <c r="AV567" s="4" t="s">
        <v>1220</v>
      </c>
      <c r="AW567" s="4" t="s">
        <v>303</v>
      </c>
      <c r="AX567" s="4" t="s">
        <v>304</v>
      </c>
      <c r="AY567" s="4"/>
      <c r="AZ567" s="4"/>
      <c r="BA567" s="4"/>
      <c r="BB567" s="4"/>
      <c r="BC567" s="4"/>
      <c r="BD567" s="23"/>
      <c r="BE567" s="4">
        <v>45493</v>
      </c>
      <c r="BF567" s="18">
        <v>45371</v>
      </c>
      <c r="BG567" s="18">
        <v>45402</v>
      </c>
      <c r="BH567" s="18">
        <v>45432</v>
      </c>
      <c r="BI567" s="18">
        <v>45463</v>
      </c>
      <c r="BJ567" s="18">
        <v>45463</v>
      </c>
      <c r="BK567" s="26">
        <v>1</v>
      </c>
      <c r="BL567" s="13">
        <v>5</v>
      </c>
      <c r="BM567" s="9">
        <f t="shared" si="205"/>
        <v>66000</v>
      </c>
      <c r="BN567" s="9">
        <f t="shared" si="197"/>
        <v>66000</v>
      </c>
      <c r="BO567" s="9">
        <f t="shared" si="198"/>
        <v>88000</v>
      </c>
      <c r="BP567" s="9">
        <f t="shared" si="190"/>
        <v>88000</v>
      </c>
      <c r="BQ567" s="9">
        <f t="shared" si="191"/>
        <v>110000.00000000001</v>
      </c>
      <c r="BR567" s="9">
        <f t="shared" si="192"/>
        <v>110000.00000000001</v>
      </c>
      <c r="BS567" s="9">
        <f t="shared" si="193"/>
        <v>110000.00000000001</v>
      </c>
      <c r="BT567" s="9">
        <f t="shared" si="194"/>
        <v>110000.00000000001</v>
      </c>
    </row>
    <row r="568" spans="1:72" hidden="1" x14ac:dyDescent="0.25">
      <c r="A568" s="11">
        <f t="shared" si="199"/>
        <v>567</v>
      </c>
      <c r="B568" s="5" t="s">
        <v>1175</v>
      </c>
      <c r="C568" s="4" t="s">
        <v>128</v>
      </c>
      <c r="D568" s="4" t="s">
        <v>1176</v>
      </c>
      <c r="E568" s="4" t="s">
        <v>1682</v>
      </c>
      <c r="F568" s="4" t="s">
        <v>1177</v>
      </c>
      <c r="G568" s="4" t="s">
        <v>441</v>
      </c>
      <c r="H568" s="4" t="s">
        <v>1308</v>
      </c>
      <c r="I568" s="4"/>
      <c r="J568" s="4"/>
      <c r="K568" s="5" t="s">
        <v>1178</v>
      </c>
      <c r="L568" s="24">
        <v>300000</v>
      </c>
      <c r="M568" s="13" t="s">
        <v>74</v>
      </c>
      <c r="N568" s="5"/>
      <c r="O568" s="4" t="s">
        <v>453</v>
      </c>
      <c r="P568" s="4"/>
      <c r="Q568" s="42">
        <v>2.52</v>
      </c>
      <c r="R568" s="1">
        <f t="shared" si="195"/>
        <v>57960</v>
      </c>
      <c r="S568" s="38">
        <v>0</v>
      </c>
      <c r="T568" s="2">
        <f t="shared" si="196"/>
        <v>23000</v>
      </c>
      <c r="U568" s="24"/>
      <c r="V568" s="24"/>
      <c r="W568" s="24"/>
      <c r="X568" s="13"/>
      <c r="Y568" s="13">
        <v>1000</v>
      </c>
      <c r="Z568" s="13">
        <v>3000</v>
      </c>
      <c r="AA568" s="13">
        <v>3000</v>
      </c>
      <c r="AB568" s="13">
        <v>0</v>
      </c>
      <c r="AC568" s="13">
        <v>5000</v>
      </c>
      <c r="AD568" s="13">
        <v>5000</v>
      </c>
      <c r="AE568" s="13">
        <v>5000</v>
      </c>
      <c r="AF568" s="13">
        <v>8000</v>
      </c>
      <c r="AG568" s="13">
        <f t="shared" si="204"/>
        <v>8000</v>
      </c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4" t="s">
        <v>1106</v>
      </c>
      <c r="AU568" s="4" t="s">
        <v>685</v>
      </c>
      <c r="AV568" s="4" t="s">
        <v>1220</v>
      </c>
      <c r="AW568" s="4" t="s">
        <v>303</v>
      </c>
      <c r="AX568" s="4" t="s">
        <v>304</v>
      </c>
      <c r="AY568" s="4"/>
      <c r="AZ568" s="4"/>
      <c r="BA568" s="4"/>
      <c r="BB568" s="4"/>
      <c r="BC568" s="4"/>
      <c r="BD568" s="23"/>
      <c r="BE568" s="4">
        <v>45828</v>
      </c>
      <c r="BF568" s="18">
        <v>45889</v>
      </c>
      <c r="BG568" s="18">
        <v>45889</v>
      </c>
      <c r="BH568" s="18">
        <v>45585</v>
      </c>
      <c r="BI568" s="18">
        <v>45646</v>
      </c>
      <c r="BJ568" s="18">
        <v>45708</v>
      </c>
      <c r="BK568" s="26">
        <v>1</v>
      </c>
      <c r="BL568" s="13">
        <v>5</v>
      </c>
      <c r="BM568" s="9">
        <f t="shared" si="205"/>
        <v>2520</v>
      </c>
      <c r="BN568" s="9">
        <f t="shared" si="197"/>
        <v>7560</v>
      </c>
      <c r="BO568" s="9">
        <f t="shared" si="198"/>
        <v>7560</v>
      </c>
      <c r="BP568" s="9">
        <f t="shared" si="190"/>
        <v>0</v>
      </c>
      <c r="BQ568" s="9">
        <f t="shared" si="191"/>
        <v>12600</v>
      </c>
      <c r="BR568" s="9">
        <f t="shared" si="192"/>
        <v>12600</v>
      </c>
      <c r="BS568" s="9">
        <f t="shared" si="193"/>
        <v>12600</v>
      </c>
      <c r="BT568" s="9">
        <f t="shared" si="194"/>
        <v>20160</v>
      </c>
    </row>
    <row r="569" spans="1:72" hidden="1" x14ac:dyDescent="0.25">
      <c r="A569" s="11">
        <f t="shared" si="199"/>
        <v>568</v>
      </c>
      <c r="B569" s="5" t="s">
        <v>1179</v>
      </c>
      <c r="C569" s="4" t="s">
        <v>128</v>
      </c>
      <c r="D569" s="4" t="s">
        <v>1134</v>
      </c>
      <c r="E569" s="4" t="s">
        <v>1682</v>
      </c>
      <c r="F569" s="4" t="s">
        <v>1180</v>
      </c>
      <c r="G569" s="4" t="s">
        <v>260</v>
      </c>
      <c r="H569" s="4" t="s">
        <v>1750</v>
      </c>
      <c r="I569" s="4"/>
      <c r="J569" s="4"/>
      <c r="K569" s="5" t="s">
        <v>1181</v>
      </c>
      <c r="L569" s="24">
        <v>4000000</v>
      </c>
      <c r="M569" s="13" t="s">
        <v>74</v>
      </c>
      <c r="N569" s="5"/>
      <c r="O569" s="4" t="s">
        <v>1137</v>
      </c>
      <c r="P569" s="4"/>
      <c r="Q569" s="42">
        <v>0.45200000000000001</v>
      </c>
      <c r="R569" s="1">
        <f t="shared" si="195"/>
        <v>29380</v>
      </c>
      <c r="S569" s="38">
        <v>0</v>
      </c>
      <c r="T569" s="2">
        <f t="shared" si="196"/>
        <v>65000</v>
      </c>
      <c r="U569" s="24"/>
      <c r="V569" s="24"/>
      <c r="W569" s="24"/>
      <c r="X569" s="13"/>
      <c r="Y569" s="13"/>
      <c r="Z569" s="13"/>
      <c r="AA569" s="13">
        <v>5000</v>
      </c>
      <c r="AB569" s="13">
        <v>5000</v>
      </c>
      <c r="AC569" s="13">
        <v>10000</v>
      </c>
      <c r="AD569" s="13">
        <v>10000</v>
      </c>
      <c r="AE569" s="13">
        <v>20000</v>
      </c>
      <c r="AF569" s="13">
        <v>20000</v>
      </c>
      <c r="AG569" s="13">
        <f t="shared" si="204"/>
        <v>20000</v>
      </c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4" t="s">
        <v>1106</v>
      </c>
      <c r="AU569" s="4" t="s">
        <v>685</v>
      </c>
      <c r="AV569" s="4" t="s">
        <v>1218</v>
      </c>
      <c r="AW569" s="4" t="s">
        <v>98</v>
      </c>
      <c r="AX569" s="4" t="s">
        <v>110</v>
      </c>
      <c r="AY569" s="4" t="s">
        <v>985</v>
      </c>
      <c r="AZ569" s="4" t="s">
        <v>1140</v>
      </c>
      <c r="BA569" s="4" t="s">
        <v>1182</v>
      </c>
      <c r="BB569" s="4"/>
      <c r="BC569" s="4"/>
      <c r="BD569" s="23">
        <v>2</v>
      </c>
      <c r="BE569" s="4">
        <v>45858</v>
      </c>
      <c r="BF569" s="18">
        <v>45524</v>
      </c>
      <c r="BG569" s="18">
        <v>45541</v>
      </c>
      <c r="BH569" s="18">
        <v>45585</v>
      </c>
      <c r="BI569" s="18">
        <v>45677</v>
      </c>
      <c r="BJ569" s="18">
        <v>45736</v>
      </c>
      <c r="BK569" s="26">
        <v>1</v>
      </c>
      <c r="BL569" s="13">
        <v>5</v>
      </c>
      <c r="BM569" s="9">
        <f t="shared" si="205"/>
        <v>0</v>
      </c>
      <c r="BN569" s="9">
        <f t="shared" si="197"/>
        <v>0</v>
      </c>
      <c r="BO569" s="9">
        <f t="shared" si="198"/>
        <v>2260</v>
      </c>
      <c r="BP569" s="9">
        <f t="shared" si="190"/>
        <v>2260</v>
      </c>
      <c r="BQ569" s="9">
        <f t="shared" si="191"/>
        <v>4520</v>
      </c>
      <c r="BR569" s="9">
        <f t="shared" si="192"/>
        <v>4520</v>
      </c>
      <c r="BS569" s="9">
        <f t="shared" si="193"/>
        <v>9040</v>
      </c>
      <c r="BT569" s="9">
        <f t="shared" si="194"/>
        <v>9040</v>
      </c>
    </row>
    <row r="570" spans="1:72" hidden="1" x14ac:dyDescent="0.25">
      <c r="A570" s="11">
        <f t="shared" si="199"/>
        <v>569</v>
      </c>
      <c r="B570" s="5" t="s">
        <v>1179</v>
      </c>
      <c r="C570" s="4" t="s">
        <v>128</v>
      </c>
      <c r="D570" s="4" t="s">
        <v>1134</v>
      </c>
      <c r="E570" s="4" t="s">
        <v>1682</v>
      </c>
      <c r="F570" s="4" t="s">
        <v>1180</v>
      </c>
      <c r="G570" s="4" t="s">
        <v>345</v>
      </c>
      <c r="H570" s="4" t="s">
        <v>1290</v>
      </c>
      <c r="I570" s="4"/>
      <c r="J570" s="4"/>
      <c r="K570" s="5" t="s">
        <v>1183</v>
      </c>
      <c r="L570" s="24">
        <v>200000</v>
      </c>
      <c r="M570" s="13" t="s">
        <v>320</v>
      </c>
      <c r="N570" s="5"/>
      <c r="O570" s="4" t="s">
        <v>453</v>
      </c>
      <c r="P570" s="4"/>
      <c r="Q570" s="42">
        <v>0.52</v>
      </c>
      <c r="R570" s="1">
        <f t="shared" si="195"/>
        <v>5200</v>
      </c>
      <c r="S570" s="38">
        <v>0</v>
      </c>
      <c r="T570" s="2">
        <f t="shared" si="196"/>
        <v>10000</v>
      </c>
      <c r="U570" s="24"/>
      <c r="V570" s="24"/>
      <c r="W570" s="24"/>
      <c r="X570" s="13"/>
      <c r="Y570" s="13"/>
      <c r="Z570" s="13"/>
      <c r="AA570" s="13"/>
      <c r="AB570" s="13"/>
      <c r="AC570" s="13"/>
      <c r="AD570" s="13"/>
      <c r="AE570" s="13">
        <v>5000</v>
      </c>
      <c r="AF570" s="13">
        <v>5000</v>
      </c>
      <c r="AG570" s="13">
        <f t="shared" si="204"/>
        <v>5000</v>
      </c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4" t="s">
        <v>1106</v>
      </c>
      <c r="AU570" s="4" t="s">
        <v>685</v>
      </c>
      <c r="AV570" s="4" t="s">
        <v>1218</v>
      </c>
      <c r="AW570" s="4" t="s">
        <v>98</v>
      </c>
      <c r="AX570" s="4" t="s">
        <v>99</v>
      </c>
      <c r="AY570" s="4" t="s">
        <v>100</v>
      </c>
      <c r="AZ570" s="4" t="s">
        <v>1121</v>
      </c>
      <c r="BA570" s="4"/>
      <c r="BB570" s="4"/>
      <c r="BC570" s="4"/>
      <c r="BD570" s="23"/>
      <c r="BE570" s="4"/>
      <c r="BF570" s="18"/>
      <c r="BG570" s="18"/>
      <c r="BH570" s="18"/>
      <c r="BI570" s="18"/>
      <c r="BJ570" s="18"/>
      <c r="BK570" s="26"/>
      <c r="BL570" s="13"/>
      <c r="BM570" s="9">
        <f t="shared" si="205"/>
        <v>0</v>
      </c>
      <c r="BN570" s="9">
        <f t="shared" si="197"/>
        <v>0</v>
      </c>
      <c r="BO570" s="9">
        <f t="shared" si="198"/>
        <v>0</v>
      </c>
      <c r="BP570" s="9">
        <f t="shared" si="190"/>
        <v>0</v>
      </c>
      <c r="BQ570" s="9">
        <f t="shared" si="191"/>
        <v>0</v>
      </c>
      <c r="BR570" s="9">
        <f t="shared" si="192"/>
        <v>0</v>
      </c>
      <c r="BS570" s="9">
        <f t="shared" si="193"/>
        <v>2600</v>
      </c>
      <c r="BT570" s="9">
        <f t="shared" si="194"/>
        <v>2600</v>
      </c>
    </row>
    <row r="571" spans="1:72" hidden="1" x14ac:dyDescent="0.25">
      <c r="A571" s="11">
        <f t="shared" si="199"/>
        <v>570</v>
      </c>
      <c r="B571" s="5" t="s">
        <v>1179</v>
      </c>
      <c r="C571" s="4" t="s">
        <v>128</v>
      </c>
      <c r="D571" s="4" t="s">
        <v>1134</v>
      </c>
      <c r="E571" s="4" t="s">
        <v>1682</v>
      </c>
      <c r="F571" s="4" t="s">
        <v>1180</v>
      </c>
      <c r="G571" s="4" t="s">
        <v>1282</v>
      </c>
      <c r="H571" s="4" t="s">
        <v>1796</v>
      </c>
      <c r="I571" s="4"/>
      <c r="J571" s="4"/>
      <c r="K571" s="5" t="s">
        <v>1283</v>
      </c>
      <c r="L571" s="24">
        <v>500000</v>
      </c>
      <c r="M571" s="13" t="s">
        <v>320</v>
      </c>
      <c r="N571" s="5"/>
      <c r="O571" s="4" t="s">
        <v>1284</v>
      </c>
      <c r="P571" s="4"/>
      <c r="Q571" s="42">
        <v>0.52</v>
      </c>
      <c r="R571" s="1">
        <f t="shared" si="195"/>
        <v>5200</v>
      </c>
      <c r="S571" s="38">
        <v>0</v>
      </c>
      <c r="T571" s="2">
        <f t="shared" si="196"/>
        <v>10000</v>
      </c>
      <c r="U571" s="24"/>
      <c r="V571" s="24"/>
      <c r="W571" s="24"/>
      <c r="X571" s="13"/>
      <c r="Y571" s="13"/>
      <c r="Z571" s="13"/>
      <c r="AA571" s="13"/>
      <c r="AB571" s="13"/>
      <c r="AC571" s="13"/>
      <c r="AD571" s="13"/>
      <c r="AE571" s="13">
        <v>5000</v>
      </c>
      <c r="AF571" s="13">
        <v>5000</v>
      </c>
      <c r="AG571" s="13">
        <f t="shared" si="204"/>
        <v>5000</v>
      </c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4" t="s">
        <v>1106</v>
      </c>
      <c r="AU571" s="4" t="s">
        <v>685</v>
      </c>
      <c r="AV571" s="4" t="s">
        <v>1218</v>
      </c>
      <c r="AW571" s="4" t="s">
        <v>98</v>
      </c>
      <c r="AX571" s="4" t="s">
        <v>99</v>
      </c>
      <c r="AY571" s="4" t="s">
        <v>100</v>
      </c>
      <c r="AZ571" s="4" t="s">
        <v>1121</v>
      </c>
      <c r="BA571" s="4"/>
      <c r="BB571" s="4"/>
      <c r="BC571" s="4"/>
      <c r="BD571" s="23"/>
      <c r="BE571" s="4"/>
      <c r="BF571" s="18"/>
      <c r="BG571" s="18"/>
      <c r="BH571" s="18"/>
      <c r="BI571" s="18"/>
      <c r="BJ571" s="18"/>
      <c r="BK571" s="26"/>
      <c r="BL571" s="13"/>
      <c r="BM571" s="9">
        <f t="shared" si="205"/>
        <v>0</v>
      </c>
      <c r="BN571" s="9">
        <f t="shared" si="197"/>
        <v>0</v>
      </c>
      <c r="BO571" s="9">
        <f t="shared" si="198"/>
        <v>0</v>
      </c>
      <c r="BP571" s="9">
        <f t="shared" si="190"/>
        <v>0</v>
      </c>
      <c r="BQ571" s="9">
        <f t="shared" si="191"/>
        <v>0</v>
      </c>
      <c r="BR571" s="9">
        <f t="shared" si="192"/>
        <v>0</v>
      </c>
      <c r="BS571" s="9">
        <f t="shared" si="193"/>
        <v>2600</v>
      </c>
      <c r="BT571" s="9">
        <f t="shared" si="194"/>
        <v>2600</v>
      </c>
    </row>
    <row r="572" spans="1:72" hidden="1" x14ac:dyDescent="0.25">
      <c r="A572" s="11">
        <f t="shared" si="199"/>
        <v>571</v>
      </c>
      <c r="B572" s="5" t="s">
        <v>1184</v>
      </c>
      <c r="C572" s="4" t="s">
        <v>128</v>
      </c>
      <c r="D572" s="4" t="s">
        <v>1134</v>
      </c>
      <c r="E572" s="4" t="s">
        <v>1682</v>
      </c>
      <c r="F572" s="4" t="s">
        <v>1180</v>
      </c>
      <c r="G572" s="4" t="s">
        <v>260</v>
      </c>
      <c r="H572" s="4" t="s">
        <v>1750</v>
      </c>
      <c r="I572" s="4"/>
      <c r="J572" s="4"/>
      <c r="K572" s="5" t="s">
        <v>1181</v>
      </c>
      <c r="L572" s="24">
        <v>1000000</v>
      </c>
      <c r="M572" s="13" t="s">
        <v>320</v>
      </c>
      <c r="N572" s="5"/>
      <c r="O572" s="4" t="s">
        <v>1137</v>
      </c>
      <c r="P572" s="4"/>
      <c r="Q572" s="42">
        <v>0.52</v>
      </c>
      <c r="R572" s="1">
        <f t="shared" si="195"/>
        <v>33800</v>
      </c>
      <c r="S572" s="38">
        <v>0</v>
      </c>
      <c r="T572" s="2">
        <f t="shared" si="196"/>
        <v>65000</v>
      </c>
      <c r="U572" s="24"/>
      <c r="V572" s="24"/>
      <c r="W572" s="24"/>
      <c r="X572" s="13"/>
      <c r="Y572" s="13"/>
      <c r="Z572" s="13"/>
      <c r="AA572" s="13">
        <v>5000</v>
      </c>
      <c r="AB572" s="13">
        <v>5000</v>
      </c>
      <c r="AC572" s="13">
        <v>10000</v>
      </c>
      <c r="AD572" s="13">
        <v>10000</v>
      </c>
      <c r="AE572" s="13">
        <v>20000</v>
      </c>
      <c r="AF572" s="13">
        <v>20000</v>
      </c>
      <c r="AG572" s="13">
        <f t="shared" si="204"/>
        <v>20000</v>
      </c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4" t="s">
        <v>1106</v>
      </c>
      <c r="AU572" s="4" t="s">
        <v>685</v>
      </c>
      <c r="AV572" s="4" t="s">
        <v>1218</v>
      </c>
      <c r="AW572" s="4" t="s">
        <v>98</v>
      </c>
      <c r="AX572" s="4" t="s">
        <v>110</v>
      </c>
      <c r="AY572" s="4" t="s">
        <v>985</v>
      </c>
      <c r="AZ572" s="4" t="s">
        <v>1140</v>
      </c>
      <c r="BA572" s="4" t="s">
        <v>1182</v>
      </c>
      <c r="BB572" s="4"/>
      <c r="BC572" s="4"/>
      <c r="BD572" s="23">
        <v>2</v>
      </c>
      <c r="BE572" s="4">
        <v>45858</v>
      </c>
      <c r="BF572" s="18">
        <v>45524</v>
      </c>
      <c r="BG572" s="18">
        <v>45541</v>
      </c>
      <c r="BH572" s="18">
        <v>45585</v>
      </c>
      <c r="BI572" s="18">
        <v>45677</v>
      </c>
      <c r="BJ572" s="18">
        <v>45736</v>
      </c>
      <c r="BK572" s="26">
        <v>1</v>
      </c>
      <c r="BL572" s="13">
        <v>5</v>
      </c>
      <c r="BM572" s="9">
        <f t="shared" si="205"/>
        <v>0</v>
      </c>
      <c r="BN572" s="9">
        <f t="shared" si="197"/>
        <v>0</v>
      </c>
      <c r="BO572" s="9">
        <f t="shared" si="198"/>
        <v>2600</v>
      </c>
      <c r="BP572" s="9">
        <f t="shared" si="190"/>
        <v>2600</v>
      </c>
      <c r="BQ572" s="9">
        <f t="shared" si="191"/>
        <v>5200</v>
      </c>
      <c r="BR572" s="9">
        <f t="shared" si="192"/>
        <v>5200</v>
      </c>
      <c r="BS572" s="9">
        <f t="shared" si="193"/>
        <v>10400</v>
      </c>
      <c r="BT572" s="9">
        <f t="shared" si="194"/>
        <v>10400</v>
      </c>
    </row>
    <row r="573" spans="1:72" hidden="1" x14ac:dyDescent="0.25">
      <c r="A573" s="11">
        <f t="shared" si="199"/>
        <v>572</v>
      </c>
      <c r="B573" s="5" t="s">
        <v>1185</v>
      </c>
      <c r="C573" s="4" t="s">
        <v>128</v>
      </c>
      <c r="D573" s="4" t="s">
        <v>1186</v>
      </c>
      <c r="E573" s="4" t="s">
        <v>1682</v>
      </c>
      <c r="F573" s="4" t="s">
        <v>1187</v>
      </c>
      <c r="G573" s="4" t="s">
        <v>1188</v>
      </c>
      <c r="H573" s="4" t="s">
        <v>1309</v>
      </c>
      <c r="I573" s="4"/>
      <c r="J573" s="4"/>
      <c r="K573" s="5" t="s">
        <v>1189</v>
      </c>
      <c r="L573" s="24">
        <v>400000</v>
      </c>
      <c r="M573" s="13" t="s">
        <v>74</v>
      </c>
      <c r="N573" s="5"/>
      <c r="O573" s="4" t="s">
        <v>453</v>
      </c>
      <c r="P573" s="4"/>
      <c r="Q573" s="42">
        <v>0.52</v>
      </c>
      <c r="R573" s="1">
        <f t="shared" si="195"/>
        <v>18200</v>
      </c>
      <c r="S573" s="38">
        <v>0</v>
      </c>
      <c r="T573" s="2">
        <f t="shared" si="196"/>
        <v>35000</v>
      </c>
      <c r="U573" s="24"/>
      <c r="V573" s="24"/>
      <c r="W573" s="24"/>
      <c r="X573" s="13"/>
      <c r="Y573" s="13"/>
      <c r="Z573" s="13">
        <v>5000</v>
      </c>
      <c r="AA573" s="13">
        <v>5000</v>
      </c>
      <c r="AB573" s="13"/>
      <c r="AC573" s="13">
        <v>5000</v>
      </c>
      <c r="AD573" s="13">
        <v>5000</v>
      </c>
      <c r="AE573" s="13">
        <v>5000</v>
      </c>
      <c r="AF573" s="13">
        <v>20000</v>
      </c>
      <c r="AG573" s="13">
        <f t="shared" si="204"/>
        <v>20000</v>
      </c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4" t="s">
        <v>1106</v>
      </c>
      <c r="AU573" s="4" t="s">
        <v>685</v>
      </c>
      <c r="AV573" s="4" t="s">
        <v>1218</v>
      </c>
      <c r="AW573" s="4" t="s">
        <v>141</v>
      </c>
      <c r="AX573" s="4" t="s">
        <v>142</v>
      </c>
      <c r="AY573" s="4"/>
      <c r="AZ573" s="4"/>
      <c r="BA573" s="4"/>
      <c r="BB573" s="4"/>
      <c r="BC573" s="4"/>
      <c r="BD573" s="23"/>
      <c r="BE573" s="4">
        <v>45797</v>
      </c>
      <c r="BF573" s="18">
        <v>45555</v>
      </c>
      <c r="BG573" s="18">
        <v>45585</v>
      </c>
      <c r="BH573" s="18">
        <v>45616</v>
      </c>
      <c r="BI573" s="18">
        <v>45371</v>
      </c>
      <c r="BJ573" s="18">
        <v>45432</v>
      </c>
      <c r="BK573" s="26">
        <v>1</v>
      </c>
      <c r="BL573" s="13">
        <v>5</v>
      </c>
      <c r="BM573" s="9">
        <f t="shared" si="205"/>
        <v>0</v>
      </c>
      <c r="BN573" s="9">
        <f t="shared" si="197"/>
        <v>2600</v>
      </c>
      <c r="BO573" s="9">
        <f t="shared" si="198"/>
        <v>2600</v>
      </c>
      <c r="BP573" s="9">
        <f t="shared" si="190"/>
        <v>0</v>
      </c>
      <c r="BQ573" s="9">
        <f t="shared" si="191"/>
        <v>2600</v>
      </c>
      <c r="BR573" s="9">
        <f t="shared" si="192"/>
        <v>2600</v>
      </c>
      <c r="BS573" s="9">
        <f t="shared" si="193"/>
        <v>2600</v>
      </c>
      <c r="BT573" s="9">
        <f t="shared" si="194"/>
        <v>10400</v>
      </c>
    </row>
    <row r="574" spans="1:72" x14ac:dyDescent="0.25">
      <c r="A574" s="11">
        <v>74</v>
      </c>
      <c r="B574" s="5" t="s">
        <v>1185</v>
      </c>
      <c r="C574" s="4" t="s">
        <v>128</v>
      </c>
      <c r="D574" s="4" t="s">
        <v>1186</v>
      </c>
      <c r="E574" s="4" t="s">
        <v>1682</v>
      </c>
      <c r="F574" s="4" t="s">
        <v>1187</v>
      </c>
      <c r="G574" s="4" t="s">
        <v>1797</v>
      </c>
      <c r="H574" s="4" t="s">
        <v>1798</v>
      </c>
      <c r="I574" s="4"/>
      <c r="J574" s="4"/>
      <c r="K574" s="5" t="s">
        <v>1190</v>
      </c>
      <c r="L574" s="24">
        <v>200000</v>
      </c>
      <c r="M574" s="13" t="s">
        <v>74</v>
      </c>
      <c r="N574" s="5"/>
      <c r="O574" s="4" t="s">
        <v>1762</v>
      </c>
      <c r="P574" s="4"/>
      <c r="Q574" s="42">
        <v>0.52</v>
      </c>
      <c r="R574" s="1">
        <f t="shared" si="195"/>
        <v>7800</v>
      </c>
      <c r="S574" s="38">
        <v>0</v>
      </c>
      <c r="T574" s="2">
        <f t="shared" si="196"/>
        <v>15000</v>
      </c>
      <c r="U574" s="24"/>
      <c r="V574" s="24"/>
      <c r="W574" s="24"/>
      <c r="X574" s="13"/>
      <c r="Y574" s="13"/>
      <c r="Z574" s="13"/>
      <c r="AA574" s="13"/>
      <c r="AB574" s="13"/>
      <c r="AC574" s="13"/>
      <c r="AD574" s="13">
        <v>5000</v>
      </c>
      <c r="AE574" s="13">
        <v>5000</v>
      </c>
      <c r="AF574" s="13">
        <v>5000</v>
      </c>
      <c r="AG574" s="13">
        <f t="shared" si="204"/>
        <v>5000</v>
      </c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4" t="s">
        <v>1106</v>
      </c>
      <c r="AU574" s="4" t="s">
        <v>685</v>
      </c>
      <c r="AV574" s="4" t="s">
        <v>1721</v>
      </c>
      <c r="AW574" s="4" t="s">
        <v>142</v>
      </c>
      <c r="AX574" s="4"/>
      <c r="AY574" s="4"/>
      <c r="AZ574" s="4"/>
      <c r="BA574" s="4"/>
      <c r="BB574" s="4"/>
      <c r="BC574" s="4"/>
      <c r="BD574" s="23"/>
      <c r="BE574" s="4"/>
      <c r="BF574" s="18"/>
      <c r="BG574" s="18"/>
      <c r="BH574" s="18"/>
      <c r="BI574" s="18"/>
      <c r="BJ574" s="18"/>
      <c r="BK574" s="26"/>
      <c r="BL574" s="13"/>
      <c r="BM574" s="9"/>
      <c r="BN574" s="9"/>
      <c r="BO574" s="9"/>
      <c r="BP574" s="9">
        <f t="shared" si="190"/>
        <v>0</v>
      </c>
      <c r="BQ574" s="9">
        <f t="shared" si="191"/>
        <v>0</v>
      </c>
      <c r="BR574" s="9">
        <f t="shared" si="192"/>
        <v>2600</v>
      </c>
      <c r="BS574" s="9">
        <f t="shared" si="193"/>
        <v>2600</v>
      </c>
      <c r="BT574" s="9">
        <f t="shared" si="194"/>
        <v>2600</v>
      </c>
    </row>
    <row r="575" spans="1:72" hidden="1" x14ac:dyDescent="0.25">
      <c r="A575" s="11">
        <f t="shared" si="199"/>
        <v>574</v>
      </c>
      <c r="B575" s="5" t="s">
        <v>1185</v>
      </c>
      <c r="C575" s="4" t="s">
        <v>128</v>
      </c>
      <c r="D575" s="4" t="s">
        <v>1186</v>
      </c>
      <c r="E575" s="4" t="s">
        <v>1682</v>
      </c>
      <c r="F575" s="4" t="s">
        <v>1187</v>
      </c>
      <c r="G575" s="4" t="s">
        <v>1193</v>
      </c>
      <c r="H575" s="4" t="s">
        <v>1296</v>
      </c>
      <c r="I575" s="4"/>
      <c r="J575" s="4"/>
      <c r="K575" s="5" t="s">
        <v>1190</v>
      </c>
      <c r="L575" s="24">
        <v>200000</v>
      </c>
      <c r="M575" s="13" t="s">
        <v>74</v>
      </c>
      <c r="N575" s="5"/>
      <c r="O575" s="4" t="s">
        <v>453</v>
      </c>
      <c r="P575" s="4"/>
      <c r="Q575" s="42">
        <v>0.52</v>
      </c>
      <c r="R575" s="1">
        <f t="shared" si="195"/>
        <v>18200</v>
      </c>
      <c r="S575" s="38">
        <v>0</v>
      </c>
      <c r="T575" s="2">
        <f t="shared" si="196"/>
        <v>35000</v>
      </c>
      <c r="U575" s="24"/>
      <c r="V575" s="24"/>
      <c r="W575" s="24"/>
      <c r="X575" s="13"/>
      <c r="Y575" s="13"/>
      <c r="Z575" s="13">
        <v>5000</v>
      </c>
      <c r="AA575" s="13">
        <v>5000</v>
      </c>
      <c r="AB575" s="13"/>
      <c r="AC575" s="13">
        <v>5000</v>
      </c>
      <c r="AD575" s="13">
        <v>5000</v>
      </c>
      <c r="AE575" s="13">
        <v>5000</v>
      </c>
      <c r="AF575" s="13">
        <v>20000</v>
      </c>
      <c r="AG575" s="13">
        <f t="shared" si="204"/>
        <v>20000</v>
      </c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4" t="s">
        <v>1106</v>
      </c>
      <c r="AU575" s="4" t="s">
        <v>685</v>
      </c>
      <c r="AV575" s="4" t="s">
        <v>1218</v>
      </c>
      <c r="AW575" s="4" t="s">
        <v>141</v>
      </c>
      <c r="AX575" s="4" t="s">
        <v>142</v>
      </c>
      <c r="AY575" s="4"/>
      <c r="AZ575" s="4"/>
      <c r="BA575" s="4"/>
      <c r="BB575" s="4"/>
      <c r="BC575" s="4"/>
      <c r="BD575" s="23"/>
      <c r="BE575" s="4">
        <v>45797</v>
      </c>
      <c r="BF575" s="18">
        <v>45555</v>
      </c>
      <c r="BG575" s="18">
        <v>45585</v>
      </c>
      <c r="BH575" s="18">
        <v>45616</v>
      </c>
      <c r="BI575" s="18">
        <v>45371</v>
      </c>
      <c r="BJ575" s="18">
        <v>45432</v>
      </c>
      <c r="BK575" s="26">
        <v>1</v>
      </c>
      <c r="BL575" s="13">
        <v>5</v>
      </c>
      <c r="BM575" s="9">
        <f t="shared" si="205"/>
        <v>0</v>
      </c>
      <c r="BN575" s="9">
        <f t="shared" si="197"/>
        <v>2600</v>
      </c>
      <c r="BO575" s="9">
        <f t="shared" si="198"/>
        <v>2600</v>
      </c>
      <c r="BP575" s="9">
        <f t="shared" si="190"/>
        <v>0</v>
      </c>
      <c r="BQ575" s="9">
        <f t="shared" si="191"/>
        <v>2600</v>
      </c>
      <c r="BR575" s="9">
        <f t="shared" si="192"/>
        <v>2600</v>
      </c>
      <c r="BS575" s="9">
        <f t="shared" si="193"/>
        <v>2600</v>
      </c>
      <c r="BT575" s="9">
        <f t="shared" si="194"/>
        <v>10400</v>
      </c>
    </row>
    <row r="576" spans="1:72" hidden="1" x14ac:dyDescent="0.25">
      <c r="A576" s="11">
        <f t="shared" si="199"/>
        <v>575</v>
      </c>
      <c r="B576" s="5" t="s">
        <v>1191</v>
      </c>
      <c r="C576" s="4" t="s">
        <v>128</v>
      </c>
      <c r="D576" s="4" t="s">
        <v>1186</v>
      </c>
      <c r="E576" s="4" t="s">
        <v>1682</v>
      </c>
      <c r="F576" s="4" t="s">
        <v>1187</v>
      </c>
      <c r="G576" s="4" t="s">
        <v>1077</v>
      </c>
      <c r="H576" s="4" t="s">
        <v>1078</v>
      </c>
      <c r="I576" s="4"/>
      <c r="J576" s="4"/>
      <c r="K576" s="5" t="s">
        <v>1192</v>
      </c>
      <c r="L576" s="24">
        <v>200000</v>
      </c>
      <c r="M576" s="13" t="s">
        <v>74</v>
      </c>
      <c r="N576" s="5"/>
      <c r="O576" s="4" t="s">
        <v>453</v>
      </c>
      <c r="P576" s="4"/>
      <c r="Q576" s="42">
        <v>0.52</v>
      </c>
      <c r="R576" s="1">
        <f t="shared" si="195"/>
        <v>18200</v>
      </c>
      <c r="S576" s="38">
        <v>0</v>
      </c>
      <c r="T576" s="2">
        <f t="shared" si="196"/>
        <v>35000</v>
      </c>
      <c r="U576" s="24"/>
      <c r="V576" s="24"/>
      <c r="W576" s="24"/>
      <c r="X576" s="13"/>
      <c r="Y576" s="13"/>
      <c r="Z576" s="13">
        <v>5000</v>
      </c>
      <c r="AA576" s="13">
        <v>5000</v>
      </c>
      <c r="AB576" s="13"/>
      <c r="AC576" s="13">
        <v>5000</v>
      </c>
      <c r="AD576" s="13">
        <v>5000</v>
      </c>
      <c r="AE576" s="13">
        <v>5000</v>
      </c>
      <c r="AF576" s="13">
        <v>20000</v>
      </c>
      <c r="AG576" s="13">
        <f t="shared" si="204"/>
        <v>20000</v>
      </c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4" t="s">
        <v>1106</v>
      </c>
      <c r="AU576" s="4" t="s">
        <v>685</v>
      </c>
      <c r="AV576" s="4" t="s">
        <v>1218</v>
      </c>
      <c r="AW576" s="4" t="s">
        <v>141</v>
      </c>
      <c r="AX576" s="4" t="s">
        <v>142</v>
      </c>
      <c r="AY576" s="4"/>
      <c r="AZ576" s="4"/>
      <c r="BA576" s="4"/>
      <c r="BB576" s="4"/>
      <c r="BC576" s="4"/>
      <c r="BD576" s="23"/>
      <c r="BE576" s="4">
        <v>45797</v>
      </c>
      <c r="BF576" s="18">
        <v>45555</v>
      </c>
      <c r="BG576" s="18">
        <v>45585</v>
      </c>
      <c r="BH576" s="18">
        <v>45616</v>
      </c>
      <c r="BI576" s="18">
        <v>45371</v>
      </c>
      <c r="BJ576" s="18">
        <v>45432</v>
      </c>
      <c r="BK576" s="26">
        <v>1</v>
      </c>
      <c r="BL576" s="13">
        <v>5</v>
      </c>
      <c r="BM576" s="9">
        <f t="shared" si="205"/>
        <v>0</v>
      </c>
      <c r="BN576" s="9">
        <f t="shared" si="197"/>
        <v>2600</v>
      </c>
      <c r="BO576" s="9">
        <f t="shared" si="198"/>
        <v>2600</v>
      </c>
      <c r="BP576" s="9">
        <f t="shared" si="190"/>
        <v>0</v>
      </c>
      <c r="BQ576" s="9">
        <f t="shared" si="191"/>
        <v>2600</v>
      </c>
      <c r="BR576" s="9">
        <f t="shared" si="192"/>
        <v>2600</v>
      </c>
      <c r="BS576" s="9">
        <f t="shared" si="193"/>
        <v>2600</v>
      </c>
      <c r="BT576" s="9">
        <f t="shared" si="194"/>
        <v>10400</v>
      </c>
    </row>
    <row r="577" spans="1:72" hidden="1" x14ac:dyDescent="0.25">
      <c r="A577" s="11">
        <f t="shared" si="199"/>
        <v>576</v>
      </c>
      <c r="B577" s="5" t="s">
        <v>1191</v>
      </c>
      <c r="C577" s="4" t="s">
        <v>128</v>
      </c>
      <c r="D577" s="4" t="s">
        <v>1186</v>
      </c>
      <c r="E577" s="4" t="s">
        <v>1682</v>
      </c>
      <c r="F577" s="4" t="s">
        <v>1187</v>
      </c>
      <c r="G577" s="4" t="s">
        <v>1193</v>
      </c>
      <c r="H577" s="4" t="s">
        <v>1296</v>
      </c>
      <c r="I577" s="4"/>
      <c r="J577" s="4"/>
      <c r="K577" s="5" t="s">
        <v>1194</v>
      </c>
      <c r="L577" s="24">
        <v>200000</v>
      </c>
      <c r="M577" s="13" t="s">
        <v>74</v>
      </c>
      <c r="N577" s="5"/>
      <c r="O577" s="4" t="s">
        <v>453</v>
      </c>
      <c r="P577" s="4"/>
      <c r="Q577" s="42">
        <v>0.52</v>
      </c>
      <c r="R577" s="1">
        <f t="shared" si="195"/>
        <v>13000</v>
      </c>
      <c r="S577" s="38">
        <v>0</v>
      </c>
      <c r="T577" s="2">
        <f t="shared" si="196"/>
        <v>25000</v>
      </c>
      <c r="U577" s="24"/>
      <c r="V577" s="24"/>
      <c r="W577" s="24"/>
      <c r="X577" s="13"/>
      <c r="Y577" s="13"/>
      <c r="Z577" s="13">
        <v>5000</v>
      </c>
      <c r="AA577" s="13">
        <v>5000</v>
      </c>
      <c r="AB577" s="13"/>
      <c r="AC577" s="13"/>
      <c r="AD577" s="13"/>
      <c r="AE577" s="13">
        <v>5000</v>
      </c>
      <c r="AF577" s="13">
        <v>20000</v>
      </c>
      <c r="AG577" s="13">
        <f t="shared" si="204"/>
        <v>20000</v>
      </c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4" t="s">
        <v>1106</v>
      </c>
      <c r="AU577" s="4" t="s">
        <v>685</v>
      </c>
      <c r="AV577" s="4" t="s">
        <v>1218</v>
      </c>
      <c r="AW577" s="4" t="s">
        <v>141</v>
      </c>
      <c r="AX577" s="4" t="s">
        <v>142</v>
      </c>
      <c r="AY577" s="4"/>
      <c r="AZ577" s="4"/>
      <c r="BA577" s="4"/>
      <c r="BB577" s="4"/>
      <c r="BC577" s="4"/>
      <c r="BD577" s="23"/>
      <c r="BE577" s="4">
        <v>45797</v>
      </c>
      <c r="BF577" s="18">
        <v>45555</v>
      </c>
      <c r="BG577" s="18">
        <v>45585</v>
      </c>
      <c r="BH577" s="18">
        <v>45616</v>
      </c>
      <c r="BI577" s="18">
        <v>45371</v>
      </c>
      <c r="BJ577" s="18">
        <v>45432</v>
      </c>
      <c r="BK577" s="26">
        <v>1</v>
      </c>
      <c r="BL577" s="13">
        <v>5</v>
      </c>
      <c r="BM577" s="9">
        <f t="shared" si="205"/>
        <v>0</v>
      </c>
      <c r="BN577" s="9">
        <f t="shared" si="197"/>
        <v>2600</v>
      </c>
      <c r="BO577" s="9">
        <f t="shared" si="198"/>
        <v>2600</v>
      </c>
      <c r="BP577" s="9">
        <f t="shared" si="190"/>
        <v>0</v>
      </c>
      <c r="BQ577" s="9">
        <f t="shared" si="191"/>
        <v>0</v>
      </c>
      <c r="BR577" s="9">
        <f t="shared" si="192"/>
        <v>0</v>
      </c>
      <c r="BS577" s="9">
        <f t="shared" si="193"/>
        <v>2600</v>
      </c>
      <c r="BT577" s="9">
        <f t="shared" si="194"/>
        <v>10400</v>
      </c>
    </row>
    <row r="578" spans="1:72" hidden="1" x14ac:dyDescent="0.25">
      <c r="A578" s="11">
        <f t="shared" si="199"/>
        <v>577</v>
      </c>
      <c r="B578" s="5" t="s">
        <v>1191</v>
      </c>
      <c r="C578" s="4" t="s">
        <v>128</v>
      </c>
      <c r="D578" s="4" t="s">
        <v>1186</v>
      </c>
      <c r="E578" s="4" t="s">
        <v>1682</v>
      </c>
      <c r="F578" s="4" t="s">
        <v>1187</v>
      </c>
      <c r="G578" s="4" t="s">
        <v>1188</v>
      </c>
      <c r="H578" s="4" t="s">
        <v>1309</v>
      </c>
      <c r="I578" s="4"/>
      <c r="J578" s="4"/>
      <c r="K578" s="5" t="s">
        <v>1189</v>
      </c>
      <c r="L578" s="24">
        <v>300000</v>
      </c>
      <c r="M578" s="13" t="s">
        <v>297</v>
      </c>
      <c r="N578" s="5"/>
      <c r="O578" s="4" t="s">
        <v>453</v>
      </c>
      <c r="P578" s="4"/>
      <c r="Q578" s="42">
        <v>0.52</v>
      </c>
      <c r="R578" s="1">
        <f t="shared" si="195"/>
        <v>20800</v>
      </c>
      <c r="S578" s="38">
        <v>0</v>
      </c>
      <c r="T578" s="2">
        <f t="shared" si="196"/>
        <v>40000</v>
      </c>
      <c r="U578" s="24"/>
      <c r="V578" s="24">
        <v>3000</v>
      </c>
      <c r="W578" s="24"/>
      <c r="X578" s="13"/>
      <c r="Y578" s="13">
        <v>3000</v>
      </c>
      <c r="Z578" s="13">
        <v>5000</v>
      </c>
      <c r="AA578" s="13">
        <v>5000</v>
      </c>
      <c r="AB578" s="13">
        <v>5000</v>
      </c>
      <c r="AC578" s="13">
        <v>5000</v>
      </c>
      <c r="AD578" s="13">
        <v>5000</v>
      </c>
      <c r="AE578" s="13">
        <v>5000</v>
      </c>
      <c r="AF578" s="13">
        <v>20000</v>
      </c>
      <c r="AG578" s="13">
        <f t="shared" si="204"/>
        <v>20000</v>
      </c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4" t="s">
        <v>1106</v>
      </c>
      <c r="AU578" s="4" t="s">
        <v>685</v>
      </c>
      <c r="AV578" s="4" t="s">
        <v>1218</v>
      </c>
      <c r="AW578" s="4" t="s">
        <v>141</v>
      </c>
      <c r="AX578" s="4" t="s">
        <v>142</v>
      </c>
      <c r="AY578" s="4"/>
      <c r="AZ578" s="4"/>
      <c r="BA578" s="4"/>
      <c r="BB578" s="4"/>
      <c r="BC578" s="4"/>
      <c r="BD578" s="23"/>
      <c r="BE578" s="4"/>
      <c r="BF578" s="18"/>
      <c r="BG578" s="18"/>
      <c r="BH578" s="18"/>
      <c r="BI578" s="18"/>
      <c r="BJ578" s="18"/>
      <c r="BK578" s="26"/>
      <c r="BL578" s="13"/>
      <c r="BM578" s="9">
        <f t="shared" si="205"/>
        <v>1560</v>
      </c>
      <c r="BN578" s="9">
        <f t="shared" si="197"/>
        <v>2600</v>
      </c>
      <c r="BO578" s="9">
        <f t="shared" si="198"/>
        <v>2600</v>
      </c>
      <c r="BP578" s="9">
        <f t="shared" si="190"/>
        <v>2600</v>
      </c>
      <c r="BQ578" s="9">
        <f t="shared" si="191"/>
        <v>2600</v>
      </c>
      <c r="BR578" s="9">
        <f t="shared" si="192"/>
        <v>2600</v>
      </c>
      <c r="BS578" s="9">
        <f t="shared" si="193"/>
        <v>2600</v>
      </c>
      <c r="BT578" s="9">
        <f t="shared" si="194"/>
        <v>10400</v>
      </c>
    </row>
    <row r="579" spans="1:72" hidden="1" x14ac:dyDescent="0.25">
      <c r="A579" s="11">
        <f t="shared" si="199"/>
        <v>578</v>
      </c>
      <c r="B579" s="5" t="s">
        <v>1195</v>
      </c>
      <c r="C579" s="4" t="s">
        <v>128</v>
      </c>
      <c r="D579" s="4" t="s">
        <v>1364</v>
      </c>
      <c r="E579" s="4" t="s">
        <v>1682</v>
      </c>
      <c r="F579" s="4" t="s">
        <v>1196</v>
      </c>
      <c r="G579" s="4" t="s">
        <v>1119</v>
      </c>
      <c r="H579" s="4" t="s">
        <v>1293</v>
      </c>
      <c r="I579" s="4"/>
      <c r="J579" s="4"/>
      <c r="K579" s="5" t="s">
        <v>1197</v>
      </c>
      <c r="L579" s="24">
        <v>1000000</v>
      </c>
      <c r="M579" s="13" t="s">
        <v>74</v>
      </c>
      <c r="N579" s="5"/>
      <c r="O579" s="4" t="s">
        <v>1198</v>
      </c>
      <c r="P579" s="4"/>
      <c r="Q579" s="42">
        <v>0.52</v>
      </c>
      <c r="R579" s="1">
        <f t="shared" si="195"/>
        <v>130000</v>
      </c>
      <c r="S579" s="38">
        <v>0</v>
      </c>
      <c r="T579" s="2">
        <f t="shared" si="196"/>
        <v>250000</v>
      </c>
      <c r="U579" s="24"/>
      <c r="V579" s="24"/>
      <c r="W579" s="24"/>
      <c r="X579" s="13"/>
      <c r="Y579" s="13"/>
      <c r="Z579" s="13"/>
      <c r="AA579" s="13">
        <v>300000</v>
      </c>
      <c r="AB579" s="13">
        <v>50000</v>
      </c>
      <c r="AC579" s="13">
        <v>50000</v>
      </c>
      <c r="AD579" s="13">
        <v>50000</v>
      </c>
      <c r="AE579" s="13">
        <v>50000</v>
      </c>
      <c r="AF579" s="13">
        <v>50000</v>
      </c>
      <c r="AG579" s="13">
        <f t="shared" si="204"/>
        <v>50000</v>
      </c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4" t="s">
        <v>1106</v>
      </c>
      <c r="AU579" s="4" t="s">
        <v>685</v>
      </c>
      <c r="AV579" s="4" t="s">
        <v>1218</v>
      </c>
      <c r="AW579" s="4" t="s">
        <v>98</v>
      </c>
      <c r="AX579" s="4" t="s">
        <v>110</v>
      </c>
      <c r="AY579" s="4" t="s">
        <v>736</v>
      </c>
      <c r="AZ579" s="4" t="s">
        <v>737</v>
      </c>
      <c r="BA579" s="4"/>
      <c r="BB579" s="4"/>
      <c r="BC579" s="4"/>
      <c r="BD579" s="23"/>
      <c r="BE579" s="4"/>
      <c r="BF579" s="18"/>
      <c r="BG579" s="18"/>
      <c r="BH579" s="18"/>
      <c r="BI579" s="18"/>
      <c r="BJ579" s="18"/>
      <c r="BK579" s="26"/>
      <c r="BL579" s="13"/>
      <c r="BM579" s="9">
        <f t="shared" si="205"/>
        <v>0</v>
      </c>
      <c r="BN579" s="9">
        <f t="shared" si="197"/>
        <v>0</v>
      </c>
      <c r="BO579" s="9">
        <f t="shared" si="198"/>
        <v>156000</v>
      </c>
      <c r="BP579" s="9">
        <f t="shared" ref="BP579:BP627" si="206">$Q579*AB579</f>
        <v>26000</v>
      </c>
      <c r="BQ579" s="9">
        <f t="shared" ref="BQ579:BQ627" si="207">$Q579*AC579</f>
        <v>26000</v>
      </c>
      <c r="BR579" s="9">
        <f t="shared" ref="BR579:BR627" si="208">$Q579*AD579</f>
        <v>26000</v>
      </c>
      <c r="BS579" s="9">
        <f t="shared" ref="BS579:BS627" si="209">$Q579*AE579</f>
        <v>26000</v>
      </c>
      <c r="BT579" s="9">
        <f t="shared" ref="BT579:BT627" si="210">$Q579*AF579</f>
        <v>26000</v>
      </c>
    </row>
    <row r="580" spans="1:72" hidden="1" x14ac:dyDescent="0.25">
      <c r="A580" s="11">
        <f t="shared" si="199"/>
        <v>579</v>
      </c>
      <c r="B580" s="5" t="s">
        <v>1195</v>
      </c>
      <c r="C580" s="4" t="s">
        <v>128</v>
      </c>
      <c r="D580" s="4" t="s">
        <v>1364</v>
      </c>
      <c r="E580" s="4" t="s">
        <v>1682</v>
      </c>
      <c r="F580" s="4" t="s">
        <v>1196</v>
      </c>
      <c r="G580" s="4" t="s">
        <v>345</v>
      </c>
      <c r="H580" s="4" t="s">
        <v>1290</v>
      </c>
      <c r="I580" s="4"/>
      <c r="J580" s="4"/>
      <c r="K580" s="5"/>
      <c r="L580" s="24"/>
      <c r="M580" s="13"/>
      <c r="N580" s="5"/>
      <c r="O580" s="4"/>
      <c r="P580" s="4"/>
      <c r="Q580" s="60">
        <v>0.4</v>
      </c>
      <c r="R580" s="1">
        <f t="shared" ref="R580:R629" si="211">Q580*T580</f>
        <v>100000</v>
      </c>
      <c r="S580" s="38"/>
      <c r="T580" s="2">
        <f t="shared" ref="T580:T629" si="212">SUM(AB580:AF580)</f>
        <v>250000</v>
      </c>
      <c r="U580" s="24"/>
      <c r="V580" s="24"/>
      <c r="W580" s="24"/>
      <c r="X580" s="13"/>
      <c r="Y580" s="13"/>
      <c r="Z580" s="13"/>
      <c r="AA580" s="13">
        <v>50000</v>
      </c>
      <c r="AB580" s="13">
        <v>50000</v>
      </c>
      <c r="AC580" s="13">
        <v>50000</v>
      </c>
      <c r="AD580" s="13">
        <v>50000</v>
      </c>
      <c r="AE580" s="13">
        <v>50000</v>
      </c>
      <c r="AF580" s="13">
        <v>50000</v>
      </c>
      <c r="AG580" s="13">
        <f t="shared" si="204"/>
        <v>50000</v>
      </c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4" t="s">
        <v>1106</v>
      </c>
      <c r="AU580" s="4" t="s">
        <v>685</v>
      </c>
      <c r="AV580" s="4" t="s">
        <v>1218</v>
      </c>
      <c r="AW580" s="4"/>
      <c r="AX580" s="4"/>
      <c r="AY580" s="4"/>
      <c r="AZ580" s="4"/>
      <c r="BA580" s="4"/>
      <c r="BB580" s="4"/>
      <c r="BC580" s="4"/>
      <c r="BD580" s="23"/>
      <c r="BE580" s="4"/>
      <c r="BF580" s="18"/>
      <c r="BG580" s="18"/>
      <c r="BH580" s="18"/>
      <c r="BI580" s="18"/>
      <c r="BJ580" s="18"/>
      <c r="BK580" s="26"/>
      <c r="BL580" s="13"/>
      <c r="BM580" s="9"/>
      <c r="BN580" s="9">
        <f t="shared" si="197"/>
        <v>0</v>
      </c>
      <c r="BO580" s="9">
        <f t="shared" si="198"/>
        <v>20000</v>
      </c>
      <c r="BP580" s="9">
        <f t="shared" si="206"/>
        <v>20000</v>
      </c>
      <c r="BQ580" s="9">
        <f t="shared" si="207"/>
        <v>20000</v>
      </c>
      <c r="BR580" s="9">
        <f t="shared" si="208"/>
        <v>20000</v>
      </c>
      <c r="BS580" s="9">
        <f t="shared" si="209"/>
        <v>20000</v>
      </c>
      <c r="BT580" s="9">
        <f t="shared" si="210"/>
        <v>20000</v>
      </c>
    </row>
    <row r="581" spans="1:72" hidden="1" x14ac:dyDescent="0.25">
      <c r="A581" s="11">
        <f t="shared" si="199"/>
        <v>580</v>
      </c>
      <c r="B581" s="5" t="s">
        <v>1195</v>
      </c>
      <c r="C581" s="4" t="s">
        <v>128</v>
      </c>
      <c r="D581" s="4" t="s">
        <v>1364</v>
      </c>
      <c r="E581" s="4" t="s">
        <v>1682</v>
      </c>
      <c r="F581" s="4" t="s">
        <v>1196</v>
      </c>
      <c r="G581" s="77" t="s">
        <v>1768</v>
      </c>
      <c r="H581" s="4"/>
      <c r="I581" s="4"/>
      <c r="J581" s="4"/>
      <c r="K581" s="5"/>
      <c r="L581" s="24"/>
      <c r="M581" s="13"/>
      <c r="N581" s="5"/>
      <c r="O581" s="4"/>
      <c r="P581" s="4"/>
      <c r="Q581" s="60">
        <v>0.51980000000000004</v>
      </c>
      <c r="R581" s="1">
        <f t="shared" si="211"/>
        <v>129950.00000000001</v>
      </c>
      <c r="S581" s="38"/>
      <c r="T581" s="2">
        <f t="shared" si="212"/>
        <v>250000</v>
      </c>
      <c r="U581" s="24"/>
      <c r="V581" s="24"/>
      <c r="W581" s="24"/>
      <c r="X581" s="13"/>
      <c r="Y581" s="13"/>
      <c r="Z581" s="13"/>
      <c r="AA581" s="13">
        <v>150000</v>
      </c>
      <c r="AB581" s="13">
        <v>50000</v>
      </c>
      <c r="AC581" s="13">
        <v>50000</v>
      </c>
      <c r="AD581" s="13">
        <v>50000</v>
      </c>
      <c r="AE581" s="13">
        <v>50000</v>
      </c>
      <c r="AF581" s="13">
        <v>50000</v>
      </c>
      <c r="AG581" s="13">
        <f t="shared" si="204"/>
        <v>50000</v>
      </c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4" t="s">
        <v>1106</v>
      </c>
      <c r="AU581" s="4" t="s">
        <v>685</v>
      </c>
      <c r="AV581" s="4" t="s">
        <v>1218</v>
      </c>
      <c r="AW581" s="4"/>
      <c r="AX581" s="4"/>
      <c r="AY581" s="4"/>
      <c r="AZ581" s="4"/>
      <c r="BA581" s="4"/>
      <c r="BB581" s="4"/>
      <c r="BC581" s="4"/>
      <c r="BD581" s="23"/>
      <c r="BE581" s="4"/>
      <c r="BF581" s="18"/>
      <c r="BG581" s="18"/>
      <c r="BH581" s="18"/>
      <c r="BI581" s="18"/>
      <c r="BJ581" s="18"/>
      <c r="BK581" s="26"/>
      <c r="BL581" s="13"/>
      <c r="BM581" s="9"/>
      <c r="BN581" s="9">
        <f t="shared" si="197"/>
        <v>0</v>
      </c>
      <c r="BO581" s="9">
        <f t="shared" si="198"/>
        <v>77970</v>
      </c>
      <c r="BP581" s="9">
        <f t="shared" si="206"/>
        <v>25990.000000000004</v>
      </c>
      <c r="BQ581" s="9">
        <f t="shared" si="207"/>
        <v>25990.000000000004</v>
      </c>
      <c r="BR581" s="9">
        <f t="shared" si="208"/>
        <v>25990.000000000004</v>
      </c>
      <c r="BS581" s="9">
        <f t="shared" si="209"/>
        <v>25990.000000000004</v>
      </c>
      <c r="BT581" s="9">
        <f t="shared" si="210"/>
        <v>25990.000000000004</v>
      </c>
    </row>
    <row r="582" spans="1:72" hidden="1" x14ac:dyDescent="0.25">
      <c r="A582" s="11">
        <f t="shared" si="199"/>
        <v>581</v>
      </c>
      <c r="B582" s="5" t="s">
        <v>1195</v>
      </c>
      <c r="C582" s="4" t="s">
        <v>128</v>
      </c>
      <c r="D582" s="4" t="s">
        <v>1364</v>
      </c>
      <c r="E582" s="4" t="s">
        <v>1682</v>
      </c>
      <c r="F582" s="4" t="s">
        <v>1196</v>
      </c>
      <c r="G582" s="4" t="s">
        <v>690</v>
      </c>
      <c r="H582" s="4" t="s">
        <v>1090</v>
      </c>
      <c r="I582" s="4"/>
      <c r="J582" s="4"/>
      <c r="K582" s="5"/>
      <c r="L582" s="24"/>
      <c r="M582" s="13"/>
      <c r="N582" s="5"/>
      <c r="O582" s="4"/>
      <c r="P582" s="4"/>
      <c r="Q582" s="60">
        <v>0.66</v>
      </c>
      <c r="R582" s="1">
        <f t="shared" si="211"/>
        <v>165000</v>
      </c>
      <c r="S582" s="38"/>
      <c r="T582" s="2">
        <f t="shared" si="212"/>
        <v>250000</v>
      </c>
      <c r="U582" s="24"/>
      <c r="V582" s="24"/>
      <c r="W582" s="24"/>
      <c r="X582" s="13"/>
      <c r="Y582" s="13"/>
      <c r="Z582" s="13"/>
      <c r="AA582" s="13">
        <v>30000</v>
      </c>
      <c r="AB582" s="13">
        <v>50000</v>
      </c>
      <c r="AC582" s="13">
        <v>50000</v>
      </c>
      <c r="AD582" s="13">
        <v>50000</v>
      </c>
      <c r="AE582" s="13">
        <v>50000</v>
      </c>
      <c r="AF582" s="13">
        <v>50000</v>
      </c>
      <c r="AG582" s="13">
        <f t="shared" si="204"/>
        <v>50000</v>
      </c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4" t="s">
        <v>1106</v>
      </c>
      <c r="AU582" s="4" t="s">
        <v>685</v>
      </c>
      <c r="AV582" s="4" t="s">
        <v>1218</v>
      </c>
      <c r="AW582" s="4"/>
      <c r="AX582" s="4"/>
      <c r="AY582" s="4"/>
      <c r="AZ582" s="4"/>
      <c r="BA582" s="4"/>
      <c r="BB582" s="4"/>
      <c r="BC582" s="4"/>
      <c r="BD582" s="23"/>
      <c r="BE582" s="4"/>
      <c r="BF582" s="18"/>
      <c r="BG582" s="18"/>
      <c r="BH582" s="18"/>
      <c r="BI582" s="18"/>
      <c r="BJ582" s="18"/>
      <c r="BK582" s="26"/>
      <c r="BL582" s="13"/>
      <c r="BM582" s="9"/>
      <c r="BN582" s="9">
        <f t="shared" ref="BN582:BN606" si="213">$Q582*Z582</f>
        <v>0</v>
      </c>
      <c r="BO582" s="9">
        <f t="shared" ref="BO582:BO606" si="214">$Q582*AA582</f>
        <v>19800</v>
      </c>
      <c r="BP582" s="9">
        <f t="shared" si="206"/>
        <v>33000</v>
      </c>
      <c r="BQ582" s="9">
        <f t="shared" si="207"/>
        <v>33000</v>
      </c>
      <c r="BR582" s="9">
        <f t="shared" si="208"/>
        <v>33000</v>
      </c>
      <c r="BS582" s="9">
        <f t="shared" si="209"/>
        <v>33000</v>
      </c>
      <c r="BT582" s="9">
        <f t="shared" si="210"/>
        <v>33000</v>
      </c>
    </row>
    <row r="583" spans="1:72" hidden="1" x14ac:dyDescent="0.25">
      <c r="A583" s="11">
        <f t="shared" ref="A583:A627" si="215">ROW()-1</f>
        <v>582</v>
      </c>
      <c r="B583" s="5" t="s">
        <v>1285</v>
      </c>
      <c r="C583" s="4" t="s">
        <v>59</v>
      </c>
      <c r="D583" s="4" t="s">
        <v>1134</v>
      </c>
      <c r="E583" s="4" t="s">
        <v>1682</v>
      </c>
      <c r="F583" s="4" t="s">
        <v>1135</v>
      </c>
      <c r="G583" s="4" t="s">
        <v>1286</v>
      </c>
      <c r="H583" s="4"/>
      <c r="I583" s="4"/>
      <c r="J583" s="4"/>
      <c r="K583" s="5" t="s">
        <v>1132</v>
      </c>
      <c r="L583" s="24">
        <v>500000</v>
      </c>
      <c r="M583" s="13" t="s">
        <v>320</v>
      </c>
      <c r="N583" s="5"/>
      <c r="O583" s="4" t="s">
        <v>1287</v>
      </c>
      <c r="P583" s="4"/>
      <c r="Q583" s="42">
        <v>0.78</v>
      </c>
      <c r="R583" s="1">
        <f t="shared" si="211"/>
        <v>0</v>
      </c>
      <c r="S583" s="38">
        <v>0</v>
      </c>
      <c r="T583" s="2">
        <f t="shared" si="212"/>
        <v>0</v>
      </c>
      <c r="U583" s="24"/>
      <c r="V583" s="24"/>
      <c r="W583" s="24"/>
      <c r="X583" s="13"/>
      <c r="Y583" s="13"/>
      <c r="Z583" s="13"/>
      <c r="AA583" s="13"/>
      <c r="AB583" s="13"/>
      <c r="AC583" s="13"/>
      <c r="AD583" s="13"/>
      <c r="AE583" s="13"/>
      <c r="AF583" s="13"/>
      <c r="AG583" s="13">
        <f t="shared" si="204"/>
        <v>0</v>
      </c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4" t="s">
        <v>1106</v>
      </c>
      <c r="AU583" s="4" t="s">
        <v>685</v>
      </c>
      <c r="AV583" s="4" t="s">
        <v>1218</v>
      </c>
      <c r="AW583" s="4" t="s">
        <v>98</v>
      </c>
      <c r="AX583" s="4" t="s">
        <v>98</v>
      </c>
      <c r="AY583" s="4" t="s">
        <v>110</v>
      </c>
      <c r="AZ583" s="4" t="s">
        <v>736</v>
      </c>
      <c r="BA583" s="4"/>
      <c r="BB583" s="4"/>
      <c r="BC583" s="4"/>
      <c r="BD583" s="23"/>
      <c r="BE583" s="4"/>
      <c r="BF583" s="18"/>
      <c r="BG583" s="18"/>
      <c r="BH583" s="18"/>
      <c r="BI583" s="18"/>
      <c r="BJ583" s="18"/>
      <c r="BK583" s="26"/>
      <c r="BL583" s="13"/>
      <c r="BM583" s="9">
        <f t="shared" si="205"/>
        <v>0</v>
      </c>
      <c r="BN583" s="9">
        <f t="shared" si="213"/>
        <v>0</v>
      </c>
      <c r="BO583" s="9">
        <f t="shared" si="214"/>
        <v>0</v>
      </c>
      <c r="BP583" s="9">
        <f t="shared" si="206"/>
        <v>0</v>
      </c>
      <c r="BQ583" s="9">
        <f t="shared" si="207"/>
        <v>0</v>
      </c>
      <c r="BR583" s="9">
        <f t="shared" si="208"/>
        <v>0</v>
      </c>
      <c r="BS583" s="9">
        <f t="shared" si="209"/>
        <v>0</v>
      </c>
      <c r="BT583" s="9">
        <f t="shared" si="210"/>
        <v>0</v>
      </c>
    </row>
    <row r="584" spans="1:72" hidden="1" x14ac:dyDescent="0.25">
      <c r="A584" s="11">
        <f t="shared" si="215"/>
        <v>583</v>
      </c>
      <c r="B584" s="5" t="s">
        <v>1199</v>
      </c>
      <c r="C584" s="4" t="s">
        <v>128</v>
      </c>
      <c r="D584" s="4" t="s">
        <v>1207</v>
      </c>
      <c r="E584" s="4" t="s">
        <v>1682</v>
      </c>
      <c r="F584" s="4" t="s">
        <v>1200</v>
      </c>
      <c r="G584" s="4" t="s">
        <v>1325</v>
      </c>
      <c r="H584" s="4" t="s">
        <v>1305</v>
      </c>
      <c r="I584" s="4"/>
      <c r="J584" s="4"/>
      <c r="K584" s="5" t="s">
        <v>385</v>
      </c>
      <c r="L584" s="24">
        <v>300000</v>
      </c>
      <c r="M584" s="13" t="s">
        <v>320</v>
      </c>
      <c r="N584" s="5"/>
      <c r="O584" s="4" t="s">
        <v>1201</v>
      </c>
      <c r="P584" s="4"/>
      <c r="Q584" s="42">
        <v>2.8</v>
      </c>
      <c r="R584" s="1">
        <f t="shared" si="211"/>
        <v>84000</v>
      </c>
      <c r="S584" s="38">
        <v>0</v>
      </c>
      <c r="T584" s="2">
        <f t="shared" si="212"/>
        <v>30000</v>
      </c>
      <c r="U584" s="24"/>
      <c r="V584" s="24"/>
      <c r="W584" s="24"/>
      <c r="X584" s="13"/>
      <c r="Y584" s="13"/>
      <c r="Z584" s="13"/>
      <c r="AA584" s="13"/>
      <c r="AB584" s="13"/>
      <c r="AC584" s="13"/>
      <c r="AD584" s="13">
        <v>10000</v>
      </c>
      <c r="AE584" s="13">
        <v>10000</v>
      </c>
      <c r="AF584" s="13">
        <v>10000</v>
      </c>
      <c r="AG584" s="13">
        <f t="shared" si="204"/>
        <v>10000</v>
      </c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4" t="s">
        <v>1106</v>
      </c>
      <c r="AU584" s="4" t="s">
        <v>685</v>
      </c>
      <c r="AV584" s="4" t="s">
        <v>826</v>
      </c>
      <c r="AW584" s="4" t="s">
        <v>98</v>
      </c>
      <c r="AX584" s="4" t="s">
        <v>68</v>
      </c>
      <c r="AY584" s="4" t="s">
        <v>69</v>
      </c>
      <c r="AZ584" s="4" t="s">
        <v>70</v>
      </c>
      <c r="BA584" s="4"/>
      <c r="BB584" s="4"/>
      <c r="BC584" s="4"/>
      <c r="BD584" s="23"/>
      <c r="BE584" s="4"/>
      <c r="BF584" s="18"/>
      <c r="BG584" s="18"/>
      <c r="BH584" s="18"/>
      <c r="BI584" s="18"/>
      <c r="BJ584" s="18"/>
      <c r="BK584" s="26"/>
      <c r="BL584" s="13"/>
      <c r="BM584" s="9">
        <f t="shared" si="205"/>
        <v>0</v>
      </c>
      <c r="BN584" s="9">
        <f t="shared" si="213"/>
        <v>0</v>
      </c>
      <c r="BO584" s="9">
        <f t="shared" si="214"/>
        <v>0</v>
      </c>
      <c r="BP584" s="9">
        <f t="shared" si="206"/>
        <v>0</v>
      </c>
      <c r="BQ584" s="9">
        <f t="shared" si="207"/>
        <v>0</v>
      </c>
      <c r="BR584" s="9">
        <f t="shared" si="208"/>
        <v>28000</v>
      </c>
      <c r="BS584" s="9">
        <f t="shared" si="209"/>
        <v>28000</v>
      </c>
      <c r="BT584" s="9">
        <f t="shared" si="210"/>
        <v>28000</v>
      </c>
    </row>
    <row r="585" spans="1:72" hidden="1" x14ac:dyDescent="0.25">
      <c r="A585" s="11">
        <f t="shared" si="215"/>
        <v>584</v>
      </c>
      <c r="B585" s="5" t="s">
        <v>1202</v>
      </c>
      <c r="C585" s="4" t="s">
        <v>128</v>
      </c>
      <c r="D585" s="4" t="s">
        <v>520</v>
      </c>
      <c r="E585" s="4" t="s">
        <v>1682</v>
      </c>
      <c r="F585" s="4" t="s">
        <v>1135</v>
      </c>
      <c r="G585" s="4" t="s">
        <v>1142</v>
      </c>
      <c r="H585" s="4" t="s">
        <v>1208</v>
      </c>
      <c r="I585" s="4"/>
      <c r="J585" s="4"/>
      <c r="K585" s="5" t="s">
        <v>1203</v>
      </c>
      <c r="L585" s="24">
        <v>1000000</v>
      </c>
      <c r="M585" s="13" t="s">
        <v>320</v>
      </c>
      <c r="N585" s="5"/>
      <c r="O585" s="4" t="s">
        <v>453</v>
      </c>
      <c r="P585" s="4"/>
      <c r="Q585" s="42">
        <v>0.52</v>
      </c>
      <c r="R585" s="1">
        <f t="shared" si="211"/>
        <v>2600</v>
      </c>
      <c r="S585" s="38">
        <v>0</v>
      </c>
      <c r="T585" s="2">
        <f t="shared" si="212"/>
        <v>5000</v>
      </c>
      <c r="U585" s="24"/>
      <c r="V585" s="24"/>
      <c r="W585" s="24"/>
      <c r="X585" s="13"/>
      <c r="Y585" s="13"/>
      <c r="Z585" s="13"/>
      <c r="AA585" s="13"/>
      <c r="AB585" s="13"/>
      <c r="AC585" s="13"/>
      <c r="AD585" s="13"/>
      <c r="AE585" s="13"/>
      <c r="AF585" s="13">
        <v>5000</v>
      </c>
      <c r="AG585" s="13">
        <f t="shared" si="204"/>
        <v>5000</v>
      </c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4" t="s">
        <v>1106</v>
      </c>
      <c r="AU585" s="4" t="s">
        <v>685</v>
      </c>
      <c r="AV585" s="4" t="s">
        <v>1218</v>
      </c>
      <c r="AW585" s="4" t="s">
        <v>98</v>
      </c>
      <c r="AX585" s="4" t="s">
        <v>110</v>
      </c>
      <c r="AY585" s="4" t="s">
        <v>1204</v>
      </c>
      <c r="AZ585" s="4" t="s">
        <v>1140</v>
      </c>
      <c r="BA585" s="4"/>
      <c r="BB585" s="4"/>
      <c r="BC585" s="4"/>
      <c r="BD585" s="23"/>
      <c r="BE585" s="4"/>
      <c r="BF585" s="18"/>
      <c r="BG585" s="18"/>
      <c r="BH585" s="18"/>
      <c r="BI585" s="18"/>
      <c r="BJ585" s="18"/>
      <c r="BK585" s="26"/>
      <c r="BL585" s="13"/>
      <c r="BM585" s="9">
        <f t="shared" si="205"/>
        <v>0</v>
      </c>
      <c r="BN585" s="9">
        <f t="shared" si="213"/>
        <v>0</v>
      </c>
      <c r="BO585" s="9">
        <f t="shared" si="214"/>
        <v>0</v>
      </c>
      <c r="BP585" s="9">
        <f t="shared" si="206"/>
        <v>0</v>
      </c>
      <c r="BQ585" s="9">
        <f t="shared" si="207"/>
        <v>0</v>
      </c>
      <c r="BR585" s="9">
        <f t="shared" si="208"/>
        <v>0</v>
      </c>
      <c r="BS585" s="9">
        <f t="shared" si="209"/>
        <v>0</v>
      </c>
      <c r="BT585" s="9">
        <f t="shared" si="210"/>
        <v>2600</v>
      </c>
    </row>
    <row r="586" spans="1:72" ht="15" hidden="1" x14ac:dyDescent="0.25">
      <c r="A586" s="11">
        <f t="shared" si="215"/>
        <v>585</v>
      </c>
      <c r="B586" s="5" t="s">
        <v>1716</v>
      </c>
      <c r="C586" s="5" t="s">
        <v>186</v>
      </c>
      <c r="D586" s="5" t="s">
        <v>1023</v>
      </c>
      <c r="E586" s="5" t="s">
        <v>174</v>
      </c>
      <c r="F586" s="5" t="s">
        <v>1000</v>
      </c>
      <c r="G586" s="6" t="s">
        <v>116</v>
      </c>
      <c r="H586" s="4" t="s">
        <v>117</v>
      </c>
      <c r="I586" s="6"/>
      <c r="J586" s="6"/>
      <c r="K586" s="78" t="s">
        <v>1776</v>
      </c>
      <c r="L586" s="13"/>
      <c r="M586" s="6" t="s">
        <v>134</v>
      </c>
      <c r="N586" s="79" t="s">
        <v>1777</v>
      </c>
      <c r="O586" s="13"/>
      <c r="P586" s="13"/>
      <c r="Q586" s="60">
        <v>0.37</v>
      </c>
      <c r="R586" s="1">
        <f t="shared" si="211"/>
        <v>11100</v>
      </c>
      <c r="S586" s="2"/>
      <c r="T586" s="2">
        <f t="shared" si="212"/>
        <v>30000</v>
      </c>
      <c r="U586" s="13"/>
      <c r="V586" s="13"/>
      <c r="W586" s="13"/>
      <c r="X586" s="13"/>
      <c r="Y586" s="13"/>
      <c r="Z586" s="13">
        <v>8000</v>
      </c>
      <c r="AA586" s="13">
        <v>8000</v>
      </c>
      <c r="AB586" s="13">
        <v>6000</v>
      </c>
      <c r="AC586" s="13">
        <v>6000</v>
      </c>
      <c r="AD586" s="13">
        <v>6000</v>
      </c>
      <c r="AE586" s="13">
        <v>6000</v>
      </c>
      <c r="AF586" s="13">
        <v>6000</v>
      </c>
      <c r="AG586" s="13">
        <v>6000</v>
      </c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4" t="s">
        <v>685</v>
      </c>
      <c r="AV586" s="4" t="s">
        <v>1218</v>
      </c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9"/>
      <c r="BN586" s="9">
        <f t="shared" si="213"/>
        <v>2960</v>
      </c>
      <c r="BO586" s="9">
        <f t="shared" si="214"/>
        <v>2960</v>
      </c>
      <c r="BP586" s="9">
        <f t="shared" si="206"/>
        <v>2220</v>
      </c>
      <c r="BQ586" s="9">
        <f t="shared" si="207"/>
        <v>2220</v>
      </c>
      <c r="BR586" s="9">
        <f t="shared" si="208"/>
        <v>2220</v>
      </c>
      <c r="BS586" s="9">
        <f t="shared" si="209"/>
        <v>2220</v>
      </c>
      <c r="BT586" s="9">
        <f t="shared" si="210"/>
        <v>2220</v>
      </c>
    </row>
    <row r="587" spans="1:72" hidden="1" x14ac:dyDescent="0.25">
      <c r="A587" s="11">
        <f t="shared" si="215"/>
        <v>586</v>
      </c>
      <c r="B587" s="4" t="s">
        <v>1722</v>
      </c>
      <c r="C587" s="4" t="s">
        <v>59</v>
      </c>
      <c r="D587" s="4" t="s">
        <v>465</v>
      </c>
      <c r="E587" s="4" t="s">
        <v>1322</v>
      </c>
      <c r="F587" s="4" t="s">
        <v>471</v>
      </c>
      <c r="G587" s="4" t="s">
        <v>116</v>
      </c>
      <c r="H587" s="4" t="s">
        <v>1089</v>
      </c>
      <c r="I587" s="4"/>
      <c r="J587" s="4"/>
      <c r="K587" s="4" t="s">
        <v>1723</v>
      </c>
      <c r="L587" s="9"/>
      <c r="M587" s="9"/>
      <c r="N587" s="9"/>
      <c r="O587" s="9"/>
      <c r="P587" s="9"/>
      <c r="Q587" s="14">
        <v>0.36</v>
      </c>
      <c r="R587" s="1">
        <f t="shared" si="211"/>
        <v>57060</v>
      </c>
      <c r="S587" s="2"/>
      <c r="T587" s="2">
        <f t="shared" si="212"/>
        <v>158500</v>
      </c>
      <c r="U587" s="9"/>
      <c r="V587" s="9"/>
      <c r="W587" s="9"/>
      <c r="X587" s="9"/>
      <c r="Y587" s="13"/>
      <c r="Z587" s="13">
        <v>18000</v>
      </c>
      <c r="AA587" s="13">
        <v>16400</v>
      </c>
      <c r="AB587" s="13">
        <v>18000</v>
      </c>
      <c r="AC587" s="13">
        <v>86500</v>
      </c>
      <c r="AD587" s="13">
        <v>18000</v>
      </c>
      <c r="AE587" s="13">
        <v>18000</v>
      </c>
      <c r="AF587" s="13">
        <v>18000</v>
      </c>
      <c r="AG587" s="13">
        <v>18000</v>
      </c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 t="s">
        <v>1106</v>
      </c>
      <c r="AV587" s="4" t="s">
        <v>1218</v>
      </c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>
        <f t="shared" si="213"/>
        <v>6480</v>
      </c>
      <c r="BO587" s="9">
        <f t="shared" si="214"/>
        <v>5904</v>
      </c>
      <c r="BP587" s="9">
        <f t="shared" si="206"/>
        <v>6480</v>
      </c>
      <c r="BQ587" s="9">
        <f t="shared" si="207"/>
        <v>31140</v>
      </c>
      <c r="BR587" s="9">
        <f t="shared" si="208"/>
        <v>6480</v>
      </c>
      <c r="BS587" s="9">
        <f t="shared" si="209"/>
        <v>6480</v>
      </c>
      <c r="BT587" s="9">
        <f t="shared" si="210"/>
        <v>6480</v>
      </c>
    </row>
    <row r="588" spans="1:72" hidden="1" x14ac:dyDescent="0.25">
      <c r="A588" s="11">
        <f t="shared" si="215"/>
        <v>587</v>
      </c>
      <c r="B588" s="4" t="s">
        <v>517</v>
      </c>
      <c r="C588" s="4" t="s">
        <v>128</v>
      </c>
      <c r="D588" s="4" t="s">
        <v>490</v>
      </c>
      <c r="E588" s="4" t="s">
        <v>1322</v>
      </c>
      <c r="F588" s="4" t="s">
        <v>479</v>
      </c>
      <c r="G588" s="4" t="s">
        <v>1311</v>
      </c>
      <c r="H588" s="4" t="s">
        <v>1727</v>
      </c>
      <c r="I588" s="4"/>
      <c r="J588" s="4"/>
      <c r="K588" s="4"/>
      <c r="L588" s="9"/>
      <c r="M588" s="9"/>
      <c r="N588" s="9"/>
      <c r="O588" s="9"/>
      <c r="P588" s="9"/>
      <c r="Q588" s="14">
        <v>6.5</v>
      </c>
      <c r="R588" s="1">
        <f t="shared" si="211"/>
        <v>65000</v>
      </c>
      <c r="S588" s="2"/>
      <c r="T588" s="2">
        <f t="shared" si="212"/>
        <v>10000</v>
      </c>
      <c r="U588" s="9"/>
      <c r="V588" s="9"/>
      <c r="W588" s="9"/>
      <c r="X588" s="9"/>
      <c r="Y588" s="13"/>
      <c r="Z588" s="13">
        <v>10000</v>
      </c>
      <c r="AA588" s="13"/>
      <c r="AB588" s="13">
        <v>10000</v>
      </c>
      <c r="AC588" s="13"/>
      <c r="AD588" s="13"/>
      <c r="AE588" s="13"/>
      <c r="AF588" s="9"/>
      <c r="AG588" s="13">
        <f t="shared" ref="AG588:AG590" si="216">AF588</f>
        <v>0</v>
      </c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 t="s">
        <v>1106</v>
      </c>
      <c r="AV588" s="4" t="s">
        <v>1220</v>
      </c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>
        <f t="shared" si="213"/>
        <v>65000</v>
      </c>
      <c r="BO588" s="9">
        <f t="shared" si="214"/>
        <v>0</v>
      </c>
      <c r="BP588" s="9">
        <f t="shared" si="206"/>
        <v>65000</v>
      </c>
      <c r="BQ588" s="9">
        <f t="shared" si="207"/>
        <v>0</v>
      </c>
      <c r="BR588" s="9">
        <f t="shared" si="208"/>
        <v>0</v>
      </c>
      <c r="BS588" s="9">
        <f t="shared" si="209"/>
        <v>0</v>
      </c>
      <c r="BT588" s="9">
        <f t="shared" si="210"/>
        <v>0</v>
      </c>
    </row>
    <row r="589" spans="1:72" hidden="1" x14ac:dyDescent="0.25">
      <c r="A589" s="11">
        <f t="shared" si="215"/>
        <v>588</v>
      </c>
      <c r="B589" s="4" t="s">
        <v>1724</v>
      </c>
      <c r="C589" s="4" t="s">
        <v>59</v>
      </c>
      <c r="D589" s="4" t="s">
        <v>383</v>
      </c>
      <c r="E589" s="4" t="s">
        <v>1322</v>
      </c>
      <c r="F589" s="4" t="s">
        <v>377</v>
      </c>
      <c r="G589" s="4" t="s">
        <v>1188</v>
      </c>
      <c r="H589" s="4" t="s">
        <v>1309</v>
      </c>
      <c r="I589" s="4"/>
      <c r="J589" s="4"/>
      <c r="K589" s="4"/>
      <c r="L589" s="9"/>
      <c r="M589" s="9"/>
      <c r="N589" s="9"/>
      <c r="O589" s="9"/>
      <c r="P589" s="9"/>
      <c r="Q589" s="14">
        <v>0.27</v>
      </c>
      <c r="R589" s="1">
        <f t="shared" si="211"/>
        <v>0</v>
      </c>
      <c r="S589" s="2"/>
      <c r="T589" s="2">
        <f t="shared" si="212"/>
        <v>0</v>
      </c>
      <c r="U589" s="9"/>
      <c r="V589" s="9"/>
      <c r="W589" s="9"/>
      <c r="X589" s="9"/>
      <c r="Y589" s="13"/>
      <c r="Z589" s="13">
        <v>30000</v>
      </c>
      <c r="AA589" s="13">
        <v>12000</v>
      </c>
      <c r="AB589" s="13"/>
      <c r="AC589" s="13"/>
      <c r="AD589" s="13"/>
      <c r="AE589" s="9"/>
      <c r="AF589" s="9"/>
      <c r="AG589" s="13">
        <f t="shared" si="216"/>
        <v>0</v>
      </c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4"/>
      <c r="AU589" s="9" t="s">
        <v>1106</v>
      </c>
      <c r="AV589" s="4" t="s">
        <v>1218</v>
      </c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>
        <f t="shared" si="213"/>
        <v>8100.0000000000009</v>
      </c>
      <c r="BO589" s="9">
        <f t="shared" si="214"/>
        <v>3240</v>
      </c>
      <c r="BP589" s="9">
        <f t="shared" si="206"/>
        <v>0</v>
      </c>
      <c r="BQ589" s="9">
        <f t="shared" si="207"/>
        <v>0</v>
      </c>
      <c r="BR589" s="9">
        <f t="shared" si="208"/>
        <v>0</v>
      </c>
      <c r="BS589" s="9">
        <f t="shared" si="209"/>
        <v>0</v>
      </c>
      <c r="BT589" s="9">
        <f t="shared" si="210"/>
        <v>0</v>
      </c>
    </row>
    <row r="590" spans="1:72" hidden="1" x14ac:dyDescent="0.25">
      <c r="A590" s="11">
        <f t="shared" si="215"/>
        <v>589</v>
      </c>
      <c r="B590" s="4" t="s">
        <v>532</v>
      </c>
      <c r="C590" s="4" t="s">
        <v>59</v>
      </c>
      <c r="D590" s="4" t="s">
        <v>525</v>
      </c>
      <c r="E590" s="4" t="s">
        <v>1322</v>
      </c>
      <c r="F590" s="4" t="s">
        <v>526</v>
      </c>
      <c r="G590" s="4" t="s">
        <v>1328</v>
      </c>
      <c r="H590" s="4" t="s">
        <v>1726</v>
      </c>
      <c r="I590" s="4"/>
      <c r="J590" s="4"/>
      <c r="K590" s="4" t="s">
        <v>406</v>
      </c>
      <c r="L590" s="9"/>
      <c r="M590" s="9"/>
      <c r="N590" s="9"/>
      <c r="O590" s="9"/>
      <c r="P590" s="9"/>
      <c r="Q590" s="14">
        <v>1.6</v>
      </c>
      <c r="R590" s="1">
        <f t="shared" si="211"/>
        <v>16000</v>
      </c>
      <c r="S590" s="2"/>
      <c r="T590" s="2">
        <f t="shared" si="212"/>
        <v>10000</v>
      </c>
      <c r="U590" s="9"/>
      <c r="V590" s="9"/>
      <c r="W590" s="9"/>
      <c r="X590" s="9"/>
      <c r="Y590" s="13"/>
      <c r="Z590" s="13"/>
      <c r="AA590" s="13"/>
      <c r="AB590" s="13">
        <v>10000</v>
      </c>
      <c r="AC590" s="13"/>
      <c r="AD590" s="13"/>
      <c r="AE590" s="9"/>
      <c r="AF590" s="9"/>
      <c r="AG590" s="13">
        <f t="shared" si="216"/>
        <v>0</v>
      </c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4"/>
      <c r="AU590" s="9" t="s">
        <v>1106</v>
      </c>
      <c r="AV590" s="4" t="s">
        <v>1220</v>
      </c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>
        <f t="shared" si="213"/>
        <v>0</v>
      </c>
      <c r="BO590" s="9">
        <f t="shared" si="214"/>
        <v>0</v>
      </c>
      <c r="BP590" s="9">
        <f t="shared" si="206"/>
        <v>16000</v>
      </c>
      <c r="BQ590" s="9">
        <f t="shared" si="207"/>
        <v>0</v>
      </c>
      <c r="BR590" s="9">
        <f t="shared" si="208"/>
        <v>0</v>
      </c>
      <c r="BS590" s="9">
        <f t="shared" si="209"/>
        <v>0</v>
      </c>
      <c r="BT590" s="9">
        <f t="shared" si="210"/>
        <v>0</v>
      </c>
    </row>
    <row r="591" spans="1:72" hidden="1" x14ac:dyDescent="0.25">
      <c r="A591" s="11">
        <f t="shared" si="215"/>
        <v>590</v>
      </c>
      <c r="B591" s="4" t="s">
        <v>546</v>
      </c>
      <c r="C591" s="4" t="s">
        <v>59</v>
      </c>
      <c r="D591" s="4" t="s">
        <v>383</v>
      </c>
      <c r="E591" s="4" t="s">
        <v>1322</v>
      </c>
      <c r="F591" s="4" t="s">
        <v>377</v>
      </c>
      <c r="G591" s="4" t="s">
        <v>441</v>
      </c>
      <c r="H591" s="4" t="s">
        <v>1308</v>
      </c>
      <c r="I591" s="4"/>
      <c r="J591" s="4"/>
      <c r="K591" s="4" t="s">
        <v>420</v>
      </c>
      <c r="L591" s="9"/>
      <c r="M591" s="9"/>
      <c r="N591" s="9"/>
      <c r="O591" s="9"/>
      <c r="P591" s="9"/>
      <c r="Q591" s="14">
        <v>1.88</v>
      </c>
      <c r="R591" s="1">
        <f t="shared" si="211"/>
        <v>188000</v>
      </c>
      <c r="S591" s="2"/>
      <c r="T591" s="2">
        <f t="shared" si="212"/>
        <v>100000</v>
      </c>
      <c r="U591" s="9"/>
      <c r="V591" s="9"/>
      <c r="W591" s="9"/>
      <c r="X591" s="9"/>
      <c r="Y591" s="13"/>
      <c r="Z591" s="13">
        <v>20000</v>
      </c>
      <c r="AA591" s="13">
        <v>20000</v>
      </c>
      <c r="AB591" s="13">
        <v>20000</v>
      </c>
      <c r="AC591" s="13">
        <v>20000</v>
      </c>
      <c r="AD591" s="13">
        <v>20000</v>
      </c>
      <c r="AE591" s="9">
        <v>20000</v>
      </c>
      <c r="AF591" s="9">
        <v>20000</v>
      </c>
      <c r="AG591" s="9">
        <v>20000</v>
      </c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4"/>
      <c r="AU591" s="9" t="s">
        <v>1106</v>
      </c>
      <c r="AV591" s="4" t="s">
        <v>1220</v>
      </c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>
        <f t="shared" si="213"/>
        <v>37600</v>
      </c>
      <c r="BO591" s="9">
        <f t="shared" si="214"/>
        <v>37600</v>
      </c>
      <c r="BP591" s="9">
        <f t="shared" si="206"/>
        <v>37600</v>
      </c>
      <c r="BQ591" s="9">
        <f t="shared" si="207"/>
        <v>37600</v>
      </c>
      <c r="BR591" s="9">
        <f t="shared" si="208"/>
        <v>37600</v>
      </c>
      <c r="BS591" s="9">
        <f t="shared" si="209"/>
        <v>37600</v>
      </c>
      <c r="BT591" s="9">
        <f t="shared" si="210"/>
        <v>37600</v>
      </c>
    </row>
    <row r="592" spans="1:72" hidden="1" x14ac:dyDescent="0.25">
      <c r="A592" s="11">
        <f t="shared" si="215"/>
        <v>591</v>
      </c>
      <c r="B592" s="4" t="s">
        <v>548</v>
      </c>
      <c r="C592" s="4" t="s">
        <v>59</v>
      </c>
      <c r="D592" s="4" t="s">
        <v>383</v>
      </c>
      <c r="E592" s="4" t="s">
        <v>1322</v>
      </c>
      <c r="F592" s="4" t="s">
        <v>377</v>
      </c>
      <c r="G592" s="4" t="s">
        <v>441</v>
      </c>
      <c r="H592" s="4" t="s">
        <v>1308</v>
      </c>
      <c r="I592" s="4"/>
      <c r="J592" s="4"/>
      <c r="K592" s="4" t="s">
        <v>420</v>
      </c>
      <c r="L592" s="9"/>
      <c r="M592" s="9"/>
      <c r="N592" s="9"/>
      <c r="O592" s="9"/>
      <c r="P592" s="9"/>
      <c r="Q592" s="14">
        <v>1.88</v>
      </c>
      <c r="R592" s="1">
        <f t="shared" si="211"/>
        <v>206800</v>
      </c>
      <c r="S592" s="2"/>
      <c r="T592" s="2">
        <f t="shared" si="212"/>
        <v>110000</v>
      </c>
      <c r="U592" s="9"/>
      <c r="V592" s="9"/>
      <c r="W592" s="9"/>
      <c r="X592" s="9"/>
      <c r="Y592" s="13"/>
      <c r="Z592" s="13">
        <v>20000</v>
      </c>
      <c r="AA592" s="13">
        <v>20000</v>
      </c>
      <c r="AB592" s="13">
        <v>20000</v>
      </c>
      <c r="AC592" s="13">
        <v>20000</v>
      </c>
      <c r="AD592" s="13">
        <v>30000</v>
      </c>
      <c r="AE592" s="9">
        <v>20000</v>
      </c>
      <c r="AF592" s="9">
        <v>20000</v>
      </c>
      <c r="AG592" s="9">
        <v>20000</v>
      </c>
      <c r="AH592" s="9">
        <v>20000</v>
      </c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4"/>
      <c r="AU592" s="9" t="s">
        <v>1106</v>
      </c>
      <c r="AV592" s="4" t="s">
        <v>1220</v>
      </c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>
        <f t="shared" si="213"/>
        <v>37600</v>
      </c>
      <c r="BO592" s="9">
        <f t="shared" si="214"/>
        <v>37600</v>
      </c>
      <c r="BP592" s="9">
        <f t="shared" si="206"/>
        <v>37600</v>
      </c>
      <c r="BQ592" s="9">
        <f t="shared" si="207"/>
        <v>37600</v>
      </c>
      <c r="BR592" s="9">
        <f t="shared" si="208"/>
        <v>56400</v>
      </c>
      <c r="BS592" s="9">
        <f t="shared" si="209"/>
        <v>37600</v>
      </c>
      <c r="BT592" s="9">
        <f t="shared" si="210"/>
        <v>37600</v>
      </c>
    </row>
    <row r="593" spans="1:72" hidden="1" x14ac:dyDescent="0.25">
      <c r="A593" s="11">
        <f t="shared" si="215"/>
        <v>592</v>
      </c>
      <c r="B593" s="4" t="s">
        <v>546</v>
      </c>
      <c r="C593" s="4" t="s">
        <v>59</v>
      </c>
      <c r="D593" s="4" t="s">
        <v>383</v>
      </c>
      <c r="E593" s="4" t="s">
        <v>1322</v>
      </c>
      <c r="F593" s="4" t="s">
        <v>377</v>
      </c>
      <c r="G593" s="4" t="s">
        <v>549</v>
      </c>
      <c r="H593" s="4" t="s">
        <v>550</v>
      </c>
      <c r="I593" s="4"/>
      <c r="J593" s="4"/>
      <c r="K593" s="4" t="s">
        <v>406</v>
      </c>
      <c r="L593" s="9"/>
      <c r="M593" s="9"/>
      <c r="N593" s="9"/>
      <c r="O593" s="9"/>
      <c r="P593" s="9"/>
      <c r="Q593" s="14">
        <v>1.61</v>
      </c>
      <c r="R593" s="1">
        <f t="shared" si="211"/>
        <v>0</v>
      </c>
      <c r="S593" s="2"/>
      <c r="T593" s="2">
        <f t="shared" si="212"/>
        <v>0</v>
      </c>
      <c r="U593" s="9"/>
      <c r="V593" s="9"/>
      <c r="W593" s="9"/>
      <c r="X593" s="9"/>
      <c r="Y593" s="13"/>
      <c r="Z593" s="13">
        <v>15000</v>
      </c>
      <c r="AA593" s="13">
        <v>15000</v>
      </c>
      <c r="AB593" s="13"/>
      <c r="AC593" s="13"/>
      <c r="AD593" s="13"/>
      <c r="AE593" s="9"/>
      <c r="AF593" s="9"/>
      <c r="AG593" s="13">
        <f>AF593</f>
        <v>0</v>
      </c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4"/>
      <c r="AU593" s="9" t="s">
        <v>1106</v>
      </c>
      <c r="AV593" s="4" t="s">
        <v>1220</v>
      </c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>
        <f t="shared" si="213"/>
        <v>24150</v>
      </c>
      <c r="BO593" s="9">
        <f t="shared" si="214"/>
        <v>24150</v>
      </c>
      <c r="BP593" s="9">
        <f t="shared" si="206"/>
        <v>0</v>
      </c>
      <c r="BQ593" s="9">
        <f t="shared" si="207"/>
        <v>0</v>
      </c>
      <c r="BR593" s="9">
        <f t="shared" si="208"/>
        <v>0</v>
      </c>
      <c r="BS593" s="9">
        <f t="shared" si="209"/>
        <v>0</v>
      </c>
      <c r="BT593" s="9">
        <f t="shared" si="210"/>
        <v>0</v>
      </c>
    </row>
    <row r="594" spans="1:72" hidden="1" x14ac:dyDescent="0.25">
      <c r="A594" s="11">
        <f t="shared" si="215"/>
        <v>593</v>
      </c>
      <c r="B594" s="4" t="s">
        <v>548</v>
      </c>
      <c r="C594" s="4" t="s">
        <v>59</v>
      </c>
      <c r="D594" s="4" t="s">
        <v>383</v>
      </c>
      <c r="E594" s="4" t="s">
        <v>1322</v>
      </c>
      <c r="F594" s="4" t="s">
        <v>377</v>
      </c>
      <c r="G594" s="4" t="s">
        <v>324</v>
      </c>
      <c r="H594" s="4" t="s">
        <v>1718</v>
      </c>
      <c r="I594" s="4"/>
      <c r="J594" s="4"/>
      <c r="K594" s="4"/>
      <c r="L594" s="9"/>
      <c r="M594" s="9"/>
      <c r="N594" s="9"/>
      <c r="O594" s="9"/>
      <c r="P594" s="9"/>
      <c r="Q594" s="14">
        <v>0.98</v>
      </c>
      <c r="R594" s="1">
        <f t="shared" si="211"/>
        <v>147000</v>
      </c>
      <c r="S594" s="2"/>
      <c r="T594" s="2">
        <f t="shared" si="212"/>
        <v>150000</v>
      </c>
      <c r="U594" s="9"/>
      <c r="V594" s="9"/>
      <c r="W594" s="9"/>
      <c r="X594" s="9"/>
      <c r="Y594" s="13"/>
      <c r="Z594" s="13">
        <v>30000</v>
      </c>
      <c r="AA594" s="13">
        <v>30000</v>
      </c>
      <c r="AB594" s="13">
        <v>30000</v>
      </c>
      <c r="AC594" s="13">
        <v>30000</v>
      </c>
      <c r="AD594" s="13">
        <v>30000</v>
      </c>
      <c r="AE594" s="9">
        <v>30000</v>
      </c>
      <c r="AF594" s="9">
        <v>30000</v>
      </c>
      <c r="AG594" s="9">
        <v>30000</v>
      </c>
      <c r="AH594" s="9">
        <v>30000</v>
      </c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4"/>
      <c r="AU594" s="9" t="s">
        <v>1106</v>
      </c>
      <c r="AV594" s="4" t="s">
        <v>1220</v>
      </c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>
        <f t="shared" si="213"/>
        <v>29400</v>
      </c>
      <c r="BO594" s="9">
        <f t="shared" si="214"/>
        <v>29400</v>
      </c>
      <c r="BP594" s="9">
        <f t="shared" si="206"/>
        <v>29400</v>
      </c>
      <c r="BQ594" s="9">
        <f t="shared" si="207"/>
        <v>29400</v>
      </c>
      <c r="BR594" s="9">
        <f t="shared" si="208"/>
        <v>29400</v>
      </c>
      <c r="BS594" s="9">
        <f t="shared" si="209"/>
        <v>29400</v>
      </c>
      <c r="BT594" s="9">
        <f t="shared" si="210"/>
        <v>29400</v>
      </c>
    </row>
    <row r="595" spans="1:72" hidden="1" x14ac:dyDescent="0.25">
      <c r="A595" s="11">
        <f t="shared" si="215"/>
        <v>594</v>
      </c>
      <c r="B595" s="4" t="s">
        <v>298</v>
      </c>
      <c r="C595" s="4" t="s">
        <v>186</v>
      </c>
      <c r="D595" s="4" t="s">
        <v>298</v>
      </c>
      <c r="E595" s="4" t="s">
        <v>289</v>
      </c>
      <c r="F595" s="4"/>
      <c r="G595" s="4" t="s">
        <v>1369</v>
      </c>
      <c r="H595" s="4" t="s">
        <v>1742</v>
      </c>
      <c r="I595" s="4"/>
      <c r="J595" s="4"/>
      <c r="K595" s="4"/>
      <c r="L595" s="9"/>
      <c r="M595" s="9" t="s">
        <v>320</v>
      </c>
      <c r="N595" s="9"/>
      <c r="O595" s="9"/>
      <c r="P595" s="9"/>
      <c r="Q595" s="14">
        <v>1</v>
      </c>
      <c r="R595" s="1">
        <f t="shared" si="211"/>
        <v>700000</v>
      </c>
      <c r="S595" s="2"/>
      <c r="T595" s="2">
        <f t="shared" si="212"/>
        <v>700000</v>
      </c>
      <c r="U595" s="9"/>
      <c r="V595" s="9"/>
      <c r="W595" s="9"/>
      <c r="X595" s="9"/>
      <c r="Y595" s="13"/>
      <c r="Z595" s="13"/>
      <c r="AA595" s="13"/>
      <c r="AB595" s="13"/>
      <c r="AC595" s="13"/>
      <c r="AD595" s="13">
        <v>200000</v>
      </c>
      <c r="AE595" s="9">
        <v>250000</v>
      </c>
      <c r="AF595" s="9">
        <v>250000</v>
      </c>
      <c r="AG595" s="9">
        <v>250000</v>
      </c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4"/>
      <c r="AU595" s="9" t="s">
        <v>1288</v>
      </c>
      <c r="AV595" s="4" t="s">
        <v>1218</v>
      </c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>
        <f t="shared" si="213"/>
        <v>0</v>
      </c>
      <c r="BO595" s="9">
        <f t="shared" si="214"/>
        <v>0</v>
      </c>
      <c r="BP595" s="9">
        <f t="shared" si="206"/>
        <v>0</v>
      </c>
      <c r="BQ595" s="9">
        <f t="shared" si="207"/>
        <v>0</v>
      </c>
      <c r="BR595" s="9">
        <f t="shared" si="208"/>
        <v>200000</v>
      </c>
      <c r="BS595" s="9">
        <f t="shared" si="209"/>
        <v>250000</v>
      </c>
      <c r="BT595" s="9">
        <f t="shared" si="210"/>
        <v>250000</v>
      </c>
    </row>
    <row r="596" spans="1:72" hidden="1" x14ac:dyDescent="0.25">
      <c r="A596" s="11">
        <f t="shared" si="215"/>
        <v>595</v>
      </c>
      <c r="B596" s="3" t="s">
        <v>1737</v>
      </c>
      <c r="C596" s="4" t="s">
        <v>59</v>
      </c>
      <c r="D596" s="4" t="s">
        <v>1546</v>
      </c>
      <c r="E596" s="4" t="s">
        <v>1735</v>
      </c>
      <c r="F596" s="4"/>
      <c r="G596" s="4" t="s">
        <v>1327</v>
      </c>
      <c r="H596" s="4" t="s">
        <v>1734</v>
      </c>
      <c r="I596" s="4"/>
      <c r="J596" s="4"/>
      <c r="K596" s="4"/>
      <c r="L596" s="13"/>
      <c r="M596" s="4"/>
      <c r="N596" s="5"/>
      <c r="O596" s="3"/>
      <c r="P596" s="29"/>
      <c r="Q596" s="14">
        <v>0.2</v>
      </c>
      <c r="R596" s="1">
        <f t="shared" si="211"/>
        <v>200000</v>
      </c>
      <c r="S596" s="40"/>
      <c r="T596" s="2">
        <f t="shared" si="212"/>
        <v>1000000</v>
      </c>
      <c r="U596" s="13"/>
      <c r="V596" s="13"/>
      <c r="W596" s="13"/>
      <c r="X596" s="13"/>
      <c r="Y596" s="13"/>
      <c r="Z596" s="13"/>
      <c r="AA596" s="13">
        <v>200000</v>
      </c>
      <c r="AB596" s="13">
        <v>200000</v>
      </c>
      <c r="AC596" s="13">
        <v>200000</v>
      </c>
      <c r="AD596" s="13">
        <v>200000</v>
      </c>
      <c r="AE596" s="13">
        <v>200000</v>
      </c>
      <c r="AF596" s="13">
        <v>200000</v>
      </c>
      <c r="AG596" s="13">
        <f t="shared" ref="AG596:AG599" si="217">AF596</f>
        <v>200000</v>
      </c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4"/>
      <c r="AU596" s="4" t="s">
        <v>1741</v>
      </c>
      <c r="AV596" s="4" t="s">
        <v>1218</v>
      </c>
      <c r="AW596" s="4"/>
      <c r="AX596" s="4"/>
      <c r="AY596" s="4"/>
      <c r="AZ596" s="4"/>
      <c r="BA596" s="4"/>
      <c r="BB596" s="4"/>
      <c r="BC596" s="4"/>
      <c r="BD596" s="23"/>
      <c r="BE596" s="4"/>
      <c r="BF596" s="4"/>
      <c r="BG596" s="4"/>
      <c r="BH596" s="4"/>
      <c r="BI596" s="4"/>
      <c r="BJ596" s="4"/>
      <c r="BK596" s="3"/>
      <c r="BL596" s="3"/>
      <c r="BM596" s="9"/>
      <c r="BN596" s="9">
        <f t="shared" si="213"/>
        <v>0</v>
      </c>
      <c r="BO596" s="9">
        <f t="shared" si="214"/>
        <v>40000</v>
      </c>
      <c r="BP596" s="9">
        <f t="shared" si="206"/>
        <v>40000</v>
      </c>
      <c r="BQ596" s="9">
        <f t="shared" si="207"/>
        <v>40000</v>
      </c>
      <c r="BR596" s="9">
        <f t="shared" si="208"/>
        <v>40000</v>
      </c>
      <c r="BS596" s="9">
        <f t="shared" si="209"/>
        <v>40000</v>
      </c>
      <c r="BT596" s="9">
        <f t="shared" si="210"/>
        <v>40000</v>
      </c>
    </row>
    <row r="597" spans="1:72" hidden="1" x14ac:dyDescent="0.25">
      <c r="A597" s="11">
        <f t="shared" si="215"/>
        <v>596</v>
      </c>
      <c r="B597" s="3" t="s">
        <v>1738</v>
      </c>
      <c r="C597" s="4" t="s">
        <v>59</v>
      </c>
      <c r="D597" s="4" t="s">
        <v>1546</v>
      </c>
      <c r="E597" s="4" t="s">
        <v>1735</v>
      </c>
      <c r="F597" s="4"/>
      <c r="G597" s="4" t="s">
        <v>177</v>
      </c>
      <c r="H597" s="4" t="s">
        <v>178</v>
      </c>
      <c r="I597" s="4"/>
      <c r="J597" s="4"/>
      <c r="K597" s="4"/>
      <c r="L597" s="13"/>
      <c r="M597" s="4"/>
      <c r="N597" s="5"/>
      <c r="O597" s="3"/>
      <c r="P597" s="29"/>
      <c r="Q597" s="14">
        <v>0.121</v>
      </c>
      <c r="R597" s="1">
        <f t="shared" si="211"/>
        <v>23595</v>
      </c>
      <c r="S597" s="40"/>
      <c r="T597" s="2">
        <f t="shared" si="212"/>
        <v>195000</v>
      </c>
      <c r="U597" s="13"/>
      <c r="V597" s="13"/>
      <c r="W597" s="13"/>
      <c r="X597" s="13"/>
      <c r="Y597" s="13"/>
      <c r="Z597" s="13"/>
      <c r="AA597" s="13">
        <v>39000</v>
      </c>
      <c r="AB597" s="13">
        <v>39000</v>
      </c>
      <c r="AC597" s="13">
        <v>39000</v>
      </c>
      <c r="AD597" s="13">
        <v>39000</v>
      </c>
      <c r="AE597" s="13">
        <v>39000</v>
      </c>
      <c r="AF597" s="13">
        <v>39000</v>
      </c>
      <c r="AG597" s="13">
        <f t="shared" si="217"/>
        <v>39000</v>
      </c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4"/>
      <c r="AU597" s="4" t="s">
        <v>1741</v>
      </c>
      <c r="AV597" s="4" t="s">
        <v>1218</v>
      </c>
      <c r="AW597" s="4"/>
      <c r="AX597" s="4"/>
      <c r="AY597" s="4"/>
      <c r="AZ597" s="4"/>
      <c r="BA597" s="4"/>
      <c r="BB597" s="4"/>
      <c r="BC597" s="4"/>
      <c r="BD597" s="23"/>
      <c r="BE597" s="4"/>
      <c r="BF597" s="4"/>
      <c r="BG597" s="4"/>
      <c r="BH597" s="4"/>
      <c r="BI597" s="4"/>
      <c r="BJ597" s="4"/>
      <c r="BK597" s="3"/>
      <c r="BL597" s="3"/>
      <c r="BM597" s="9"/>
      <c r="BN597" s="9">
        <f t="shared" si="213"/>
        <v>0</v>
      </c>
      <c r="BO597" s="9">
        <f t="shared" si="214"/>
        <v>4719</v>
      </c>
      <c r="BP597" s="9">
        <f t="shared" si="206"/>
        <v>4719</v>
      </c>
      <c r="BQ597" s="9">
        <f t="shared" si="207"/>
        <v>4719</v>
      </c>
      <c r="BR597" s="9">
        <f t="shared" si="208"/>
        <v>4719</v>
      </c>
      <c r="BS597" s="9">
        <f t="shared" si="209"/>
        <v>4719</v>
      </c>
      <c r="BT597" s="9">
        <f t="shared" si="210"/>
        <v>4719</v>
      </c>
    </row>
    <row r="598" spans="1:72" hidden="1" x14ac:dyDescent="0.25">
      <c r="A598" s="11">
        <f t="shared" si="215"/>
        <v>597</v>
      </c>
      <c r="B598" s="3" t="s">
        <v>1739</v>
      </c>
      <c r="C598" s="4" t="s">
        <v>59</v>
      </c>
      <c r="D598" s="4" t="s">
        <v>1546</v>
      </c>
      <c r="E598" s="4" t="s">
        <v>1735</v>
      </c>
      <c r="F598" s="4"/>
      <c r="G598" s="4" t="s">
        <v>152</v>
      </c>
      <c r="H598" s="4" t="s">
        <v>153</v>
      </c>
      <c r="I598" s="4"/>
      <c r="J598" s="4"/>
      <c r="K598" s="4"/>
      <c r="L598" s="13"/>
      <c r="M598" s="4"/>
      <c r="N598" s="5"/>
      <c r="O598" s="3"/>
      <c r="P598" s="29"/>
      <c r="Q598" s="14">
        <v>0.10199999999999999</v>
      </c>
      <c r="R598" s="1">
        <f t="shared" si="211"/>
        <v>16830</v>
      </c>
      <c r="S598" s="40"/>
      <c r="T598" s="2">
        <f t="shared" si="212"/>
        <v>165000</v>
      </c>
      <c r="U598" s="13"/>
      <c r="V598" s="13"/>
      <c r="W598" s="13"/>
      <c r="X598" s="13"/>
      <c r="Y598" s="13"/>
      <c r="Z598" s="13"/>
      <c r="AA598" s="13">
        <v>33000</v>
      </c>
      <c r="AB598" s="13">
        <v>33000</v>
      </c>
      <c r="AC598" s="13">
        <v>33000</v>
      </c>
      <c r="AD598" s="13">
        <v>33000</v>
      </c>
      <c r="AE598" s="13">
        <v>33000</v>
      </c>
      <c r="AF598" s="13">
        <v>33000</v>
      </c>
      <c r="AG598" s="13">
        <f t="shared" si="217"/>
        <v>33000</v>
      </c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4"/>
      <c r="AU598" s="4" t="s">
        <v>1741</v>
      </c>
      <c r="AV598" s="4" t="s">
        <v>1218</v>
      </c>
      <c r="AW598" s="4"/>
      <c r="AX598" s="4"/>
      <c r="AY598" s="4"/>
      <c r="AZ598" s="4"/>
      <c r="BA598" s="4"/>
      <c r="BB598" s="4"/>
      <c r="BC598" s="4"/>
      <c r="BD598" s="23"/>
      <c r="BE598" s="4"/>
      <c r="BF598" s="4"/>
      <c r="BG598" s="4"/>
      <c r="BH598" s="4"/>
      <c r="BI598" s="4"/>
      <c r="BJ598" s="4"/>
      <c r="BK598" s="3"/>
      <c r="BL598" s="3"/>
      <c r="BM598" s="9"/>
      <c r="BN598" s="9">
        <f t="shared" si="213"/>
        <v>0</v>
      </c>
      <c r="BO598" s="9">
        <f t="shared" si="214"/>
        <v>3366</v>
      </c>
      <c r="BP598" s="9">
        <f t="shared" si="206"/>
        <v>3366</v>
      </c>
      <c r="BQ598" s="9">
        <f t="shared" si="207"/>
        <v>3366</v>
      </c>
      <c r="BR598" s="9">
        <f t="shared" si="208"/>
        <v>3366</v>
      </c>
      <c r="BS598" s="9">
        <f t="shared" si="209"/>
        <v>3366</v>
      </c>
      <c r="BT598" s="9">
        <f t="shared" si="210"/>
        <v>3366</v>
      </c>
    </row>
    <row r="599" spans="1:72" hidden="1" x14ac:dyDescent="0.25">
      <c r="A599" s="11">
        <f t="shared" si="215"/>
        <v>598</v>
      </c>
      <c r="B599" s="4" t="s">
        <v>1740</v>
      </c>
      <c r="C599" s="4" t="s">
        <v>59</v>
      </c>
      <c r="D599" s="4" t="s">
        <v>1740</v>
      </c>
      <c r="E599" s="4" t="s">
        <v>1735</v>
      </c>
      <c r="F599" s="4"/>
      <c r="G599" s="4" t="s">
        <v>1311</v>
      </c>
      <c r="H599" s="4" t="s">
        <v>1727</v>
      </c>
      <c r="I599" s="4"/>
      <c r="J599" s="4"/>
      <c r="K599" s="4"/>
      <c r="L599" s="13"/>
      <c r="M599" s="4"/>
      <c r="N599" s="5"/>
      <c r="O599" s="3"/>
      <c r="P599" s="29"/>
      <c r="Q599" s="14">
        <v>5.15</v>
      </c>
      <c r="R599" s="1">
        <f t="shared" ref="R599" si="218">Q599*T599</f>
        <v>2060000.0000000002</v>
      </c>
      <c r="S599" s="40"/>
      <c r="T599" s="2">
        <f t="shared" si="212"/>
        <v>400000</v>
      </c>
      <c r="U599" s="13"/>
      <c r="V599" s="13"/>
      <c r="W599" s="13"/>
      <c r="X599" s="13"/>
      <c r="Y599" s="13"/>
      <c r="Z599" s="13">
        <v>80000</v>
      </c>
      <c r="AA599" s="13">
        <v>80000</v>
      </c>
      <c r="AB599" s="13">
        <v>80000</v>
      </c>
      <c r="AC599" s="13">
        <v>80000</v>
      </c>
      <c r="AD599" s="13">
        <v>80000</v>
      </c>
      <c r="AE599" s="13">
        <v>80000</v>
      </c>
      <c r="AF599" s="13">
        <v>80000</v>
      </c>
      <c r="AG599" s="13">
        <f t="shared" si="217"/>
        <v>80000</v>
      </c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4"/>
      <c r="AU599" s="4" t="s">
        <v>1741</v>
      </c>
      <c r="AV599" s="4" t="s">
        <v>585</v>
      </c>
      <c r="AW599" s="4"/>
      <c r="AX599" s="4"/>
      <c r="AY599" s="4"/>
      <c r="AZ599" s="4"/>
      <c r="BA599" s="4"/>
      <c r="BB599" s="4"/>
      <c r="BC599" s="4"/>
      <c r="BD599" s="23"/>
      <c r="BE599" s="4"/>
      <c r="BF599" s="4"/>
      <c r="BG599" s="4"/>
      <c r="BH599" s="4"/>
      <c r="BI599" s="4"/>
      <c r="BJ599" s="4"/>
      <c r="BK599" s="3"/>
      <c r="BL599" s="3"/>
      <c r="BM599" s="9"/>
      <c r="BN599" s="9">
        <f t="shared" ref="BN599" si="219">$Q599*Z599</f>
        <v>412000</v>
      </c>
      <c r="BO599" s="9">
        <f t="shared" ref="BO599" si="220">$Q599*AA599</f>
        <v>412000</v>
      </c>
      <c r="BP599" s="9">
        <f t="shared" si="206"/>
        <v>412000</v>
      </c>
      <c r="BQ599" s="9">
        <f t="shared" si="207"/>
        <v>412000</v>
      </c>
      <c r="BR599" s="9">
        <f t="shared" si="208"/>
        <v>412000</v>
      </c>
      <c r="BS599" s="9">
        <f t="shared" si="209"/>
        <v>412000</v>
      </c>
      <c r="BT599" s="9">
        <f t="shared" si="210"/>
        <v>412000</v>
      </c>
    </row>
    <row r="600" spans="1:72" hidden="1" x14ac:dyDescent="0.25">
      <c r="A600" s="11">
        <f t="shared" si="215"/>
        <v>599</v>
      </c>
      <c r="B600" s="4" t="s">
        <v>1740</v>
      </c>
      <c r="C600" s="4" t="s">
        <v>59</v>
      </c>
      <c r="D600" s="4" t="s">
        <v>1740</v>
      </c>
      <c r="E600" s="4" t="s">
        <v>1735</v>
      </c>
      <c r="F600" s="4"/>
      <c r="G600" s="4" t="s">
        <v>1840</v>
      </c>
      <c r="H600" s="4" t="s">
        <v>1841</v>
      </c>
      <c r="I600" s="4"/>
      <c r="J600" s="4"/>
      <c r="K600" s="4"/>
      <c r="L600" s="13"/>
      <c r="M600" s="4"/>
      <c r="N600" s="5"/>
      <c r="O600" s="3"/>
      <c r="P600" s="29"/>
      <c r="Q600" s="14">
        <v>5.15</v>
      </c>
      <c r="R600" s="1">
        <f t="shared" si="211"/>
        <v>309000</v>
      </c>
      <c r="S600" s="40"/>
      <c r="T600" s="2">
        <f t="shared" si="212"/>
        <v>60000</v>
      </c>
      <c r="U600" s="13">
        <v>20000</v>
      </c>
      <c r="V600" s="13">
        <v>20000</v>
      </c>
      <c r="W600" s="13">
        <v>20000</v>
      </c>
      <c r="X600" s="13">
        <v>20000</v>
      </c>
      <c r="Y600" s="13">
        <v>20000</v>
      </c>
      <c r="Z600" s="13">
        <v>20000</v>
      </c>
      <c r="AA600" s="13"/>
      <c r="AB600" s="13"/>
      <c r="AC600" s="13"/>
      <c r="AD600" s="13">
        <v>20000</v>
      </c>
      <c r="AE600" s="13">
        <v>20000</v>
      </c>
      <c r="AF600" s="13">
        <v>20000</v>
      </c>
      <c r="AG600" s="13">
        <v>20000</v>
      </c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4"/>
      <c r="AU600" s="4" t="s">
        <v>1741</v>
      </c>
      <c r="AV600" s="4" t="s">
        <v>585</v>
      </c>
      <c r="AW600" s="4"/>
      <c r="AX600" s="4"/>
      <c r="AY600" s="4"/>
      <c r="AZ600" s="4"/>
      <c r="BA600" s="4"/>
      <c r="BB600" s="4"/>
      <c r="BC600" s="4"/>
      <c r="BD600" s="23"/>
      <c r="BE600" s="4"/>
      <c r="BF600" s="4"/>
      <c r="BG600" s="4"/>
      <c r="BH600" s="4"/>
      <c r="BI600" s="4"/>
      <c r="BJ600" s="4"/>
      <c r="BK600" s="3"/>
      <c r="BL600" s="3"/>
      <c r="BM600" s="9"/>
      <c r="BN600" s="9">
        <f t="shared" si="213"/>
        <v>103000</v>
      </c>
      <c r="BO600" s="9">
        <f t="shared" si="214"/>
        <v>0</v>
      </c>
      <c r="BP600" s="9">
        <f t="shared" si="206"/>
        <v>0</v>
      </c>
      <c r="BQ600" s="9">
        <f t="shared" si="207"/>
        <v>0</v>
      </c>
      <c r="BR600" s="9">
        <f t="shared" si="208"/>
        <v>103000</v>
      </c>
      <c r="BS600" s="9">
        <f t="shared" si="209"/>
        <v>103000</v>
      </c>
      <c r="BT600" s="9">
        <f t="shared" si="210"/>
        <v>103000</v>
      </c>
    </row>
    <row r="601" spans="1:72" hidden="1" x14ac:dyDescent="0.25">
      <c r="A601" s="11">
        <f t="shared" si="215"/>
        <v>600</v>
      </c>
      <c r="B601" s="58"/>
      <c r="C601" s="4" t="s">
        <v>59</v>
      </c>
      <c r="D601" s="4" t="s">
        <v>1743</v>
      </c>
      <c r="E601" s="4" t="s">
        <v>1735</v>
      </c>
      <c r="F601" s="58"/>
      <c r="G601" s="4" t="s">
        <v>1744</v>
      </c>
      <c r="H601" s="4" t="s">
        <v>1746</v>
      </c>
      <c r="I601" s="58"/>
      <c r="J601" s="58"/>
      <c r="K601" s="58"/>
      <c r="L601" s="58"/>
      <c r="M601" s="58"/>
      <c r="N601" s="58"/>
      <c r="O601" s="58"/>
      <c r="P601" s="58"/>
      <c r="Q601" s="74">
        <v>3</v>
      </c>
      <c r="R601" s="1">
        <f t="shared" si="211"/>
        <v>450000</v>
      </c>
      <c r="S601" s="58"/>
      <c r="T601" s="2">
        <f t="shared" si="212"/>
        <v>150000</v>
      </c>
      <c r="U601" s="58"/>
      <c r="V601" s="58"/>
      <c r="W601" s="58"/>
      <c r="X601" s="58"/>
      <c r="Y601" s="58"/>
      <c r="Z601" s="58"/>
      <c r="AA601" s="13">
        <v>10000</v>
      </c>
      <c r="AB601" s="13">
        <v>30000</v>
      </c>
      <c r="AC601" s="13">
        <v>30000</v>
      </c>
      <c r="AD601" s="13">
        <v>30000</v>
      </c>
      <c r="AE601" s="13">
        <v>30000</v>
      </c>
      <c r="AF601" s="13">
        <v>30000</v>
      </c>
      <c r="AG601" s="13">
        <f t="shared" ref="AG601:AG608" si="221">AF601</f>
        <v>30000</v>
      </c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4" t="s">
        <v>1741</v>
      </c>
      <c r="AV601" s="4" t="s">
        <v>1216</v>
      </c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9">
        <f t="shared" si="213"/>
        <v>0</v>
      </c>
      <c r="BO601" s="9">
        <f t="shared" si="214"/>
        <v>30000</v>
      </c>
      <c r="BP601" s="9">
        <f t="shared" si="206"/>
        <v>90000</v>
      </c>
      <c r="BQ601" s="9">
        <f t="shared" si="207"/>
        <v>90000</v>
      </c>
      <c r="BR601" s="9">
        <f t="shared" si="208"/>
        <v>90000</v>
      </c>
      <c r="BS601" s="9">
        <f t="shared" si="209"/>
        <v>90000</v>
      </c>
      <c r="BT601" s="9">
        <f t="shared" si="210"/>
        <v>90000</v>
      </c>
    </row>
    <row r="602" spans="1:72" hidden="1" x14ac:dyDescent="0.25">
      <c r="A602" s="11">
        <f t="shared" si="215"/>
        <v>601</v>
      </c>
      <c r="B602" s="58"/>
      <c r="C602" s="4" t="s">
        <v>59</v>
      </c>
      <c r="D602" s="4" t="s">
        <v>1743</v>
      </c>
      <c r="E602" s="4" t="s">
        <v>1735</v>
      </c>
      <c r="F602" s="58"/>
      <c r="G602" s="4" t="s">
        <v>1747</v>
      </c>
      <c r="H602" s="4" t="s">
        <v>1748</v>
      </c>
      <c r="I602" s="58"/>
      <c r="J602" s="58"/>
      <c r="K602" s="58"/>
      <c r="L602" s="58"/>
      <c r="M602" s="58"/>
      <c r="N602" s="58"/>
      <c r="O602" s="58"/>
      <c r="P602" s="58"/>
      <c r="Q602" s="74">
        <v>3</v>
      </c>
      <c r="R602" s="1">
        <f t="shared" si="211"/>
        <v>2250000</v>
      </c>
      <c r="S602" s="58"/>
      <c r="T602" s="2">
        <f t="shared" si="212"/>
        <v>750000</v>
      </c>
      <c r="U602" s="58"/>
      <c r="V602" s="58"/>
      <c r="W602" s="58"/>
      <c r="X602" s="58"/>
      <c r="Y602" s="58"/>
      <c r="Z602" s="58"/>
      <c r="AA602" s="13">
        <v>130000</v>
      </c>
      <c r="AB602" s="13">
        <v>150000</v>
      </c>
      <c r="AC602" s="13">
        <v>150000</v>
      </c>
      <c r="AD602" s="13">
        <v>150000</v>
      </c>
      <c r="AE602" s="13">
        <v>150000</v>
      </c>
      <c r="AF602" s="13">
        <v>150000</v>
      </c>
      <c r="AG602" s="13">
        <f t="shared" si="221"/>
        <v>150000</v>
      </c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4" t="s">
        <v>1741</v>
      </c>
      <c r="AV602" s="4" t="s">
        <v>1216</v>
      </c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9">
        <f t="shared" si="213"/>
        <v>0</v>
      </c>
      <c r="BO602" s="9">
        <f t="shared" si="214"/>
        <v>390000</v>
      </c>
      <c r="BP602" s="9">
        <f t="shared" si="206"/>
        <v>450000</v>
      </c>
      <c r="BQ602" s="9">
        <f t="shared" si="207"/>
        <v>450000</v>
      </c>
      <c r="BR602" s="9">
        <f t="shared" si="208"/>
        <v>450000</v>
      </c>
      <c r="BS602" s="9">
        <f t="shared" si="209"/>
        <v>450000</v>
      </c>
      <c r="BT602" s="9">
        <f t="shared" si="210"/>
        <v>450000</v>
      </c>
    </row>
    <row r="603" spans="1:72" hidden="1" x14ac:dyDescent="0.25">
      <c r="A603" s="11">
        <f t="shared" si="215"/>
        <v>602</v>
      </c>
      <c r="B603" s="58"/>
      <c r="C603" s="4" t="s">
        <v>59</v>
      </c>
      <c r="D603" s="4" t="s">
        <v>1743</v>
      </c>
      <c r="E603" s="4" t="s">
        <v>1735</v>
      </c>
      <c r="F603" s="58"/>
      <c r="G603" s="4" t="s">
        <v>853</v>
      </c>
      <c r="H603" s="58" t="s">
        <v>854</v>
      </c>
      <c r="I603" s="58"/>
      <c r="J603" s="58"/>
      <c r="K603" s="58"/>
      <c r="L603" s="58"/>
      <c r="M603" s="58"/>
      <c r="N603" s="58"/>
      <c r="O603" s="58"/>
      <c r="P603" s="58"/>
      <c r="Q603" s="74">
        <v>2.85</v>
      </c>
      <c r="R603" s="1">
        <f t="shared" si="211"/>
        <v>399000</v>
      </c>
      <c r="S603" s="58"/>
      <c r="T603" s="2">
        <f t="shared" si="212"/>
        <v>140000</v>
      </c>
      <c r="U603" s="58"/>
      <c r="V603" s="58"/>
      <c r="W603" s="58"/>
      <c r="X603" s="58"/>
      <c r="Y603" s="58"/>
      <c r="Z603" s="58"/>
      <c r="AA603" s="58"/>
      <c r="AB603" s="13">
        <v>20000</v>
      </c>
      <c r="AC603" s="13">
        <v>30000</v>
      </c>
      <c r="AD603" s="13">
        <v>30000</v>
      </c>
      <c r="AE603" s="13">
        <v>30000</v>
      </c>
      <c r="AF603" s="13">
        <v>30000</v>
      </c>
      <c r="AG603" s="13">
        <f t="shared" si="221"/>
        <v>30000</v>
      </c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4" t="s">
        <v>1741</v>
      </c>
      <c r="AV603" s="4" t="s">
        <v>1216</v>
      </c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9">
        <f t="shared" si="213"/>
        <v>0</v>
      </c>
      <c r="BO603" s="9">
        <f t="shared" si="214"/>
        <v>0</v>
      </c>
      <c r="BP603" s="9">
        <f t="shared" si="206"/>
        <v>57000</v>
      </c>
      <c r="BQ603" s="9">
        <f t="shared" si="207"/>
        <v>85500</v>
      </c>
      <c r="BR603" s="9">
        <f t="shared" si="208"/>
        <v>85500</v>
      </c>
      <c r="BS603" s="9">
        <f t="shared" si="209"/>
        <v>85500</v>
      </c>
      <c r="BT603" s="9">
        <f t="shared" si="210"/>
        <v>85500</v>
      </c>
    </row>
    <row r="604" spans="1:72" hidden="1" x14ac:dyDescent="0.25">
      <c r="A604" s="11">
        <f t="shared" si="215"/>
        <v>603</v>
      </c>
      <c r="B604" s="58"/>
      <c r="C604" s="4" t="s">
        <v>59</v>
      </c>
      <c r="D604" s="4" t="s">
        <v>1743</v>
      </c>
      <c r="E604" s="4" t="s">
        <v>1735</v>
      </c>
      <c r="F604" s="58"/>
      <c r="G604" s="4" t="s">
        <v>853</v>
      </c>
      <c r="H604" s="58" t="s">
        <v>1745</v>
      </c>
      <c r="I604" s="58"/>
      <c r="J604" s="58"/>
      <c r="K604" s="58"/>
      <c r="L604" s="58"/>
      <c r="M604" s="58"/>
      <c r="N604" s="58"/>
      <c r="O604" s="58"/>
      <c r="P604" s="58"/>
      <c r="Q604" s="74">
        <v>2.85</v>
      </c>
      <c r="R604" s="1">
        <f t="shared" si="211"/>
        <v>399000</v>
      </c>
      <c r="S604" s="58"/>
      <c r="T604" s="2">
        <f t="shared" si="212"/>
        <v>140000</v>
      </c>
      <c r="U604" s="58"/>
      <c r="V604" s="58"/>
      <c r="W604" s="58"/>
      <c r="X604" s="58"/>
      <c r="Y604" s="58"/>
      <c r="Z604" s="58"/>
      <c r="AA604" s="58"/>
      <c r="AB604" s="13">
        <v>20000</v>
      </c>
      <c r="AC604" s="13">
        <v>30000</v>
      </c>
      <c r="AD604" s="13">
        <v>30000</v>
      </c>
      <c r="AE604" s="13">
        <v>30000</v>
      </c>
      <c r="AF604" s="13">
        <v>30000</v>
      </c>
      <c r="AG604" s="13">
        <f t="shared" si="221"/>
        <v>30000</v>
      </c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4" t="s">
        <v>1741</v>
      </c>
      <c r="AV604" s="4" t="s">
        <v>1216</v>
      </c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/>
      <c r="BL604" s="58"/>
      <c r="BM604" s="58"/>
      <c r="BN604" s="9">
        <f t="shared" si="213"/>
        <v>0</v>
      </c>
      <c r="BO604" s="9">
        <f t="shared" si="214"/>
        <v>0</v>
      </c>
      <c r="BP604" s="9">
        <f t="shared" si="206"/>
        <v>57000</v>
      </c>
      <c r="BQ604" s="9">
        <f t="shared" si="207"/>
        <v>85500</v>
      </c>
      <c r="BR604" s="9">
        <f t="shared" si="208"/>
        <v>85500</v>
      </c>
      <c r="BS604" s="9">
        <f t="shared" si="209"/>
        <v>85500</v>
      </c>
      <c r="BT604" s="9">
        <f t="shared" si="210"/>
        <v>85500</v>
      </c>
    </row>
    <row r="605" spans="1:72" hidden="1" x14ac:dyDescent="0.25">
      <c r="A605" s="11">
        <f t="shared" si="215"/>
        <v>604</v>
      </c>
      <c r="B605" s="5" t="s">
        <v>2093</v>
      </c>
      <c r="C605" s="4" t="s">
        <v>59</v>
      </c>
      <c r="D605" s="4" t="s">
        <v>1743</v>
      </c>
      <c r="E605" s="4" t="s">
        <v>1735</v>
      </c>
      <c r="F605" s="4"/>
      <c r="G605" s="4" t="s">
        <v>300</v>
      </c>
      <c r="H605" s="4" t="s">
        <v>437</v>
      </c>
      <c r="I605" s="4"/>
      <c r="J605" s="4"/>
      <c r="K605" s="4"/>
      <c r="L605" s="24"/>
      <c r="M605" s="13"/>
      <c r="N605" s="5"/>
      <c r="O605" s="4"/>
      <c r="P605" s="4"/>
      <c r="Q605" s="42">
        <v>2.4</v>
      </c>
      <c r="R605" s="1">
        <f t="shared" si="211"/>
        <v>720000</v>
      </c>
      <c r="S605" s="38"/>
      <c r="T605" s="2">
        <f t="shared" si="212"/>
        <v>300000</v>
      </c>
      <c r="U605" s="24"/>
      <c r="V605" s="24"/>
      <c r="W605" s="13"/>
      <c r="X605" s="13"/>
      <c r="Y605" s="13"/>
      <c r="Z605" s="13"/>
      <c r="AA605" s="24">
        <v>60000</v>
      </c>
      <c r="AB605" s="13">
        <v>60000</v>
      </c>
      <c r="AC605" s="13">
        <v>60000</v>
      </c>
      <c r="AD605" s="13">
        <v>60000</v>
      </c>
      <c r="AE605" s="13">
        <v>60000</v>
      </c>
      <c r="AF605" s="13">
        <v>60000</v>
      </c>
      <c r="AG605" s="13">
        <f t="shared" si="221"/>
        <v>60000</v>
      </c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4"/>
      <c r="AU605" s="4" t="s">
        <v>1741</v>
      </c>
      <c r="AV605" s="4" t="s">
        <v>1217</v>
      </c>
      <c r="AW605" s="4"/>
      <c r="AX605" s="4"/>
      <c r="AY605" s="4"/>
      <c r="AZ605" s="4"/>
      <c r="BA605" s="4"/>
      <c r="BB605" s="4"/>
      <c r="BC605" s="4"/>
      <c r="BD605" s="23"/>
      <c r="BE605" s="4"/>
      <c r="BF605" s="18"/>
      <c r="BG605" s="18"/>
      <c r="BH605" s="18"/>
      <c r="BI605" s="18"/>
      <c r="BJ605" s="18"/>
      <c r="BK605" s="26"/>
      <c r="BL605" s="13"/>
      <c r="BM605" s="9"/>
      <c r="BN605" s="9">
        <f t="shared" si="213"/>
        <v>0</v>
      </c>
      <c r="BO605" s="9">
        <f t="shared" si="214"/>
        <v>144000</v>
      </c>
      <c r="BP605" s="9">
        <f t="shared" si="206"/>
        <v>144000</v>
      </c>
      <c r="BQ605" s="9">
        <f t="shared" si="207"/>
        <v>144000</v>
      </c>
      <c r="BR605" s="9">
        <f t="shared" si="208"/>
        <v>144000</v>
      </c>
      <c r="BS605" s="9">
        <f t="shared" si="209"/>
        <v>144000</v>
      </c>
      <c r="BT605" s="9">
        <f t="shared" si="210"/>
        <v>144000</v>
      </c>
    </row>
    <row r="606" spans="1:72" hidden="1" x14ac:dyDescent="0.25">
      <c r="A606" s="11">
        <f t="shared" si="215"/>
        <v>605</v>
      </c>
      <c r="B606" s="58"/>
      <c r="C606" s="4" t="s">
        <v>59</v>
      </c>
      <c r="D606" s="4" t="s">
        <v>1743</v>
      </c>
      <c r="E606" s="4" t="s">
        <v>1735</v>
      </c>
      <c r="F606" s="58"/>
      <c r="G606" s="4" t="s">
        <v>397</v>
      </c>
      <c r="H606" s="4" t="s">
        <v>1749</v>
      </c>
      <c r="I606" s="58"/>
      <c r="J606" s="58"/>
      <c r="K606" s="58"/>
      <c r="L606" s="58"/>
      <c r="M606" s="58"/>
      <c r="N606" s="58"/>
      <c r="O606" s="58"/>
      <c r="P606" s="58"/>
      <c r="Q606" s="74">
        <v>2.4</v>
      </c>
      <c r="R606" s="1">
        <f t="shared" si="211"/>
        <v>120000</v>
      </c>
      <c r="S606" s="58"/>
      <c r="T606" s="2">
        <f t="shared" si="212"/>
        <v>50000</v>
      </c>
      <c r="U606" s="58"/>
      <c r="V606" s="58"/>
      <c r="W606" s="58"/>
      <c r="X606" s="58"/>
      <c r="Y606" s="58"/>
      <c r="Z606" s="58"/>
      <c r="AA606" s="13">
        <v>10000</v>
      </c>
      <c r="AB606" s="13">
        <v>10000</v>
      </c>
      <c r="AC606" s="13">
        <v>10000</v>
      </c>
      <c r="AD606" s="13">
        <v>10000</v>
      </c>
      <c r="AE606" s="13">
        <v>10000</v>
      </c>
      <c r="AF606" s="13">
        <v>10000</v>
      </c>
      <c r="AG606" s="13">
        <f t="shared" si="221"/>
        <v>10000</v>
      </c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4" t="s">
        <v>1741</v>
      </c>
      <c r="AV606" s="58" t="s">
        <v>1217</v>
      </c>
      <c r="AW606" s="58"/>
      <c r="AX606" s="58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9">
        <f t="shared" si="213"/>
        <v>0</v>
      </c>
      <c r="BO606" s="9">
        <f t="shared" si="214"/>
        <v>24000</v>
      </c>
      <c r="BP606" s="9">
        <f t="shared" si="206"/>
        <v>24000</v>
      </c>
      <c r="BQ606" s="9">
        <f t="shared" si="207"/>
        <v>24000</v>
      </c>
      <c r="BR606" s="9">
        <f t="shared" si="208"/>
        <v>24000</v>
      </c>
      <c r="BS606" s="9">
        <f t="shared" si="209"/>
        <v>24000</v>
      </c>
      <c r="BT606" s="9">
        <f t="shared" si="210"/>
        <v>24000</v>
      </c>
    </row>
    <row r="607" spans="1:72" hidden="1" x14ac:dyDescent="0.25">
      <c r="A607" s="11">
        <f t="shared" si="215"/>
        <v>606</v>
      </c>
      <c r="B607" s="5" t="s">
        <v>1764</v>
      </c>
      <c r="C607" s="4" t="s">
        <v>59</v>
      </c>
      <c r="D607" s="4" t="s">
        <v>1123</v>
      </c>
      <c r="E607" s="4" t="s">
        <v>1682</v>
      </c>
      <c r="F607" s="4" t="s">
        <v>1686</v>
      </c>
      <c r="G607" s="4" t="s">
        <v>690</v>
      </c>
      <c r="H607" s="4" t="s">
        <v>1090</v>
      </c>
      <c r="I607" s="4"/>
      <c r="J607" s="4"/>
      <c r="K607" s="5" t="s">
        <v>1765</v>
      </c>
      <c r="L607" s="24">
        <v>120000</v>
      </c>
      <c r="M607" s="13" t="s">
        <v>74</v>
      </c>
      <c r="N607" s="5"/>
      <c r="O607" s="4" t="s">
        <v>453</v>
      </c>
      <c r="P607" s="4"/>
      <c r="Q607" s="42">
        <v>0.85</v>
      </c>
      <c r="R607" s="1">
        <f t="shared" si="211"/>
        <v>12750</v>
      </c>
      <c r="S607" s="38">
        <v>0</v>
      </c>
      <c r="T607" s="2">
        <f t="shared" si="212"/>
        <v>15000</v>
      </c>
      <c r="U607" s="24"/>
      <c r="V607" s="24"/>
      <c r="W607" s="24"/>
      <c r="X607" s="13"/>
      <c r="Y607" s="13"/>
      <c r="Z607" s="13"/>
      <c r="AA607" s="13"/>
      <c r="AB607" s="13"/>
      <c r="AC607" s="13"/>
      <c r="AD607" s="13">
        <v>5000</v>
      </c>
      <c r="AE607" s="13">
        <v>5000</v>
      </c>
      <c r="AF607" s="13">
        <v>5000</v>
      </c>
      <c r="AG607" s="13">
        <f t="shared" si="221"/>
        <v>5000</v>
      </c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4"/>
      <c r="AU607" s="4" t="s">
        <v>1106</v>
      </c>
      <c r="AV607" s="4" t="s">
        <v>1218</v>
      </c>
      <c r="AW607" s="4"/>
      <c r="AX607" s="4"/>
      <c r="AY607" s="4"/>
      <c r="AZ607" s="4"/>
      <c r="BA607" s="4"/>
      <c r="BB607" s="4"/>
      <c r="BC607" s="4"/>
      <c r="BD607" s="23"/>
      <c r="BE607" s="4"/>
      <c r="BF607" s="18"/>
      <c r="BG607" s="18"/>
      <c r="BH607" s="18"/>
      <c r="BI607" s="18"/>
      <c r="BJ607" s="18"/>
      <c r="BK607" s="26"/>
      <c r="BL607" s="13"/>
      <c r="BM607" s="9"/>
      <c r="BN607" s="9"/>
      <c r="BO607" s="9"/>
      <c r="BP607" s="9">
        <f t="shared" si="206"/>
        <v>0</v>
      </c>
      <c r="BQ607" s="9">
        <f t="shared" si="207"/>
        <v>0</v>
      </c>
      <c r="BR607" s="9">
        <f t="shared" si="208"/>
        <v>4250</v>
      </c>
      <c r="BS607" s="9">
        <f t="shared" si="209"/>
        <v>4250</v>
      </c>
      <c r="BT607" s="9">
        <f t="shared" si="210"/>
        <v>4250</v>
      </c>
    </row>
    <row r="608" spans="1:72" hidden="1" x14ac:dyDescent="0.25">
      <c r="A608" s="11">
        <f t="shared" si="215"/>
        <v>607</v>
      </c>
      <c r="B608" s="5" t="s">
        <v>1766</v>
      </c>
      <c r="C608" s="4" t="s">
        <v>59</v>
      </c>
      <c r="D608" s="4" t="s">
        <v>1207</v>
      </c>
      <c r="E608" s="4" t="s">
        <v>1682</v>
      </c>
      <c r="F608" s="4" t="s">
        <v>1240</v>
      </c>
      <c r="G608" s="4" t="s">
        <v>332</v>
      </c>
      <c r="H608" s="4" t="s">
        <v>1297</v>
      </c>
      <c r="I608" s="4"/>
      <c r="J608" s="4"/>
      <c r="K608" s="5" t="s">
        <v>319</v>
      </c>
      <c r="L608" s="24">
        <v>150000</v>
      </c>
      <c r="M608" s="13" t="s">
        <v>74</v>
      </c>
      <c r="N608" s="5"/>
      <c r="O608" s="4" t="s">
        <v>453</v>
      </c>
      <c r="P608" s="4"/>
      <c r="Q608" s="42">
        <v>6.73</v>
      </c>
      <c r="R608" s="1">
        <f t="shared" si="211"/>
        <v>201900</v>
      </c>
      <c r="S608" s="38">
        <v>0</v>
      </c>
      <c r="T608" s="2">
        <f t="shared" si="212"/>
        <v>30000</v>
      </c>
      <c r="U608" s="24"/>
      <c r="V608" s="24"/>
      <c r="W608" s="24"/>
      <c r="X608" s="13"/>
      <c r="Y608" s="13"/>
      <c r="Z608" s="13">
        <v>5000</v>
      </c>
      <c r="AA608" s="13"/>
      <c r="AB608" s="13"/>
      <c r="AC608" s="13"/>
      <c r="AD608" s="13">
        <v>10000</v>
      </c>
      <c r="AE608" s="13">
        <v>10000</v>
      </c>
      <c r="AF608" s="13">
        <v>10000</v>
      </c>
      <c r="AG608" s="13">
        <f t="shared" si="221"/>
        <v>10000</v>
      </c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4"/>
      <c r="AU608" s="4" t="s">
        <v>1106</v>
      </c>
      <c r="AV608" s="4" t="s">
        <v>1220</v>
      </c>
      <c r="AW608" s="4"/>
      <c r="AX608" s="4"/>
      <c r="AY608" s="4"/>
      <c r="AZ608" s="4"/>
      <c r="BA608" s="4"/>
      <c r="BB608" s="4"/>
      <c r="BC608" s="4"/>
      <c r="BD608" s="23"/>
      <c r="BE608" s="4"/>
      <c r="BF608" s="18"/>
      <c r="BG608" s="18"/>
      <c r="BH608" s="18"/>
      <c r="BI608" s="18"/>
      <c r="BJ608" s="18"/>
      <c r="BK608" s="26"/>
      <c r="BL608" s="13"/>
      <c r="BM608" s="9"/>
      <c r="BN608" s="9"/>
      <c r="BO608" s="9"/>
      <c r="BP608" s="9">
        <f t="shared" si="206"/>
        <v>0</v>
      </c>
      <c r="BQ608" s="9">
        <f t="shared" si="207"/>
        <v>0</v>
      </c>
      <c r="BR608" s="9">
        <f t="shared" si="208"/>
        <v>67300</v>
      </c>
      <c r="BS608" s="9">
        <f t="shared" si="209"/>
        <v>67300</v>
      </c>
      <c r="BT608" s="9">
        <f t="shared" si="210"/>
        <v>67300</v>
      </c>
    </row>
    <row r="609" spans="1:72" hidden="1" x14ac:dyDescent="0.25">
      <c r="A609" s="11">
        <f t="shared" si="215"/>
        <v>608</v>
      </c>
      <c r="B609" s="5" t="s">
        <v>496</v>
      </c>
      <c r="C609" s="4" t="s">
        <v>59</v>
      </c>
      <c r="D609" s="4" t="s">
        <v>490</v>
      </c>
      <c r="E609" s="4" t="s">
        <v>1322</v>
      </c>
      <c r="F609" s="4" t="s">
        <v>479</v>
      </c>
      <c r="G609" s="4" t="s">
        <v>1381</v>
      </c>
      <c r="H609" s="4" t="s">
        <v>1051</v>
      </c>
      <c r="I609" s="4">
        <v>2642</v>
      </c>
      <c r="J609" s="4"/>
      <c r="K609" s="5" t="s">
        <v>499</v>
      </c>
      <c r="L609" s="24"/>
      <c r="M609" s="13"/>
      <c r="N609" s="5"/>
      <c r="O609" s="4"/>
      <c r="P609" s="4"/>
      <c r="Q609" s="42">
        <v>0.32</v>
      </c>
      <c r="R609" s="1">
        <f t="shared" si="211"/>
        <v>80000</v>
      </c>
      <c r="S609" s="38">
        <v>0</v>
      </c>
      <c r="T609" s="2">
        <f t="shared" si="212"/>
        <v>250000</v>
      </c>
      <c r="U609" s="24"/>
      <c r="V609" s="24"/>
      <c r="W609" s="24"/>
      <c r="X609" s="13"/>
      <c r="Y609" s="13"/>
      <c r="Z609" s="13"/>
      <c r="AA609" s="13"/>
      <c r="AB609" s="13">
        <v>50000</v>
      </c>
      <c r="AC609" s="13">
        <v>50000</v>
      </c>
      <c r="AD609" s="13">
        <v>50000</v>
      </c>
      <c r="AE609" s="13">
        <v>50000</v>
      </c>
      <c r="AF609" s="13">
        <v>50000</v>
      </c>
      <c r="AG609" s="13">
        <v>50000</v>
      </c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4"/>
      <c r="AU609" s="4" t="s">
        <v>1106</v>
      </c>
      <c r="AV609" s="4" t="s">
        <v>1218</v>
      </c>
      <c r="AW609" s="4"/>
      <c r="AX609" s="4"/>
      <c r="AY609" s="4"/>
      <c r="AZ609" s="4"/>
      <c r="BA609" s="4"/>
      <c r="BB609" s="4"/>
      <c r="BC609" s="4"/>
      <c r="BD609" s="23"/>
      <c r="BE609" s="4"/>
      <c r="BF609" s="18"/>
      <c r="BG609" s="18"/>
      <c r="BH609" s="18"/>
      <c r="BI609" s="18"/>
      <c r="BJ609" s="18"/>
      <c r="BK609" s="26"/>
      <c r="BL609" s="13"/>
      <c r="BM609" s="9">
        <f t="shared" ref="BM609" si="222">$Q609*Y609</f>
        <v>0</v>
      </c>
      <c r="BN609" s="9">
        <f t="shared" ref="BN609" si="223">$Q609*Z609</f>
        <v>0</v>
      </c>
      <c r="BO609" s="9">
        <f t="shared" ref="BO609" si="224">$Q609*AA609</f>
        <v>0</v>
      </c>
      <c r="BP609" s="9">
        <f t="shared" si="206"/>
        <v>16000</v>
      </c>
      <c r="BQ609" s="9">
        <f t="shared" si="207"/>
        <v>16000</v>
      </c>
      <c r="BR609" s="9">
        <f t="shared" si="208"/>
        <v>16000</v>
      </c>
      <c r="BS609" s="9">
        <f t="shared" si="209"/>
        <v>16000</v>
      </c>
      <c r="BT609" s="9">
        <f t="shared" si="210"/>
        <v>16000</v>
      </c>
    </row>
    <row r="610" spans="1:72" hidden="1" x14ac:dyDescent="0.25">
      <c r="A610" s="11">
        <f t="shared" si="215"/>
        <v>609</v>
      </c>
      <c r="B610" s="5" t="s">
        <v>546</v>
      </c>
      <c r="C610" s="4" t="s">
        <v>59</v>
      </c>
      <c r="D610" s="4" t="s">
        <v>383</v>
      </c>
      <c r="E610" s="4" t="s">
        <v>1322</v>
      </c>
      <c r="F610" s="4" t="s">
        <v>377</v>
      </c>
      <c r="G610" s="4" t="s">
        <v>537</v>
      </c>
      <c r="H610" s="4" t="s">
        <v>1789</v>
      </c>
      <c r="I610" s="4"/>
      <c r="J610" s="4"/>
      <c r="K610" s="5" t="s">
        <v>420</v>
      </c>
      <c r="L610" s="24"/>
      <c r="M610" s="13"/>
      <c r="N610" s="5"/>
      <c r="O610" s="4"/>
      <c r="P610" s="4"/>
      <c r="Q610" s="42">
        <v>2.0499999999999998</v>
      </c>
      <c r="R610" s="1">
        <f t="shared" si="211"/>
        <v>418199.99999999994</v>
      </c>
      <c r="S610" s="38"/>
      <c r="T610" s="2">
        <f t="shared" si="212"/>
        <v>204000</v>
      </c>
      <c r="U610" s="24"/>
      <c r="V610" s="24"/>
      <c r="W610" s="24"/>
      <c r="X610" s="13"/>
      <c r="Y610" s="13"/>
      <c r="Z610" s="13"/>
      <c r="AA610" s="13"/>
      <c r="AB610" s="13">
        <v>40000</v>
      </c>
      <c r="AC610" s="13">
        <v>41000</v>
      </c>
      <c r="AD610" s="13">
        <v>41000</v>
      </c>
      <c r="AE610" s="13">
        <v>41000</v>
      </c>
      <c r="AF610" s="13">
        <v>41000</v>
      </c>
      <c r="AG610" s="13">
        <v>41000</v>
      </c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4"/>
      <c r="AU610" s="4" t="s">
        <v>1106</v>
      </c>
      <c r="AV610" s="4" t="str">
        <f>VLOOKUP(G610,[1]原表!$O:$Q,3,0)</f>
        <v>速度传感器</v>
      </c>
      <c r="AW610" s="4"/>
      <c r="AX610" s="4"/>
      <c r="AY610" s="4"/>
      <c r="AZ610" s="4"/>
      <c r="BA610" s="4"/>
      <c r="BB610" s="4"/>
      <c r="BC610" s="4"/>
      <c r="BD610" s="23"/>
      <c r="BE610" s="4"/>
      <c r="BF610" s="18"/>
      <c r="BG610" s="18"/>
      <c r="BH610" s="18"/>
      <c r="BI610" s="18"/>
      <c r="BJ610" s="18"/>
      <c r="BK610" s="26"/>
      <c r="BL610" s="13"/>
      <c r="BM610" s="9"/>
      <c r="BN610" s="9"/>
      <c r="BO610" s="9"/>
      <c r="BP610" s="9">
        <f t="shared" si="206"/>
        <v>82000</v>
      </c>
      <c r="BQ610" s="9">
        <f t="shared" si="207"/>
        <v>84049.999999999985</v>
      </c>
      <c r="BR610" s="9">
        <f t="shared" si="208"/>
        <v>84049.999999999985</v>
      </c>
      <c r="BS610" s="9">
        <f t="shared" si="209"/>
        <v>84049.999999999985</v>
      </c>
      <c r="BT610" s="9">
        <f t="shared" si="210"/>
        <v>84049.999999999985</v>
      </c>
    </row>
    <row r="611" spans="1:72" hidden="1" x14ac:dyDescent="0.25">
      <c r="A611" s="11">
        <f t="shared" si="215"/>
        <v>610</v>
      </c>
      <c r="B611" s="5" t="s">
        <v>1769</v>
      </c>
      <c r="C611" s="4" t="s">
        <v>59</v>
      </c>
      <c r="D611" s="4" t="s">
        <v>490</v>
      </c>
      <c r="E611" s="4" t="s">
        <v>1770</v>
      </c>
      <c r="F611" s="4"/>
      <c r="G611" s="4" t="s">
        <v>1327</v>
      </c>
      <c r="H611" s="4" t="s">
        <v>1790</v>
      </c>
      <c r="I611" s="4"/>
      <c r="J611" s="4"/>
      <c r="K611" s="5" t="s">
        <v>1784</v>
      </c>
      <c r="L611" s="24"/>
      <c r="M611" s="13"/>
      <c r="N611" s="5"/>
      <c r="O611" s="4"/>
      <c r="P611" s="4"/>
      <c r="Q611" s="42">
        <v>0.32</v>
      </c>
      <c r="R611" s="1">
        <f t="shared" si="211"/>
        <v>12800</v>
      </c>
      <c r="S611" s="38"/>
      <c r="T611" s="2">
        <f t="shared" si="212"/>
        <v>40000</v>
      </c>
      <c r="U611" s="24"/>
      <c r="V611" s="24"/>
      <c r="W611" s="24"/>
      <c r="X611" s="13"/>
      <c r="Y611" s="13"/>
      <c r="Z611" s="13"/>
      <c r="AA611" s="13"/>
      <c r="AB611" s="13">
        <v>40000</v>
      </c>
      <c r="AC611" s="13"/>
      <c r="AD611" s="13"/>
      <c r="AE611" s="13"/>
      <c r="AF611" s="13"/>
      <c r="AG611" s="13">
        <f t="shared" ref="AG611:AG612" si="225">AF611</f>
        <v>0</v>
      </c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4"/>
      <c r="AU611" s="4" t="s">
        <v>1106</v>
      </c>
      <c r="AV611" s="4" t="str">
        <f>VLOOKUP(G611,[1]原表!$O:$Q,3,0)</f>
        <v>磁性位置传感器</v>
      </c>
      <c r="AW611" s="4"/>
      <c r="AX611" s="4"/>
      <c r="AY611" s="4"/>
      <c r="AZ611" s="4"/>
      <c r="BA611" s="4"/>
      <c r="BB611" s="4"/>
      <c r="BC611" s="4"/>
      <c r="BD611" s="23"/>
      <c r="BE611" s="4"/>
      <c r="BF611" s="18"/>
      <c r="BG611" s="18"/>
      <c r="BH611" s="18"/>
      <c r="BI611" s="18"/>
      <c r="BJ611" s="18"/>
      <c r="BK611" s="26"/>
      <c r="BL611" s="13"/>
      <c r="BM611" s="9"/>
      <c r="BN611" s="9"/>
      <c r="BO611" s="9"/>
      <c r="BP611" s="9">
        <f t="shared" si="206"/>
        <v>12800</v>
      </c>
      <c r="BQ611" s="9">
        <f t="shared" si="207"/>
        <v>0</v>
      </c>
      <c r="BR611" s="9">
        <f t="shared" si="208"/>
        <v>0</v>
      </c>
      <c r="BS611" s="9">
        <f t="shared" si="209"/>
        <v>0</v>
      </c>
      <c r="BT611" s="9">
        <f t="shared" si="210"/>
        <v>0</v>
      </c>
    </row>
    <row r="612" spans="1:72" hidden="1" x14ac:dyDescent="0.25">
      <c r="A612" s="11">
        <f t="shared" si="215"/>
        <v>611</v>
      </c>
      <c r="B612" s="5" t="s">
        <v>1771</v>
      </c>
      <c r="C612" s="4" t="s">
        <v>59</v>
      </c>
      <c r="D612" s="4" t="s">
        <v>490</v>
      </c>
      <c r="E612" s="4" t="s">
        <v>1770</v>
      </c>
      <c r="F612" s="4"/>
      <c r="G612" s="4" t="s">
        <v>1327</v>
      </c>
      <c r="H612" s="4" t="s">
        <v>1790</v>
      </c>
      <c r="I612" s="4"/>
      <c r="J612" s="4"/>
      <c r="K612" s="5" t="s">
        <v>1404</v>
      </c>
      <c r="L612" s="24"/>
      <c r="M612" s="13"/>
      <c r="N612" s="5"/>
      <c r="O612" s="4"/>
      <c r="P612" s="4"/>
      <c r="Q612" s="42">
        <v>0.32</v>
      </c>
      <c r="R612" s="1">
        <f t="shared" si="211"/>
        <v>9600</v>
      </c>
      <c r="S612" s="38"/>
      <c r="T612" s="2">
        <f t="shared" si="212"/>
        <v>30000</v>
      </c>
      <c r="U612" s="24"/>
      <c r="V612" s="24"/>
      <c r="W612" s="24"/>
      <c r="X612" s="13"/>
      <c r="Y612" s="13"/>
      <c r="Z612" s="13"/>
      <c r="AA612" s="13"/>
      <c r="AB612" s="13">
        <v>30000</v>
      </c>
      <c r="AC612" s="13"/>
      <c r="AD612" s="13"/>
      <c r="AE612" s="13"/>
      <c r="AF612" s="13"/>
      <c r="AG612" s="13">
        <f t="shared" si="225"/>
        <v>0</v>
      </c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4"/>
      <c r="AU612" s="4" t="s">
        <v>1106</v>
      </c>
      <c r="AV612" s="4" t="str">
        <f>VLOOKUP(G612,[1]原表!$O:$Q,3,0)</f>
        <v>磁性位置传感器</v>
      </c>
      <c r="AW612" s="4"/>
      <c r="AX612" s="4"/>
      <c r="AY612" s="4"/>
      <c r="AZ612" s="4"/>
      <c r="BA612" s="4"/>
      <c r="BB612" s="4"/>
      <c r="BC612" s="4"/>
      <c r="BD612" s="23"/>
      <c r="BE612" s="4"/>
      <c r="BF612" s="18"/>
      <c r="BG612" s="18"/>
      <c r="BH612" s="18"/>
      <c r="BI612" s="18"/>
      <c r="BJ612" s="18"/>
      <c r="BK612" s="26"/>
      <c r="BL612" s="13"/>
      <c r="BM612" s="9"/>
      <c r="BN612" s="9"/>
      <c r="BO612" s="9"/>
      <c r="BP612" s="9">
        <f t="shared" si="206"/>
        <v>9600</v>
      </c>
      <c r="BQ612" s="9">
        <f t="shared" si="207"/>
        <v>0</v>
      </c>
      <c r="BR612" s="9">
        <f t="shared" si="208"/>
        <v>0</v>
      </c>
      <c r="BS612" s="9">
        <f t="shared" si="209"/>
        <v>0</v>
      </c>
      <c r="BT612" s="9">
        <f t="shared" si="210"/>
        <v>0</v>
      </c>
    </row>
    <row r="613" spans="1:72" hidden="1" x14ac:dyDescent="0.25">
      <c r="A613" s="11">
        <f t="shared" si="215"/>
        <v>612</v>
      </c>
      <c r="B613" s="5" t="s">
        <v>1772</v>
      </c>
      <c r="C613" s="4" t="s">
        <v>59</v>
      </c>
      <c r="D613" s="4" t="s">
        <v>525</v>
      </c>
      <c r="E613" s="4" t="s">
        <v>1322</v>
      </c>
      <c r="F613" s="4"/>
      <c r="G613" s="4" t="s">
        <v>563</v>
      </c>
      <c r="H613" s="4" t="s">
        <v>1791</v>
      </c>
      <c r="I613" s="4"/>
      <c r="J613" s="4"/>
      <c r="K613" s="5" t="s">
        <v>420</v>
      </c>
      <c r="L613" s="24"/>
      <c r="M613" s="13"/>
      <c r="N613" s="5"/>
      <c r="O613" s="4"/>
      <c r="P613" s="4"/>
      <c r="Q613" s="42">
        <v>1.6</v>
      </c>
      <c r="R613" s="1">
        <f t="shared" si="211"/>
        <v>400000</v>
      </c>
      <c r="S613" s="38"/>
      <c r="T613" s="2">
        <f t="shared" si="212"/>
        <v>250000</v>
      </c>
      <c r="U613" s="24"/>
      <c r="V613" s="24"/>
      <c r="W613" s="24"/>
      <c r="X613" s="13"/>
      <c r="Y613" s="13"/>
      <c r="Z613" s="13"/>
      <c r="AA613" s="13"/>
      <c r="AB613" s="13">
        <v>50000</v>
      </c>
      <c r="AC613" s="13">
        <v>50000</v>
      </c>
      <c r="AD613" s="13">
        <v>50000</v>
      </c>
      <c r="AE613" s="13">
        <v>50000</v>
      </c>
      <c r="AF613" s="13">
        <v>50000</v>
      </c>
      <c r="AG613" s="13">
        <v>50000</v>
      </c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4"/>
      <c r="AU613" s="4" t="s">
        <v>1106</v>
      </c>
      <c r="AV613" s="4" t="str">
        <f>VLOOKUP(G613,[1]原表!$O:$Q,3,0)</f>
        <v>速度传感器</v>
      </c>
      <c r="AW613" s="4"/>
      <c r="AX613" s="4"/>
      <c r="AY613" s="4"/>
      <c r="AZ613" s="4"/>
      <c r="BA613" s="4"/>
      <c r="BB613" s="4"/>
      <c r="BC613" s="4"/>
      <c r="BD613" s="23"/>
      <c r="BE613" s="4"/>
      <c r="BF613" s="18"/>
      <c r="BG613" s="18"/>
      <c r="BH613" s="18"/>
      <c r="BI613" s="18"/>
      <c r="BJ613" s="18"/>
      <c r="BK613" s="26"/>
      <c r="BL613" s="13"/>
      <c r="BM613" s="9"/>
      <c r="BN613" s="9"/>
      <c r="BO613" s="9"/>
      <c r="BP613" s="9">
        <f t="shared" si="206"/>
        <v>80000</v>
      </c>
      <c r="BQ613" s="9">
        <f t="shared" si="207"/>
        <v>80000</v>
      </c>
      <c r="BR613" s="9">
        <f t="shared" si="208"/>
        <v>80000</v>
      </c>
      <c r="BS613" s="9">
        <f t="shared" si="209"/>
        <v>80000</v>
      </c>
      <c r="BT613" s="9">
        <f t="shared" si="210"/>
        <v>80000</v>
      </c>
    </row>
    <row r="614" spans="1:72" hidden="1" x14ac:dyDescent="0.25">
      <c r="A614" s="11">
        <f t="shared" si="215"/>
        <v>613</v>
      </c>
      <c r="B614" s="5" t="s">
        <v>1772</v>
      </c>
      <c r="C614" s="4" t="s">
        <v>59</v>
      </c>
      <c r="D614" s="4" t="s">
        <v>525</v>
      </c>
      <c r="E614" s="4" t="s">
        <v>1322</v>
      </c>
      <c r="F614" s="4"/>
      <c r="G614" s="4" t="s">
        <v>515</v>
      </c>
      <c r="H614" s="4" t="s">
        <v>1792</v>
      </c>
      <c r="I614" s="4"/>
      <c r="J614" s="4"/>
      <c r="K614" s="5" t="s">
        <v>420</v>
      </c>
      <c r="L614" s="24"/>
      <c r="M614" s="13"/>
      <c r="N614" s="5"/>
      <c r="O614" s="4"/>
      <c r="P614" s="4"/>
      <c r="Q614" s="42">
        <v>1.2010000000000001</v>
      </c>
      <c r="R614" s="1">
        <f t="shared" si="211"/>
        <v>1008840</v>
      </c>
      <c r="S614" s="38"/>
      <c r="T614" s="2">
        <f t="shared" si="212"/>
        <v>840000</v>
      </c>
      <c r="U614" s="24"/>
      <c r="V614" s="24"/>
      <c r="W614" s="24"/>
      <c r="X614" s="13"/>
      <c r="Y614" s="13"/>
      <c r="Z614" s="13"/>
      <c r="AA614" s="13"/>
      <c r="AB614" s="13">
        <v>300000</v>
      </c>
      <c r="AC614" s="13">
        <v>300000</v>
      </c>
      <c r="AD614" s="13">
        <v>80000</v>
      </c>
      <c r="AE614" s="13">
        <v>80000</v>
      </c>
      <c r="AF614" s="13">
        <v>80000</v>
      </c>
      <c r="AG614" s="13">
        <v>80000</v>
      </c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4"/>
      <c r="AU614" s="4" t="s">
        <v>1106</v>
      </c>
      <c r="AV614" s="4" t="str">
        <f>VLOOKUP(G614,[1]原表!$O:$Q,3,0)</f>
        <v>速度传感器</v>
      </c>
      <c r="AW614" s="4"/>
      <c r="AX614" s="4"/>
      <c r="AY614" s="4"/>
      <c r="AZ614" s="4"/>
      <c r="BA614" s="4"/>
      <c r="BB614" s="4"/>
      <c r="BC614" s="4"/>
      <c r="BD614" s="23"/>
      <c r="BE614" s="4"/>
      <c r="BF614" s="18"/>
      <c r="BG614" s="18"/>
      <c r="BH614" s="18"/>
      <c r="BI614" s="18"/>
      <c r="BJ614" s="18"/>
      <c r="BK614" s="26"/>
      <c r="BL614" s="13"/>
      <c r="BM614" s="9"/>
      <c r="BN614" s="9"/>
      <c r="BO614" s="9"/>
      <c r="BP614" s="9">
        <f t="shared" si="206"/>
        <v>360300</v>
      </c>
      <c r="BQ614" s="9">
        <f t="shared" si="207"/>
        <v>360300</v>
      </c>
      <c r="BR614" s="9">
        <f t="shared" si="208"/>
        <v>96080</v>
      </c>
      <c r="BS614" s="9">
        <f t="shared" si="209"/>
        <v>96080</v>
      </c>
      <c r="BT614" s="9">
        <f t="shared" si="210"/>
        <v>96080</v>
      </c>
    </row>
    <row r="615" spans="1:72" hidden="1" x14ac:dyDescent="0.25">
      <c r="A615" s="11">
        <f t="shared" si="215"/>
        <v>614</v>
      </c>
      <c r="B615" s="5" t="s">
        <v>1772</v>
      </c>
      <c r="C615" s="4" t="s">
        <v>59</v>
      </c>
      <c r="D615" s="4" t="s">
        <v>525</v>
      </c>
      <c r="E615" s="4" t="s">
        <v>1322</v>
      </c>
      <c r="F615" s="4"/>
      <c r="G615" s="4" t="s">
        <v>537</v>
      </c>
      <c r="H615" s="4" t="s">
        <v>1789</v>
      </c>
      <c r="I615" s="4"/>
      <c r="J615" s="4"/>
      <c r="K615" s="5" t="s">
        <v>420</v>
      </c>
      <c r="L615" s="24"/>
      <c r="M615" s="13"/>
      <c r="N615" s="5"/>
      <c r="O615" s="4"/>
      <c r="P615" s="4"/>
      <c r="Q615" s="42"/>
      <c r="R615" s="1">
        <f t="shared" si="211"/>
        <v>0</v>
      </c>
      <c r="S615" s="38"/>
      <c r="T615" s="2">
        <f t="shared" si="212"/>
        <v>0</v>
      </c>
      <c r="U615" s="24"/>
      <c r="V615" s="24"/>
      <c r="W615" s="24"/>
      <c r="X615" s="13"/>
      <c r="Y615" s="13"/>
      <c r="Z615" s="13"/>
      <c r="AA615" s="13"/>
      <c r="AB615" s="13"/>
      <c r="AC615" s="13"/>
      <c r="AD615" s="13"/>
      <c r="AE615" s="13"/>
      <c r="AF615" s="13"/>
      <c r="AG615" s="13">
        <f>AF615</f>
        <v>0</v>
      </c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4"/>
      <c r="AU615" s="4" t="s">
        <v>1106</v>
      </c>
      <c r="AV615" s="4" t="str">
        <f>VLOOKUP(G615,[1]原表!$O:$Q,3,0)</f>
        <v>速度传感器</v>
      </c>
      <c r="AW615" s="4"/>
      <c r="AX615" s="4"/>
      <c r="AY615" s="4"/>
      <c r="AZ615" s="4"/>
      <c r="BA615" s="4"/>
      <c r="BB615" s="4"/>
      <c r="BC615" s="4"/>
      <c r="BD615" s="23"/>
      <c r="BE615" s="4"/>
      <c r="BF615" s="18"/>
      <c r="BG615" s="18"/>
      <c r="BH615" s="18"/>
      <c r="BI615" s="18"/>
      <c r="BJ615" s="18"/>
      <c r="BK615" s="26"/>
      <c r="BL615" s="13"/>
      <c r="BM615" s="9"/>
      <c r="BN615" s="9"/>
      <c r="BO615" s="9"/>
      <c r="BP615" s="9">
        <f t="shared" si="206"/>
        <v>0</v>
      </c>
      <c r="BQ615" s="9">
        <f t="shared" si="207"/>
        <v>0</v>
      </c>
      <c r="BR615" s="9">
        <f t="shared" si="208"/>
        <v>0</v>
      </c>
      <c r="BS615" s="9">
        <f t="shared" si="209"/>
        <v>0</v>
      </c>
      <c r="BT615" s="9">
        <f t="shared" si="210"/>
        <v>0</v>
      </c>
    </row>
    <row r="616" spans="1:72" hidden="1" x14ac:dyDescent="0.25">
      <c r="A616" s="11">
        <f t="shared" si="215"/>
        <v>615</v>
      </c>
      <c r="B616" s="5" t="s">
        <v>1772</v>
      </c>
      <c r="C616" s="4" t="s">
        <v>59</v>
      </c>
      <c r="D616" s="4" t="s">
        <v>525</v>
      </c>
      <c r="E616" s="4" t="s">
        <v>1322</v>
      </c>
      <c r="F616" s="4"/>
      <c r="G616" s="4" t="s">
        <v>539</v>
      </c>
      <c r="H616" s="4" t="s">
        <v>1303</v>
      </c>
      <c r="I616" s="4"/>
      <c r="J616" s="4"/>
      <c r="K616" s="5" t="s">
        <v>420</v>
      </c>
      <c r="L616" s="24"/>
      <c r="M616" s="13"/>
      <c r="N616" s="5"/>
      <c r="O616" s="4"/>
      <c r="P616" s="4"/>
      <c r="Q616" s="42">
        <v>1.8</v>
      </c>
      <c r="R616" s="1">
        <f t="shared" si="211"/>
        <v>270000</v>
      </c>
      <c r="S616" s="38"/>
      <c r="T616" s="2">
        <f t="shared" si="212"/>
        <v>150000</v>
      </c>
      <c r="U616" s="24"/>
      <c r="V616" s="24"/>
      <c r="W616" s="24"/>
      <c r="X616" s="13"/>
      <c r="Y616" s="13"/>
      <c r="Z616" s="13"/>
      <c r="AA616" s="13"/>
      <c r="AB616" s="13">
        <v>30000</v>
      </c>
      <c r="AC616" s="13">
        <v>30000</v>
      </c>
      <c r="AD616" s="13">
        <v>30000</v>
      </c>
      <c r="AE616" s="13">
        <v>30000</v>
      </c>
      <c r="AF616" s="13">
        <v>30000</v>
      </c>
      <c r="AG616" s="13">
        <v>30000</v>
      </c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4"/>
      <c r="AU616" s="4" t="s">
        <v>1106</v>
      </c>
      <c r="AV616" s="4" t="str">
        <f>VLOOKUP(G616,[1]原表!$O:$Q,3,0)</f>
        <v>速度传感器</v>
      </c>
      <c r="AW616" s="4"/>
      <c r="AX616" s="4"/>
      <c r="AY616" s="4"/>
      <c r="AZ616" s="4"/>
      <c r="BA616" s="4"/>
      <c r="BB616" s="4"/>
      <c r="BC616" s="4"/>
      <c r="BD616" s="23"/>
      <c r="BE616" s="4"/>
      <c r="BF616" s="18"/>
      <c r="BG616" s="18"/>
      <c r="BH616" s="18"/>
      <c r="BI616" s="18"/>
      <c r="BJ616" s="18"/>
      <c r="BK616" s="26"/>
      <c r="BL616" s="13"/>
      <c r="BM616" s="9"/>
      <c r="BN616" s="9"/>
      <c r="BO616" s="9"/>
      <c r="BP616" s="9">
        <f t="shared" si="206"/>
        <v>54000</v>
      </c>
      <c r="BQ616" s="9">
        <f t="shared" si="207"/>
        <v>54000</v>
      </c>
      <c r="BR616" s="9">
        <f t="shared" si="208"/>
        <v>54000</v>
      </c>
      <c r="BS616" s="9">
        <f t="shared" si="209"/>
        <v>54000</v>
      </c>
      <c r="BT616" s="9">
        <f t="shared" si="210"/>
        <v>54000</v>
      </c>
    </row>
    <row r="617" spans="1:72" hidden="1" x14ac:dyDescent="0.25">
      <c r="A617" s="11">
        <f t="shared" si="215"/>
        <v>616</v>
      </c>
      <c r="B617" s="5" t="s">
        <v>1772</v>
      </c>
      <c r="C617" s="4" t="s">
        <v>59</v>
      </c>
      <c r="D617" s="4" t="s">
        <v>525</v>
      </c>
      <c r="E617" s="4" t="s">
        <v>1322</v>
      </c>
      <c r="F617" s="4"/>
      <c r="G617" s="4" t="s">
        <v>540</v>
      </c>
      <c r="H617" s="33" t="s">
        <v>541</v>
      </c>
      <c r="I617" s="4"/>
      <c r="J617" s="4"/>
      <c r="K617" s="5" t="s">
        <v>542</v>
      </c>
      <c r="L617" s="24"/>
      <c r="M617" s="13"/>
      <c r="N617" s="5"/>
      <c r="O617" s="4"/>
      <c r="P617" s="4"/>
      <c r="Q617" s="42"/>
      <c r="R617" s="1">
        <f t="shared" si="211"/>
        <v>0</v>
      </c>
      <c r="S617" s="38"/>
      <c r="T617" s="2">
        <f t="shared" si="212"/>
        <v>0</v>
      </c>
      <c r="U617" s="24"/>
      <c r="V617" s="24"/>
      <c r="W617" s="24"/>
      <c r="X617" s="13"/>
      <c r="Y617" s="13"/>
      <c r="Z617" s="13"/>
      <c r="AA617" s="13"/>
      <c r="AB617" s="13"/>
      <c r="AC617" s="13"/>
      <c r="AD617" s="13"/>
      <c r="AE617" s="13"/>
      <c r="AF617" s="13"/>
      <c r="AG617" s="13">
        <f t="shared" ref="AG617:AG619" si="226">AF617</f>
        <v>0</v>
      </c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4"/>
      <c r="AU617" s="4" t="s">
        <v>1106</v>
      </c>
      <c r="AV617" s="4" t="s">
        <v>1218</v>
      </c>
      <c r="AW617" s="4"/>
      <c r="AX617" s="4"/>
      <c r="AY617" s="4"/>
      <c r="AZ617" s="4"/>
      <c r="BA617" s="4"/>
      <c r="BB617" s="4"/>
      <c r="BC617" s="4"/>
      <c r="BD617" s="23"/>
      <c r="BE617" s="4"/>
      <c r="BF617" s="18"/>
      <c r="BG617" s="18"/>
      <c r="BH617" s="18"/>
      <c r="BI617" s="18"/>
      <c r="BJ617" s="18"/>
      <c r="BK617" s="26"/>
      <c r="BL617" s="13"/>
      <c r="BM617" s="9"/>
      <c r="BN617" s="9"/>
      <c r="BO617" s="9"/>
      <c r="BP617" s="9">
        <f t="shared" si="206"/>
        <v>0</v>
      </c>
      <c r="BQ617" s="9">
        <f t="shared" si="207"/>
        <v>0</v>
      </c>
      <c r="BR617" s="9">
        <f t="shared" si="208"/>
        <v>0</v>
      </c>
      <c r="BS617" s="9">
        <f t="shared" si="209"/>
        <v>0</v>
      </c>
      <c r="BT617" s="9">
        <f t="shared" si="210"/>
        <v>0</v>
      </c>
    </row>
    <row r="618" spans="1:72" hidden="1" x14ac:dyDescent="0.25">
      <c r="A618" s="11">
        <f t="shared" si="215"/>
        <v>617</v>
      </c>
      <c r="B618" s="5" t="s">
        <v>1772</v>
      </c>
      <c r="C618" s="4" t="s">
        <v>59</v>
      </c>
      <c r="D618" s="4" t="s">
        <v>525</v>
      </c>
      <c r="E618" s="4" t="s">
        <v>1322</v>
      </c>
      <c r="F618" s="4"/>
      <c r="G618" s="4" t="s">
        <v>286</v>
      </c>
      <c r="H618" s="4" t="s">
        <v>287</v>
      </c>
      <c r="I618" s="4"/>
      <c r="J618" s="4"/>
      <c r="K618" s="5" t="s">
        <v>1773</v>
      </c>
      <c r="L618" s="24"/>
      <c r="M618" s="13"/>
      <c r="N618" s="5"/>
      <c r="O618" s="4"/>
      <c r="P618" s="4"/>
      <c r="Q618" s="42"/>
      <c r="R618" s="1">
        <f t="shared" si="211"/>
        <v>0</v>
      </c>
      <c r="S618" s="38"/>
      <c r="T618" s="2">
        <f t="shared" si="212"/>
        <v>0</v>
      </c>
      <c r="U618" s="24"/>
      <c r="V618" s="24"/>
      <c r="W618" s="24"/>
      <c r="X618" s="13"/>
      <c r="Y618" s="13"/>
      <c r="Z618" s="13"/>
      <c r="AA618" s="13"/>
      <c r="AB618" s="13"/>
      <c r="AC618" s="13"/>
      <c r="AD618" s="13"/>
      <c r="AE618" s="13"/>
      <c r="AF618" s="13"/>
      <c r="AG618" s="13">
        <f t="shared" si="226"/>
        <v>0</v>
      </c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4"/>
      <c r="AU618" s="4" t="s">
        <v>1106</v>
      </c>
      <c r="AV618" s="4" t="str">
        <f>VLOOKUP(G618,[1]原表!$O:$Q,3,0)</f>
        <v>磁性位置传感器</v>
      </c>
      <c r="AW618" s="4"/>
      <c r="AX618" s="4"/>
      <c r="AY618" s="4"/>
      <c r="AZ618" s="4"/>
      <c r="BA618" s="4"/>
      <c r="BB618" s="4"/>
      <c r="BC618" s="4"/>
      <c r="BD618" s="23"/>
      <c r="BE618" s="4"/>
      <c r="BF618" s="18"/>
      <c r="BG618" s="18"/>
      <c r="BH618" s="18"/>
      <c r="BI618" s="18"/>
      <c r="BJ618" s="18"/>
      <c r="BK618" s="26"/>
      <c r="BL618" s="13"/>
      <c r="BM618" s="9"/>
      <c r="BN618" s="9"/>
      <c r="BO618" s="9"/>
      <c r="BP618" s="9">
        <f t="shared" si="206"/>
        <v>0</v>
      </c>
      <c r="BQ618" s="9">
        <f t="shared" si="207"/>
        <v>0</v>
      </c>
      <c r="BR618" s="9">
        <f t="shared" si="208"/>
        <v>0</v>
      </c>
      <c r="BS618" s="9">
        <f t="shared" si="209"/>
        <v>0</v>
      </c>
      <c r="BT618" s="9">
        <f t="shared" si="210"/>
        <v>0</v>
      </c>
    </row>
    <row r="619" spans="1:72" hidden="1" x14ac:dyDescent="0.25">
      <c r="A619" s="11">
        <f t="shared" si="215"/>
        <v>618</v>
      </c>
      <c r="B619" s="5" t="s">
        <v>1772</v>
      </c>
      <c r="C619" s="4" t="s">
        <v>59</v>
      </c>
      <c r="D619" s="4" t="s">
        <v>525</v>
      </c>
      <c r="E619" s="4" t="s">
        <v>1322</v>
      </c>
      <c r="F619" s="4"/>
      <c r="G619" s="4" t="s">
        <v>1409</v>
      </c>
      <c r="H619" s="33" t="s">
        <v>1813</v>
      </c>
      <c r="I619" s="4"/>
      <c r="J619" s="4"/>
      <c r="K619" s="5" t="s">
        <v>492</v>
      </c>
      <c r="L619" s="24"/>
      <c r="M619" s="13"/>
      <c r="N619" s="5"/>
      <c r="O619" s="4"/>
      <c r="P619" s="4"/>
      <c r="Q619" s="42"/>
      <c r="R619" s="1">
        <f t="shared" si="211"/>
        <v>0</v>
      </c>
      <c r="S619" s="38"/>
      <c r="T619" s="2">
        <f t="shared" si="212"/>
        <v>0</v>
      </c>
      <c r="U619" s="24"/>
      <c r="V619" s="24"/>
      <c r="W619" s="24"/>
      <c r="X619" s="13"/>
      <c r="Y619" s="13"/>
      <c r="Z619" s="13"/>
      <c r="AA619" s="13"/>
      <c r="AB619" s="13"/>
      <c r="AC619" s="13"/>
      <c r="AD619" s="13"/>
      <c r="AE619" s="13"/>
      <c r="AF619" s="13"/>
      <c r="AG619" s="13">
        <f t="shared" si="226"/>
        <v>0</v>
      </c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4"/>
      <c r="AU619" s="4" t="s">
        <v>1106</v>
      </c>
      <c r="AV619" s="4" t="str">
        <f>VLOOKUP(G619,[1]原表!$O:$Q,3,0)</f>
        <v>磁性位置传感器</v>
      </c>
      <c r="AW619" s="4"/>
      <c r="AX619" s="4"/>
      <c r="AY619" s="4"/>
      <c r="AZ619" s="4"/>
      <c r="BA619" s="4"/>
      <c r="BB619" s="4"/>
      <c r="BC619" s="4"/>
      <c r="BD619" s="23"/>
      <c r="BE619" s="4"/>
      <c r="BF619" s="18"/>
      <c r="BG619" s="18"/>
      <c r="BH619" s="18"/>
      <c r="BI619" s="18"/>
      <c r="BJ619" s="18"/>
      <c r="BK619" s="26"/>
      <c r="BL619" s="13"/>
      <c r="BM619" s="9"/>
      <c r="BN619" s="9"/>
      <c r="BO619" s="9"/>
      <c r="BP619" s="9">
        <f t="shared" si="206"/>
        <v>0</v>
      </c>
      <c r="BQ619" s="9">
        <f t="shared" si="207"/>
        <v>0</v>
      </c>
      <c r="BR619" s="9">
        <f t="shared" si="208"/>
        <v>0</v>
      </c>
      <c r="BS619" s="9">
        <f t="shared" si="209"/>
        <v>0</v>
      </c>
      <c r="BT619" s="9">
        <f t="shared" si="210"/>
        <v>0</v>
      </c>
    </row>
    <row r="620" spans="1:72" ht="15" hidden="1" x14ac:dyDescent="0.25">
      <c r="A620" s="11">
        <f t="shared" si="215"/>
        <v>619</v>
      </c>
      <c r="B620" s="5" t="s">
        <v>1716</v>
      </c>
      <c r="C620" s="4" t="s">
        <v>186</v>
      </c>
      <c r="D620" s="4" t="s">
        <v>1023</v>
      </c>
      <c r="E620" s="4" t="s">
        <v>174</v>
      </c>
      <c r="F620" s="4" t="s">
        <v>1000</v>
      </c>
      <c r="G620" s="4" t="s">
        <v>116</v>
      </c>
      <c r="H620" s="4" t="s">
        <v>1089</v>
      </c>
      <c r="I620" s="4"/>
      <c r="J620" s="4"/>
      <c r="K620" s="5" t="s">
        <v>1776</v>
      </c>
      <c r="L620" s="24"/>
      <c r="M620" s="13" t="s">
        <v>297</v>
      </c>
      <c r="N620" s="5" t="s">
        <v>1778</v>
      </c>
      <c r="O620" s="4"/>
      <c r="P620" s="4"/>
      <c r="Q620" s="42">
        <v>0.37</v>
      </c>
      <c r="R620" s="1">
        <f t="shared" si="211"/>
        <v>11100</v>
      </c>
      <c r="S620" s="38"/>
      <c r="T620" s="2">
        <f t="shared" si="212"/>
        <v>30000</v>
      </c>
      <c r="U620" s="24"/>
      <c r="V620" s="24"/>
      <c r="W620" s="24"/>
      <c r="X620" s="13"/>
      <c r="Y620" s="13"/>
      <c r="Z620" s="13">
        <v>8000</v>
      </c>
      <c r="AA620" s="13">
        <v>8000</v>
      </c>
      <c r="AB620" s="13">
        <v>6000</v>
      </c>
      <c r="AC620" s="13">
        <v>6000</v>
      </c>
      <c r="AD620" s="13">
        <v>6000</v>
      </c>
      <c r="AE620" s="13">
        <v>6000</v>
      </c>
      <c r="AF620" s="13">
        <v>6000</v>
      </c>
      <c r="AG620" s="13">
        <v>6000</v>
      </c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4"/>
      <c r="AU620" s="4" t="s">
        <v>685</v>
      </c>
      <c r="AV620" s="4" t="s">
        <v>1218</v>
      </c>
      <c r="AW620" s="4"/>
      <c r="AX620" s="4"/>
      <c r="AY620" s="4"/>
      <c r="AZ620" s="4"/>
      <c r="BA620" s="4"/>
      <c r="BB620" s="4"/>
      <c r="BC620" s="4"/>
      <c r="BD620" s="23"/>
      <c r="BE620" s="4"/>
      <c r="BF620" s="18"/>
      <c r="BG620" s="18"/>
      <c r="BH620" s="18"/>
      <c r="BI620" s="18"/>
      <c r="BJ620" s="18"/>
      <c r="BK620" s="26"/>
      <c r="BL620" s="13"/>
      <c r="BM620" s="9"/>
      <c r="BN620" s="9">
        <f t="shared" ref="BN620" si="227">$Q620*Z620</f>
        <v>2960</v>
      </c>
      <c r="BO620" s="9">
        <f t="shared" ref="BO620" si="228">$Q620*AA620</f>
        <v>2960</v>
      </c>
      <c r="BP620" s="9">
        <f t="shared" si="206"/>
        <v>2220</v>
      </c>
      <c r="BQ620" s="9">
        <f t="shared" si="207"/>
        <v>2220</v>
      </c>
      <c r="BR620" s="9">
        <f t="shared" si="208"/>
        <v>2220</v>
      </c>
      <c r="BS620" s="9">
        <f t="shared" si="209"/>
        <v>2220</v>
      </c>
      <c r="BT620" s="9">
        <f t="shared" si="210"/>
        <v>2220</v>
      </c>
    </row>
    <row r="621" spans="1:72" ht="15" hidden="1" x14ac:dyDescent="0.25">
      <c r="A621" s="11">
        <f t="shared" si="215"/>
        <v>620</v>
      </c>
      <c r="B621" s="5" t="s">
        <v>1783</v>
      </c>
      <c r="C621" s="4" t="s">
        <v>59</v>
      </c>
      <c r="D621" s="4" t="s">
        <v>1779</v>
      </c>
      <c r="E621" s="4" t="s">
        <v>174</v>
      </c>
      <c r="F621" s="4" t="s">
        <v>1781</v>
      </c>
      <c r="G621" s="4" t="s">
        <v>116</v>
      </c>
      <c r="H621" s="4" t="s">
        <v>1089</v>
      </c>
      <c r="I621" s="4"/>
      <c r="J621" s="4"/>
      <c r="K621" s="5" t="s">
        <v>1782</v>
      </c>
      <c r="L621" s="24">
        <v>90000</v>
      </c>
      <c r="M621" s="13" t="s">
        <v>291</v>
      </c>
      <c r="N621" s="5" t="s">
        <v>1780</v>
      </c>
      <c r="O621" s="4"/>
      <c r="P621" s="4"/>
      <c r="Q621" s="42">
        <v>0.6</v>
      </c>
      <c r="R621" s="1">
        <f t="shared" si="211"/>
        <v>0</v>
      </c>
      <c r="S621" s="38">
        <v>23400</v>
      </c>
      <c r="T621" s="2">
        <f t="shared" si="212"/>
        <v>0</v>
      </c>
      <c r="U621" s="24">
        <v>0</v>
      </c>
      <c r="V621" s="24">
        <v>0</v>
      </c>
      <c r="W621" s="24">
        <v>0</v>
      </c>
      <c r="X621" s="13">
        <v>0</v>
      </c>
      <c r="Y621" s="13">
        <v>0</v>
      </c>
      <c r="Z621" s="13">
        <v>39000</v>
      </c>
      <c r="AA621" s="13">
        <v>30000</v>
      </c>
      <c r="AB621" s="13">
        <v>0</v>
      </c>
      <c r="AC621" s="13">
        <v>0</v>
      </c>
      <c r="AD621" s="13">
        <v>0</v>
      </c>
      <c r="AE621" s="13">
        <v>0</v>
      </c>
      <c r="AF621" s="13">
        <v>0</v>
      </c>
      <c r="AG621" s="13">
        <f t="shared" ref="AG621:AG622" si="229">AF621</f>
        <v>0</v>
      </c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4"/>
      <c r="AU621" s="4" t="s">
        <v>1106</v>
      </c>
      <c r="AV621" s="4" t="str">
        <f>VLOOKUP(G621,[1]原表!$O:$Q,3,0)</f>
        <v>磁性位置传感器</v>
      </c>
      <c r="AW621" s="4"/>
      <c r="AX621" s="4"/>
      <c r="AY621" s="4"/>
      <c r="AZ621" s="4"/>
      <c r="BA621" s="4"/>
      <c r="BB621" s="4"/>
      <c r="BC621" s="4"/>
      <c r="BD621" s="23"/>
      <c r="BE621" s="4"/>
      <c r="BF621" s="18"/>
      <c r="BG621" s="18"/>
      <c r="BH621" s="18"/>
      <c r="BI621" s="18"/>
      <c r="BJ621" s="18"/>
      <c r="BK621" s="26"/>
      <c r="BL621" s="13"/>
      <c r="BM621" s="9"/>
      <c r="BN621" s="9"/>
      <c r="BO621" s="9"/>
      <c r="BP621" s="9">
        <f t="shared" si="206"/>
        <v>0</v>
      </c>
      <c r="BQ621" s="9">
        <f t="shared" si="207"/>
        <v>0</v>
      </c>
      <c r="BR621" s="9">
        <f t="shared" si="208"/>
        <v>0</v>
      </c>
      <c r="BS621" s="9">
        <f t="shared" si="209"/>
        <v>0</v>
      </c>
      <c r="BT621" s="9">
        <f t="shared" si="210"/>
        <v>0</v>
      </c>
    </row>
    <row r="622" spans="1:72" hidden="1" x14ac:dyDescent="0.25">
      <c r="A622" s="11">
        <f t="shared" si="215"/>
        <v>621</v>
      </c>
      <c r="B622" s="5" t="s">
        <v>1787</v>
      </c>
      <c r="C622" s="4" t="s">
        <v>59</v>
      </c>
      <c r="D622" s="4" t="s">
        <v>1418</v>
      </c>
      <c r="E622" s="4" t="s">
        <v>1343</v>
      </c>
      <c r="F622" s="4"/>
      <c r="G622" s="4" t="s">
        <v>152</v>
      </c>
      <c r="H622" s="4" t="s">
        <v>1793</v>
      </c>
      <c r="I622" s="4"/>
      <c r="J622" s="4"/>
      <c r="K622" s="5" t="s">
        <v>1788</v>
      </c>
      <c r="L622" s="24">
        <v>600000</v>
      </c>
      <c r="M622" s="13" t="s">
        <v>1786</v>
      </c>
      <c r="N622" s="5"/>
      <c r="O622" s="4"/>
      <c r="P622" s="4"/>
      <c r="Q622" s="42">
        <v>0.22</v>
      </c>
      <c r="R622" s="1">
        <f t="shared" si="211"/>
        <v>110000</v>
      </c>
      <c r="S622" s="38"/>
      <c r="T622" s="2">
        <f t="shared" si="212"/>
        <v>500000</v>
      </c>
      <c r="U622" s="24"/>
      <c r="V622" s="24"/>
      <c r="W622" s="24"/>
      <c r="X622" s="13"/>
      <c r="Y622" s="13"/>
      <c r="Z622" s="13"/>
      <c r="AA622" s="13">
        <v>18000</v>
      </c>
      <c r="AB622" s="13">
        <v>100000</v>
      </c>
      <c r="AC622" s="13">
        <v>100000</v>
      </c>
      <c r="AD622" s="13">
        <v>100000</v>
      </c>
      <c r="AE622" s="13">
        <v>100000</v>
      </c>
      <c r="AF622" s="13">
        <v>100000</v>
      </c>
      <c r="AG622" s="13">
        <f t="shared" si="229"/>
        <v>100000</v>
      </c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4" t="s">
        <v>620</v>
      </c>
      <c r="AU622" s="4" t="s">
        <v>1105</v>
      </c>
      <c r="AV622" s="4" t="str">
        <f>VLOOKUP(G622,[1]原表!$O:$Q,3,0)</f>
        <v>磁性位置传感器</v>
      </c>
      <c r="AW622" s="4"/>
      <c r="AX622" s="4"/>
      <c r="AY622" s="4"/>
      <c r="AZ622" s="4"/>
      <c r="BA622" s="4"/>
      <c r="BB622" s="4"/>
      <c r="BC622" s="4"/>
      <c r="BD622" s="23"/>
      <c r="BE622" s="4"/>
      <c r="BF622" s="18"/>
      <c r="BG622" s="18"/>
      <c r="BH622" s="18"/>
      <c r="BI622" s="18"/>
      <c r="BJ622" s="18"/>
      <c r="BK622" s="26"/>
      <c r="BL622" s="13"/>
      <c r="BM622" s="9"/>
      <c r="BN622" s="9"/>
      <c r="BO622" s="9"/>
      <c r="BP622" s="9">
        <f t="shared" si="206"/>
        <v>22000</v>
      </c>
      <c r="BQ622" s="9">
        <f t="shared" si="207"/>
        <v>22000</v>
      </c>
      <c r="BR622" s="9">
        <f t="shared" si="208"/>
        <v>22000</v>
      </c>
      <c r="BS622" s="9">
        <f t="shared" si="209"/>
        <v>22000</v>
      </c>
      <c r="BT622" s="9">
        <f t="shared" si="210"/>
        <v>22000</v>
      </c>
    </row>
    <row r="623" spans="1:72" hidden="1" x14ac:dyDescent="0.25">
      <c r="A623" s="11">
        <f t="shared" si="215"/>
        <v>622</v>
      </c>
      <c r="B623" s="4" t="s">
        <v>1816</v>
      </c>
      <c r="C623" s="4" t="s">
        <v>59</v>
      </c>
      <c r="D623" s="5" t="s">
        <v>470</v>
      </c>
      <c r="E623" s="4" t="s">
        <v>795</v>
      </c>
      <c r="F623" s="4"/>
      <c r="G623" s="4" t="s">
        <v>300</v>
      </c>
      <c r="H623" s="4" t="s">
        <v>437</v>
      </c>
      <c r="I623" s="4"/>
      <c r="J623" s="4"/>
      <c r="K623" s="5"/>
      <c r="L623" s="24"/>
      <c r="M623" s="13"/>
      <c r="N623" s="5"/>
      <c r="O623" s="4"/>
      <c r="P623" s="4"/>
      <c r="Q623" s="42">
        <v>2.4</v>
      </c>
      <c r="R623" s="1">
        <f t="shared" si="211"/>
        <v>1200000</v>
      </c>
      <c r="S623" s="38"/>
      <c r="T623" s="2">
        <f t="shared" si="212"/>
        <v>500000</v>
      </c>
      <c r="U623" s="24"/>
      <c r="V623" s="24"/>
      <c r="W623" s="24"/>
      <c r="X623" s="13"/>
      <c r="Y623" s="13"/>
      <c r="Z623" s="13"/>
      <c r="AA623" s="13"/>
      <c r="AB623" s="13">
        <v>100000</v>
      </c>
      <c r="AC623" s="13">
        <v>100000</v>
      </c>
      <c r="AD623" s="13">
        <v>100000</v>
      </c>
      <c r="AE623" s="13">
        <v>100000</v>
      </c>
      <c r="AF623" s="13">
        <v>100000</v>
      </c>
      <c r="AG623" s="13">
        <v>100000</v>
      </c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4"/>
      <c r="AU623" s="4" t="s">
        <v>1106</v>
      </c>
      <c r="AV623" s="4" t="str">
        <f>VLOOKUP(G623,[1]原表!$O:$Q,3,0)</f>
        <v>角度传感器</v>
      </c>
      <c r="AW623" s="4"/>
      <c r="AX623" s="4"/>
      <c r="AY623" s="4"/>
      <c r="AZ623" s="4"/>
      <c r="BA623" s="4"/>
      <c r="BB623" s="4"/>
      <c r="BC623" s="4"/>
      <c r="BD623" s="23"/>
      <c r="BE623" s="4"/>
      <c r="BF623" s="18"/>
      <c r="BG623" s="18"/>
      <c r="BH623" s="18"/>
      <c r="BI623" s="18"/>
      <c r="BJ623" s="18"/>
      <c r="BK623" s="26"/>
      <c r="BL623" s="13"/>
      <c r="BM623" s="9"/>
      <c r="BN623" s="9"/>
      <c r="BO623" s="9"/>
      <c r="BP623" s="9">
        <f t="shared" si="206"/>
        <v>240000</v>
      </c>
      <c r="BQ623" s="9">
        <f t="shared" si="207"/>
        <v>240000</v>
      </c>
      <c r="BR623" s="9">
        <f t="shared" si="208"/>
        <v>240000</v>
      </c>
      <c r="BS623" s="9">
        <f t="shared" si="209"/>
        <v>240000</v>
      </c>
      <c r="BT623" s="9">
        <f t="shared" si="210"/>
        <v>240000</v>
      </c>
    </row>
    <row r="624" spans="1:72" hidden="1" x14ac:dyDescent="0.25">
      <c r="A624" s="11">
        <f t="shared" si="215"/>
        <v>623</v>
      </c>
      <c r="B624" s="5" t="s">
        <v>1817</v>
      </c>
      <c r="C624" s="4" t="s">
        <v>59</v>
      </c>
      <c r="D624" s="4" t="s">
        <v>470</v>
      </c>
      <c r="E624" s="4" t="s">
        <v>795</v>
      </c>
      <c r="F624" s="4"/>
      <c r="G624" s="4" t="s">
        <v>397</v>
      </c>
      <c r="H624" s="4" t="s">
        <v>1749</v>
      </c>
      <c r="I624" s="4"/>
      <c r="J624" s="4"/>
      <c r="K624" s="5"/>
      <c r="L624" s="24"/>
      <c r="M624" s="13"/>
      <c r="N624" s="5"/>
      <c r="O624" s="4"/>
      <c r="P624" s="4"/>
      <c r="Q624" s="42">
        <v>2.4</v>
      </c>
      <c r="R624" s="1">
        <f t="shared" si="211"/>
        <v>720000</v>
      </c>
      <c r="S624" s="38"/>
      <c r="T624" s="2">
        <f t="shared" si="212"/>
        <v>300000</v>
      </c>
      <c r="U624" s="24"/>
      <c r="V624" s="24"/>
      <c r="W624" s="24"/>
      <c r="X624" s="13"/>
      <c r="Y624" s="13"/>
      <c r="Z624" s="13"/>
      <c r="AA624" s="13"/>
      <c r="AB624" s="13">
        <v>60000</v>
      </c>
      <c r="AC624" s="13">
        <v>60000</v>
      </c>
      <c r="AD624" s="13">
        <v>60000</v>
      </c>
      <c r="AE624" s="13">
        <v>60000</v>
      </c>
      <c r="AF624" s="13">
        <v>60000</v>
      </c>
      <c r="AG624" s="13">
        <v>60000</v>
      </c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4"/>
      <c r="AU624" s="4" t="s">
        <v>1106</v>
      </c>
      <c r="AV624" s="4" t="str">
        <f>VLOOKUP(G624,[1]原表!$O:$Q,3,0)</f>
        <v>角度传感器</v>
      </c>
      <c r="AW624" s="4"/>
      <c r="AX624" s="4"/>
      <c r="AY624" s="4"/>
      <c r="AZ624" s="4"/>
      <c r="BA624" s="4"/>
      <c r="BB624" s="4"/>
      <c r="BC624" s="4"/>
      <c r="BD624" s="23"/>
      <c r="BE624" s="4"/>
      <c r="BF624" s="18"/>
      <c r="BG624" s="18"/>
      <c r="BH624" s="18"/>
      <c r="BI624" s="18"/>
      <c r="BJ624" s="18"/>
      <c r="BK624" s="26"/>
      <c r="BL624" s="13"/>
      <c r="BM624" s="9"/>
      <c r="BN624" s="9"/>
      <c r="BO624" s="9"/>
      <c r="BP624" s="9">
        <f t="shared" si="206"/>
        <v>144000</v>
      </c>
      <c r="BQ624" s="9">
        <f t="shared" si="207"/>
        <v>144000</v>
      </c>
      <c r="BR624" s="9">
        <f t="shared" si="208"/>
        <v>144000</v>
      </c>
      <c r="BS624" s="9">
        <f t="shared" si="209"/>
        <v>144000</v>
      </c>
      <c r="BT624" s="9">
        <f t="shared" si="210"/>
        <v>144000</v>
      </c>
    </row>
    <row r="625" spans="1:72" hidden="1" x14ac:dyDescent="0.25">
      <c r="A625" s="11">
        <f t="shared" si="215"/>
        <v>624</v>
      </c>
      <c r="B625" s="5" t="s">
        <v>1818</v>
      </c>
      <c r="C625" s="4" t="s">
        <v>59</v>
      </c>
      <c r="D625" s="4" t="s">
        <v>470</v>
      </c>
      <c r="E625" s="4" t="s">
        <v>795</v>
      </c>
      <c r="F625" s="4"/>
      <c r="G625" s="4" t="s">
        <v>397</v>
      </c>
      <c r="H625" s="4" t="s">
        <v>1749</v>
      </c>
      <c r="I625" s="4"/>
      <c r="J625" s="4"/>
      <c r="K625" s="5"/>
      <c r="L625" s="24"/>
      <c r="M625" s="13"/>
      <c r="N625" s="5"/>
      <c r="O625" s="4"/>
      <c r="P625" s="4"/>
      <c r="Q625" s="42">
        <v>2.4</v>
      </c>
      <c r="R625" s="1">
        <f t="shared" si="211"/>
        <v>720000</v>
      </c>
      <c r="S625" s="38"/>
      <c r="T625" s="2">
        <f t="shared" si="212"/>
        <v>300000</v>
      </c>
      <c r="U625" s="24"/>
      <c r="V625" s="24"/>
      <c r="W625" s="24"/>
      <c r="X625" s="13"/>
      <c r="Y625" s="13"/>
      <c r="Z625" s="13"/>
      <c r="AA625" s="13"/>
      <c r="AB625" s="13">
        <v>60000</v>
      </c>
      <c r="AC625" s="13">
        <v>60000</v>
      </c>
      <c r="AD625" s="13">
        <v>60000</v>
      </c>
      <c r="AE625" s="13">
        <v>60000</v>
      </c>
      <c r="AF625" s="13">
        <v>60000</v>
      </c>
      <c r="AG625" s="13">
        <v>60000</v>
      </c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4"/>
      <c r="AU625" s="4" t="s">
        <v>1106</v>
      </c>
      <c r="AV625" s="4" t="str">
        <f>VLOOKUP(G625,[1]原表!$O:$Q,3,0)</f>
        <v>角度传感器</v>
      </c>
      <c r="AW625" s="4"/>
      <c r="AX625" s="4"/>
      <c r="AY625" s="4"/>
      <c r="AZ625" s="4"/>
      <c r="BA625" s="4"/>
      <c r="BB625" s="4"/>
      <c r="BC625" s="4"/>
      <c r="BD625" s="23"/>
      <c r="BE625" s="4"/>
      <c r="BF625" s="18"/>
      <c r="BG625" s="18"/>
      <c r="BH625" s="18"/>
      <c r="BI625" s="18"/>
      <c r="BJ625" s="18"/>
      <c r="BK625" s="26"/>
      <c r="BL625" s="13"/>
      <c r="BM625" s="9"/>
      <c r="BN625" s="9"/>
      <c r="BO625" s="9"/>
      <c r="BP625" s="9">
        <f t="shared" si="206"/>
        <v>144000</v>
      </c>
      <c r="BQ625" s="9">
        <f t="shared" si="207"/>
        <v>144000</v>
      </c>
      <c r="BR625" s="9">
        <f t="shared" si="208"/>
        <v>144000</v>
      </c>
      <c r="BS625" s="9">
        <f t="shared" si="209"/>
        <v>144000</v>
      </c>
      <c r="BT625" s="9">
        <f t="shared" si="210"/>
        <v>144000</v>
      </c>
    </row>
    <row r="626" spans="1:72" hidden="1" x14ac:dyDescent="0.25">
      <c r="A626" s="11">
        <f t="shared" si="215"/>
        <v>625</v>
      </c>
      <c r="B626" s="5" t="s">
        <v>1819</v>
      </c>
      <c r="C626" s="4" t="s">
        <v>59</v>
      </c>
      <c r="D626" s="4" t="s">
        <v>470</v>
      </c>
      <c r="E626" s="4" t="s">
        <v>795</v>
      </c>
      <c r="F626" s="4"/>
      <c r="G626" s="4" t="s">
        <v>397</v>
      </c>
      <c r="H626" s="4" t="s">
        <v>1749</v>
      </c>
      <c r="I626" s="4"/>
      <c r="J626" s="4"/>
      <c r="K626" s="5"/>
      <c r="L626" s="24"/>
      <c r="M626" s="13"/>
      <c r="N626" s="5"/>
      <c r="O626" s="4"/>
      <c r="P626" s="4"/>
      <c r="Q626" s="42">
        <v>2.4</v>
      </c>
      <c r="R626" s="1">
        <f t="shared" si="211"/>
        <v>1200000</v>
      </c>
      <c r="S626" s="38"/>
      <c r="T626" s="2">
        <f t="shared" si="212"/>
        <v>500000</v>
      </c>
      <c r="U626" s="24"/>
      <c r="V626" s="24"/>
      <c r="W626" s="24"/>
      <c r="X626" s="13"/>
      <c r="Y626" s="13"/>
      <c r="Z626" s="13"/>
      <c r="AA626" s="13"/>
      <c r="AB626" s="13">
        <v>100000</v>
      </c>
      <c r="AC626" s="13">
        <v>100000</v>
      </c>
      <c r="AD626" s="13">
        <v>100000</v>
      </c>
      <c r="AE626" s="13">
        <v>100000</v>
      </c>
      <c r="AF626" s="13">
        <v>100000</v>
      </c>
      <c r="AG626" s="13">
        <v>100000</v>
      </c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4"/>
      <c r="AU626" s="4" t="s">
        <v>1106</v>
      </c>
      <c r="AV626" s="4" t="str">
        <f>VLOOKUP(G626,[1]原表!$O:$Q,3,0)</f>
        <v>角度传感器</v>
      </c>
      <c r="AW626" s="4"/>
      <c r="AX626" s="4"/>
      <c r="AY626" s="4"/>
      <c r="AZ626" s="4"/>
      <c r="BA626" s="4"/>
      <c r="BB626" s="4"/>
      <c r="BC626" s="4"/>
      <c r="BD626" s="23"/>
      <c r="BE626" s="4"/>
      <c r="BF626" s="18"/>
      <c r="BG626" s="18"/>
      <c r="BH626" s="18"/>
      <c r="BI626" s="18"/>
      <c r="BJ626" s="18"/>
      <c r="BK626" s="26"/>
      <c r="BL626" s="13"/>
      <c r="BM626" s="9"/>
      <c r="BN626" s="9"/>
      <c r="BO626" s="9"/>
      <c r="BP626" s="9">
        <f t="shared" si="206"/>
        <v>240000</v>
      </c>
      <c r="BQ626" s="9">
        <f t="shared" si="207"/>
        <v>240000</v>
      </c>
      <c r="BR626" s="9">
        <f t="shared" si="208"/>
        <v>240000</v>
      </c>
      <c r="BS626" s="9">
        <f t="shared" si="209"/>
        <v>240000</v>
      </c>
      <c r="BT626" s="9">
        <f t="shared" si="210"/>
        <v>240000</v>
      </c>
    </row>
    <row r="627" spans="1:72" hidden="1" x14ac:dyDescent="0.25">
      <c r="A627" s="11">
        <f t="shared" si="215"/>
        <v>626</v>
      </c>
      <c r="B627" s="5" t="s">
        <v>1820</v>
      </c>
      <c r="C627" s="4" t="s">
        <v>59</v>
      </c>
      <c r="D627" s="4" t="s">
        <v>1821</v>
      </c>
      <c r="E627" s="4" t="s">
        <v>1735</v>
      </c>
      <c r="F627" s="4"/>
      <c r="G627" s="4" t="s">
        <v>846</v>
      </c>
      <c r="H627" s="4" t="s">
        <v>1822</v>
      </c>
      <c r="I627" s="4"/>
      <c r="J627" s="4"/>
      <c r="K627" s="5"/>
      <c r="L627" s="24"/>
      <c r="M627" s="13"/>
      <c r="N627" s="5"/>
      <c r="O627" s="4"/>
      <c r="P627" s="4"/>
      <c r="Q627" s="42">
        <v>0.25</v>
      </c>
      <c r="R627" s="1">
        <f t="shared" si="211"/>
        <v>500000</v>
      </c>
      <c r="S627" s="38"/>
      <c r="T627" s="2">
        <f t="shared" si="212"/>
        <v>2000000</v>
      </c>
      <c r="U627" s="24"/>
      <c r="V627" s="24"/>
      <c r="W627" s="24"/>
      <c r="X627" s="13"/>
      <c r="Y627" s="13"/>
      <c r="Z627" s="13"/>
      <c r="AA627" s="13">
        <v>400000</v>
      </c>
      <c r="AB627" s="13">
        <v>400000</v>
      </c>
      <c r="AC627" s="13">
        <v>400000</v>
      </c>
      <c r="AD627" s="13">
        <v>400000</v>
      </c>
      <c r="AE627" s="13">
        <v>400000</v>
      </c>
      <c r="AF627" s="13">
        <v>400000</v>
      </c>
      <c r="AG627" s="13">
        <v>400000</v>
      </c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4"/>
      <c r="AU627" s="4" t="s">
        <v>1741</v>
      </c>
      <c r="AV627" s="4" t="str">
        <f>VLOOKUP(G627,[1]原表!$O:$Q,3,0)</f>
        <v>磁性位置传感器</v>
      </c>
      <c r="AW627" s="4"/>
      <c r="AX627" s="4"/>
      <c r="AY627" s="4"/>
      <c r="AZ627" s="4"/>
      <c r="BA627" s="4"/>
      <c r="BB627" s="4"/>
      <c r="BC627" s="4"/>
      <c r="BD627" s="23"/>
      <c r="BE627" s="4"/>
      <c r="BF627" s="18"/>
      <c r="BG627" s="18"/>
      <c r="BH627" s="18"/>
      <c r="BI627" s="18"/>
      <c r="BJ627" s="18"/>
      <c r="BK627" s="26"/>
      <c r="BL627" s="13"/>
      <c r="BM627" s="9"/>
      <c r="BN627" s="9"/>
      <c r="BO627" s="9"/>
      <c r="BP627" s="9">
        <f t="shared" si="206"/>
        <v>100000</v>
      </c>
      <c r="BQ627" s="9">
        <f t="shared" si="207"/>
        <v>100000</v>
      </c>
      <c r="BR627" s="9">
        <f t="shared" si="208"/>
        <v>100000</v>
      </c>
      <c r="BS627" s="9">
        <f t="shared" si="209"/>
        <v>100000</v>
      </c>
      <c r="BT627" s="9">
        <f t="shared" si="210"/>
        <v>100000</v>
      </c>
    </row>
    <row r="628" spans="1:72" ht="15" hidden="1" x14ac:dyDescent="0.25">
      <c r="A628" s="11"/>
      <c r="B628" s="5"/>
      <c r="C628" s="4" t="s">
        <v>59</v>
      </c>
      <c r="D628" s="4" t="s">
        <v>2067</v>
      </c>
      <c r="E628" s="4" t="s">
        <v>1735</v>
      </c>
      <c r="F628" s="4"/>
      <c r="G628" s="4" t="s">
        <v>2068</v>
      </c>
      <c r="H628" s="4" t="s">
        <v>2069</v>
      </c>
      <c r="I628" s="4"/>
      <c r="J628" s="4"/>
      <c r="K628" s="5"/>
      <c r="L628" s="24"/>
      <c r="M628" s="13"/>
      <c r="N628" s="5"/>
      <c r="O628" s="4"/>
      <c r="P628" s="4"/>
      <c r="Q628" s="42">
        <v>0.255</v>
      </c>
      <c r="R628" s="1">
        <f t="shared" si="211"/>
        <v>191250</v>
      </c>
      <c r="S628" s="38"/>
      <c r="T628" s="2">
        <f t="shared" si="212"/>
        <v>750000</v>
      </c>
      <c r="U628" s="24"/>
      <c r="V628" s="24"/>
      <c r="W628" s="24"/>
      <c r="X628" s="13"/>
      <c r="Y628" s="13"/>
      <c r="Z628" s="13"/>
      <c r="AA628" s="13">
        <v>250000</v>
      </c>
      <c r="AB628" s="13">
        <v>250000</v>
      </c>
      <c r="AC628" s="13">
        <v>250000</v>
      </c>
      <c r="AD628" s="13">
        <v>250000</v>
      </c>
      <c r="AE628" s="13"/>
      <c r="AF628" s="13"/>
      <c r="AG628" s="13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23"/>
      <c r="BE628" s="4"/>
      <c r="BF628" s="18"/>
      <c r="BG628" s="18"/>
      <c r="BH628" s="18"/>
      <c r="BI628" s="18"/>
      <c r="BJ628" s="18"/>
      <c r="BK628" s="26"/>
      <c r="BL628" s="13"/>
      <c r="BM628" s="9"/>
      <c r="BN628" s="9"/>
      <c r="BO628" s="9"/>
      <c r="BP628" s="9"/>
      <c r="BQ628" s="9"/>
      <c r="BR628" s="9"/>
      <c r="BS628" s="9"/>
      <c r="BT628" s="9"/>
    </row>
    <row r="629" spans="1:72" ht="15" hidden="1" x14ac:dyDescent="0.25">
      <c r="A629" s="11"/>
      <c r="B629" s="5"/>
      <c r="C629" s="4" t="s">
        <v>59</v>
      </c>
      <c r="D629" s="4" t="s">
        <v>2067</v>
      </c>
      <c r="E629" s="4" t="s">
        <v>1735</v>
      </c>
      <c r="F629" s="4"/>
      <c r="G629" s="4" t="s">
        <v>2070</v>
      </c>
      <c r="H629" s="4" t="s">
        <v>2071</v>
      </c>
      <c r="I629" s="4"/>
      <c r="J629" s="4"/>
      <c r="K629" s="5"/>
      <c r="L629" s="24"/>
      <c r="M629" s="13"/>
      <c r="N629" s="5"/>
      <c r="O629" s="4"/>
      <c r="P629" s="4"/>
      <c r="Q629" s="42">
        <v>0.255</v>
      </c>
      <c r="R629" s="1">
        <f t="shared" si="211"/>
        <v>510000</v>
      </c>
      <c r="S629" s="38"/>
      <c r="T629" s="2">
        <f t="shared" si="212"/>
        <v>2000000</v>
      </c>
      <c r="U629" s="24"/>
      <c r="V629" s="24"/>
      <c r="W629" s="24"/>
      <c r="X629" s="13"/>
      <c r="Y629" s="13"/>
      <c r="Z629" s="13"/>
      <c r="AA629" s="13"/>
      <c r="AB629" s="13">
        <v>750000</v>
      </c>
      <c r="AC629" s="13">
        <v>750000</v>
      </c>
      <c r="AD629" s="13">
        <v>500000</v>
      </c>
      <c r="AE629" s="13"/>
      <c r="AF629" s="13"/>
      <c r="AG629" s="13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23"/>
      <c r="BE629" s="4"/>
      <c r="BF629" s="18"/>
      <c r="BG629" s="18"/>
      <c r="BH629" s="18"/>
      <c r="BI629" s="18"/>
      <c r="BJ629" s="18"/>
      <c r="BK629" s="26"/>
      <c r="BL629" s="13"/>
      <c r="BM629" s="9"/>
      <c r="BN629" s="9"/>
      <c r="BO629" s="9"/>
      <c r="BP629" s="9"/>
      <c r="BQ629" s="9"/>
      <c r="BR629" s="9"/>
      <c r="BS629" s="9"/>
      <c r="BT629" s="9"/>
    </row>
    <row r="630" spans="1:72" ht="15" hidden="1" x14ac:dyDescent="0.25">
      <c r="A630" s="11"/>
      <c r="B630" s="5" t="s">
        <v>2073</v>
      </c>
      <c r="C630" s="4" t="s">
        <v>59</v>
      </c>
      <c r="D630" s="4" t="s">
        <v>2074</v>
      </c>
      <c r="E630" s="4" t="s">
        <v>289</v>
      </c>
      <c r="F630" s="4"/>
      <c r="G630" s="4" t="s">
        <v>2088</v>
      </c>
      <c r="H630" s="4" t="s">
        <v>2089</v>
      </c>
      <c r="I630" s="4"/>
      <c r="J630" s="4"/>
      <c r="K630" s="5"/>
      <c r="L630" s="24"/>
      <c r="M630" s="13"/>
      <c r="N630" s="5"/>
      <c r="O630" s="4"/>
      <c r="P630" s="4"/>
      <c r="Q630" s="42">
        <v>0.18</v>
      </c>
      <c r="R630" s="1"/>
      <c r="S630" s="38"/>
      <c r="T630" s="2"/>
      <c r="U630" s="24"/>
      <c r="V630" s="24"/>
      <c r="W630" s="24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23"/>
      <c r="BE630" s="4"/>
      <c r="BF630" s="18"/>
      <c r="BG630" s="18"/>
      <c r="BH630" s="18"/>
      <c r="BI630" s="18"/>
      <c r="BJ630" s="18"/>
      <c r="BK630" s="26"/>
      <c r="BL630" s="13"/>
      <c r="BM630" s="9"/>
      <c r="BN630" s="9"/>
      <c r="BO630" s="9"/>
      <c r="BP630" s="9"/>
      <c r="BQ630" s="9"/>
      <c r="BR630" s="9"/>
      <c r="BS630" s="9"/>
      <c r="BT630" s="9"/>
    </row>
    <row r="631" spans="1:72" ht="15" hidden="1" x14ac:dyDescent="0.25">
      <c r="A631" s="11"/>
      <c r="B631" s="5"/>
      <c r="C631" s="4" t="s">
        <v>59</v>
      </c>
      <c r="D631" s="4" t="s">
        <v>2067</v>
      </c>
      <c r="E631" s="4" t="s">
        <v>1735</v>
      </c>
      <c r="F631" s="4"/>
      <c r="G631" s="4" t="s">
        <v>1755</v>
      </c>
      <c r="H631" s="4" t="s">
        <v>1754</v>
      </c>
      <c r="I631" s="4"/>
      <c r="J631" s="4"/>
      <c r="K631" s="5"/>
      <c r="L631" s="24"/>
      <c r="M631" s="13"/>
      <c r="N631" s="5"/>
      <c r="O631" s="4"/>
      <c r="P631" s="4"/>
      <c r="Q631" s="42">
        <v>0.24</v>
      </c>
      <c r="R631" s="1"/>
      <c r="S631" s="38"/>
      <c r="T631" s="2"/>
      <c r="U631" s="24"/>
      <c r="V631" s="24"/>
      <c r="W631" s="24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23"/>
      <c r="BE631" s="4"/>
      <c r="BF631" s="18"/>
      <c r="BG631" s="18"/>
      <c r="BH631" s="18"/>
      <c r="BI631" s="18"/>
      <c r="BJ631" s="18"/>
      <c r="BK631" s="26"/>
      <c r="BL631" s="13"/>
      <c r="BM631" s="9"/>
      <c r="BN631" s="9"/>
      <c r="BO631" s="9"/>
      <c r="BP631" s="9"/>
      <c r="BQ631" s="9"/>
      <c r="BR631" s="9"/>
      <c r="BS631" s="9"/>
      <c r="BT631" s="9"/>
    </row>
    <row r="632" spans="1:72" ht="15" hidden="1" x14ac:dyDescent="0.25">
      <c r="A632" s="11"/>
      <c r="B632" s="5" t="s">
        <v>1531</v>
      </c>
      <c r="C632" s="4" t="s">
        <v>59</v>
      </c>
      <c r="D632" s="4" t="s">
        <v>1531</v>
      </c>
      <c r="E632" s="4" t="s">
        <v>723</v>
      </c>
      <c r="F632" s="4"/>
      <c r="G632" s="4" t="s">
        <v>1533</v>
      </c>
      <c r="H632" s="4" t="s">
        <v>863</v>
      </c>
      <c r="I632" s="4"/>
      <c r="J632" s="4"/>
      <c r="K632" s="5"/>
      <c r="L632" s="24"/>
      <c r="M632" s="13"/>
      <c r="N632" s="5"/>
      <c r="O632" s="4"/>
      <c r="P632" s="4"/>
      <c r="Q632" s="42">
        <v>0.255</v>
      </c>
      <c r="R632" s="1"/>
      <c r="S632" s="38"/>
      <c r="T632" s="2"/>
      <c r="U632" s="24"/>
      <c r="V632" s="24"/>
      <c r="W632" s="24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23"/>
      <c r="BE632" s="4"/>
      <c r="BF632" s="18"/>
      <c r="BG632" s="18"/>
      <c r="BH632" s="18"/>
      <c r="BI632" s="18"/>
      <c r="BJ632" s="18"/>
      <c r="BK632" s="26"/>
      <c r="BL632" s="13"/>
      <c r="BM632" s="9"/>
      <c r="BN632" s="9"/>
      <c r="BO632" s="9"/>
      <c r="BP632" s="9"/>
      <c r="BQ632" s="9"/>
      <c r="BR632" s="9"/>
      <c r="BS632" s="9"/>
      <c r="BT632" s="9"/>
    </row>
    <row r="633" spans="1:72" hidden="1" x14ac:dyDescent="0.25">
      <c r="A633" s="11"/>
      <c r="B633" s="5" t="s">
        <v>2075</v>
      </c>
      <c r="C633" s="4" t="s">
        <v>59</v>
      </c>
      <c r="D633" s="4" t="s">
        <v>2074</v>
      </c>
      <c r="E633" s="4" t="s">
        <v>289</v>
      </c>
      <c r="F633" s="4"/>
      <c r="G633" s="4" t="s">
        <v>2078</v>
      </c>
      <c r="H633" s="4" t="s">
        <v>2079</v>
      </c>
      <c r="I633" s="4"/>
      <c r="J633" s="4"/>
      <c r="K633" s="5"/>
      <c r="L633" s="24"/>
      <c r="M633" s="13"/>
      <c r="N633" s="5"/>
      <c r="O633" s="4"/>
      <c r="P633" s="4"/>
      <c r="Q633" s="42">
        <v>0.39</v>
      </c>
      <c r="R633" s="1"/>
      <c r="S633" s="38"/>
      <c r="T633" s="2"/>
      <c r="U633" s="24"/>
      <c r="V633" s="24"/>
      <c r="W633" s="24"/>
      <c r="X633" s="13"/>
      <c r="Y633" s="13"/>
      <c r="Z633" s="13"/>
      <c r="AA633" s="13"/>
      <c r="AB633" s="13"/>
      <c r="AC633" s="13">
        <v>370000</v>
      </c>
      <c r="AD633" s="13"/>
      <c r="AE633" s="13">
        <v>400000</v>
      </c>
      <c r="AF633" s="13"/>
      <c r="AG633" s="13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23"/>
      <c r="BE633" s="4"/>
      <c r="BF633" s="18"/>
      <c r="BG633" s="18"/>
      <c r="BH633" s="18"/>
      <c r="BI633" s="18"/>
      <c r="BJ633" s="18"/>
      <c r="BK633" s="26"/>
      <c r="BL633" s="13"/>
      <c r="BM633" s="9"/>
      <c r="BN633" s="9"/>
      <c r="BO633" s="9"/>
      <c r="BP633" s="9"/>
      <c r="BQ633" s="9"/>
      <c r="BR633" s="9"/>
      <c r="BS633" s="9"/>
      <c r="BT633" s="9"/>
    </row>
    <row r="634" spans="1:72" hidden="1" x14ac:dyDescent="0.25">
      <c r="A634" s="11"/>
      <c r="B634" s="5" t="s">
        <v>2072</v>
      </c>
      <c r="C634" s="4" t="s">
        <v>59</v>
      </c>
      <c r="D634" s="4" t="s">
        <v>1348</v>
      </c>
      <c r="E634" s="4" t="s">
        <v>1343</v>
      </c>
      <c r="F634" s="4" t="s">
        <v>1349</v>
      </c>
      <c r="G634" s="4" t="s">
        <v>2080</v>
      </c>
      <c r="H634" s="4" t="s">
        <v>2081</v>
      </c>
      <c r="I634" s="4"/>
      <c r="J634" s="4"/>
      <c r="K634" s="5"/>
      <c r="L634" s="24"/>
      <c r="M634" s="13"/>
      <c r="N634" s="5"/>
      <c r="O634" s="4"/>
      <c r="P634" s="4"/>
      <c r="Q634" s="42">
        <v>0.24</v>
      </c>
      <c r="R634" s="1"/>
      <c r="S634" s="38"/>
      <c r="T634" s="2"/>
      <c r="U634" s="24"/>
      <c r="V634" s="24"/>
      <c r="W634" s="24"/>
      <c r="X634" s="13"/>
      <c r="Y634" s="13"/>
      <c r="Z634" s="13"/>
      <c r="AA634" s="13"/>
      <c r="AB634" s="13">
        <v>5000</v>
      </c>
      <c r="AC634" s="13">
        <v>5000</v>
      </c>
      <c r="AD634" s="13">
        <v>5000</v>
      </c>
      <c r="AE634" s="13">
        <v>5000</v>
      </c>
      <c r="AF634" s="13">
        <v>5000</v>
      </c>
      <c r="AG634" s="13">
        <v>5000</v>
      </c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23"/>
      <c r="BE634" s="4"/>
      <c r="BF634" s="18"/>
      <c r="BG634" s="18"/>
      <c r="BH634" s="18"/>
      <c r="BI634" s="18"/>
      <c r="BJ634" s="18"/>
      <c r="BK634" s="26"/>
      <c r="BL634" s="13"/>
      <c r="BM634" s="9"/>
      <c r="BN634" s="9"/>
      <c r="BO634" s="9"/>
      <c r="BP634" s="9"/>
      <c r="BQ634" s="9"/>
      <c r="BR634" s="9"/>
      <c r="BS634" s="9"/>
      <c r="BT634" s="9"/>
    </row>
    <row r="635" spans="1:72" hidden="1" x14ac:dyDescent="0.25">
      <c r="A635" s="11"/>
      <c r="B635" s="5" t="s">
        <v>1531</v>
      </c>
      <c r="C635" s="4" t="s">
        <v>59</v>
      </c>
      <c r="D635" s="4" t="s">
        <v>1531</v>
      </c>
      <c r="E635" s="4" t="s">
        <v>723</v>
      </c>
      <c r="F635" s="4"/>
      <c r="G635" s="4" t="s">
        <v>876</v>
      </c>
      <c r="H635" s="4" t="s">
        <v>2082</v>
      </c>
      <c r="I635" s="4"/>
      <c r="J635" s="4"/>
      <c r="K635" s="5"/>
      <c r="L635" s="24"/>
      <c r="M635" s="13"/>
      <c r="N635" s="5"/>
      <c r="O635" s="4"/>
      <c r="P635" s="4"/>
      <c r="Q635" s="42">
        <v>0.28499999999999998</v>
      </c>
      <c r="R635" s="1"/>
      <c r="S635" s="38"/>
      <c r="T635" s="2"/>
      <c r="U635" s="24"/>
      <c r="V635" s="24"/>
      <c r="W635" s="24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23"/>
      <c r="BE635" s="4"/>
      <c r="BF635" s="18"/>
      <c r="BG635" s="18"/>
      <c r="BH635" s="18"/>
      <c r="BI635" s="18"/>
      <c r="BJ635" s="18"/>
      <c r="BK635" s="26"/>
      <c r="BL635" s="13"/>
      <c r="BM635" s="9"/>
      <c r="BN635" s="9"/>
      <c r="BO635" s="9"/>
      <c r="BP635" s="9"/>
      <c r="BQ635" s="9"/>
      <c r="BR635" s="9"/>
      <c r="BS635" s="9"/>
      <c r="BT635" s="9"/>
    </row>
    <row r="636" spans="1:72" hidden="1" x14ac:dyDescent="0.25">
      <c r="A636" s="11"/>
      <c r="B636" s="5" t="s">
        <v>2076</v>
      </c>
      <c r="C636" s="4" t="s">
        <v>59</v>
      </c>
      <c r="D636" s="4" t="s">
        <v>1551</v>
      </c>
      <c r="E636" s="4" t="s">
        <v>1735</v>
      </c>
      <c r="F636" s="4"/>
      <c r="G636" s="4" t="s">
        <v>2083</v>
      </c>
      <c r="H636" s="4" t="s">
        <v>2084</v>
      </c>
      <c r="I636" s="4"/>
      <c r="J636" s="4"/>
      <c r="K636" s="5"/>
      <c r="L636" s="24"/>
      <c r="M636" s="13"/>
      <c r="N636" s="5"/>
      <c r="O636" s="4"/>
      <c r="P636" s="4"/>
      <c r="Q636" s="42">
        <v>0.14000000000000001</v>
      </c>
      <c r="R636" s="1"/>
      <c r="S636" s="38"/>
      <c r="T636" s="2"/>
      <c r="U636" s="24"/>
      <c r="V636" s="24"/>
      <c r="W636" s="24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23"/>
      <c r="BE636" s="4"/>
      <c r="BF636" s="18"/>
      <c r="BG636" s="18"/>
      <c r="BH636" s="18"/>
      <c r="BI636" s="18"/>
      <c r="BJ636" s="18"/>
      <c r="BK636" s="26"/>
      <c r="BL636" s="13"/>
      <c r="BM636" s="9"/>
      <c r="BN636" s="9"/>
      <c r="BO636" s="9"/>
      <c r="BP636" s="9"/>
      <c r="BQ636" s="9"/>
      <c r="BR636" s="9"/>
      <c r="BS636" s="9"/>
      <c r="BT636" s="9"/>
    </row>
    <row r="637" spans="1:72" hidden="1" x14ac:dyDescent="0.25">
      <c r="A637" s="11"/>
      <c r="B637" s="5" t="s">
        <v>2077</v>
      </c>
      <c r="C637" s="4" t="s">
        <v>59</v>
      </c>
      <c r="D637" s="4" t="s">
        <v>2077</v>
      </c>
      <c r="E637" s="4" t="s">
        <v>1735</v>
      </c>
      <c r="F637" s="4"/>
      <c r="G637" s="4" t="s">
        <v>2085</v>
      </c>
      <c r="H637" s="4" t="s">
        <v>2086</v>
      </c>
      <c r="I637" s="4"/>
      <c r="J637" s="4"/>
      <c r="K637" s="5"/>
      <c r="L637" s="24"/>
      <c r="M637" s="13"/>
      <c r="N637" s="5"/>
      <c r="O637" s="4"/>
      <c r="P637" s="4"/>
      <c r="Q637" s="42">
        <v>0.1</v>
      </c>
      <c r="R637" s="1"/>
      <c r="S637" s="38"/>
      <c r="T637" s="2"/>
      <c r="U637" s="24"/>
      <c r="V637" s="24"/>
      <c r="W637" s="24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23"/>
      <c r="BE637" s="4"/>
      <c r="BF637" s="18"/>
      <c r="BG637" s="18"/>
      <c r="BH637" s="18"/>
      <c r="BI637" s="18"/>
      <c r="BJ637" s="18"/>
      <c r="BK637" s="26"/>
      <c r="BL637" s="13"/>
      <c r="BM637" s="9"/>
      <c r="BN637" s="9"/>
      <c r="BO637" s="9"/>
      <c r="BP637" s="9"/>
      <c r="BQ637" s="9"/>
      <c r="BR637" s="9"/>
      <c r="BS637" s="9"/>
      <c r="BT637" s="9"/>
    </row>
    <row r="638" spans="1:72" hidden="1" x14ac:dyDescent="0.25">
      <c r="A638" s="11"/>
      <c r="B638" s="5" t="s">
        <v>2077</v>
      </c>
      <c r="C638" s="4" t="s">
        <v>59</v>
      </c>
      <c r="D638" s="4" t="s">
        <v>2077</v>
      </c>
      <c r="E638" s="4" t="s">
        <v>1735</v>
      </c>
      <c r="F638" s="4"/>
      <c r="G638" s="4" t="s">
        <v>2085</v>
      </c>
      <c r="H638" s="4" t="s">
        <v>2087</v>
      </c>
      <c r="I638" s="4"/>
      <c r="J638" s="4"/>
      <c r="K638" s="5"/>
      <c r="L638" s="24"/>
      <c r="M638" s="13"/>
      <c r="N638" s="5"/>
      <c r="O638" s="4"/>
      <c r="P638" s="4"/>
      <c r="Q638" s="42">
        <v>0.1</v>
      </c>
      <c r="R638" s="1"/>
      <c r="S638" s="38"/>
      <c r="T638" s="2"/>
      <c r="U638" s="24"/>
      <c r="V638" s="24"/>
      <c r="W638" s="24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23"/>
      <c r="BE638" s="4"/>
      <c r="BF638" s="18"/>
      <c r="BG638" s="18"/>
      <c r="BH638" s="18"/>
      <c r="BI638" s="18"/>
      <c r="BJ638" s="18"/>
      <c r="BK638" s="26"/>
      <c r="BL638" s="13"/>
      <c r="BM638" s="9"/>
      <c r="BN638" s="9"/>
      <c r="BO638" s="9"/>
      <c r="BP638" s="9"/>
      <c r="BQ638" s="9"/>
      <c r="BR638" s="9"/>
      <c r="BS638" s="9"/>
      <c r="BT638" s="9"/>
    </row>
    <row r="639" spans="1:72" hidden="1" x14ac:dyDescent="0.25">
      <c r="A639" s="11"/>
      <c r="B639" s="5" t="s">
        <v>2090</v>
      </c>
      <c r="C639" s="4" t="s">
        <v>59</v>
      </c>
      <c r="D639" s="4" t="s">
        <v>1551</v>
      </c>
      <c r="E639" s="4" t="s">
        <v>1735</v>
      </c>
      <c r="F639" s="4"/>
      <c r="G639" s="4" t="s">
        <v>152</v>
      </c>
      <c r="H639" s="4" t="s">
        <v>1793</v>
      </c>
      <c r="I639" s="4"/>
      <c r="J639" s="4"/>
      <c r="K639" s="5"/>
      <c r="L639" s="24"/>
      <c r="M639" s="13"/>
      <c r="N639" s="5"/>
      <c r="O639" s="4"/>
      <c r="P639" s="4"/>
      <c r="Q639" s="42">
        <v>0.13</v>
      </c>
      <c r="R639" s="1"/>
      <c r="S639" s="38"/>
      <c r="T639" s="2"/>
      <c r="U639" s="24"/>
      <c r="V639" s="24"/>
      <c r="W639" s="24"/>
      <c r="X639" s="13"/>
      <c r="Y639" s="13"/>
      <c r="Z639" s="13"/>
      <c r="AA639" s="13">
        <v>240000</v>
      </c>
      <c r="AB639" s="13">
        <v>240000</v>
      </c>
      <c r="AC639" s="13">
        <v>240000</v>
      </c>
      <c r="AD639" s="13">
        <v>240000</v>
      </c>
      <c r="AE639" s="13">
        <v>240000</v>
      </c>
      <c r="AF639" s="13">
        <v>240000</v>
      </c>
      <c r="AG639" s="13">
        <v>240000</v>
      </c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23"/>
      <c r="BE639" s="4"/>
      <c r="BF639" s="18"/>
      <c r="BG639" s="18"/>
      <c r="BH639" s="18"/>
      <c r="BI639" s="18"/>
      <c r="BJ639" s="18"/>
      <c r="BK639" s="26"/>
      <c r="BL639" s="13"/>
      <c r="BM639" s="9"/>
      <c r="BN639" s="9"/>
      <c r="BO639" s="9"/>
      <c r="BP639" s="9"/>
      <c r="BQ639" s="9"/>
      <c r="BR639" s="9"/>
      <c r="BS639" s="9"/>
      <c r="BT639" s="9"/>
    </row>
    <row r="640" spans="1:72" hidden="1" x14ac:dyDescent="0.25">
      <c r="A640" s="11"/>
      <c r="B640" s="5" t="s">
        <v>2091</v>
      </c>
      <c r="C640" s="5" t="s">
        <v>128</v>
      </c>
      <c r="D640" s="5" t="s">
        <v>1498</v>
      </c>
      <c r="E640" s="4" t="s">
        <v>1343</v>
      </c>
      <c r="F640" s="5"/>
      <c r="G640" s="5" t="s">
        <v>1193</v>
      </c>
      <c r="H640" s="33" t="s">
        <v>2016</v>
      </c>
      <c r="I640" s="5"/>
      <c r="J640" s="5"/>
      <c r="K640" s="5"/>
      <c r="L640" s="5"/>
      <c r="M640" s="13"/>
      <c r="N640" s="5"/>
      <c r="O640" s="5"/>
      <c r="P640" s="5"/>
      <c r="Q640" s="5"/>
      <c r="R640" s="1"/>
      <c r="S640" s="5"/>
      <c r="T640" s="2"/>
      <c r="U640" s="5"/>
      <c r="V640" s="5"/>
      <c r="W640" s="5"/>
      <c r="X640" s="24"/>
      <c r="Y640" s="24"/>
      <c r="Z640" s="24"/>
      <c r="AA640" s="24"/>
      <c r="AB640" s="24">
        <v>120000</v>
      </c>
      <c r="AC640" s="24">
        <v>120000</v>
      </c>
      <c r="AD640" s="24">
        <v>120000</v>
      </c>
      <c r="AE640" s="24">
        <v>120000</v>
      </c>
      <c r="AF640" s="24">
        <v>120000</v>
      </c>
      <c r="AG640" s="13">
        <v>120000</v>
      </c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4"/>
      <c r="AU640" s="4"/>
      <c r="AV640" s="4"/>
      <c r="AW640" s="4"/>
      <c r="AX640" s="5"/>
      <c r="AY640" s="5"/>
      <c r="AZ640" s="5"/>
      <c r="BA640" s="5"/>
      <c r="BB640" s="5"/>
      <c r="BC640" s="5"/>
      <c r="BD640" s="5"/>
      <c r="BE640" s="37"/>
      <c r="BF640" s="37"/>
      <c r="BG640" s="37"/>
      <c r="BH640" s="37"/>
      <c r="BI640" s="37"/>
      <c r="BJ640" s="37"/>
      <c r="BK640" s="5"/>
      <c r="BL640" s="5"/>
      <c r="BM640" s="9"/>
      <c r="BN640" s="9"/>
      <c r="BO640" s="9"/>
      <c r="BP640" s="9"/>
      <c r="BQ640" s="9"/>
      <c r="BR640" s="9"/>
      <c r="BS640" s="9"/>
      <c r="BT640" s="9"/>
    </row>
    <row r="641" spans="1:72" hidden="1" x14ac:dyDescent="0.25">
      <c r="A641" s="11"/>
      <c r="B641" s="4" t="s">
        <v>2092</v>
      </c>
      <c r="C641" s="5" t="s">
        <v>59</v>
      </c>
      <c r="D641" s="4" t="s">
        <v>1551</v>
      </c>
      <c r="E641" s="4" t="s">
        <v>1735</v>
      </c>
      <c r="F641" s="4"/>
      <c r="G641" s="81" t="s">
        <v>1454</v>
      </c>
      <c r="H641" s="81" t="s">
        <v>1058</v>
      </c>
      <c r="I641" s="4"/>
      <c r="J641" s="4"/>
      <c r="K641" s="4"/>
      <c r="L641" s="24"/>
      <c r="M641" s="4"/>
      <c r="N641" s="5"/>
      <c r="O641" s="4"/>
      <c r="P641" s="4"/>
      <c r="Q641" s="36">
        <v>0.4</v>
      </c>
      <c r="R641" s="1">
        <f t="shared" ref="R641" si="230">Q641*T641</f>
        <v>20000</v>
      </c>
      <c r="S641" s="4"/>
      <c r="T641" s="2">
        <f t="shared" ref="T641" si="231">SUM(AB641:AF641)</f>
        <v>50000</v>
      </c>
      <c r="U641" s="24"/>
      <c r="V641" s="13"/>
      <c r="W641" s="13"/>
      <c r="X641" s="13"/>
      <c r="Y641" s="13"/>
      <c r="Z641" s="13"/>
      <c r="AA641" s="13"/>
      <c r="AB641" s="13">
        <v>10000</v>
      </c>
      <c r="AC641" s="13">
        <v>10000</v>
      </c>
      <c r="AD641" s="13">
        <v>10000</v>
      </c>
      <c r="AE641" s="13">
        <v>10000</v>
      </c>
      <c r="AF641" s="13">
        <v>10000</v>
      </c>
      <c r="AG641" s="13">
        <v>10000</v>
      </c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4"/>
      <c r="AU641" s="4"/>
      <c r="AV641" s="4"/>
      <c r="AW641" s="4"/>
      <c r="AX641" s="4"/>
      <c r="AY641" s="4"/>
      <c r="AZ641" s="4"/>
      <c r="BA641" s="33"/>
      <c r="BB641" s="5"/>
      <c r="BC641" s="5"/>
      <c r="BD641" s="5"/>
      <c r="BE641" s="37"/>
      <c r="BF641" s="37"/>
      <c r="BG641" s="37"/>
      <c r="BH641" s="37"/>
      <c r="BI641" s="37"/>
      <c r="BJ641" s="37"/>
      <c r="BK641" s="5"/>
      <c r="BL641" s="5"/>
      <c r="BM641" s="9"/>
      <c r="BN641" s="9"/>
      <c r="BO641" s="9"/>
      <c r="BP641" s="9"/>
      <c r="BQ641" s="9"/>
      <c r="BR641" s="9"/>
      <c r="BS641" s="9"/>
      <c r="BT641" s="9"/>
    </row>
    <row r="642" spans="1:72" hidden="1" x14ac:dyDescent="0.25">
      <c r="A642" s="11"/>
      <c r="B642" s="4" t="s">
        <v>2094</v>
      </c>
      <c r="C642" s="4" t="s">
        <v>59</v>
      </c>
      <c r="D642" s="33" t="s">
        <v>1551</v>
      </c>
      <c r="E642" s="4" t="s">
        <v>1542</v>
      </c>
      <c r="F642" s="33"/>
      <c r="G642" s="33" t="s">
        <v>1367</v>
      </c>
      <c r="H642" s="33" t="s">
        <v>1048</v>
      </c>
      <c r="I642" s="33"/>
      <c r="J642" s="33"/>
      <c r="K642" s="33"/>
      <c r="L642" s="35"/>
      <c r="M642" s="4"/>
      <c r="N642" s="5"/>
      <c r="O642" s="4"/>
      <c r="P642" s="5"/>
      <c r="Q642" s="36">
        <v>0.38</v>
      </c>
      <c r="R642" s="1"/>
      <c r="S642" s="34"/>
      <c r="T642" s="2"/>
      <c r="U642" s="24"/>
      <c r="V642" s="24"/>
      <c r="W642" s="24"/>
      <c r="X642" s="24"/>
      <c r="Y642" s="24"/>
      <c r="Z642" s="24"/>
      <c r="AA642" s="24"/>
      <c r="AB642" s="24">
        <v>10000</v>
      </c>
      <c r="AC642" s="24">
        <v>10000</v>
      </c>
      <c r="AD642" s="24">
        <v>10000</v>
      </c>
      <c r="AE642" s="24">
        <v>10000</v>
      </c>
      <c r="AF642" s="24">
        <v>10000</v>
      </c>
      <c r="AG642" s="24">
        <v>10000</v>
      </c>
      <c r="AH642" s="24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23"/>
      <c r="BE642" s="4"/>
      <c r="BF642" s="18"/>
      <c r="BG642" s="18"/>
      <c r="BH642" s="18"/>
      <c r="BI642" s="18"/>
      <c r="BJ642" s="18"/>
      <c r="BK642" s="26"/>
      <c r="BL642" s="13"/>
      <c r="BM642" s="9"/>
      <c r="BN642" s="9"/>
      <c r="BO642" s="9"/>
      <c r="BP642" s="9"/>
      <c r="BQ642" s="9"/>
      <c r="BR642" s="9"/>
      <c r="BS642" s="9"/>
      <c r="BT642" s="9"/>
    </row>
    <row r="643" spans="1:72" x14ac:dyDescent="0.25">
      <c r="A643" s="11"/>
      <c r="B643" s="5" t="s">
        <v>2095</v>
      </c>
      <c r="C643" s="4" t="s">
        <v>59</v>
      </c>
      <c r="D643" s="4" t="s">
        <v>1348</v>
      </c>
      <c r="E643" s="4" t="s">
        <v>1343</v>
      </c>
      <c r="F643" s="4"/>
      <c r="G643" s="4" t="s">
        <v>1797</v>
      </c>
      <c r="H643" s="4" t="s">
        <v>1798</v>
      </c>
      <c r="I643" s="4"/>
      <c r="J643" s="4"/>
      <c r="K643" s="5"/>
      <c r="L643" s="24"/>
      <c r="M643" s="13"/>
      <c r="N643" s="5"/>
      <c r="O643" s="4"/>
      <c r="P643" s="4"/>
      <c r="Q643" s="42"/>
      <c r="R643" s="1"/>
      <c r="S643" s="38"/>
      <c r="T643" s="2"/>
      <c r="U643" s="24"/>
      <c r="V643" s="24"/>
      <c r="W643" s="24"/>
      <c r="X643" s="13"/>
      <c r="Y643" s="13"/>
      <c r="Z643" s="13"/>
      <c r="AA643" s="13"/>
      <c r="AB643" s="13">
        <v>60000</v>
      </c>
      <c r="AC643" s="13">
        <v>60000</v>
      </c>
      <c r="AD643" s="13">
        <v>60000</v>
      </c>
      <c r="AE643" s="13">
        <v>60000</v>
      </c>
      <c r="AF643" s="13">
        <v>60000</v>
      </c>
      <c r="AG643" s="13">
        <v>60000</v>
      </c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23"/>
      <c r="BE643" s="4"/>
      <c r="BF643" s="18"/>
      <c r="BG643" s="18"/>
      <c r="BH643" s="18"/>
      <c r="BI643" s="18"/>
      <c r="BJ643" s="18"/>
      <c r="BK643" s="26"/>
      <c r="BL643" s="13"/>
      <c r="BM643" s="9"/>
      <c r="BN643" s="9"/>
      <c r="BO643" s="9"/>
      <c r="BP643" s="9"/>
      <c r="BQ643" s="9"/>
      <c r="BR643" s="9"/>
      <c r="BS643" s="9"/>
      <c r="BT643" s="9"/>
    </row>
    <row r="644" spans="1:72" x14ac:dyDescent="0.25">
      <c r="A644" s="11"/>
      <c r="B644" s="5" t="s">
        <v>2094</v>
      </c>
      <c r="C644" s="4" t="s">
        <v>59</v>
      </c>
      <c r="D644" s="4" t="s">
        <v>1551</v>
      </c>
      <c r="E644" s="4" t="s">
        <v>1542</v>
      </c>
      <c r="F644" s="4"/>
      <c r="G644" s="4" t="s">
        <v>157</v>
      </c>
      <c r="H644" s="4" t="s">
        <v>2096</v>
      </c>
      <c r="I644" s="4"/>
      <c r="J644" s="4"/>
      <c r="K644" s="5"/>
      <c r="L644" s="24"/>
      <c r="M644" s="13"/>
      <c r="N644" s="5"/>
      <c r="O644" s="4"/>
      <c r="P644" s="4"/>
      <c r="Q644" s="42">
        <v>0.13</v>
      </c>
      <c r="R644" s="1"/>
      <c r="S644" s="38"/>
      <c r="T644" s="2"/>
      <c r="U644" s="24"/>
      <c r="V644" s="24"/>
      <c r="W644" s="24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23"/>
      <c r="BE644" s="4"/>
      <c r="BF644" s="18"/>
      <c r="BG644" s="18"/>
      <c r="BH644" s="18"/>
      <c r="BI644" s="18"/>
      <c r="BJ644" s="18"/>
      <c r="BK644" s="26"/>
      <c r="BL644" s="13"/>
      <c r="BM644" s="9"/>
      <c r="BN644" s="9"/>
      <c r="BO644" s="9"/>
      <c r="BP644" s="9"/>
      <c r="BQ644" s="9"/>
      <c r="BR644" s="9"/>
      <c r="BS644" s="9"/>
      <c r="BT644" s="9"/>
    </row>
  </sheetData>
  <protectedRanges>
    <protectedRange sqref="AE12:AF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8:AT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1:AT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8:AT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25:AT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Y25:AY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5:AX25 AZ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 AW26:AX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7:AX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:AZ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L32" name="区域1_6_1_2"/>
    <protectedRange sqref="P52 P36:P38" name="区域1_22_1_1_1"/>
    <protectedRange sqref="F36 L36 BA36:BC36" name="区域1_3_2_1_2_1_4"/>
    <protectedRange sqref="F38 L38 AS38:AT38 BA38:BC38 AH38:AP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H36:AS36" name="区域1_3_2_1_2_1_7_1"/>
    <protectedRange sqref="AH38:AS38" name="区域1_16_1_1_1_2_1_8_2"/>
    <protectedRange sqref="AW53:AW54 AW39 AW41:AW42" name="区域1_9_4_1_12_1"/>
    <protectedRange sqref="AY41:AY42 AY39" name="区域1_16_1_1_1_1"/>
    <protectedRange sqref="AZ41:AZ42 AW41:AW42 AZ39 AW39" name="区域1_16_1_1_1_2_1_11_1"/>
    <protectedRange sqref="AY37" name="区域1_16_1_2_1"/>
    <protectedRange sqref="BD37:BK37 BL37:BL38 BD52:BL52" name="区域1_16_1_1_1_2_1_14_1"/>
    <protectedRange sqref="BD36:BL36" name="区域1_3_2_1_2_1_9_1"/>
    <protectedRange sqref="BD38:BL38" name="区域1_16_1_1_1_2_1_15_1"/>
    <protectedRange sqref="G44 I44:J44" name="区域1_3_2_1_1"/>
    <protectedRange sqref="AH32:AK32 N31:N35 AH33:AJ33 AL33:AL34 P44:Q46 D44:F45 D46:E46 P47 L32:L35 AM34:AT35 AI49:AT50 AX48:BL48 AE44:AF44 L48:P50 Z44:AA44 F46:F50 N44:N47 L44:L47 BJ53:BL54 AN32:AT33 AH35:AL35 AH34:AK34 P31:Q35 AH31:AT31 E47:E51 F32:F35 B32:B35 BJ39:BL43 AW49:BL50 AW31:BL35 D32:D35 AC44 AW44:BL47 Z46:AF48 AH44:AT48" name="区域1_2_2"/>
    <protectedRange sqref="E52:E54 E32:E43 C32:C48 C51:C55 I31:M31 B31:G31" name="区域1_1_2_2"/>
    <protectedRange sqref="O31" name="区域1_4_3"/>
    <protectedRange sqref="M32:M33 O32:O35 K32:K33" name="区域1_5_7"/>
    <protectedRange sqref="AL32" name="区域1_6_3"/>
    <protectedRange sqref="G44 G47 G49:G50 I44:J44 I47:J47 I49:J50" name="区域1_3_2_2"/>
    <protectedRange sqref="B45" name="区域1_4_4_1"/>
    <protectedRange sqref="G45:G46 I45:J46" name="区域1_4_5_1"/>
    <protectedRange sqref="M51 AX51 AX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6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F31" name="区域1_2_1_1"/>
    <protectedRange sqref="X36" name="区域1_3_2_1_2_1_7_2_1_1"/>
    <protectedRange sqref="X46 X31" name="区域1_2_3_1_1"/>
    <protectedRange sqref="U38:X38 Z38:AF38" name="区域1_16_1_1_1_2_1_5_1_1"/>
    <protectedRange sqref="U36:W36 Y36 AA36 AC36 AF36" name="区域1_3_2_1_2_1_7_3_1_1"/>
    <protectedRange sqref="U38:X38 Z38:AF38" name="区域1_16_1_1_1_2_1_8_3_1_1"/>
    <protectedRange sqref="U42:X44 U31:W31 X47:Y48 Y43:Y44 U46:W48 U32:AF35 U45:AF45 AB44 AD44" name="区域1_2_4_1_1"/>
    <protectedRange sqref="AH72:AH78 AH57:AH70" name="区域1_4_1_1"/>
    <protectedRange sqref="K80:Q82 B80:B82 U80:AF82 AW80:BL82 AH80:AT82" name="区域1_3_4_4"/>
    <protectedRange sqref="D82 G84 I84:J84 E82:E94 D80:E81" name="区域1_3_4_2_2"/>
    <protectedRange sqref="G92:G93 L83:L93 G89:G90 G85 G83 O83:P93 I92:J93 I89:J90 I85:J85 I83:J83" name="区域1_3_4_3_2"/>
    <protectedRange sqref="M83:N84 M87:N93" name="区域1_3_1_3_1_1"/>
    <protectedRange sqref="F83:F93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4:AF95" name="区域1_3_4_1_1_1"/>
    <protectedRange sqref="AZ71:BB71" name="区域1_1_1_1"/>
    <protectedRange sqref="E95:E97" name="区域1_3_4_2_2_2"/>
    <protectedRange sqref="F95" name="区域1_4_5_1_16_2_1_2"/>
    <protectedRange sqref="U83:AF93" name="区域1_3_4_1_1_1_4"/>
    <protectedRange sqref="G100:G101 G104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8" name="区域1_1_1_4_3_1_1"/>
    <protectedRange sqref="G105:G106" name="区域1_3_4_3"/>
    <protectedRange sqref="G109" name="区域1_3_4_2_2_1_1"/>
    <protectedRange sqref="O98:O99" name="区域1_1_1_7_1_1"/>
    <protectedRange sqref="L98:L99" name="区域1_1_1_5_1_1_1"/>
    <protectedRange sqref="N105:P106 L105:L106" name="区域1_3_4_3_1"/>
    <protectedRange sqref="AT98:AT99" name="区域1_1_1_20_1_1_1"/>
    <protectedRange sqref="AT105:AT106 AW105:AY106" name="区域1_3_4_2"/>
    <protectedRange sqref="U105:AG106" name="区域1_3_4_3_2_1"/>
    <protectedRange sqref="G150 G172 G183 G191 G196 G201 G204" name="区域1_3_4_2_2_1"/>
    <protectedRange sqref="I154 I170 I179 I190 I192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6:F152 G202:H202 I204:J204 I196:J196 I191:J191 I183:J183 G119:H119 B161:B162 E111:E113 E153:F162 E114:F116 E163:E210 C111:C121 C123:C133 C136:C139 C141 C143:C210 I129:K129 G121:H122 G120 I119:J122 I126:J128 G166:J166 H205 H158 G146:J146 G161:G162 I161:K162 I172:J173 I201:J202 G128:G129 G143:J143 G208:J209 I181:J181 G169:J169 G164:J164 G152:J153 H177 I141:J141 G126:H127 G173:H173 H338 G130:J139 E117:E152 C590 E590:F590 G593:H593 E594 C594 I147:J147 I150:J151 H124 E609 C609 I609:K609 H493" name="区域1_3_4_1"/>
    <protectedRange sqref="B176:B187" name="区域1_3_4_2_1"/>
    <protectedRange sqref="B188:B189" name="区域1_1_1_2"/>
    <protectedRange sqref="Y161:AF162 Y114:AG115 Y118:AG128 Y131:AG131 Y609:AG609 Y117:AF117 Y129:AF129 Y133:AG133 Y132:AF132 Y136:AG139 Y134:AF135 Y141:AG141 Y140:AF140 Y143:AG143 Y142:AF142 Y144:AF144" name="区域1_3_4_5"/>
    <protectedRange sqref="Y149:AG150" name="区域1_3_4_5_2_1"/>
    <protectedRange sqref="Y145:AG145" name="区域1_3_4_2_16_1"/>
    <protectedRange sqref="C211:C224" name="区域1_3_4_1_1"/>
    <protectedRange sqref="AY235:AZ235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3:B244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5:C245 C248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0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3:F244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5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6:F247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0:J240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3:J244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5:J245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6:J247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0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3:K244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5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6:K247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0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3:L244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5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6:L247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7:M240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1:M242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4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6:M247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0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3:O244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5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6:O247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0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3:Q244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5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6:Q247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0:AF240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3:AF244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6:AG246 U247:AF247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7:B258 D257:D258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4 D264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1:D261 C271 C282 C308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3 D263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5 D265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7:F258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4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1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3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5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7:K258 H289 H308 H393 H441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4:K264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1:K261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3:J263 G268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5:J265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5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7:L258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4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1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3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5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7:M258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6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2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7:Q258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4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1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3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5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7:AF258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3:AF264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5:AF265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8 D268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9 D269 D271:D277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8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9" name="区域1_4_1_3_1"/>
    <protectedRange sqref="H268:J268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9:J269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8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8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9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8:Q268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9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69:Q269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9:AF269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1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2:B273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4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5:B276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1:G271 F282 G309 I271:J271 I309:J309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2:J273 H285 H331 H469 H617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4:J274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5:J276 H345:H347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1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2:K273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4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5:K276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1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1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2:M273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4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4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5:L276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7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1:Q271 Q309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2:Q273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4:Q274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5:Q276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79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9 D279 F279:L279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8 D278 F278 I278:L278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3 F307:F308 F283:L283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1:H281 B280:B283 G282:H282 F283:H283 F307:F308 D307:D309 D280:D283 F280:G280 I280:L283 G641:H641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1:H281 B280:B282 G282:H282 D280:D282 F280:G280 I280:L282 G641:H641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 D285 F285:G285 I285:L285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4:B285 D284:D285 F284:L284 F285:G285 I285:L285 H484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6 F286:L286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6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8 D288 F288 H291 H304 H336 H288:L288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9 D289 F289:G289 I289:L289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1 F291 I291:J291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1 K291:L291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8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3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0:M283 M308:M309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4:M285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6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79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8:P278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3:P283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3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2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5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4:P285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6:P286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8:P288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9:P289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1:P291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8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3 Q307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:Q283 Q307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:Q282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4:Q285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6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8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9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1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3:C392 H378 H373" name="区域1_3_4_1_2"/>
    <protectedRange sqref="B373 D373:G373 O373:Q373 K373:M373 AU98:AU110 AW373:BK373 AU373:AU392 AU454:AU494 AU496:AU498 U373:AT373" name="区域1_3_4_1_3_1_1"/>
    <protectedRange sqref="N373" name="区域1_3_4_2_3_1_2"/>
    <protectedRange sqref="B374 D374:G374 O374:Q374 K374:M374 U374:AF374 AW374:BK374 AH374:AT374" name="区域1_3_4_5_1_1"/>
    <protectedRange sqref="N374" name="区域1_3_4_2_3_1_3"/>
    <protectedRange sqref="K375:Q378 B375:B378 AW375:BK378 U378:AT378 U375:AF377 AH375:AT377" name="区域1_3_4_4_1_1"/>
    <protectedRange sqref="D378 G380 E378:E380 D375:E377" name="区域1_3_4_2_2_2_2"/>
    <protectedRange sqref="O379:P380 G379 L379:L380" name="区域1_3_4_3_2_1_1"/>
    <protectedRange sqref="M379:N380" name="区域1_3_1_3_1_1_1_1"/>
    <protectedRange sqref="F379:F380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79:AF380" name="区域1_3_4_1_1_1_1_1"/>
    <protectedRange sqref="AN382:AP383 AH381:AL383 AN381:AT381 AR382:AT383 AW381:AX383" name="区域1_3_4_6"/>
    <protectedRange sqref="E382:E383 L381:L383 O381:P383 D381:F381 U381:AF381" name="区域1_3_4_1_4"/>
    <protectedRange sqref="AN384:AP384 AH384:AL386 AN385:AT386 AR384:AT384 AW384:AX386" name="区域1_3_4_7"/>
    <protectedRange sqref="L384:L386 O384:P386 E384:E386 U385:AF386" name="区域1_3_4_1_5"/>
    <protectedRange sqref="AN387:AP388 AH387:AL388 AR387:AT388 AW387:AX388" name="区域1_3_4_8"/>
    <protectedRange sqref="E387:E388 L387:L388" name="区域1_3_4_1_6"/>
    <protectedRange sqref="O388:P388" name="区域1_3_4_8_1_1"/>
    <protectedRange sqref="O387:P387" name="区域1_3_4_1_1_2_2_1_1"/>
    <protectedRange sqref="Q388" name="区域1_3_4_9_1_1"/>
    <protectedRange sqref="Q387" name="区域1_3_4_1_7_1_1"/>
    <protectedRange sqref="G465:J465 G467 I466:J467" name="区域1_1_1_22_1"/>
    <protectedRange sqref="Q543 O568:O572 Q567:Q571" name="区域1_1_5_3_1"/>
    <protectedRange sqref="D551:J551 P549:Q549 L551:N551 D560:N562 G573:J573 D568:F568 K568:N568 BA562:BC562 BE562:BL562 BK553:BL553 D563:F564 D548:N550 L545:N545 K544:L544 M543:N543 K535:K536 AY535:AZ536 D552:N553 B537 B530:B531 D537:F537 O543:P544 D542:Q542 O567 BB542:BL544 K556:N559 O545:Q548 BE567:BF569 D530:E531 AW553:BD553 AW531:BD531 AW545:BL552 D546:F547 K537:Q537 U579:AC582 U537:AF537 AW530:BL530 AW537:BL537 AU560:AU561 AT560:AT562 E545:J545 B542:B552 E543:F544 K539 BE572:BF572 AY541:AZ541 AW539:AZ539 D556:F559 AW554:BL561 K563:N564 D565:N567 O550:Q566 P567:P572 AW567:AX572 B554:B572 K546:N547 AW563:BL566 G530:Q530 U531:AC534 AW532:AZ534 U583:V583 AW542:AZ544 AH534:AU534 AT567:AU572 AU539 AU537 AT532:AU533 D573 AU530:AU531 AT563:AU565 I543:K543 E570:N571 U530:AF530 AW579:AZ582 AH579:AU582 G531 I531:Q531 E569:G569 I569:N569 E572:G572 I572:N572 D555:N555 D554:G554 I554:N554 D575:D582 AH530:AS533 AH567:AQ572 AH560:AS565 AH566:AU566 U542:AF572 AH537:AS537 AH542:AU559" name="区域1_3_4_5_1"/>
    <protectedRange sqref="Q528:Q529 O549 O528:O529 Q544 Q532:Q534" name="区域1_1_5_1_3_1"/>
    <protectedRange sqref="BD528:BF529 U523:V524 K551 P528:P529 G537 U528:AF529 BE531:BL531 BE553:BJ553 BG535:BL536 M544:N544 L543 D545 B523 D523:N523 B526:B529 AT530 K526 K527:P527 D528:E529 O523:Q526 E526 G539 AW528:AX529 M526:N526 Q572 AW526:BJ526 D524:L525 D527:F527 K573:Q573 G544:J544 E573:F573 G546:J546 E532:E533 U525:AF526 AW578:AZ578 F528:F533 AW573:BJ573 AW523:BL525 B532:B534 AD531:AF534 K532:P534 E534:F534 Q583 AU524:AU525 U573:AF573 AC523:AF524 AT526:AU526 AT529:AU529 AU528 G528:N529 I537:J537 I539:J539 B573 AD579:AF582 K582:Q582 K581:P581 K575:Q580 E575:F582 AW575:BJ577 U575:AF578 B575:B582 AH529:AP529 AH528:AQ528 AH524:AS526 AH573:AU573 AH575:AU578 AH523:AU523" name="区域1_3_4_1_3_1"/>
    <protectedRange sqref="D509:E510 F510 G547:J547 Q527 D526 K545 G563:J564 G568:J568 S537 F526:J526 AW562:AZ562 B507:C510 L526 AY529 S504:S515 AT524:AT525 AT528 AT531 AT537 B504:B506 M524:N525 AT539 D515:F515 G509:N510 B513:E514 AW504:BL515 S542:S573 G527:J527 AW520:AZ522 B515 O504:Q515 AU562 D504:N508 G513:N515 G532:J534 G535:G536 I535:J536 G556:J559 H481 B511:N511 U504:AF515 C526:C573 G575:J582 Q581 S575:S583 C575:C582 S517:S534 B517:B522 D517:Q522 AW517:BL519 H474 G181:H181 G591:H592 B512:G512 I512:N512 AH504:AU515 U517:AF522 AH517:AU522" name="区域1_3_4_2_3_1"/>
    <protectedRange sqref="D535:D536" name="区域1_3_4_3_1_1"/>
    <protectedRange sqref="O535:Q536 L535:L536 BA535:BF536 B535:B536 E535:F536 AW535:AX536 U535:AF536 AH535:AU536" name="区域1_3_4_1_1_2_1"/>
    <protectedRange sqref="M535:N536 S535:S536 M540:N540" name="区域1_3_4_2_1_2_1"/>
    <protectedRange sqref="D532:D534" name="区域1_3_4_1_2_1_1"/>
    <protectedRange sqref="BA542:BA544 D543:D544 L539:N539 K538:N538 AW538:BL538 BA539:BL539 AW541:AX541 BA541:BL541 K541:N541 D538:F541 O538:Q541 B538:B541 K540:L540 D569:D572 AW540:BL540 AH539:AS539 U538:AF541 AH538:AU538 AH540:AU541" name="区域1_3_4_4_1_1_1"/>
    <protectedRange sqref="G538:J538 G540:J541 G543:H543" name="区域1_3_4_1_1_1_1_1_1"/>
    <protectedRange sqref="S538:S541" name="区域1_3_4_2_1_1_1_1"/>
    <protectedRange sqref="C504:C506 C583 C515 C517:C525" name="区域1_3_4_2_3_1_43"/>
    <protectedRange sqref="O583" name="区域1_1_1_7_1_1_1"/>
    <protectedRange sqref="AT583" name="区域1_1_1_20_1_1_2"/>
    <protectedRange sqref="G585:J585 U584:AC585 AX584:AX585 H512" name="区域1_3_4_5_1_1_1"/>
    <protectedRange sqref="O585 Q584:Q585 AD584:AF585" name="区域1_3_4_1_3_1_1_1"/>
    <protectedRange sqref="C584:C585 G584:J584 S584:S585" name="区域1_3_4_2_3_1_1"/>
    <protectedRange sqref="D584:D585" name="区域1_3_4_1_2_1_1_1"/>
    <protectedRange sqref="O584" name="区域1_1_1_7_1_1_1_1"/>
    <protectedRange sqref="AT584:AT585" name="区域1_1_1_20_1_1_1_1"/>
    <protectedRange sqref="G103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6 G620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7 C587" name="区域1_3_4"/>
    <protectedRange sqref="C588 E588 G588" name="区域1_3_4_9"/>
    <protectedRange sqref="E589 C589" name="区域1_3_4_10"/>
    <protectedRange sqref="E595:F595" name="区域1_2_5_1_1_1"/>
    <protectedRange sqref="BL495:BO495" name="区域1_1_5_1"/>
    <protectedRange sqref="U574:AF574 N574 P574:Q574 AH574:AY574" name="区域1_3_4_1_3_1_2"/>
    <protectedRange sqref="S574" name="区域1_3_4_2_3_1_4"/>
    <protectedRange sqref="A574" name="区域1_1_5_2_1_1_1"/>
    <protectedRange sqref="D574" name="区域1_3_4_5_1_3"/>
    <protectedRange sqref="E574:F574 B574 K574:M574" name="区域1_3_4_1_3_1_5"/>
    <protectedRange sqref="G574:J574 C574 G643:H643" name="区域1_3_4_2_3_1_5"/>
    <protectedRange sqref="O574" name="区域1_3_4_1_3_1_6"/>
    <protectedRange sqref="U516:AF516 D516:Q516 B516 S516 AH516:AL516" name="区域1_3_4_2_3_1_6"/>
    <protectedRange sqref="A516" name="区域1_1_5_2_1_1_1_1"/>
    <protectedRange sqref="C516" name="区域1_3_4_2_3_1_43_1"/>
    <protectedRange sqref="N607:P607 U607:AF607 AH607:AL607" name="区域1_3_4_1_3_1_3"/>
    <protectedRange sqref="S607" name="区域1_3_4_2_3_1_7"/>
    <protectedRange sqref="B607 K607 M607 E607:F607" name="区域1_3_4_1_3_1_2_1"/>
    <protectedRange sqref="L607 G607:J607 C607:D607" name="区域1_3_4_2_3_1_2_1"/>
    <protectedRange sqref="Q607" name="区域1_3_4_1_3_1_4"/>
    <protectedRange sqref="U608:AF608 AH608:AL608" name="区域1_3_4_5_1_2"/>
    <protectedRange sqref="Q608" name="区域1_1_5_1_3_1_3"/>
    <protectedRange sqref="N608:P608" name="区域1_3_4_1_3_1_7"/>
    <protectedRange sqref="S608" name="区域1_3_4_2_3_1_8"/>
    <protectedRange sqref="B608 E608:F608 K608:M608" name="区域1_3_4_1_3_1_3_1"/>
    <protectedRange sqref="G608:J608 C608" name="区域1_3_4_2_3_1_3_1"/>
    <protectedRange sqref="D608" name="区域1_3_4_1_2_1_1_2"/>
    <protectedRange sqref="E611 C611" name="区域1_3_4_11"/>
    <protectedRange sqref="G611" name="区域1_3_4_12"/>
    <protectedRange sqref="AB611" name="区域1_3_4_13"/>
    <protectedRange sqref="E612 C612" name="区域1_3_4_14"/>
    <protectedRange sqref="G612" name="区域1_3_4_15"/>
    <protectedRange sqref="AB612" name="区域1_3_4_16"/>
    <protectedRange sqref="E613:E619 C613:C619" name="区域1_3_4_17"/>
    <protectedRange sqref="Z621" name="区域1_1_1_9_1_6"/>
    <protectedRange sqref="D622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1:BT642" xr:uid="{0E3B3025-CBA8-451E-A459-98C176725D65}">
    <filterColumn colId="6">
      <filters>
        <filter val="SC2033SO-N-TR"/>
      </filters>
    </filterColumn>
  </autoFilter>
  <phoneticPr fontId="2" type="noConversion"/>
  <dataValidations xWindow="220" yWindow="446" count="38">
    <dataValidation type="list" allowBlank="1" showInputMessage="1" showErrorMessage="1" sqref="AJ381:AJ388" xr:uid="{16309526-04DF-4853-B26D-66C15AE871D6}">
      <formula1>INDIRECT($AI381)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F236:BJ252 BF454:BJ455 BF488:BJ488 BF464:BJ464 BF460:BJ461 BF482:BJ484 BF494:BJ494 BF496:BJ498 BE495:BI495 BF227:BJ230" xr:uid="{7D0EBBD9-721C-4A1A-B152-D44071AAEA41}">
      <formula1>44927</formula1>
      <formula2>54789</formula2>
    </dataValidation>
    <dataValidation type="list" allowBlank="1" showInputMessage="1" showErrorMessage="1" sqref="AT291 AT265:AT273 AT276:AT289 AT302:AT313 AT622 AT225:AT263" xr:uid="{C28F56A1-F6E5-48C8-9A63-AC0DD8457D0D}">
      <formula1>"Alex,Axel,Harry,Josh,Pedro,Rubin,Serge,Tom,Torres,Bill"</formula1>
    </dataValidation>
    <dataValidation type="list" allowBlank="1" showInputMessage="1" showErrorMessage="1" sqref="AU265:AU273 AU276:AU289 AU302:AU313 AU291 AU622 AU225:AU263" xr:uid="{115BB5B6-962C-42ED-BA8E-3C70F50B11CC}">
      <formula1>"1部,2部,3部,深圳"</formula1>
    </dataValidation>
    <dataValidation type="list" errorStyle="information" allowBlank="1" showInputMessage="1" showErrorMessage="1" sqref="F307:F308 F237:F291" xr:uid="{1BF1229D-BF19-4B29-AA8A-BF545DE8BEA0}">
      <formula1>"Shu,Ju,Yao,ZX,Chen,Ma"</formula1>
    </dataValidation>
    <dataValidation type="list" errorStyle="information" allowBlank="1" showInputMessage="1" showErrorMessage="1" sqref="E622 E225:E313 E634 E640" xr:uid="{B12DD00D-6C6D-4C24-A7F6-420EC5BBC7C1}">
      <formula1>"Harry,Nicole,Pedro,Tom,Torres,Ricky,Bill"</formula1>
    </dataValidation>
    <dataValidation type="list" errorStyle="information" allowBlank="1" showInputMessage="1" showErrorMessage="1" sqref="E609 E111:E210 E611:E619" xr:uid="{95F24C53-5C4D-4109-A66B-8D7B20FE8988}">
      <formula1>"Harry,Nicole,Pedro,Tom,Torres,Will,Elon,Yinan,Freya,Alex,Stephen"</formula1>
    </dataValidation>
    <dataValidation type="list" errorStyle="information" allowBlank="1" showInputMessage="1" showErrorMessage="1" sqref="E98:E110 E495 E393:E394 F314:F372 E314:E319" xr:uid="{250D63C1-6D1B-4DF7-93FE-28EA1530E897}">
      <formula1>"Harry,Nicole,Pedro,Tom,Torres,Ricky"</formula1>
    </dataValidation>
    <dataValidation type="whole" allowBlank="1" showInputMessage="1" showErrorMessage="1" sqref="BD1:BJ1 BD98:BJ110" xr:uid="{1140C431-5F8B-473F-8ED3-FA76913386F8}">
      <formula1>0</formula1>
      <formula2>100000</formula2>
    </dataValidation>
    <dataValidation type="list" errorStyle="information" allowBlank="1" showInputMessage="1" showErrorMessage="1" sqref="AT1 AT25:AT30 AT107:AT110" xr:uid="{956DC364-6BCF-4A21-84F0-53D7F6CBEDFF}">
      <formula1>"Alex,Ant,Axel,Harry,Josh,Pedro,Rubin,Serge,Tom,Torres"</formula1>
    </dataValidation>
    <dataValidation type="list" errorStyle="information" allowBlank="1" showInputMessage="1" showErrorMessage="1" sqref="O1:P1 E1:F1 E25:E30 E80:E110 F314:F372 E314:E319" xr:uid="{E37D1ABD-200C-41CF-89E2-CBDE881FA238}">
      <formula1>"Ant,Beryl,Harry,Henry,Ju,Ma,Nicole,Pedro,Shu,Tom,Torres,Yao,ZX"</formula1>
    </dataValidation>
    <dataValidation type="list" errorStyle="information" allowBlank="1" showInputMessage="1" showErrorMessage="1" sqref="E31:E55 F599:F600 F595 E56:F56" xr:uid="{6CD74D0E-1696-4E60-AED3-3A6E217EAEBF}">
      <formula1>"Harry,Nicole,Pedro,Tom,Torres"</formula1>
    </dataValidation>
    <dataValidation type="list" errorStyle="information" allowBlank="1" showInputMessage="1" showErrorMessage="1" sqref="F25:F30 G31 I31:J31 F393:F423 F436" xr:uid="{2DE6246C-AAF2-449F-8965-A4752FBB4C78}">
      <formula1>"Shu,Ju,Yao,ZX"</formula1>
    </dataValidation>
    <dataValidation type="list" allowBlank="1" showInputMessage="1" showErrorMessage="1" sqref="M36:M43 M46:M50 M270:M291 M308:M309 M390 M52:M56 M237:M266" xr:uid="{A5CE7EB4-C7F7-4018-AAF9-AA72A60165AF}">
      <formula1>"评估,送样,小批量,批量"</formula1>
    </dataValidation>
    <dataValidation type="list" allowBlank="1" showInputMessage="1" showErrorMessage="1" sqref="M25:M30" xr:uid="{0CD8F38C-194E-42E1-B93D-08A8BBC81678}">
      <formula1>"量产,推进中,项目关闭,项目丢失"</formula1>
    </dataValidation>
    <dataValidation type="list" allowBlank="1" showInputMessage="1" showErrorMessage="1" sqref="AX52 AX108 AX98:AX104 AX36:AX37" xr:uid="{E2F99BC0-1616-4F15-8CA2-1BB77D3B49DC}">
      <formula1>INDIRECT($AT36)</formula1>
    </dataValidation>
    <dataValidation type="list" allowBlank="1" showInputMessage="1" showErrorMessage="1" sqref="AY52 AY98:AY104 AY36" xr:uid="{67564C38-69CA-44A3-BB61-005ED709295F}">
      <formula1>INDIRECT($AU36)</formula1>
    </dataValidation>
    <dataValidation type="list" allowBlank="1" showInputMessage="1" showErrorMessage="1" sqref="AZ52 AZ36:AZ38 AW373:AW374" xr:uid="{0379C691-71C8-4C06-B2C5-D3F2AADC9E13}">
      <formula1>INDIRECT(#REF!)</formula1>
    </dataValidation>
    <dataValidation type="list" allowBlank="1" showInputMessage="1" showErrorMessage="1" sqref="AY37" xr:uid="{D13F01D3-BF0E-4772-AB19-07B10CF03D7B}">
      <formula1>INDIRECT($AU38)</formula1>
    </dataValidation>
    <dataValidation type="list" allowBlank="1" showInputMessage="1" showErrorMessage="1" sqref="AM71" xr:uid="{E75A266E-55E2-4C0B-9945-534B2164045C}">
      <formula1>INDIRECT($AL71)</formula1>
    </dataValidation>
    <dataValidation type="list" allowBlank="1" showInputMessage="1" showErrorMessage="1" sqref="AL71 AL381:AL388 AY71" xr:uid="{E35780E5-C471-40C0-A36F-789C00155513}">
      <formula1>INDIRECT($AK71)</formula1>
    </dataValidation>
    <dataValidation type="list" allowBlank="1" showInputMessage="1" showErrorMessage="1" sqref="AK71 AK381:AK388 AX71" xr:uid="{78C61DFF-3584-4898-8AEE-8FB83773DC37}">
      <formula1>INDIRECT($AJ71)</formula1>
    </dataValidation>
    <dataValidation type="whole" allowBlank="1" showInputMessage="1" showErrorMessage="1" sqref="L14:L16 L25:L29 L18:L20 L98:M99 M100:M104 M108 M586" xr:uid="{73EDB244-94E3-480E-A0DB-15A7B8C89519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O14:O16 O25:O27 O18:O21 O98:O99 O107:O110 O583:O584" xr:uid="{D64ED006-D191-44F4-9C52-EA5B4FCAEA96}"/>
    <dataValidation type="list" allowBlank="1" showInputMessage="1" showErrorMessage="1" sqref="AX517:AX582 AX504:AX515 AX2:AX24 AX584:AX585 AX53:AX56 AX82 AX94:AX95 AX31:AX35 AX38:AX51 AZ98:AZ106 AX307:AX313 AX225:AX226 AX234 AX373:AX374 AX378 AX236:AX305 AX393:AX453" xr:uid="{AA40DFD0-A985-4324-9809-FACDCB9C8C67}">
      <formula1>INDIRECT($AW2)</formula1>
    </dataValidation>
    <dataValidation type="list" allowBlank="1" showInputMessage="1" showErrorMessage="1" sqref="AZ513:AZ515 AZ518:AZ573 AZ2:AZ24 AZ504:AZ509 AZ575:AZ585 AZ53:AZ56 AZ82 AZ94:AZ95 AZ31:AZ35 AZ39:AZ51 AZ378 AZ393:AZ443" xr:uid="{83C4A816-D309-407C-8C69-7A7183943C05}">
      <formula1>INDIRECT($AY2)</formula1>
    </dataValidation>
    <dataValidation type="whole" allowBlank="1" showInputMessage="1" showErrorMessage="1" sqref="AM7:AS7 AM9:AS9 AN33:AP33 AS33 W518:X522 AM396:AS396 AJ607:AL607 AM398:AS398 AM517:AP526 Z518:Z522 Z513:AA514 AE513 AI517:AS522 U396:Z396 U515:AB516 AJ515:AL526 AQ508:AS516 AM508:AP515 U398:AF398" xr:uid="{B1F1AD33-EB7B-4B65-931E-69DBD045E349}">
      <formula1>0</formula1>
      <formula2>9</formula2>
    </dataValidation>
    <dataValidation type="list" allowBlank="1" showInputMessage="1" showErrorMessage="1" sqref="AT82 AT31:AT54 AT393:AT453 AT107:AT110 AT264 AT373:AT374 AT378 AT517:AT566 AQ517:AQ526 AT573:AT582 AQ515 AT504:AT515 AF98:AF99 AG99" xr:uid="{2BAE1004-8CD3-4569-8AC5-DB6515E9DA49}">
      <formula1>"Alex,Axel,Harry,Josh,Pedro,Rubin,Serge,Tom,Torres"</formula1>
    </dataValidation>
    <dataValidation type="list" allowBlank="1" showInputMessage="1" showErrorMessage="1" sqref="AY517:AY585 AY504:AY515 AY2:AY24 AY53:AY56 AY82 AY94:AY95 AY31:AY35 AY39:AY51 AY307:AY313 AY225:AY226 AY234 AY373:AY374 AY378 AY236:AY305 AY393:AY453" xr:uid="{52EDE9D3-279F-4869-A502-1888EE3DB721}">
      <formula1>INDIRECT($AX2)</formula1>
    </dataValidation>
    <dataValidation type="whole" allowBlank="1" showInputMessage="1" showErrorMessage="1" promptTitle="提示" prompt="请输入数字" sqref="BL7:BL9 BL52:BL54 BL35:BL50 BL80:BL81 BL32:BL33 BK495 BL108:BL110 AY98:AY106 BL236:BL252 BK374 AX381:AX388 BL395:BL398 BL400:BL419 BL454:BL455 BL488 BL464 BL460:BL461 BL482:BL484 BL11:BL19 BL537:BL561 BL530 BL565:BL566 BL494 BL496:BL498 BL504:BL515 BL517:BL526 BL436 BL227:BL230" xr:uid="{3C991DC7-33A1-4292-A83C-8B9AE3D86E34}">
      <formula1>0</formula1>
      <formula2>10000000</formula2>
    </dataValidation>
    <dataValidation type="whole" allowBlank="1" showInputMessage="1" showErrorMessage="1" promptTitle="提示" prompt="请输入整数" sqref="BD7:BJ9 BD52:BJ54 BD35:BJ50 BF82:BJ82 BD32:BJ33 BD11:BJ19 BF98:BJ107 BD108:BJ110 BD236:BJ244 BD246:BJ252 BE373:BI373 BC374:BI374 BF378:BJ378 BD395:BJ398 BD400:BJ419 BD454:BJ455 BD488:BE488 BD458:BJ464 BD482:BE484 AT98:AT106 AP381:AT388 AW98:AW106 AD546:AF546 BD561:BJ561 AL529:AQ529 BF553:BJ554 BF563:BJ563 BF537 AF538:AF540 AD538:AD540 AD542 BA517:BA526 BC495:BD495 BF535:BJ536 AH579:AO582 AJ528 BF544:BF552 BD531:BE531 AM530:AO531 BC530:BC531 AJ529:AL531 BD225:BJ230 AH567:AJ572 AE537:AE540 BF567:BF569 BF572 BD542:BE554 AH528:AI531 BC542:BC546 BF538:BH545 BG537:BJ552 BC535:BE541 AH532:AO546 AM567:AO572 BD504:BJ514 AM528:AR528 AE542:AE544 BF527:BJ531 BF575:BJ577 BD494:BE494 BD496:BE498 BF573:BJ573 BA515 BC515:BJ515 BC517:BJ526 AH608:AL608 BD436:BJ436 AD535:AF536 AF529 AF542" xr:uid="{13129898-71AA-48A1-A218-DEA7BF337365}">
      <formula1>0</formula1>
      <formula2>100000</formula2>
    </dataValidation>
    <dataValidation errorStyle="information" allowBlank="1" showInputMessage="1" showErrorMessage="1" sqref="BA10:BL10 L30 N30:O30 Q30 BA34:BL34 B32:B33 F95 B108:B110 K110 BA108:BL110 F111:F113 B196:B197 F176:F210 B222:B224 BA249:BL249 BA231:BL233 B300 B298 F382:F388 B398 K398 BA399:BL399 B403 K403 B485:B487 BA485:BL487 B535:B536 B531 K531 K535:K536" xr:uid="{DF9F5BDF-347B-4C7D-BF54-928598A06C5C}"/>
    <dataValidation type="list" allowBlank="1" showInputMessage="1" showErrorMessage="1" sqref="M15 O7:O12 BK245:BL245 BK234:BL235 BK489:BL493 M18:M24" xr:uid="{E80E0076-9641-4233-8DFC-CDC193B26281}">
      <formula1>"评估,送样,样品测试完成,DV,PV,量产,项目关闭,项目丢失"</formula1>
    </dataValidation>
    <dataValidation type="list" allowBlank="1" showInputMessage="1" showErrorMessage="1" sqref="AU264 AU373:AU394 AH381:AH388 AT373:AT374 AU98:AU110 AR579:AS582 AR530:AS546 AR517:AS526 AW583:AW585 AT574:AU574 AT495 AT567:AT573 AT575:AT582 AR515:AS515 AT504:AT515 AT517:AT562" xr:uid="{AE0063C6-426A-4267-874A-A5001C6D3835}">
      <formula1>"1部,2部,3部"</formula1>
    </dataValidation>
    <dataValidation type="list" allowBlank="1" showInputMessage="1" showErrorMessage="1" sqref="M10 M586 M44:M45 M87:N93 M83:N84 M31:M35 M98:M104 M267:M269 M292:M304 M393:M469 M314:M320 M385:N386 M379:N380 M16:M17 M471:M498 L495 M222:M236" xr:uid="{4EEA87C2-8167-4C99-AFC7-BCD0F0A83B01}">
      <formula1>"评估,送样,小批量,批量,终止"</formula1>
    </dataValidation>
    <dataValidation allowBlank="1" showInputMessage="1" showErrorMessage="1" promptTitle="提示" prompt="请填写&quot;工商注册全称&quot;" sqref="B18:B22 B44 B7:B12 B14:B16 L7:L10 B52 B34:B38 B25:B31 B82 B3 D18:D22 B145 B161:B168 B173:B201 B222:B224 BA245:BJ245 BA234:BJ235 C250 C248 C261 B270 B267 B272:B273 C241 B297:B299 C228:C229 C256 C271 B227:B229 C308 B241:B247 B234:B237 B259:B264 B275:B276 B278:B285 C245 C226 C282 B301:B302 B311 B378 B387:B388 B373:B374 B393:B397 B399:B402 B404:B423 B314:B320 B454:B455 B464 BA489:BJ493 B460:B461 B482:B484 B589 C555:C585 B488:B498 B105:B110 B561:B586 B504:C554 B607:C608 B620:B621 B436" xr:uid="{933F9B9A-5D7D-4FA8-B88C-E6BAE9538817}"/>
    <dataValidation type="list" errorStyle="information" allowBlank="1" showInputMessage="1" showErrorMessage="1" sqref="E80:E94 E574 E516 E607:E608" xr:uid="{E87AF96C-645B-4FFA-9C5D-57ACF1FBA413}">
      <formula1>"Harry,Nicole,Pedro,Tom,Torres,Will,Elon,Yinan,Freya,Alex"</formula1>
    </dataValidation>
    <dataValidation type="list" allowBlank="1" showInputMessage="1" showErrorMessage="1" sqref="AW574" xr:uid="{5FCD0C21-0E91-44A6-8D8E-880E38FBAD21}">
      <formula1>INDIRECT($AV574)</formula1>
    </dataValidation>
  </dataValidations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Sheet3</vt:lpstr>
      <vt:lpstr>预测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2025-07-15T11:45:20Z</dcterms:modified>
</cp:coreProperties>
</file>